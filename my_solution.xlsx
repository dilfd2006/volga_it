
<file path=[Content_Types].xml><?xml version="1.0" encoding="utf-8"?>
<Types xmlns="http://schemas.openxmlformats.org/package/2006/content-types">
  <Default Extension="vml" ContentType="application/vnd.openxmlformats-officedocument.vmlDrawing"/>
  <Default Extension="wmf" ContentType="image/x-wmf"/>
  <Default Extension="png" ContentType="image/png"/>
  <Default Extension="xml" ContentType="application/xml"/>
  <Default Extension="jpeg" ContentType="image/jpeg"/>
  <Default Extension="rels" ContentType="application/vnd.openxmlformats-package.relationships+xml"/>
  <Default Extension="bin" ContentType="application/vnd.openxmlformats-officedocument.oleObject"/>
  <Override PartName="/docProps/app.xml" ContentType="application/vnd.openxmlformats-officedocument.extended-properties+xml"/>
  <Override PartName="/docProps/core.xml" ContentType="application/vnd.openxmlformats-package.core-properties+xml"/>
  <Override PartName="/xl/persons/person.xml" ContentType="application/vnd.ms-excel.person+xml"/>
  <Override PartName="/xl/worksheets/sheet1.xml" ContentType="application/vnd.openxmlformats-officedocument.spreadsheetml.worksheet+xml"/>
  <Override PartName="/xl/threadedComments/threadedComment5.xml" ContentType="application/vnd.ms-excel.threadedcomments+xml"/>
  <Override PartName="/xl/comments5.xml" ContentType="application/vnd.openxmlformats-officedocument.spreadsheetml.comments+xml"/>
  <Override PartName="/xl/worksheets/sheet6.xml" ContentType="application/vnd.openxmlformats-officedocument.spreadsheetml.worksheet+xml"/>
  <Override PartName="/xl/comments1.xml" ContentType="application/vnd.openxmlformats-officedocument.spreadsheetml.comments+xml"/>
  <Override PartName="/xl/worksheets/sheet7.xml" ContentType="application/vnd.openxmlformats-officedocument.spreadsheetml.worksheet+xml"/>
  <Override PartName="/xl/threadedComments/threadedComment2.xml" ContentType="application/vnd.ms-excel.threadedcomments+xml"/>
  <Override PartName="/xl/worksheets/sheet3.xml" ContentType="application/vnd.openxmlformats-officedocument.spreadsheetml.worksheet+xml"/>
  <Override PartName="/xl/worksheets/sheet11.xml" ContentType="application/vnd.openxmlformats-officedocument.spreadsheetml.worksheet+xml"/>
  <Override PartName="/xl/threadedComments/threadedComment3.xml" ContentType="application/vnd.ms-excel.threadedcomments+xml"/>
  <Override PartName="/xl/threadedComments/threadedComment1.xml" ContentType="application/vnd.ms-excel.threadedcomments+xml"/>
  <Override PartName="/xl/worksheets/sheet2.xml" ContentType="application/vnd.openxmlformats-officedocument.spreadsheetml.worksheet+xml"/>
  <Override PartName="/xl/worksheets/sheet12.xml" ContentType="application/vnd.openxmlformats-officedocument.spreadsheetml.worksheet+xml"/>
  <Override PartName="/xl/comments4.xml" ContentType="application/vnd.openxmlformats-officedocument.spreadsheetml.comments+xml"/>
  <Override PartName="/xl/worksheets/sheet5.xml" ContentType="application/vnd.openxmlformats-officedocument.spreadsheetml.worksheet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threadedComments/threadedComment4.xml" ContentType="application/vnd.ms-excel.threadedcomments+xml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charts/chart4.xml" ContentType="application/vnd.openxmlformats-officedocument.drawingml.chart+xml"/>
  <Override PartName="/xl/charts/chart3.xml" ContentType="application/vnd.openxmlformats-officedocument.drawingml.chart+xml"/>
  <Override PartName="/xl/styles.xml" ContentType="application/vnd.openxmlformats-officedocument.spreadsheetml.styles+xml"/>
  <Override PartName="/xl/worksheets/sheet4.xml" ContentType="application/vnd.openxmlformats-officedocument.spreadsheetml.worksheet+xml"/>
  <Override PartName="/xl/worksheets/sheet10.xml" ContentType="application/vnd.openxmlformats-officedocument.spreadsheetml.worksheet+xml"/>
  <Override PartName="/xl/charts/chart2.xml" ContentType="application/vnd.openxmlformats-officedocument.drawingml.chart+xml"/>
  <Override PartName="/xl/charts/chart1.xml" ContentType="application/vnd.openxmlformats-officedocument.drawingml.chart+xml"/>
</Types>
</file>

<file path=_rels/.rels><?xml version="1.0" encoding="UTF-8" standalone="yes"?><Relationships xmlns="http://schemas.openxmlformats.org/package/2006/relationships"><Relationship  Id="rId3" Type="http://schemas.openxmlformats.org/officeDocument/2006/relationships/officeDocument" Target="xl/workbook.xml"/><Relationship  Id="rId2" Type="http://schemas.openxmlformats.org/package/2006/relationships/metadata/core-properties" Target="docProps/core.xml"/><Relationship  Id="rId1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0"/>
  <workbookProtection/>
  <bookViews>
    <workbookView xWindow="360" yWindow="15" windowWidth="20955" windowHeight="9720" activeTab="3"/>
  </bookViews>
  <sheets>
    <sheet name="Инструкция" sheetId="1" state="visible" r:id="rId3"/>
    <sheet name="Товары_очищенные" sheetId="2" state="visible" r:id="rId4"/>
    <sheet name="Поставщики_очищенные" sheetId="3" state="visible" r:id="rId5"/>
    <sheet name="Продажи_очищенные" sheetId="4" state="visible" r:id="rId6"/>
    <sheet name="Клиенты_очищенные" sheetId="5" state="visible" r:id="rId7"/>
    <sheet name="Справочники" sheetId="6" state="visible" r:id="rId8"/>
    <sheet name="Итоговый_отчёт" sheetId="7" state="visible" r:id="rId9"/>
    <sheet name="Макрос" sheetId="8" state="visible" r:id="rId10"/>
    <sheet name="RAW_Товары" sheetId="9" state="visible" r:id="rId11"/>
    <sheet name="RAW_Поставщики" sheetId="10" state="visible" r:id="rId12"/>
    <sheet name="RAW_Продажи" sheetId="11" state="visible" r:id="rId13"/>
    <sheet name="RAW_Клиенты" sheetId="12" state="visible" r:id="rId14"/>
  </sheets>
  <calcPr calcMode="auto" refMode="A1" iterateDelta="0.0001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tc={00920041-005F-412B-83EA-00990014002C}</author>
    <author>tc={00D800A3-00BC-4621-8244-009800DA0057}</author>
    <author>tc={00E8006E-0063-44C9-AE18-008900BA00F9}</author>
    <author>tc={0000008F-0068-40A2-B9B0-004E00D000ED}</author>
    <author>tc={0075003C-00F6-4D11-8FC8-00B4006D0022}</author>
  </authors>
  <commentList>
    <comment ref="L3" authorId="0" xr:uid="{00920041-005F-412B-83EA-00990014002C}">
      <text>
        <r>
          <rPr>
            <b/>
            <sz val="9"/>
            <rFont val="Tahoma"/>
          </rPr>
          <t xml:space="preserve">Unknown Author:</t>
        </r>
        <r>
          <rPr>
            <sz val="9"/>
            <rFont val="Tahoma"/>
          </rPr>
          <t xml:space="preserve">
"АРТ-"&amp;ЛЕВСИМВ(...;3): первые 3 цифры = номер товара. Формат приведён к АРТ-XXX.
</t>
        </r>
      </text>
    </comment>
    <comment ref="M3" authorId="1" xr:uid="{00D800A3-00BC-4621-8244-009800DA0057}">
      <text>
        <r>
          <rPr>
            <b/>
            <sz val="9"/>
            <rFont val="Tahoma"/>
          </rPr>
          <t xml:space="preserve">Unknown Author:</t>
        </r>
        <r>
          <rPr>
            <sz val="9"/>
            <rFont val="Tahoma"/>
          </rPr>
          <t xml:space="preserve">
ПРОПНАЧ(СЖПРОБЕЛЫ(...)): убираем лишние пробелы и делаем каждое слово с заглавной. Скобки уже удалены в промежуточном столбце.
</t>
        </r>
      </text>
    </comment>
    <comment ref="N3" authorId="2" xr:uid="{00E8006E-0063-44C9-AE18-008900BA00F9}">
      <text>
        <r>
          <rPr>
            <b/>
            <sz val="9"/>
            <rFont val="Tahoma"/>
          </rPr>
          <t xml:space="preserve">Unknown Author:</t>
        </r>
        <r>
          <rPr>
            <sz val="9"/>
            <rFont val="Tahoma"/>
          </rPr>
          <t xml:space="preserve">
ВПР по листу Справочники: приводит Смартфоны/Телефоны/Мобильные телефоны к одному эталону.
</t>
        </r>
      </text>
    </comment>
    <comment ref="P3" authorId="3" xr:uid="{0000008F-0068-40A2-B9B0-004E00D000ED}">
      <text>
        <r>
          <rPr>
            <b/>
            <sz val="9"/>
            <rFont val="Tahoma"/>
          </rPr>
          <t xml:space="preserve">Unknown Author:</t>
        </r>
        <r>
          <rPr>
            <sz val="9"/>
            <rFont val="Tahoma"/>
          </rPr>
          <t xml:space="preserve">
ЗНАЧЕН(ПОДСТАВИТЬ(...)): удаляем пробелы-разделители тысяч и меняем запятую на точку, затем округляем до 2 знаков.
</t>
        </r>
      </text>
    </comment>
    <comment ref="I3" authorId="4" xr:uid="{0075003C-00F6-4D11-8FC8-00B4006D0022}">
      <text>
        <r>
          <rPr>
            <b/>
            <sz val="9"/>
            <rFont val="Tahoma"/>
          </rPr>
          <t xml:space="preserve">Unknown Author:</t>
        </r>
        <r>
          <rPr>
            <sz val="9"/>
            <rFont val="Tahoma"/>
          </rPr>
          <t xml:space="preserve">
ПОДСТАВИТЬ(ПОДСТАВИТЬ(...)): снимаем буквенные префиксы №АРТ- и АРТ_, оставляя номер.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tc={00BC009C-00A9-4FA5-807F-007C00380020}</author>
    <author>tc={002E0093-003F-4B34-A382-000700300020}</author>
    <author>tc={00B30061-0053-4970-B3E0-002B00D100C7}</author>
    <author>tc={005E0074-007B-448E-8CA0-001D00B600CA}</author>
    <author>tc={00ED006D-00B5-4B25-837B-00BC009F0024}</author>
  </authors>
  <commentList>
    <comment ref="P3" authorId="0" xr:uid="{00BC009C-00A9-4FA5-807F-007C00380020}">
      <text>
        <r>
          <rPr>
            <b/>
            <sz val="9"/>
            <rFont val="Tahoma"/>
          </rPr>
          <t xml:space="preserve">Unknown Author:</t>
        </r>
        <r>
          <rPr>
            <sz val="9"/>
            <rFont val="Tahoma"/>
          </rPr>
          <t xml:space="preserve">
ЕСЛИ длина не 10 и не 12 — помечаем «Ошибка ИНН».
</t>
        </r>
      </text>
    </comment>
    <comment ref="R3" authorId="1" xr:uid="{002E0093-003F-4B34-A382-000700300020}">
      <text>
        <r>
          <rPr>
            <b/>
            <sz val="9"/>
            <rFont val="Tahoma"/>
          </rPr>
          <t xml:space="preserve">Unknown Author:</t>
        </r>
        <r>
          <rPr>
            <sz val="9"/>
            <rFont val="Tahoma"/>
          </rPr>
          <t xml:space="preserve">
Берём последние 10 цифр и собираем формат +7 (XXX) XXX-XX-XX.
</t>
        </r>
      </text>
    </comment>
    <comment ref="T3" authorId="2" xr:uid="{00B30061-0053-4970-B3E0-002B00D100C7}">
      <text>
        <r>
          <rPr>
            <b/>
            <sz val="9"/>
            <rFont val="Tahoma"/>
          </rPr>
          <t xml:space="preserve">Unknown Author:</t>
        </r>
        <r>
          <rPr>
            <sz val="9"/>
            <rFont val="Tahoma"/>
          </rPr>
          <t xml:space="preserve">
Проверяем наличие @ и точки в доменной части (после @).
</t>
        </r>
      </text>
    </comment>
    <comment ref="U3" authorId="3" xr:uid="{005E0074-007B-448E-8CA0-001D00B600CA}">
      <text>
        <r>
          <rPr>
            <b/>
            <sz val="9"/>
            <rFont val="Tahoma"/>
          </rPr>
          <t xml:space="preserve">Unknown Author:</t>
        </r>
        <r>
          <rPr>
            <sz val="9"/>
            <rFont val="Tahoma"/>
          </rPr>
          <t xml:space="preserve">
Индекс = первые 6 символов адреса (6 цифр).
</t>
        </r>
      </text>
    </comment>
    <comment ref="I3" authorId="4" xr:uid="{00ED006D-00B5-4B25-837B-00BC009F0024}">
      <text>
        <r>
          <rPr>
            <b/>
            <sz val="9"/>
            <rFont val="Tahoma"/>
          </rPr>
          <t xml:space="preserve">Unknown Author:</t>
        </r>
        <r>
          <rPr>
            <sz val="9"/>
            <rFont val="Tahoma"/>
          </rPr>
          <t xml:space="preserve">
Оставляем только цифры (убираем пробелы/неразрывные пробелы). Длину проверяем в соседнем столбце.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tc={002D002C-0028-485F-BD24-006300A90045}</author>
    <author>tc={0086004F-0012-40BB-9998-0007004300FD}</author>
    <author>tc={00ED003D-00F7-4846-91A0-00D100D500C7}</author>
    <author>tc={00780091-0006-4345-93ED-00BF009F00CC}</author>
    <author>tc={00F500BE-009F-4A4E-8515-0087005D00BA}</author>
    <author>tc={00DF0050-00A5-4E6F-9A78-004F00330076}</author>
  </authors>
  <commentList>
    <comment ref="L3" authorId="0" xr:uid="{002D002C-0028-485F-BD24-006300A90045}">
      <text>
        <r>
          <rPr>
            <b/>
            <sz val="9"/>
            <rFont val="Tahoma"/>
          </rPr>
          <t xml:space="preserve">Unknown Author:</t>
        </r>
        <r>
          <rPr>
            <sz val="9"/>
            <rFont val="Tahoma"/>
          </rPr>
          <t xml:space="preserve">
ДАТА(год;месяц;день) из строки MM/DD/YYYY. Формат ячейки — ДД.ММ.ГГГГ.
</t>
        </r>
      </text>
    </comment>
    <comment ref="N3" authorId="1" xr:uid="{0086004F-0012-40BB-9998-0007004300FD}">
      <text>
        <r>
          <rPr>
            <b/>
            <sz val="9"/>
            <rFont val="Tahoma"/>
          </rPr>
          <t xml:space="preserve">Unknown Author:</t>
        </r>
        <r>
          <rPr>
            <sz val="9"/>
            <rFont val="Tahoma"/>
          </rPr>
          <t xml:space="preserve">
ЗНАЧЕН(ЛЕВСИМВ(...)): число до первого пробела. Отрицательные (возвраты) сохраняются.
</t>
        </r>
      </text>
    </comment>
    <comment ref="P3" authorId="2" xr:uid="{00ED003D-00F7-4846-91A0-00D100D500C7}">
      <text>
        <r>
          <rPr>
            <b/>
            <sz val="9"/>
            <rFont val="Tahoma"/>
          </rPr>
          <t xml:space="preserve">Unknown Author:</t>
        </r>
        <r>
          <rPr>
            <sz val="9"/>
            <rFont val="Tahoma"/>
          </rPr>
          <t xml:space="preserve">
Число цены * курс из справочника (по символу валюты). ₽ =&gt; курс 1.
</t>
        </r>
      </text>
    </comment>
    <comment ref="Q3" authorId="3" xr:uid="{00780091-0006-4345-93ED-00BF009F00CC}">
      <text>
        <r>
          <rPr>
            <b/>
            <sz val="9"/>
            <rFont val="Tahoma"/>
          </rPr>
          <t xml:space="preserve">Unknown Author:</t>
        </r>
        <r>
          <rPr>
            <sz val="9"/>
            <rFont val="Tahoma"/>
          </rPr>
          <t xml:space="preserve">
ВПР по справочнику статусов: completed/завершен/Завершен -&gt; Завершен и т.д.
</t>
        </r>
      </text>
    </comment>
    <comment ref="R3" authorId="4" xr:uid="{00F500BE-009F-4A4E-8515-0087005D00BA}">
      <text>
        <r>
          <rPr>
            <b/>
            <sz val="9"/>
            <rFont val="Tahoma"/>
          </rPr>
          <t xml:space="preserve">Unknown Author:</t>
        </r>
        <r>
          <rPr>
            <sz val="9"/>
            <rFont val="Tahoma"/>
          </rPr>
          <t xml:space="preserve">
ИНДЕКС/ПОИСКПОЗ по листу Товары_очищенные — подставляем розничную цену по чистому артикулу.
</t>
        </r>
      </text>
    </comment>
    <comment ref="V3" authorId="5" xr:uid="{00DF0050-00A5-4E6F-9A78-004F00330076}">
      <text>
        <r>
          <rPr>
            <b/>
            <sz val="9"/>
            <rFont val="Tahoma"/>
          </rPr>
          <t xml:space="preserve">Unknown Author:</t>
        </r>
        <r>
          <rPr>
            <sz val="9"/>
            <rFont val="Tahoma"/>
          </rPr>
          <t xml:space="preserve">
СЧЁТЕСЛИ по нарастающему диапазону ключа: первое вхождение — «оригинал», повтор — «ДУБЛЬ».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tc={00550006-007D-4B03-8641-00090068006F}</author>
    <author>tc={00EF0021-005B-45C6-9E3B-00AB005F00A2}</author>
    <author>tc={003800A5-0025-41A5-B262-007200530026}</author>
    <author>tc={00EF0069-003F-4FB4-90DA-008E00EA0084}</author>
    <author>tc={004B0077-004B-4510-B12D-008D0098005C}</author>
  </authors>
  <commentList>
    <comment ref="M3" authorId="0" xr:uid="{00550006-007D-4B03-8641-00090068006F}">
      <text>
        <r>
          <rPr>
            <b/>
            <sz val="9"/>
            <rFont val="Tahoma"/>
          </rPr>
          <t xml:space="preserve">Unknown Author:</t>
        </r>
        <r>
          <rPr>
            <sz val="9"/>
            <rFont val="Tahoma"/>
          </rPr>
          <t xml:space="preserve">
ПРОПНАЧ(СЖПРОБЕЛЫ(...)): единый формат «Фамилия Имя Отчество» с заглавных.
</t>
        </r>
      </text>
    </comment>
    <comment ref="N3" authorId="1" xr:uid="{00EF0021-005B-45C6-9E3B-00AB005F00A2}">
      <text>
        <r>
          <rPr>
            <b/>
            <sz val="9"/>
            <rFont val="Tahoma"/>
          </rPr>
          <t xml:space="preserve">Unknown Author:</t>
        </r>
        <r>
          <rPr>
            <sz val="9"/>
            <rFont val="Tahoma"/>
          </rPr>
          <t xml:space="preserve">
Отмечаем записи с инициалами (точка) или латиницей — их нужно расшифровать/транслитерировать. На текущих данных все «OK».
</t>
        </r>
      </text>
    </comment>
    <comment ref="O3" authorId="2" xr:uid="{003800A5-0025-41A5-B262-007200530026}">
      <text>
        <r>
          <rPr>
            <b/>
            <sz val="9"/>
            <rFont val="Tahoma"/>
          </rPr>
          <t xml:space="preserve">Unknown Author:</t>
        </r>
        <r>
          <rPr>
            <sz val="9"/>
            <rFont val="Tahoma"/>
          </rPr>
          <t xml:space="preserve">
Распознаём оба формата: ГГГГ-ММ-ДД и ДД.ММ.ГГГГ, приводим к дате.
</t>
        </r>
      </text>
    </comment>
    <comment ref="Q3" authorId="3" xr:uid="{00EF0069-003F-4FB4-90DA-008E00EA0084}">
      <text>
        <r>
          <rPr>
            <b/>
            <sz val="9"/>
            <rFont val="Tahoma"/>
          </rPr>
          <t xml:space="preserve">Unknown Author:</t>
        </r>
        <r>
          <rPr>
            <sz val="9"/>
            <rFont val="Tahoma"/>
          </rPr>
          <t xml:space="preserve">
ДАТАРАЗН(дата_рожд; СЕГОДНЯ(); "Y") — полных лет.
</t>
        </r>
      </text>
    </comment>
    <comment ref="R3" authorId="4" xr:uid="{004B0077-004B-4510-B12D-008D0098005C}">
      <text>
        <r>
          <rPr>
            <b/>
            <sz val="9"/>
            <rFont val="Tahoma"/>
          </rPr>
          <t xml:space="preserve">Unknown Author:</t>
        </r>
        <r>
          <rPr>
            <sz val="9"/>
            <rFont val="Tahoma"/>
          </rPr>
          <t xml:space="preserve">
Возраст вне диапазона 18–120 =&gt; «Ошибка даты рождения».
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tc={00DE00E2-0030-473A-8D39-00DD0071000C}</author>
  </authors>
  <commentList>
    <comment ref="I6" authorId="0" xr:uid="{00DE00E2-0030-473A-8D39-00DD0071000C}">
      <text>
        <r>
          <rPr>
            <b/>
            <sz val="9"/>
            <rFont val="Tahoma"/>
          </rPr>
          <t xml:space="preserve">Unknown Author:</t>
        </r>
        <r>
          <rPr>
            <sz val="9"/>
            <rFont val="Tahoma"/>
          </rPr>
          <t xml:space="preserve">
Курс задан условием задачи: 1$=95₽, 1€=100₽.
</t>
        </r>
      </text>
    </comment>
  </commentList>
</comments>
</file>

<file path=xl/sharedStrings.xml><?xml version="1.0" encoding="utf-8"?>
<sst xmlns="http://schemas.openxmlformats.org/spreadsheetml/2006/main" count="8144" uniqueCount="8144">
  <si>
    <t xml:space="preserve">ИНСТРУКЦИЯ И ОПИСАНИЕ ВЫПОЛНЕННЫХ ДЕЙСТВИЙ</t>
  </si>
  <si>
    <t xml:space="preserve">Книга-решение кейса «Интерактивная аналитика: создание дашбордов на Р7-Офис». Все преобразования выполнены формулами; исходные данные не изменялись (лежат на листах RAW_*).</t>
  </si>
  <si>
    <t xml:space="preserve">Структура книги</t>
  </si>
  <si>
    <t xml:space="preserve">Листы RAW_*</t>
  </si>
  <si>
    <t xml:space="preserve">Исходные данные «как есть» (Товары, Поставщики, Продажи, Клиенты). Все формулы очистки ссылаются на эти листы — оригинал остаётся неизменным.</t>
  </si>
  <si>
    <t xml:space="preserve">Листы *_очищенные</t>
  </si>
  <si>
    <t xml:space="preserve">Результат очистки. Серые столбцы — ссылки на исходные данные, жёлтые — промежуточные вычисления, зелёные — итоговые чистые значения, голубые — данные, подтянутые через ВПР/ИНДЕКС.</t>
  </si>
  <si>
    <t>Справочники</t>
  </si>
  <si>
    <t xml:space="preserve">Таблицы соответствий для ВПР: категории, статусы, валюты (курсы), сокращения городов.</t>
  </si>
  <si>
    <t>Итоговый_отчёт</t>
  </si>
  <si>
    <t xml:space="preserve">Статистика формулами (СЧЁТЗ, СЧЁТЕСЛИ, СУММЕСЛИМН) + 4 диаграммы.</t>
  </si>
  <si>
    <t>Макрос</t>
  </si>
  <si>
    <t xml:space="preserve">Код макроса Р7-Офис (Automation API) для автоматического пересчёта и выделения ошибок цветом.</t>
  </si>
  <si>
    <t xml:space="preserve">Этап 1. Товары_очищенные</t>
  </si>
  <si>
    <t xml:space="preserve">Стандартизация артикулов</t>
  </si>
  <si>
    <t xml:space="preserve">ПОДСТАВИТЬ — снятие префиксов «№АРТ-» и «АРТ_»; ЛЕВСИМВ(...;3) — первые 3 цифры = номер; сцепка "АРТ-"&amp;номер → формат АРТ-XXX.</t>
  </si>
  <si>
    <t xml:space="preserve">Очистка наименований</t>
  </si>
  <si>
    <t xml:space="preserve">СЖПРОБЕЛЫ + ЛЕВСИМВ/НАЙТИ — удаление части в скобках; ПРОПНАЧ — каждое слово с заглавной буквы.</t>
  </si>
  <si>
    <t xml:space="preserve">Нормализация категорий</t>
  </si>
  <si>
    <t xml:space="preserve">ВПР по листу Справочники: Смартфоны/Телефоны/Мобильные телефоны → Смартфоны; Ноутбуки/Лэптопы → Ноутбуки.</t>
  </si>
  <si>
    <t xml:space="preserve">Приведение цен</t>
  </si>
  <si>
    <t xml:space="preserve">ПОДСТАВИТЬ — удаление пробелов-разделителей и замена запятой на точку; ЗНАЧЕН — в число; ОКРУГЛ(...;2) — два знака.</t>
  </si>
  <si>
    <t xml:space="preserve">Единицы измерения</t>
  </si>
  <si>
    <t xml:space="preserve">Любой вариант (шт/штука/штуки/шт.) приведён к «шт».</t>
  </si>
  <si>
    <t>Валидация</t>
  </si>
  <si>
    <t xml:space="preserve">ЕСЛИ — розница ≥ закупки; СЧЁТЕСЛИ — проверка уникальности артикула.</t>
  </si>
  <si>
    <t xml:space="preserve">Этап 2. Поставщики_очищенные</t>
  </si>
  <si>
    <t xml:space="preserve">Очистка ИНН</t>
  </si>
  <si>
    <t xml:space="preserve">ПОДСТАВИТЬ — удаление пробелов; ДЛСТР — проверка длины (10 или 12); ЕСЛИ — пометка «Ошибка ИНН».</t>
  </si>
  <si>
    <t>Телефоны</t>
  </si>
  <si>
    <t xml:space="preserve">Вложенные ПОДСТАВИТЬ — оставляем только цифры; ПСТР/ПРАВСИМВ — последние 10 цифр → формат +7 (XXX) XXX-XX-XX.</t>
  </si>
  <si>
    <t>Email</t>
  </si>
  <si>
    <t xml:space="preserve">СЖПРОБЕЛЫ/ПОДСТАВИТЬ — удаление пробелов; НАЙТИ — проверка «@» и точки в домене; иначе «Ошибка Email».</t>
  </si>
  <si>
    <t>Адреса</t>
  </si>
  <si>
    <t xml:space="preserve">ЛЕВСИМВ(...;6) — индекс в отдельный столбец; ПСТР — остаток адреса.</t>
  </si>
  <si>
    <t xml:space="preserve">Этап 3. Продажи_очищенные</t>
  </si>
  <si>
    <t xml:space="preserve">Конвертация дат</t>
  </si>
  <si>
    <t xml:space="preserve">ДАТА + ПСТР/ЛЕВСИМВ — из ММ/ДД/ГГГГ (США) в дату (формат ячейки ДД.ММ.ГГГГ).</t>
  </si>
  <si>
    <t>Количество</t>
  </si>
  <si>
    <t xml:space="preserve">ЗНАЧЕН(ЛЕВСИМВ(...)) — число до пробела; отрицательные значения (возвраты) сохранены.</t>
  </si>
  <si>
    <t xml:space="preserve">Конвертация валют</t>
  </si>
  <si>
    <t xml:space="preserve">Определение символа ($/€/₽) → ВПР по курсам (1$=95₽, 1€=100₽) → столбец Цена_продажи_руб.</t>
  </si>
  <si>
    <t xml:space="preserve">Нормализация статусов</t>
  </si>
  <si>
    <t xml:space="preserve">ВПР по справочнику статусов → Завершен / Отменен / Возврат.</t>
  </si>
  <si>
    <t xml:space="preserve">Удаление дубликатов</t>
  </si>
  <si>
    <t xml:space="preserve">Ключ Дата+Артикул+Клиент; СЧЁТЕСЛИ по нарастающему диапазону помечает повторы «ДУБЛЬ» (аналог инструмента «Удалить дубликаты»).</t>
  </si>
  <si>
    <t xml:space="preserve">Связывание данных</t>
  </si>
  <si>
    <t xml:space="preserve">ИНДЕКС/ПОИСКПОЗ (аналог ВПР) — подстановка розничной цены и категории из каталога по чистому артикулу.</t>
  </si>
  <si>
    <t xml:space="preserve">Этап 4. Клиенты_очищенные</t>
  </si>
  <si>
    <t xml:space="preserve">Нормализация ФИО</t>
  </si>
  <si>
    <t xml:space="preserve">СЖПРОБЕЛЫ + ПРОПНАЧ → «Фамилия Имя Отчество». Столбец-флаг отмечает записи с инициалами/латиницей для расшифровки/транслитерации.</t>
  </si>
  <si>
    <t xml:space="preserve">Очистка дат</t>
  </si>
  <si>
    <t xml:space="preserve">Распознавание двух форматов (ДД.ММ.ГГГГ и ГГГГ-ММ-ДД) через ЕСЛИ+НАЙТИ, приведение к дате.</t>
  </si>
  <si>
    <t xml:space="preserve">Валидация возраста</t>
  </si>
  <si>
    <t xml:space="preserve">ДАТАРАЗН(дата_рожд; СЕГОДНЯ(); "Y"); ЕСЛИ — возраст &lt;18 или &gt;120 → «Ошибка даты рождения».</t>
  </si>
  <si>
    <t xml:space="preserve">Телефоны и Email</t>
  </si>
  <si>
    <t xml:space="preserve">Те же правила, что для поставщиков.</t>
  </si>
  <si>
    <t>Города</t>
  </si>
  <si>
    <t xml:space="preserve">СЖПРОБЕЛЫ + ПОДСТАВИТЬ — снятие «г.»; ВПР по справочнику сокращений (МСК→Москва, СПб→Санкт-Петербург).</t>
  </si>
  <si>
    <t xml:space="preserve">Этап 5. Итоговая консолидация</t>
  </si>
  <si>
    <t xml:space="preserve">Единая книга</t>
  </si>
  <si>
    <t xml:space="preserve">Отдельные листы для каждого очищенного файла + справочники + отчёт.</t>
  </si>
  <si>
    <t>Статистика</t>
  </si>
  <si>
    <t xml:space="preserve">СЧЁТЗ — строки до/после; СЧЁТЕСЛИ — ошибки по типам и дубликаты; СУММЕСЛИМН — выручка по категориям.</t>
  </si>
  <si>
    <t>Диаграммы</t>
  </si>
  <si>
    <t xml:space="preserve">4 диаграммы: строки до/после, ошибки по типам, распределение статусов (круговая), выручка по категориям.</t>
  </si>
  <si>
    <t xml:space="preserve">Использованные функции</t>
  </si>
  <si>
    <t>Текстовые</t>
  </si>
  <si>
    <t xml:space="preserve">СЖПРОБЕЛЫ (TRIM), ПСТР (MID), ЛЕВСИМВ (LEFT), ПРАВСИМВ (RIGHT), НАЙТИ (FIND), ПОДСТАВИТЬ (SUBSTITUTE), ПРОПНАЧ (PROPER), ДЛСТР (LEN), ЗНАЧЕН (VALUE), СЦЕПИТЬ (&amp;).</t>
  </si>
  <si>
    <t>Поиск/ссылки</t>
  </si>
  <si>
    <t xml:space="preserve">ВПР (VLOOKUP), ИНДЕКС (INDEX), ПОИСКПОЗ (MATCH).</t>
  </si>
  <si>
    <t>Логика/проверка</t>
  </si>
  <si>
    <t xml:space="preserve">ЕСЛИ (IF), ЕСЛИОШИБКА (IFERROR), И (AND), ИЛИ (OR), ЕЧИСЛО (ISNUMBER), СЧЁТЕСЛИ (COUNTIF), СЧЁТЗ (COUNTA), СУММЕСЛИМН (SUMIFS).</t>
  </si>
  <si>
    <t>Дата</t>
  </si>
  <si>
    <t xml:space="preserve">ДАТА (DATE), ДАТАРАЗН (DATEDIF), СЕГОДНЯ (TODAY), ТЕКСТ (TEXT).</t>
  </si>
  <si>
    <t xml:space="preserve">ЭТАП 1 — Очистка каталога товаров</t>
  </si>
  <si>
    <t>№</t>
  </si>
  <si>
    <t xml:space="preserve">Артикул (ориг.)</t>
  </si>
  <si>
    <t xml:space="preserve">Наименование (ориг.)</t>
  </si>
  <si>
    <t xml:space="preserve">Категория (ориг.)</t>
  </si>
  <si>
    <t xml:space="preserve">Производитель (ориг.)</t>
  </si>
  <si>
    <t xml:space="preserve">Цена_закупки (ориг.)</t>
  </si>
  <si>
    <t xml:space="preserve">Цена_розница (ориг.)</t>
  </si>
  <si>
    <t xml:space="preserve">Ед_изм (ориг.)</t>
  </si>
  <si>
    <t>Артикул_без_префикса</t>
  </si>
  <si>
    <t>Наимен_без_скобок</t>
  </si>
  <si>
    <t>Категория_для_ВПР</t>
  </si>
  <si>
    <t>Артикул_чист</t>
  </si>
  <si>
    <t>Наименование_чист</t>
  </si>
  <si>
    <t>Категория_чист</t>
  </si>
  <si>
    <t>Производитель_чист</t>
  </si>
  <si>
    <t>Цена_закупки_чист</t>
  </si>
  <si>
    <t>Цена_розница_чист</t>
  </si>
  <si>
    <t>Ед_изм_чист</t>
  </si>
  <si>
    <t>Проверка_цен</t>
  </si>
  <si>
    <t>Уникальность_артикула</t>
  </si>
  <si>
    <t>Легенда:</t>
  </si>
  <si>
    <t xml:space="preserve">Серые столбцы — исходные данные (ссылка на RAW_Товары).</t>
  </si>
  <si>
    <t xml:space="preserve">Жёлтые — промежуточные вычисления.</t>
  </si>
  <si>
    <t xml:space="preserve">Зелёные — итоговые очищенные значения.</t>
  </si>
  <si>
    <t xml:space="preserve">ЭТАП 2 — Очистка справочника поставщиков</t>
  </si>
  <si>
    <t xml:space="preserve">ID (ориг.)</t>
  </si>
  <si>
    <t xml:space="preserve">Название (ориг.)</t>
  </si>
  <si>
    <t xml:space="preserve">ИНН (ориг.)</t>
  </si>
  <si>
    <t xml:space="preserve">КПП (ориг.)</t>
  </si>
  <si>
    <t xml:space="preserve">Телефон (ориг.)</t>
  </si>
  <si>
    <t xml:space="preserve">Email (ориг.)</t>
  </si>
  <si>
    <t xml:space="preserve">Адрес (ориг.)</t>
  </si>
  <si>
    <t>ИНН_цифры</t>
  </si>
  <si>
    <t>Тел_цифры</t>
  </si>
  <si>
    <t>Email_без_пробелов</t>
  </si>
  <si>
    <t>Адрес_без_индекса</t>
  </si>
  <si>
    <t>ID</t>
  </si>
  <si>
    <t>Название</t>
  </si>
  <si>
    <t>ИНН_чист</t>
  </si>
  <si>
    <t>Ошибка_ИНН</t>
  </si>
  <si>
    <t>КПП</t>
  </si>
  <si>
    <t>Телефон_чист</t>
  </si>
  <si>
    <t>Email_чист</t>
  </si>
  <si>
    <t>Ошибка_Email</t>
  </si>
  <si>
    <t>Индекс</t>
  </si>
  <si>
    <t>Адрес_остаток</t>
  </si>
  <si>
    <t xml:space="preserve">ЭТАП 3 — Очистка продаж (даты, количество, валюты, статусы, дубликаты, связывание с каталогом)</t>
  </si>
  <si>
    <t xml:space="preserve">Дата (ориг.)</t>
  </si>
  <si>
    <t xml:space="preserve">Кол-во (ориг.)</t>
  </si>
  <si>
    <t xml:space="preserve">Цена_прод (ориг.)</t>
  </si>
  <si>
    <t>ID_клиента</t>
  </si>
  <si>
    <t>ID_поставщика</t>
  </si>
  <si>
    <t xml:space="preserve">Статус (ориг.)</t>
  </si>
  <si>
    <t>Артикул_без_преф</t>
  </si>
  <si>
    <t>Символ_валюты</t>
  </si>
  <si>
    <t>Число_цены</t>
  </si>
  <si>
    <t>Валюта</t>
  </si>
  <si>
    <t>Цена_продажи_руб</t>
  </si>
  <si>
    <t>Статус_чист</t>
  </si>
  <si>
    <t>Розн_цена_из_каталога</t>
  </si>
  <si>
    <t>Категория_из_каталога</t>
  </si>
  <si>
    <t>Проверка_цены_продажи</t>
  </si>
  <si>
    <t>Ключ_дубля</t>
  </si>
  <si>
    <t>Признак_дубля</t>
  </si>
  <si>
    <t xml:space="preserve">ЭТАП 4 — Очистка клиентов (ФИО, даты, возраст, телефоны, email, города)</t>
  </si>
  <si>
    <t xml:space="preserve">ФИО (ориг.)</t>
  </si>
  <si>
    <t xml:space="preserve">Дата_рожд (ориг.)</t>
  </si>
  <si>
    <t xml:space="preserve">Город (ориг.)</t>
  </si>
  <si>
    <t xml:space="preserve">Дата_рег (ориг.)</t>
  </si>
  <si>
    <t>Email_без_проб</t>
  </si>
  <si>
    <t>Город_без_сокр</t>
  </si>
  <si>
    <t>ФИО_чист</t>
  </si>
  <si>
    <t>Флаг_ФИО</t>
  </si>
  <si>
    <t>Дата_рождения</t>
  </si>
  <si>
    <t>Дата_регистрации</t>
  </si>
  <si>
    <t>Возраст</t>
  </si>
  <si>
    <t>Ошибка_возраста</t>
  </si>
  <si>
    <t>Город_чист</t>
  </si>
  <si>
    <t xml:space="preserve">СПРАВОЧНИКИ СООТВЕТСТВИЙ</t>
  </si>
  <si>
    <t xml:space="preserve">Используются функцией ВПР (VLOOKUP) на листах очистки для нормализации категорий, статусов, валют и городов.</t>
  </si>
  <si>
    <t>Категории</t>
  </si>
  <si>
    <t>Статусы</t>
  </si>
  <si>
    <t xml:space="preserve">Валюты (курс к рублю)</t>
  </si>
  <si>
    <t xml:space="preserve">Города (нормализация сокращений)</t>
  </si>
  <si>
    <t>Статус_исходный</t>
  </si>
  <si>
    <t>Статус_эталон</t>
  </si>
  <si>
    <t>Символ</t>
  </si>
  <si>
    <t>Курс_руб</t>
  </si>
  <si>
    <t>Город_исходный</t>
  </si>
  <si>
    <t>Город_эталон</t>
  </si>
  <si>
    <t>Смартфоны</t>
  </si>
  <si>
    <t>Завершен</t>
  </si>
  <si>
    <t>$</t>
  </si>
  <si>
    <t>USD</t>
  </si>
  <si>
    <t>МСК</t>
  </si>
  <si>
    <t>Москва</t>
  </si>
  <si>
    <t>завершен</t>
  </si>
  <si>
    <t>€</t>
  </si>
  <si>
    <t>EUR</t>
  </si>
  <si>
    <t>Мск</t>
  </si>
  <si>
    <t xml:space="preserve">Мобильные телефоны</t>
  </si>
  <si>
    <t>completed</t>
  </si>
  <si>
    <t>₽</t>
  </si>
  <si>
    <t>RUB</t>
  </si>
  <si>
    <t>СПб</t>
  </si>
  <si>
    <t>Санкт-Петербург</t>
  </si>
  <si>
    <t>Ноутбуки</t>
  </si>
  <si>
    <t>выполнен</t>
  </si>
  <si>
    <t>СПБ</t>
  </si>
  <si>
    <t>Лэптопы</t>
  </si>
  <si>
    <t>Отменен</t>
  </si>
  <si>
    <t>Питер</t>
  </si>
  <si>
    <t>Планшеты</t>
  </si>
  <si>
    <t>отменен</t>
  </si>
  <si>
    <t>Ебург</t>
  </si>
  <si>
    <t>Екатеринбург</t>
  </si>
  <si>
    <t>Телевизоры</t>
  </si>
  <si>
    <t>canceled</t>
  </si>
  <si>
    <t>Екб</t>
  </si>
  <si>
    <t>Наушники</t>
  </si>
  <si>
    <t>Возврат</t>
  </si>
  <si>
    <t>НН</t>
  </si>
  <si>
    <t xml:space="preserve">Нижний Новгород</t>
  </si>
  <si>
    <t>Мониторы</t>
  </si>
  <si>
    <t>возврат</t>
  </si>
  <si>
    <t>Аксессуары</t>
  </si>
  <si>
    <t xml:space="preserve">Города чистятся так: снять «г.»/«г », пробелы, затем ВПР по этому справочнику для известных сокращений.</t>
  </si>
  <si>
    <t>Часы</t>
  </si>
  <si>
    <t xml:space="preserve">ИТОГОВЫЙ ОТЧЁТ ПО ОЧИСТКЕ ДАННЫХ «ТехноОфис»</t>
  </si>
  <si>
    <t xml:space="preserve">Вся статистика рассчитана формулами (СЧЁТЗ, СЧЁТЕСЛИ) по очищенным листам — при изменении данных пересчитывается автоматически.</t>
  </si>
  <si>
    <t xml:space="preserve">1. Количество строк по файлам</t>
  </si>
  <si>
    <t>Файл</t>
  </si>
  <si>
    <t xml:space="preserve">Строк до очистки</t>
  </si>
  <si>
    <t xml:space="preserve">Строк после очистки</t>
  </si>
  <si>
    <t>Изменение</t>
  </si>
  <si>
    <t>Товары</t>
  </si>
  <si>
    <t>Поставщики</t>
  </si>
  <si>
    <t>Продажи</t>
  </si>
  <si>
    <t>Клиенты</t>
  </si>
  <si>
    <t xml:space="preserve">2. Выявленные ошибки по типам</t>
  </si>
  <si>
    <t xml:space="preserve">Тип ошибки</t>
  </si>
  <si>
    <t xml:space="preserve">Некорректный ИНН</t>
  </si>
  <si>
    <t xml:space="preserve">Некорректный Email</t>
  </si>
  <si>
    <t xml:space="preserve">Ошибка даты рождения (возраст)</t>
  </si>
  <si>
    <t xml:space="preserve">Ошибка телефона</t>
  </si>
  <si>
    <t xml:space="preserve">Ошибка цены (розница&lt;закупки)</t>
  </si>
  <si>
    <t xml:space="preserve">Неизвестный статус</t>
  </si>
  <si>
    <t xml:space="preserve">3. Дубликаты продаж</t>
  </si>
  <si>
    <t xml:space="preserve">Найдено дубликатов (по Дата+Артикул+Клиент)</t>
  </si>
  <si>
    <t xml:space="preserve">4. Распределение статусов продаж</t>
  </si>
  <si>
    <t>Статус</t>
  </si>
  <si>
    <t xml:space="preserve">5. Выручка (руб.) по категориям — завершённые продажи</t>
  </si>
  <si>
    <t>Категория</t>
  </si>
  <si>
    <t xml:space="preserve">Выручка, руб.</t>
  </si>
  <si>
    <t xml:space="preserve">МАКРОС ПРОВЕРКИ ДАННЫХ (Р7-ОФИС, Automation API)</t>
  </si>
  <si>
    <t xml:space="preserve">Проверка завершена. Подсвечено ячеек: 1064</t>
  </si>
  <si>
    <t xml:space="preserve">Реализация усложнения кейса через макрос Р7-Офис. Макрос выполняет автоматическую проверку очищенных данных и визуальную маркировку ошибок.</t>
  </si>
  <si>
    <t>Назначение</t>
  </si>
  <si>
    <t xml:space="preserve">Макрос обходит листы «Товары_очищенные», «Поставщики_очищенные», «Продажи_очищенные», «Клиенты_очищенные» и выделяет красным цветом все ячейки, значение которых содержит «Ошибка» или «ДУБЛЬ». В ячейку A1 активного листа выводится количество найденных ошибок.</t>
  </si>
  <si>
    <t xml:space="preserve">Запуск: вкладка «Плагины» → «Макросы» → вставить код → выполнить.</t>
  </si>
  <si>
    <t xml:space="preserve">Использованные методы API</t>
  </si>
  <si>
    <t xml:space="preserve">Api.GetSheets, ApiWorksheet.GetName, ApiWorksheet.GetUsedRange, ApiRange.ForEach, ApiRange.GetValue, ApiRange.SetFillColor, ApiRange.SetFontColor, Api.CreateColorFromRGB.</t>
  </si>
  <si>
    <t xml:space="preserve">Код макроса</t>
  </si>
  <si>
    <t xml:space="preserve">(function () {</t>
  </si>
  <si>
    <t xml:space="preserve">    var targets = ["Товары_очищенные", "Поставщики_очищенные",</t>
  </si>
  <si>
    <t xml:space="preserve">                   "Продажи_очищенные", "Клиенты_очищенные"];</t>
  </si>
  <si>
    <t xml:space="preserve">    var redFill = Api.CreateColorFromRGB(255, 199, 206);</t>
  </si>
  <si>
    <t xml:space="preserve">    var redFont = Api.CreateColorFromRGB(156, 0, 6);</t>
  </si>
  <si>
    <t xml:space="preserve">    var total = 0;</t>
  </si>
  <si>
    <t xml:space="preserve"> </t>
  </si>
  <si>
    <t xml:space="preserve">    var sheets = Api.GetSheets();</t>
  </si>
  <si>
    <t xml:space="preserve">    for (var s = 0; s &lt; sheets.length; s++) {</t>
  </si>
  <si>
    <t xml:space="preserve">        var oSheet = sheets[s];</t>
  </si>
  <si>
    <t xml:space="preserve">        if (targets.indexOf(oSheet.GetName()) === -1) continue;</t>
  </si>
  <si>
    <t xml:space="preserve">        var oRange = oSheet.GetUsedRange();</t>
  </si>
  <si>
    <t xml:space="preserve">        oRange.ForEach(function (cell) {</t>
  </si>
  <si>
    <t xml:space="preserve">            var val = "" + cell.GetValue();</t>
  </si>
  <si>
    <t xml:space="preserve">            if (val.indexOf("Ошибка") !== -1 || val.indexOf("ДУБЛЬ") !== -1) {</t>
  </si>
  <si>
    <t xml:space="preserve">                cell.SetFillColor(redFill);</t>
  </si>
  <si>
    <t xml:space="preserve">                cell.SetFontColor(redFont);</t>
  </si>
  <si>
    <t xml:space="preserve">                total++;</t>
  </si>
  <si>
    <t xml:space="preserve">            }</t>
  </si>
  <si>
    <t xml:space="preserve">        });</t>
  </si>
  <si>
    <t xml:space="preserve">    }</t>
  </si>
  <si>
    <t xml:space="preserve">    Api.GetActiveSheet().GetRange("C1").SetValue(</t>
  </si>
  <si>
    <t xml:space="preserve">        "Проверка завершена. Подсвечено ячеек: " + total);</t>
  </si>
  <si>
    <t>})();</t>
  </si>
  <si>
    <t>Артикул</t>
  </si>
  <si>
    <t>Наименование</t>
  </si>
  <si>
    <t>Производитель</t>
  </si>
  <si>
    <t>Цена_закупки</t>
  </si>
  <si>
    <t>Цена_розница</t>
  </si>
  <si>
    <t>Единица_измерения</t>
  </si>
  <si>
    <t>№АРТ-001/24</t>
  </si>
  <si>
    <t xml:space="preserve">Смартфон Apple iPhone 15</t>
  </si>
  <si>
    <t>Apple</t>
  </si>
  <si>
    <t xml:space="preserve">45 000,50</t>
  </si>
  <si>
    <t xml:space="preserve">79 990,00</t>
  </si>
  <si>
    <t>шт</t>
  </si>
  <si>
    <t>АРТ_002</t>
  </si>
  <si>
    <t xml:space="preserve">смартфон APPLE IPHONE 15</t>
  </si>
  <si>
    <t xml:space="preserve">44 500,00</t>
  </si>
  <si>
    <t xml:space="preserve">78 500,00</t>
  </si>
  <si>
    <t>штука</t>
  </si>
  <si>
    <t>003/24</t>
  </si>
  <si>
    <t xml:space="preserve">Смартфон Apple iPhone 15 (Черный)</t>
  </si>
  <si>
    <t>APPLE</t>
  </si>
  <si>
    <t xml:space="preserve">43 800,00</t>
  </si>
  <si>
    <t xml:space="preserve">77 700</t>
  </si>
  <si>
    <t>штуки</t>
  </si>
  <si>
    <t>№АРТ-004</t>
  </si>
  <si>
    <t xml:space="preserve">Ноутбук ASUS ROG Zephyrus</t>
  </si>
  <si>
    <t>ASUS</t>
  </si>
  <si>
    <t xml:space="preserve">85 000</t>
  </si>
  <si>
    <t xml:space="preserve">129 999.99</t>
  </si>
  <si>
    <t>шт.</t>
  </si>
  <si>
    <t>АРТ_005</t>
  </si>
  <si>
    <t xml:space="preserve">ноутбук ASUS ROG Zephyrus</t>
  </si>
  <si>
    <t>asus</t>
  </si>
  <si>
    <t xml:space="preserve">84 500,50</t>
  </si>
  <si>
    <t xml:space="preserve">128 500,00</t>
  </si>
  <si>
    <t>006-24</t>
  </si>
  <si>
    <t xml:space="preserve">Ноутбук ASUS ROG Zephyrus (G14)</t>
  </si>
  <si>
    <t xml:space="preserve">86 000</t>
  </si>
  <si>
    <t xml:space="preserve">131 000</t>
  </si>
  <si>
    <t>№АРТ-007</t>
  </si>
  <si>
    <t xml:space="preserve">Смартфон Samsung Galaxy S24</t>
  </si>
  <si>
    <t>Samsung</t>
  </si>
  <si>
    <t xml:space="preserve">39 999,99</t>
  </si>
  <si>
    <t xml:space="preserve">69 999,00</t>
  </si>
  <si>
    <t>АРТ_008</t>
  </si>
  <si>
    <t xml:space="preserve">смартфон SAMSUNG GALAXY S24</t>
  </si>
  <si>
    <t>SAMSUNG</t>
  </si>
  <si>
    <t xml:space="preserve">39 500</t>
  </si>
  <si>
    <t xml:space="preserve">68 900</t>
  </si>
  <si>
    <t>009/24</t>
  </si>
  <si>
    <t xml:space="preserve">Смартфон Samsung Galaxy S24 (Синий)</t>
  </si>
  <si>
    <t xml:space="preserve">40 200</t>
  </si>
  <si>
    <t xml:space="preserve">70 500</t>
  </si>
  <si>
    <t>№АРТ-010</t>
  </si>
  <si>
    <t xml:space="preserve">Планшет iPad Pro 12.9</t>
  </si>
  <si>
    <t xml:space="preserve">55 000</t>
  </si>
  <si>
    <t xml:space="preserve">89 900</t>
  </si>
  <si>
    <t>АРТ_011</t>
  </si>
  <si>
    <t xml:space="preserve">планшет APPLE IPAD PRO 12.9</t>
  </si>
  <si>
    <t>apple</t>
  </si>
  <si>
    <t xml:space="preserve">54 500</t>
  </si>
  <si>
    <t xml:space="preserve">88 500</t>
  </si>
  <si>
    <t>012-24</t>
  </si>
  <si>
    <t xml:space="preserve">Планшет Apple iPad Pro 12.9 (Wi-Fi)</t>
  </si>
  <si>
    <t xml:space="preserve">56 000</t>
  </si>
  <si>
    <t xml:space="preserve">91 000</t>
  </si>
  <si>
    <t>№АРТ-013</t>
  </si>
  <si>
    <t xml:space="preserve">Телевизор LG OLED65C3</t>
  </si>
  <si>
    <t>LG</t>
  </si>
  <si>
    <t xml:space="preserve">95 000</t>
  </si>
  <si>
    <t xml:space="preserve">149 999</t>
  </si>
  <si>
    <t>АРТ_014</t>
  </si>
  <si>
    <t xml:space="preserve">телевизор LG OLED65C3</t>
  </si>
  <si>
    <t>lg</t>
  </si>
  <si>
    <t xml:space="preserve">93 500</t>
  </si>
  <si>
    <t xml:space="preserve">147 500</t>
  </si>
  <si>
    <t>015/24</t>
  </si>
  <si>
    <t xml:space="preserve">Телевизор LG OLED65C3 (4K)</t>
  </si>
  <si>
    <t xml:space="preserve">96 500</t>
  </si>
  <si>
    <t xml:space="preserve">151 000</t>
  </si>
  <si>
    <t>№АРТ-016</t>
  </si>
  <si>
    <t xml:space="preserve">Наушники Sony WH-1000XM5</t>
  </si>
  <si>
    <t>SONY</t>
  </si>
  <si>
    <t xml:space="preserve">18 000</t>
  </si>
  <si>
    <t xml:space="preserve">29 990,00</t>
  </si>
  <si>
    <t>АРТ_017</t>
  </si>
  <si>
    <t xml:space="preserve">наушники SONY WH-1000XM5</t>
  </si>
  <si>
    <t>sony</t>
  </si>
  <si>
    <t xml:space="preserve">17 500</t>
  </si>
  <si>
    <t xml:space="preserve">28 900</t>
  </si>
  <si>
    <t>018-24</t>
  </si>
  <si>
    <t xml:space="preserve">Наушники Sony WH-1000XM5 (Беспроводные)</t>
  </si>
  <si>
    <t xml:space="preserve">18 500</t>
  </si>
  <si>
    <t xml:space="preserve">30 500</t>
  </si>
  <si>
    <t>№АРТ-019</t>
  </si>
  <si>
    <t xml:space="preserve">Ноутбук Lenovo ThinkPad X1</t>
  </si>
  <si>
    <t>Lenovo</t>
  </si>
  <si>
    <t xml:space="preserve">90 000</t>
  </si>
  <si>
    <t xml:space="preserve">135 000</t>
  </si>
  <si>
    <t>АРТ_020</t>
  </si>
  <si>
    <t xml:space="preserve">ноутбук LENOVO THINKPAD X1</t>
  </si>
  <si>
    <t>lenovo</t>
  </si>
  <si>
    <t xml:space="preserve">89 000</t>
  </si>
  <si>
    <t xml:space="preserve">133 500</t>
  </si>
  <si>
    <t>021/24</t>
  </si>
  <si>
    <t xml:space="preserve">Ноутбук Lenovo ThinkPad X1 (Carbon)</t>
  </si>
  <si>
    <t>LENOVO</t>
  </si>
  <si>
    <t xml:space="preserve">91 500</t>
  </si>
  <si>
    <t xml:space="preserve">137 000</t>
  </si>
  <si>
    <t>№АРТ-022</t>
  </si>
  <si>
    <t xml:space="preserve">Смартфон Xiaomi 14 Pro</t>
  </si>
  <si>
    <t>Xiaomi</t>
  </si>
  <si>
    <t xml:space="preserve">35 000</t>
  </si>
  <si>
    <t xml:space="preserve">59 999,00</t>
  </si>
  <si>
    <t>АРТ_023</t>
  </si>
  <si>
    <t xml:space="preserve">смартфон XIAOMI 14 PRO</t>
  </si>
  <si>
    <t>xiaomi</t>
  </si>
  <si>
    <t xml:space="preserve">34 500</t>
  </si>
  <si>
    <t xml:space="preserve">58 500</t>
  </si>
  <si>
    <t>024-24</t>
  </si>
  <si>
    <t xml:space="preserve">Смартфон Xiaomi 14 Pro (Черный)</t>
  </si>
  <si>
    <t>XIAOMI</t>
  </si>
  <si>
    <t xml:space="preserve">35 800</t>
  </si>
  <si>
    <t xml:space="preserve">60 800</t>
  </si>
  <si>
    <t>№АРТ-025</t>
  </si>
  <si>
    <t xml:space="preserve">Монитор Samsung Odyssey G9</t>
  </si>
  <si>
    <t xml:space="preserve">65 000</t>
  </si>
  <si>
    <t xml:space="preserve">99 900</t>
  </si>
  <si>
    <t>АРТ_026</t>
  </si>
  <si>
    <t xml:space="preserve">монитор SAMSUNG ODYSSEY G9</t>
  </si>
  <si>
    <t>samsung</t>
  </si>
  <si>
    <t xml:space="preserve">64 000</t>
  </si>
  <si>
    <t xml:space="preserve">98 000</t>
  </si>
  <si>
    <t>027/24</t>
  </si>
  <si>
    <t xml:space="preserve">Монитор Samsung Odyssey G9 (Curved)</t>
  </si>
  <si>
    <t xml:space="preserve">66 500</t>
  </si>
  <si>
    <t xml:space="preserve">101 500</t>
  </si>
  <si>
    <t>№АРТ-028</t>
  </si>
  <si>
    <t xml:space="preserve">Клавиатура Logitech MX Keys</t>
  </si>
  <si>
    <t>Logitech</t>
  </si>
  <si>
    <t xml:space="preserve">5 500</t>
  </si>
  <si>
    <t xml:space="preserve">9 990</t>
  </si>
  <si>
    <t>АРТ_029</t>
  </si>
  <si>
    <t xml:space="preserve">клавиатура LOGITECH MX KEYS</t>
  </si>
  <si>
    <t>logitech</t>
  </si>
  <si>
    <t xml:space="preserve">5 200</t>
  </si>
  <si>
    <t xml:space="preserve">9 500</t>
  </si>
  <si>
    <t>030-24</t>
  </si>
  <si>
    <t xml:space="preserve">Клавиатура Logitech MX Keys (Беспроводная)</t>
  </si>
  <si>
    <t>LOGITECH</t>
  </si>
  <si>
    <t xml:space="preserve">5 800</t>
  </si>
  <si>
    <t xml:space="preserve">10 500</t>
  </si>
  <si>
    <t>№АРТ-031</t>
  </si>
  <si>
    <t xml:space="preserve">Мышь Logitech MX Master 3S</t>
  </si>
  <si>
    <t xml:space="preserve">4 500</t>
  </si>
  <si>
    <t xml:space="preserve">8 990</t>
  </si>
  <si>
    <t>АРТ_032</t>
  </si>
  <si>
    <t xml:space="preserve">мышь LOGITECH MX MASTER 3S</t>
  </si>
  <si>
    <t xml:space="preserve">4 200</t>
  </si>
  <si>
    <t xml:space="preserve">8 500</t>
  </si>
  <si>
    <t>033/24</t>
  </si>
  <si>
    <t xml:space="preserve">Мышь Logitech MX Master 3S (Графит)</t>
  </si>
  <si>
    <t xml:space="preserve">4 800</t>
  </si>
  <si>
    <t xml:space="preserve">9 200</t>
  </si>
  <si>
    <t>№АРТ-034</t>
  </si>
  <si>
    <t xml:space="preserve">Планшет Huawei MatePad Pro</t>
  </si>
  <si>
    <t>Huawei</t>
  </si>
  <si>
    <t xml:space="preserve">40 000</t>
  </si>
  <si>
    <t xml:space="preserve">64 999</t>
  </si>
  <si>
    <t>АРТ_035</t>
  </si>
  <si>
    <t xml:space="preserve">планшет HUAWEI MATEPAD PRO</t>
  </si>
  <si>
    <t>huawei</t>
  </si>
  <si>
    <t xml:space="preserve">39 000</t>
  </si>
  <si>
    <t xml:space="preserve">63 500</t>
  </si>
  <si>
    <t>036-24</t>
  </si>
  <si>
    <t xml:space="preserve">Планшет Huawei MatePad Pro (12.6")</t>
  </si>
  <si>
    <t>HUAWEI</t>
  </si>
  <si>
    <t xml:space="preserve">41 000</t>
  </si>
  <si>
    <t>№АРТ-037</t>
  </si>
  <si>
    <t xml:space="preserve">Смарт-часы Apple Watch Ultra</t>
  </si>
  <si>
    <t xml:space="preserve">45 000</t>
  </si>
  <si>
    <t xml:space="preserve">69 990</t>
  </si>
  <si>
    <t>АРТ_038</t>
  </si>
  <si>
    <t xml:space="preserve">смарт-часы APPLE WATCH ULTRA</t>
  </si>
  <si>
    <t xml:space="preserve">44 000</t>
  </si>
  <si>
    <t xml:space="preserve">68 500</t>
  </si>
  <si>
    <t>039/24</t>
  </si>
  <si>
    <t xml:space="preserve">Смарт-часы Apple Watch Ultra (Титан)</t>
  </si>
  <si>
    <t xml:space="preserve">46 000</t>
  </si>
  <si>
    <t xml:space="preserve">71 000</t>
  </si>
  <si>
    <t>№АРТ-040</t>
  </si>
  <si>
    <t xml:space="preserve">Ноутбук Dell XPS 15</t>
  </si>
  <si>
    <t>Dell</t>
  </si>
  <si>
    <t xml:space="preserve">142 000</t>
  </si>
  <si>
    <t>АРТ_041</t>
  </si>
  <si>
    <t xml:space="preserve">ноутбук DELL XPS 15</t>
  </si>
  <si>
    <t>dell</t>
  </si>
  <si>
    <t xml:space="preserve">140 500</t>
  </si>
  <si>
    <t>042-24</t>
  </si>
  <si>
    <t xml:space="preserve">Ноутбук Dell XPS 15 (9530)</t>
  </si>
  <si>
    <t>DELL</t>
  </si>
  <si>
    <t xml:space="preserve">144 000</t>
  </si>
  <si>
    <t>№АРТ-043</t>
  </si>
  <si>
    <t xml:space="preserve">Телевизор Sony Bravia XR</t>
  </si>
  <si>
    <t>Sony</t>
  </si>
  <si>
    <t xml:space="preserve">88 000</t>
  </si>
  <si>
    <t xml:space="preserve">134 990</t>
  </si>
  <si>
    <t>АРТ_044</t>
  </si>
  <si>
    <t xml:space="preserve">телевизор SONY BRAVIA XR</t>
  </si>
  <si>
    <t xml:space="preserve">86 500</t>
  </si>
  <si>
    <t xml:space="preserve">132 000</t>
  </si>
  <si>
    <t>045/24</t>
  </si>
  <si>
    <t xml:space="preserve">Телевизор Sony Bravia XR (55")</t>
  </si>
  <si>
    <t xml:space="preserve">89 500</t>
  </si>
  <si>
    <t>№АРТ-046</t>
  </si>
  <si>
    <t xml:space="preserve">Наушники Apple AirPods Pro</t>
  </si>
  <si>
    <t xml:space="preserve">15 000</t>
  </si>
  <si>
    <t xml:space="preserve">24 990</t>
  </si>
  <si>
    <t>АРТ_047</t>
  </si>
  <si>
    <t xml:space="preserve">наушники APPLE AIRPODS PRO</t>
  </si>
  <si>
    <t xml:space="preserve">14 500</t>
  </si>
  <si>
    <t xml:space="preserve">23 900</t>
  </si>
  <si>
    <t>048-24</t>
  </si>
  <si>
    <t xml:space="preserve">Наушники Apple AirPods Pro (2-е поколение)</t>
  </si>
  <si>
    <t xml:space="preserve">15 800</t>
  </si>
  <si>
    <t xml:space="preserve">25 800</t>
  </si>
  <si>
    <t>№АРТ-049</t>
  </si>
  <si>
    <t xml:space="preserve">Смартфон Google Pixel 8</t>
  </si>
  <si>
    <t>Google</t>
  </si>
  <si>
    <t xml:space="preserve">32 000</t>
  </si>
  <si>
    <t xml:space="preserve">54 999</t>
  </si>
  <si>
    <t>АРТ_050</t>
  </si>
  <si>
    <t xml:space="preserve">смартфон GOOGLE PIXEL 8</t>
  </si>
  <si>
    <t>google</t>
  </si>
  <si>
    <t xml:space="preserve">31 500</t>
  </si>
  <si>
    <t xml:space="preserve">53 500</t>
  </si>
  <si>
    <t>051/24</t>
  </si>
  <si>
    <t xml:space="preserve">Смартфон Google Pixel 8 (Обсидиан)</t>
  </si>
  <si>
    <t>GOOGLE</t>
  </si>
  <si>
    <t xml:space="preserve">32 800</t>
  </si>
  <si>
    <t>№АРТ-052</t>
  </si>
  <si>
    <t xml:space="preserve">Монитор LG UltraGear 27GP950</t>
  </si>
  <si>
    <t xml:space="preserve">69 900</t>
  </si>
  <si>
    <t>АРТ_053</t>
  </si>
  <si>
    <t xml:space="preserve">монитор LG ULTRA GEAR 27GP950</t>
  </si>
  <si>
    <t xml:space="preserve">68 000</t>
  </si>
  <si>
    <t>054-24</t>
  </si>
  <si>
    <t xml:space="preserve">Монитор LG UltraGear 27GP950 (4K)</t>
  </si>
  <si>
    <t xml:space="preserve">46 500</t>
  </si>
  <si>
    <t xml:space="preserve">71 500</t>
  </si>
  <si>
    <t>№АРТ-055</t>
  </si>
  <si>
    <t xml:space="preserve">Колонка JBL Charge 5</t>
  </si>
  <si>
    <t>JBL</t>
  </si>
  <si>
    <t xml:space="preserve">6 500</t>
  </si>
  <si>
    <t xml:space="preserve">10 990</t>
  </si>
  <si>
    <t>АРТ_056</t>
  </si>
  <si>
    <t xml:space="preserve">колонка JBL CHARGE 5</t>
  </si>
  <si>
    <t>jbl</t>
  </si>
  <si>
    <t xml:space="preserve">6 200</t>
  </si>
  <si>
    <t>057/24</t>
  </si>
  <si>
    <t xml:space="preserve">Колонка JBL Charge 5 (Синяя)</t>
  </si>
  <si>
    <t xml:space="preserve">6 800</t>
  </si>
  <si>
    <t xml:space="preserve">11 200</t>
  </si>
  <si>
    <t>№АРТ-058</t>
  </si>
  <si>
    <t xml:space="preserve">Планшет Samsung Galaxy Tab S9</t>
  </si>
  <si>
    <t xml:space="preserve">42 000</t>
  </si>
  <si>
    <t xml:space="preserve">67 900</t>
  </si>
  <si>
    <t>АРТ_059</t>
  </si>
  <si>
    <t xml:space="preserve">планшет SAMSUNG GALAXY TAB S9</t>
  </si>
  <si>
    <t xml:space="preserve">66 000</t>
  </si>
  <si>
    <t>060-24</t>
  </si>
  <si>
    <t xml:space="preserve">Планшет Samsung Galaxy Tab S9 (Ultra)</t>
  </si>
  <si>
    <t xml:space="preserve">43 500</t>
  </si>
  <si>
    <t xml:space="preserve">69 500</t>
  </si>
  <si>
    <t>№АРТ-061</t>
  </si>
  <si>
    <t xml:space="preserve">Ноутбук HP Spectre x360</t>
  </si>
  <si>
    <t>HP</t>
  </si>
  <si>
    <t xml:space="preserve">82 000</t>
  </si>
  <si>
    <t xml:space="preserve">124 999</t>
  </si>
  <si>
    <t>АРТ_062</t>
  </si>
  <si>
    <t xml:space="preserve">ноутбук HP SPECTRE X360</t>
  </si>
  <si>
    <t>hp</t>
  </si>
  <si>
    <t xml:space="preserve">80 500</t>
  </si>
  <si>
    <t xml:space="preserve">122 500</t>
  </si>
  <si>
    <t>063/24</t>
  </si>
  <si>
    <t xml:space="preserve">Ноутбук HP Spectre x360 (14")</t>
  </si>
  <si>
    <t xml:space="preserve">83 500</t>
  </si>
  <si>
    <t xml:space="preserve">127 000</t>
  </si>
  <si>
    <t>№АРТ-064</t>
  </si>
  <si>
    <t xml:space="preserve">Смартфон OnePlus 12</t>
  </si>
  <si>
    <t>OnePlus</t>
  </si>
  <si>
    <t xml:space="preserve">33 000</t>
  </si>
  <si>
    <t xml:space="preserve">56 990</t>
  </si>
  <si>
    <t>АРТ_065</t>
  </si>
  <si>
    <t xml:space="preserve">смартфон ONEPLUS 12</t>
  </si>
  <si>
    <t>oneplus</t>
  </si>
  <si>
    <t xml:space="preserve">32 500</t>
  </si>
  <si>
    <t xml:space="preserve">55 500</t>
  </si>
  <si>
    <t>066-24</t>
  </si>
  <si>
    <t xml:space="preserve">Смартфон OnePlus 12 (Зеленый)</t>
  </si>
  <si>
    <t>ONEPLUS</t>
  </si>
  <si>
    <t xml:space="preserve">33 800</t>
  </si>
  <si>
    <t xml:space="preserve">57 800</t>
  </si>
  <si>
    <t>№АРТ-067</t>
  </si>
  <si>
    <t xml:space="preserve">Телевизор TCL 65C745</t>
  </si>
  <si>
    <t>TCL</t>
  </si>
  <si>
    <t xml:space="preserve">70 000</t>
  </si>
  <si>
    <t xml:space="preserve">109 999</t>
  </si>
  <si>
    <t>АРТ_068</t>
  </si>
  <si>
    <t xml:space="preserve">телевизор TCL 65C745</t>
  </si>
  <si>
    <t>tcl</t>
  </si>
  <si>
    <t xml:space="preserve">107 000</t>
  </si>
  <si>
    <t>069/24</t>
  </si>
  <si>
    <t xml:space="preserve">Телевизор TCL 65C745 (QLED)</t>
  </si>
  <si>
    <t xml:space="preserve">112 000</t>
  </si>
  <si>
    <t>№АРТ-070</t>
  </si>
  <si>
    <t xml:space="preserve">Наушники Marshall Major IV</t>
  </si>
  <si>
    <t>Marshall</t>
  </si>
  <si>
    <t xml:space="preserve">12 000</t>
  </si>
  <si>
    <t xml:space="preserve">19 990</t>
  </si>
  <si>
    <t>АРТ_071</t>
  </si>
  <si>
    <t xml:space="preserve">наушники MARSHALL MAJOR IV</t>
  </si>
  <si>
    <t>marshall</t>
  </si>
  <si>
    <t xml:space="preserve">11 500</t>
  </si>
  <si>
    <t xml:space="preserve">19 000</t>
  </si>
  <si>
    <t>072-24</t>
  </si>
  <si>
    <t xml:space="preserve">Наушники Marshall Major IV (Бежевые)</t>
  </si>
  <si>
    <t>MARSHALL</t>
  </si>
  <si>
    <t xml:space="preserve">12 500</t>
  </si>
  <si>
    <t xml:space="preserve">20 800</t>
  </si>
  <si>
    <t>№АРТ-073</t>
  </si>
  <si>
    <t xml:space="preserve">Монитор Acer Predator X27</t>
  </si>
  <si>
    <t>Acer</t>
  </si>
  <si>
    <t xml:space="preserve">52 000</t>
  </si>
  <si>
    <t xml:space="preserve">79 900</t>
  </si>
  <si>
    <t>АРТ_074</t>
  </si>
  <si>
    <t xml:space="preserve">монитор ACER PREDATOR X27</t>
  </si>
  <si>
    <t>acer</t>
  </si>
  <si>
    <t xml:space="preserve">50 500</t>
  </si>
  <si>
    <t xml:space="preserve">77 500</t>
  </si>
  <si>
    <t>075/24</t>
  </si>
  <si>
    <t xml:space="preserve">Монитор Acer Predator X27 (4K)</t>
  </si>
  <si>
    <t>ACER</t>
  </si>
  <si>
    <t>№АРТ-076</t>
  </si>
  <si>
    <t xml:space="preserve">Клавиатура Razer BlackWidow V4</t>
  </si>
  <si>
    <t>Razer</t>
  </si>
  <si>
    <t xml:space="preserve">7 500</t>
  </si>
  <si>
    <t xml:space="preserve">12 990</t>
  </si>
  <si>
    <t>АРТ_077</t>
  </si>
  <si>
    <t xml:space="preserve">клавиатура RAZER BLACKWIDOW V4</t>
  </si>
  <si>
    <t>razer</t>
  </si>
  <si>
    <t xml:space="preserve">7 200</t>
  </si>
  <si>
    <t>078-24</t>
  </si>
  <si>
    <t xml:space="preserve">Клавиатура Razer BlackWidow V4 (Зеленая)</t>
  </si>
  <si>
    <t>RAZER</t>
  </si>
  <si>
    <t xml:space="preserve">7 800</t>
  </si>
  <si>
    <t xml:space="preserve">13 500</t>
  </si>
  <si>
    <t>№АРТ-079</t>
  </si>
  <si>
    <t xml:space="preserve">Планшет Lenovo Tab P12</t>
  </si>
  <si>
    <t xml:space="preserve">28 000</t>
  </si>
  <si>
    <t xml:space="preserve">45 999</t>
  </si>
  <si>
    <t>АРТ_080</t>
  </si>
  <si>
    <t xml:space="preserve">планшет LENOVO TAB P12</t>
  </si>
  <si>
    <t xml:space="preserve">27 000</t>
  </si>
  <si>
    <t xml:space="preserve">44 500</t>
  </si>
  <si>
    <t>081/24</t>
  </si>
  <si>
    <t xml:space="preserve">Планшет Lenovo Tab P12 (Pro)</t>
  </si>
  <si>
    <t xml:space="preserve">29 000</t>
  </si>
  <si>
    <t xml:space="preserve">47 500</t>
  </si>
  <si>
    <t>№АРТ-082</t>
  </si>
  <si>
    <t xml:space="preserve">Смарт-часы Samsung Galaxy Watch6</t>
  </si>
  <si>
    <t xml:space="preserve">25 000</t>
  </si>
  <si>
    <t xml:space="preserve">39 990</t>
  </si>
  <si>
    <t>АРТ_083</t>
  </si>
  <si>
    <t xml:space="preserve">смарт-часы SAMSUNG GALAXY WATCH6</t>
  </si>
  <si>
    <t xml:space="preserve">24 000</t>
  </si>
  <si>
    <t xml:space="preserve">38 500</t>
  </si>
  <si>
    <t>084-24</t>
  </si>
  <si>
    <t xml:space="preserve">Смарт-часы Samsung Galaxy Watch6 (Classic)</t>
  </si>
  <si>
    <t xml:space="preserve">26 000</t>
  </si>
  <si>
    <t>№АРТ-085</t>
  </si>
  <si>
    <t xml:space="preserve">Ноутбук Asus Zenbook 14</t>
  </si>
  <si>
    <t>Asus</t>
  </si>
  <si>
    <t xml:space="preserve">72 000</t>
  </si>
  <si>
    <t xml:space="preserve">109 990</t>
  </si>
  <si>
    <t>АРТ_086</t>
  </si>
  <si>
    <t xml:space="preserve">ноутбук ASUS ZENBOOK 14</t>
  </si>
  <si>
    <t xml:space="preserve">107 500</t>
  </si>
  <si>
    <t>087/24</t>
  </si>
  <si>
    <t xml:space="preserve">Ноутбук Asus Zenbook 14 (OLED)</t>
  </si>
  <si>
    <t xml:space="preserve">73 500</t>
  </si>
  <si>
    <t>№АРТ-088</t>
  </si>
  <si>
    <t xml:space="preserve">Телевизор Xiaomi TV A2</t>
  </si>
  <si>
    <t>АРТ_089</t>
  </si>
  <si>
    <t xml:space="preserve">телевизор XIAOMI TV A2</t>
  </si>
  <si>
    <t xml:space="preserve">34 000</t>
  </si>
  <si>
    <t>090-24</t>
  </si>
  <si>
    <t xml:space="preserve">Телевизор Xiaomi TV A2 (43")</t>
  </si>
  <si>
    <t xml:space="preserve">36 000</t>
  </si>
  <si>
    <t xml:space="preserve">56 500</t>
  </si>
  <si>
    <t>№АРТ-091</t>
  </si>
  <si>
    <t xml:space="preserve">Наушники Anker Soundcore Q45</t>
  </si>
  <si>
    <t>Anker</t>
  </si>
  <si>
    <t xml:space="preserve">6 000</t>
  </si>
  <si>
    <t>АРТ_092</t>
  </si>
  <si>
    <t xml:space="preserve">наушники ANKER SOUNDCORE Q45</t>
  </si>
  <si>
    <t>anker</t>
  </si>
  <si>
    <t>093/24</t>
  </si>
  <si>
    <t xml:space="preserve">Наушники Anker Soundcore Q45 (Черные)</t>
  </si>
  <si>
    <t>ANKER</t>
  </si>
  <si>
    <t>№АРТ-094</t>
  </si>
  <si>
    <t xml:space="preserve">Монитор Dell UltraSharp U3223QE</t>
  </si>
  <si>
    <t xml:space="preserve">62 000</t>
  </si>
  <si>
    <t xml:space="preserve">94 900</t>
  </si>
  <si>
    <t>АРТ_095</t>
  </si>
  <si>
    <t xml:space="preserve">монитор DELL ULTRASHARP U3223QE</t>
  </si>
  <si>
    <t xml:space="preserve">60 500</t>
  </si>
  <si>
    <t xml:space="preserve">92 000</t>
  </si>
  <si>
    <t>096-24</t>
  </si>
  <si>
    <t xml:space="preserve">Монитор Dell UltraSharp U3223QE (4K)</t>
  </si>
  <si>
    <t xml:space="preserve">97 000</t>
  </si>
  <si>
    <t>№АРТ-097</t>
  </si>
  <si>
    <t xml:space="preserve">Мышь Razer DeathAdder V3</t>
  </si>
  <si>
    <t xml:space="preserve">3 500</t>
  </si>
  <si>
    <t xml:space="preserve">6 990</t>
  </si>
  <si>
    <t>АРТ_098</t>
  </si>
  <si>
    <t xml:space="preserve">мышь RAZER DEATHADDER V3</t>
  </si>
  <si>
    <t xml:space="preserve">3 200</t>
  </si>
  <si>
    <t>099/24</t>
  </si>
  <si>
    <t xml:space="preserve">Мышь Razer DeathAdder V3 (Pro)</t>
  </si>
  <si>
    <t xml:space="preserve">3 800</t>
  </si>
  <si>
    <t>№АРТ-100</t>
  </si>
  <si>
    <t xml:space="preserve">Планшет Apple iPad Mini</t>
  </si>
  <si>
    <t>АРТ_101</t>
  </si>
  <si>
    <t xml:space="preserve">планшет APPLE IPAD MINI</t>
  </si>
  <si>
    <t>102-24</t>
  </si>
  <si>
    <t xml:space="preserve">Планшет Apple iPad Mini (Wi-Fi)</t>
  </si>
  <si>
    <t>№АРТ-103</t>
  </si>
  <si>
    <t xml:space="preserve">Ноутбук MSI Stealth 16</t>
  </si>
  <si>
    <t>MSI</t>
  </si>
  <si>
    <t xml:space="preserve">149 990</t>
  </si>
  <si>
    <t>АРТ_104</t>
  </si>
  <si>
    <t xml:space="preserve">ноутбук MSI STEALTH 16</t>
  </si>
  <si>
    <t>msi</t>
  </si>
  <si>
    <t xml:space="preserve">96 000</t>
  </si>
  <si>
    <t xml:space="preserve">147 000</t>
  </si>
  <si>
    <t>105/24</t>
  </si>
  <si>
    <t xml:space="preserve">Ноутбук MSI Stealth 16 (Gaming)</t>
  </si>
  <si>
    <t xml:space="preserve">99 500</t>
  </si>
  <si>
    <t xml:space="preserve">152 000</t>
  </si>
  <si>
    <t>№АРТ-106</t>
  </si>
  <si>
    <t xml:space="preserve">Смартфон Realme GT 3</t>
  </si>
  <si>
    <t>Realme</t>
  </si>
  <si>
    <t xml:space="preserve">47 990</t>
  </si>
  <si>
    <t>АРТ_107</t>
  </si>
  <si>
    <t xml:space="preserve">смартфон REALME GT 3</t>
  </si>
  <si>
    <t>realme</t>
  </si>
  <si>
    <t>108-24</t>
  </si>
  <si>
    <t xml:space="preserve">Смартфон Realme GT 3 (White)</t>
  </si>
  <si>
    <t>REALME</t>
  </si>
  <si>
    <t xml:space="preserve">49 500</t>
  </si>
  <si>
    <t>№АРТ-109</t>
  </si>
  <si>
    <t xml:space="preserve">Телевизор Hisense U8K</t>
  </si>
  <si>
    <t>Hisense</t>
  </si>
  <si>
    <t xml:space="preserve">78 000</t>
  </si>
  <si>
    <t xml:space="preserve">119 999</t>
  </si>
  <si>
    <t>АРТ_110</t>
  </si>
  <si>
    <t xml:space="preserve">телевизор HISENSE U8K</t>
  </si>
  <si>
    <t>hisense</t>
  </si>
  <si>
    <t xml:space="preserve">76 000</t>
  </si>
  <si>
    <t xml:space="preserve">117 000</t>
  </si>
  <si>
    <t>111/24</t>
  </si>
  <si>
    <t xml:space="preserve">Телевизор Hisense U8K (65")</t>
  </si>
  <si>
    <t>HISENSE</t>
  </si>
  <si>
    <t xml:space="preserve">79 500</t>
  </si>
  <si>
    <t>№АРТ-112</t>
  </si>
  <si>
    <t xml:space="preserve">Наушники Sennheiser HD 660S</t>
  </si>
  <si>
    <t>Sennheiser</t>
  </si>
  <si>
    <t xml:space="preserve">22 000</t>
  </si>
  <si>
    <t xml:space="preserve">34 990</t>
  </si>
  <si>
    <t>АРТ_113</t>
  </si>
  <si>
    <t xml:space="preserve">наушники SENNHEISER HD 660S</t>
  </si>
  <si>
    <t>sennheiser</t>
  </si>
  <si>
    <t xml:space="preserve">21 000</t>
  </si>
  <si>
    <t xml:space="preserve">33 500</t>
  </si>
  <si>
    <t>114-24</t>
  </si>
  <si>
    <t xml:space="preserve">Наушники Sennheiser HD 660S (Открытые)</t>
  </si>
  <si>
    <t>SENNHEISER</t>
  </si>
  <si>
    <t xml:space="preserve">23 000</t>
  </si>
  <si>
    <t>№АРТ-115</t>
  </si>
  <si>
    <t xml:space="preserve">Монитор ViewSonic VP2780</t>
  </si>
  <si>
    <t>ViewSonic</t>
  </si>
  <si>
    <t xml:space="preserve">48 000</t>
  </si>
  <si>
    <t xml:space="preserve">74 900</t>
  </si>
  <si>
    <t>АРТ_116</t>
  </si>
  <si>
    <t xml:space="preserve">монитор VIEWSONIC VP2780</t>
  </si>
  <si>
    <t>viewsonic</t>
  </si>
  <si>
    <t xml:space="preserve">72 500</t>
  </si>
  <si>
    <t>117/24</t>
  </si>
  <si>
    <t xml:space="preserve">Монитор ViewSonic VP2780 (Pro)</t>
  </si>
  <si>
    <t>VIEWSONIC</t>
  </si>
  <si>
    <t xml:space="preserve">77 000</t>
  </si>
  <si>
    <t>№АРТ-118</t>
  </si>
  <si>
    <t xml:space="preserve">Клавиатура Keychron K8 Pro</t>
  </si>
  <si>
    <t>Keychron</t>
  </si>
  <si>
    <t xml:space="preserve">7 990</t>
  </si>
  <si>
    <t>АРТ_119</t>
  </si>
  <si>
    <t xml:space="preserve">клавиатура KEYCHRON K8 PRO</t>
  </si>
  <si>
    <t>keychron</t>
  </si>
  <si>
    <t>120-24</t>
  </si>
  <si>
    <t xml:space="preserve">Клавиатура Keychron K8 Pro (Беспроводная)</t>
  </si>
  <si>
    <t>KEYCHRON</t>
  </si>
  <si>
    <t>№АРТ-121</t>
  </si>
  <si>
    <t xml:space="preserve">Смарт-часы Garmin Fenix 7</t>
  </si>
  <si>
    <t>Garmin</t>
  </si>
  <si>
    <t xml:space="preserve">84 990</t>
  </si>
  <si>
    <t>АРТ_122</t>
  </si>
  <si>
    <t xml:space="preserve">смарт-часы GARMIN FENIX 7</t>
  </si>
  <si>
    <t>garmin</t>
  </si>
  <si>
    <t xml:space="preserve">82 500</t>
  </si>
  <si>
    <t>123/24</t>
  </si>
  <si>
    <t xml:space="preserve">Смарт-часы Garmin Fenix 7 (Sapphire)</t>
  </si>
  <si>
    <t>GARMIN</t>
  </si>
  <si>
    <t xml:space="preserve">87 000</t>
  </si>
  <si>
    <t>№АРТ-124</t>
  </si>
  <si>
    <t xml:space="preserve">Ноутбук Razer Blade 18</t>
  </si>
  <si>
    <t xml:space="preserve">110 000</t>
  </si>
  <si>
    <t xml:space="preserve">169 990</t>
  </si>
  <si>
    <t>АРТ_125</t>
  </si>
  <si>
    <t xml:space="preserve">ноутбук RAZER BLADE 18</t>
  </si>
  <si>
    <t xml:space="preserve">108 000</t>
  </si>
  <si>
    <t xml:space="preserve">166 500</t>
  </si>
  <si>
    <t>126-24</t>
  </si>
  <si>
    <t xml:space="preserve">Ноутбук Razer Blade 18 (Gaming)</t>
  </si>
  <si>
    <t xml:space="preserve">173 000</t>
  </si>
  <si>
    <t>№АРТ-127</t>
  </si>
  <si>
    <t xml:space="preserve">Смартфон Nothing Phone 2</t>
  </si>
  <si>
    <t>Nothing</t>
  </si>
  <si>
    <t xml:space="preserve">30 000</t>
  </si>
  <si>
    <t xml:space="preserve">51 990</t>
  </si>
  <si>
    <t>АРТ_128</t>
  </si>
  <si>
    <t xml:space="preserve">смартфон NOTHING PHONE 2</t>
  </si>
  <si>
    <t>nothing</t>
  </si>
  <si>
    <t>129/24</t>
  </si>
  <si>
    <t xml:space="preserve">Смартфон Nothing Phone 2 (Dark)</t>
  </si>
  <si>
    <t>NOTHING</t>
  </si>
  <si>
    <t xml:space="preserve">31 000</t>
  </si>
  <si>
    <t>№АРТ-130</t>
  </si>
  <si>
    <t xml:space="preserve">Планшет Xiaomi Pad 6</t>
  </si>
  <si>
    <t xml:space="preserve">42 990</t>
  </si>
  <si>
    <t>АРТ_131</t>
  </si>
  <si>
    <t xml:space="preserve">планшет XIAOMI PAD 6</t>
  </si>
  <si>
    <t xml:space="preserve">41 500</t>
  </si>
  <si>
    <t>132-24</t>
  </si>
  <si>
    <t xml:space="preserve">Планшет Xiaomi Pad 6 (Pro)</t>
  </si>
  <si>
    <t>№АРТ-133</t>
  </si>
  <si>
    <t xml:space="preserve">Телевизор Philips Ambilight 65</t>
  </si>
  <si>
    <t>Philips</t>
  </si>
  <si>
    <t xml:space="preserve">126 990</t>
  </si>
  <si>
    <t>АРТ_134</t>
  </si>
  <si>
    <t xml:space="preserve">телевизор PHILIPS AMBILIGHT 65</t>
  </si>
  <si>
    <t>philips</t>
  </si>
  <si>
    <t xml:space="preserve">80 000</t>
  </si>
  <si>
    <t xml:space="preserve">124 000</t>
  </si>
  <si>
    <t>135/24</t>
  </si>
  <si>
    <t xml:space="preserve">Телевизор Philips Ambilight 65 (4K)</t>
  </si>
  <si>
    <t>PHILIPS</t>
  </si>
  <si>
    <t xml:space="preserve">129 500</t>
  </si>
  <si>
    <t>№АРТ-136</t>
  </si>
  <si>
    <t xml:space="preserve">Наушники Bose QC45</t>
  </si>
  <si>
    <t>Bose</t>
  </si>
  <si>
    <t xml:space="preserve">14 000</t>
  </si>
  <si>
    <t xml:space="preserve">22 990</t>
  </si>
  <si>
    <t>АРТ_137</t>
  </si>
  <si>
    <t xml:space="preserve">наушники BOSE QC45</t>
  </si>
  <si>
    <t>bose</t>
  </si>
  <si>
    <t>138-24</t>
  </si>
  <si>
    <t xml:space="preserve">Наушники Bose QC45 (Silver)</t>
  </si>
  <si>
    <t>BOSE</t>
  </si>
  <si>
    <t>№АРТ-139</t>
  </si>
  <si>
    <t xml:space="preserve">Монитор BenQ PD3220U</t>
  </si>
  <si>
    <t>BenQ</t>
  </si>
  <si>
    <t xml:space="preserve">58 000</t>
  </si>
  <si>
    <t>АРТ_140</t>
  </si>
  <si>
    <t xml:space="preserve">монитор BENQ PD3220U</t>
  </si>
  <si>
    <t>benq</t>
  </si>
  <si>
    <t>141/24</t>
  </si>
  <si>
    <t xml:space="preserve">Монитор BenQ PD3220U (4K)</t>
  </si>
  <si>
    <t>BENQ</t>
  </si>
  <si>
    <t xml:space="preserve">59 500</t>
  </si>
  <si>
    <t xml:space="preserve">92 500</t>
  </si>
  <si>
    <t>№АРТ-142</t>
  </si>
  <si>
    <t xml:space="preserve">Мышь Apple Magic Mouse</t>
  </si>
  <si>
    <t>АРТ_143</t>
  </si>
  <si>
    <t xml:space="preserve">мышь APPLE MAGIC MOUSE</t>
  </si>
  <si>
    <t>144-24</t>
  </si>
  <si>
    <t xml:space="preserve">Мышь Apple Magic Mouse (Black)</t>
  </si>
  <si>
    <t>№АРТ-145</t>
  </si>
  <si>
    <t xml:space="preserve">Смартфон Motorola Edge 40</t>
  </si>
  <si>
    <t>Motorola</t>
  </si>
  <si>
    <t xml:space="preserve">45 990</t>
  </si>
  <si>
    <t>АРТ_146</t>
  </si>
  <si>
    <t xml:space="preserve">смартфон MOTOROLA EDGE 40</t>
  </si>
  <si>
    <t>motorola</t>
  </si>
  <si>
    <t>147/24</t>
  </si>
  <si>
    <t xml:space="preserve">Смартфон Motorola Edge 40 (Pro)</t>
  </si>
  <si>
    <t>MOTOROLA</t>
  </si>
  <si>
    <t>№АРТ-148</t>
  </si>
  <si>
    <t xml:space="preserve">Ноутбук Gigabyte Aorus 17</t>
  </si>
  <si>
    <t>Gigabyte</t>
  </si>
  <si>
    <t xml:space="preserve">139 990</t>
  </si>
  <si>
    <t>АРТ_149</t>
  </si>
  <si>
    <t xml:space="preserve">ноутбук GIGABYTE AORUS 17</t>
  </si>
  <si>
    <t>gigabyte</t>
  </si>
  <si>
    <t>150-24</t>
  </si>
  <si>
    <t xml:space="preserve">Ноутбук Gigabyte Aorus 17 (Gaming)</t>
  </si>
  <si>
    <t>GIGABYTE</t>
  </si>
  <si>
    <t xml:space="preserve">142 500</t>
  </si>
  <si>
    <t>№АРТ-151</t>
  </si>
  <si>
    <t xml:space="preserve">Телевизор Panasonic HZ2000</t>
  </si>
  <si>
    <t>Panasonic</t>
  </si>
  <si>
    <t xml:space="preserve">100 000</t>
  </si>
  <si>
    <t xml:space="preserve">154 990</t>
  </si>
  <si>
    <t>АРТ_152</t>
  </si>
  <si>
    <t xml:space="preserve">телевизор PANASONIC HZ2000</t>
  </si>
  <si>
    <t>panasonic</t>
  </si>
  <si>
    <t xml:space="preserve">151 500</t>
  </si>
  <si>
    <t>153/24</t>
  </si>
  <si>
    <t xml:space="preserve">Телевизор Panasonic HZ2000 (OLED)</t>
  </si>
  <si>
    <t>PANASONIC</t>
  </si>
  <si>
    <t xml:space="preserve">102 000</t>
  </si>
  <si>
    <t xml:space="preserve">158 000</t>
  </si>
  <si>
    <t>№АРТ-154</t>
  </si>
  <si>
    <t xml:space="preserve">Наушники Audio-Technica ATH-M50x</t>
  </si>
  <si>
    <t>Audio-Technica</t>
  </si>
  <si>
    <t xml:space="preserve">10 000</t>
  </si>
  <si>
    <t xml:space="preserve">16 990</t>
  </si>
  <si>
    <t>АРТ_155</t>
  </si>
  <si>
    <t xml:space="preserve">наушники AUDIO-TECHNICA ATH-M50X</t>
  </si>
  <si>
    <t>audio-technica</t>
  </si>
  <si>
    <t xml:space="preserve">16 000</t>
  </si>
  <si>
    <t>156-24</t>
  </si>
  <si>
    <t xml:space="preserve">Наушники Audio-Technica ATH-M50x (BT)</t>
  </si>
  <si>
    <t>AUDIO-TECHNICA</t>
  </si>
  <si>
    <t xml:space="preserve">17 800</t>
  </si>
  <si>
    <t>№АРТ-157</t>
  </si>
  <si>
    <t xml:space="preserve">Монитор ASUS ProArt PA329CV</t>
  </si>
  <si>
    <t xml:space="preserve">60 000</t>
  </si>
  <si>
    <t xml:space="preserve">92 900</t>
  </si>
  <si>
    <t>АРТ_158</t>
  </si>
  <si>
    <t xml:space="preserve">монитор ASUS PROART PA329CV</t>
  </si>
  <si>
    <t>159/24</t>
  </si>
  <si>
    <t xml:space="preserve">Монитор ASUS ProArt PA329CV (4K)</t>
  </si>
  <si>
    <t xml:space="preserve">61 500</t>
  </si>
  <si>
    <t xml:space="preserve">95 500</t>
  </si>
  <si>
    <t>№АРТ-160</t>
  </si>
  <si>
    <t xml:space="preserve">Клавиатура Ducky One 3 Mini</t>
  </si>
  <si>
    <t>Ducky</t>
  </si>
  <si>
    <t xml:space="preserve">5 000</t>
  </si>
  <si>
    <t>АРТ_161</t>
  </si>
  <si>
    <t xml:space="preserve">клавиатура DUCKY ONE 3 MINI</t>
  </si>
  <si>
    <t>ducky</t>
  </si>
  <si>
    <t xml:space="preserve">4 700</t>
  </si>
  <si>
    <t>162-24</t>
  </si>
  <si>
    <t xml:space="preserve">Клавиатура Ducky One 3 Mini (RGB)</t>
  </si>
  <si>
    <t>DUCKY</t>
  </si>
  <si>
    <t>№АРТ-163</t>
  </si>
  <si>
    <t xml:space="preserve">Смарт-часы Huawei Watch GT4</t>
  </si>
  <si>
    <t xml:space="preserve">29 990</t>
  </si>
  <si>
    <t>АРТ_164</t>
  </si>
  <si>
    <t xml:space="preserve">смарт-часы HUAWEI WATCH GT4</t>
  </si>
  <si>
    <t xml:space="preserve">17 000</t>
  </si>
  <si>
    <t xml:space="preserve">28 500</t>
  </si>
  <si>
    <t>165/24</t>
  </si>
  <si>
    <t xml:space="preserve">Смарт-часы Huawei Watch GT4 (41mm)</t>
  </si>
  <si>
    <t>№АРТ-166</t>
  </si>
  <si>
    <t xml:space="preserve">Планшет Microsoft Surface Pro 9</t>
  </si>
  <si>
    <t>Microsoft</t>
  </si>
  <si>
    <t xml:space="preserve">82 990</t>
  </si>
  <si>
    <t>АРТ_167</t>
  </si>
  <si>
    <t xml:space="preserve">планшет MICROSOFT SURFACE PRO 9</t>
  </si>
  <si>
    <t>microsoft</t>
  </si>
  <si>
    <t xml:space="preserve">50 000</t>
  </si>
  <si>
    <t>168-24</t>
  </si>
  <si>
    <t xml:space="preserve">Планшет Microsoft Surface Pro 9 (i5)</t>
  </si>
  <si>
    <t>MICROSOFT</t>
  </si>
  <si>
    <t>№АРТ-169</t>
  </si>
  <si>
    <t xml:space="preserve">Смартфон Oppo Find X6</t>
  </si>
  <si>
    <t>Oppo</t>
  </si>
  <si>
    <t xml:space="preserve">57 990</t>
  </si>
  <si>
    <t>АРТ_170</t>
  </si>
  <si>
    <t xml:space="preserve">смартфон OPPO FIND X6</t>
  </si>
  <si>
    <t>oppo</t>
  </si>
  <si>
    <t>171/24</t>
  </si>
  <si>
    <t xml:space="preserve">Смартфон Oppo Find X6 (Pro)</t>
  </si>
  <si>
    <t>OPPO</t>
  </si>
  <si>
    <t>№АРТ-172</t>
  </si>
  <si>
    <t xml:space="preserve">Ноутбук Acer Swift 5</t>
  </si>
  <si>
    <t xml:space="preserve">104 990</t>
  </si>
  <si>
    <t>АРТ_173</t>
  </si>
  <si>
    <t xml:space="preserve">ноутбук ACER SWIFT 5</t>
  </si>
  <si>
    <t>174-24</t>
  </si>
  <si>
    <t xml:space="preserve">Ноутбук Acer Swift 5 (OLED)</t>
  </si>
  <si>
    <t>№АРТ-175</t>
  </si>
  <si>
    <t xml:space="preserve">Телевизор Vizio M-Series 65</t>
  </si>
  <si>
    <t>Vizio</t>
  </si>
  <si>
    <t xml:space="preserve">99 990</t>
  </si>
  <si>
    <t>АРТ_176</t>
  </si>
  <si>
    <t xml:space="preserve">телевизор VIZIO M-SERIES 65</t>
  </si>
  <si>
    <t>vizio</t>
  </si>
  <si>
    <t xml:space="preserve">63 000</t>
  </si>
  <si>
    <t>177/24</t>
  </si>
  <si>
    <t xml:space="preserve">Телевизор Vizio M-Series 65 (Quantum)</t>
  </si>
  <si>
    <t>VIZIO</t>
  </si>
  <si>
    <t xml:space="preserve">102 500</t>
  </si>
  <si>
    <t>№АРТ-178</t>
  </si>
  <si>
    <t xml:space="preserve">Наушники Jabra Elite 85h</t>
  </si>
  <si>
    <t>Jabra</t>
  </si>
  <si>
    <t xml:space="preserve">8 000</t>
  </si>
  <si>
    <t xml:space="preserve">13 990</t>
  </si>
  <si>
    <t>АРТ_179</t>
  </si>
  <si>
    <t xml:space="preserve">наушники JABRA ELITE 85H</t>
  </si>
  <si>
    <t>jabra</t>
  </si>
  <si>
    <t xml:space="preserve">13 000</t>
  </si>
  <si>
    <t>180-24</t>
  </si>
  <si>
    <t xml:space="preserve">Наушники Jabra Elite 85h (Navy)</t>
  </si>
  <si>
    <t>JABRA</t>
  </si>
  <si>
    <t xml:space="preserve">14 800</t>
  </si>
  <si>
    <t>№АРТ-181</t>
  </si>
  <si>
    <t xml:space="preserve">Монитор Eizo ColorEdge CS2740</t>
  </si>
  <si>
    <t>Eizo</t>
  </si>
  <si>
    <t>АРТ_182</t>
  </si>
  <si>
    <t xml:space="preserve">монитор EIZO COLOREDGE CS2740</t>
  </si>
  <si>
    <t>eizo</t>
  </si>
  <si>
    <t>183/24</t>
  </si>
  <si>
    <t xml:space="preserve">Монитор Eizo ColorEdge CS2740 (Pro)</t>
  </si>
  <si>
    <t>EIZO</t>
  </si>
  <si>
    <t>№АРТ-184</t>
  </si>
  <si>
    <t xml:space="preserve">Колонка Sony SRS-XG300</t>
  </si>
  <si>
    <t>АРТ_185</t>
  </si>
  <si>
    <t xml:space="preserve">колонка SONY SRS-XG300</t>
  </si>
  <si>
    <t>186-24</t>
  </si>
  <si>
    <t xml:space="preserve">Колонка Sony SRS-XG300 (Black)</t>
  </si>
  <si>
    <t>№АРТ-187</t>
  </si>
  <si>
    <t xml:space="preserve">Смарт-часы Apple Watch Series 9</t>
  </si>
  <si>
    <t xml:space="preserve">49 990</t>
  </si>
  <si>
    <t>АРТ_188</t>
  </si>
  <si>
    <t xml:space="preserve">смарт-часы APPLE WATCH SERIES 9</t>
  </si>
  <si>
    <t xml:space="preserve">48 500</t>
  </si>
  <si>
    <t>189/24</t>
  </si>
  <si>
    <t xml:space="preserve">Смарт-часы Apple Watch Series 9 (GPS)</t>
  </si>
  <si>
    <t xml:space="preserve">51 500</t>
  </si>
  <si>
    <t>№АРТ-190</t>
  </si>
  <si>
    <t xml:space="preserve">Планшет Amazon Fire HD 10</t>
  </si>
  <si>
    <t>Amazon</t>
  </si>
  <si>
    <t>АРТ_191</t>
  </si>
  <si>
    <t xml:space="preserve">планшет AMAZON FIRE HD 10</t>
  </si>
  <si>
    <t>amazon</t>
  </si>
  <si>
    <t xml:space="preserve">23 500</t>
  </si>
  <si>
    <t>192-24</t>
  </si>
  <si>
    <t xml:space="preserve">Планшет Amazon Fire HD 10 (Plus)</t>
  </si>
  <si>
    <t>AMAZON</t>
  </si>
  <si>
    <t xml:space="preserve">26 500</t>
  </si>
  <si>
    <t>№АРТ-193</t>
  </si>
  <si>
    <t xml:space="preserve">Ноутбук Framework Laptop 13</t>
  </si>
  <si>
    <t>Framework</t>
  </si>
  <si>
    <t xml:space="preserve">129 990</t>
  </si>
  <si>
    <t>АРТ_194</t>
  </si>
  <si>
    <t xml:space="preserve">ноутбук FRAMEWORK LAPTOP 13</t>
  </si>
  <si>
    <t>framework</t>
  </si>
  <si>
    <t xml:space="preserve">83 000</t>
  </si>
  <si>
    <t>195/24</t>
  </si>
  <si>
    <t xml:space="preserve">Ноутбук Framework Laptop 13 (DIY)</t>
  </si>
  <si>
    <t>FRAMEWORK</t>
  </si>
  <si>
    <t xml:space="preserve">132 500</t>
  </si>
  <si>
    <t>№АРТ-196</t>
  </si>
  <si>
    <t xml:space="preserve">Смартфон Vivo X90</t>
  </si>
  <si>
    <t>Vivo</t>
  </si>
  <si>
    <t xml:space="preserve">53 990</t>
  </si>
  <si>
    <t>АРТ_197</t>
  </si>
  <si>
    <t xml:space="preserve">смартфон VIVO X90</t>
  </si>
  <si>
    <t>vivo</t>
  </si>
  <si>
    <t xml:space="preserve">52 500</t>
  </si>
  <si>
    <t>198-24</t>
  </si>
  <si>
    <t xml:space="preserve">Смартфон Vivo X90 (Pro)</t>
  </si>
  <si>
    <t>VIVO</t>
  </si>
  <si>
    <t>№АРТ-199</t>
  </si>
  <si>
    <t xml:space="preserve">Телевизор TCL 55C835</t>
  </si>
  <si>
    <t xml:space="preserve">95 990</t>
  </si>
  <si>
    <t>АРТ_200</t>
  </si>
  <si>
    <t xml:space="preserve">телевизор TCL 55C835</t>
  </si>
  <si>
    <t xml:space="preserve">93 000</t>
  </si>
  <si>
    <t>201/24</t>
  </si>
  <si>
    <t xml:space="preserve">Телевизор TCL 55C835 (Mini LED)</t>
  </si>
  <si>
    <t xml:space="preserve">98 500</t>
  </si>
  <si>
    <t>№АРТ-202</t>
  </si>
  <si>
    <t xml:space="preserve">Наушники Logitech G435</t>
  </si>
  <si>
    <t>АРТ_203</t>
  </si>
  <si>
    <t xml:space="preserve">наушники LOGITECH G435</t>
  </si>
  <si>
    <t>204-24</t>
  </si>
  <si>
    <t xml:space="preserve">Наушники Logitech G435 (Беспроводные)</t>
  </si>
  <si>
    <t xml:space="preserve">10 800</t>
  </si>
  <si>
    <t>№АРТ-205</t>
  </si>
  <si>
    <t xml:space="preserve">Монитор MSI Optix MAG274QRF</t>
  </si>
  <si>
    <t xml:space="preserve">64 990</t>
  </si>
  <si>
    <t>АРТ_206</t>
  </si>
  <si>
    <t xml:space="preserve">монитор MSI OPTIX MAG274QRF</t>
  </si>
  <si>
    <t xml:space="preserve">62 500</t>
  </si>
  <si>
    <t>207/24</t>
  </si>
  <si>
    <t xml:space="preserve">Монитор MSI Optix MAG274QRF (QD)</t>
  </si>
  <si>
    <t xml:space="preserve">42 500</t>
  </si>
  <si>
    <t xml:space="preserve">67 000</t>
  </si>
  <si>
    <t>№АРТ-208</t>
  </si>
  <si>
    <t xml:space="preserve">Клавиатура Corsair K70 RGB</t>
  </si>
  <si>
    <t>Corsair</t>
  </si>
  <si>
    <t>АРТ_209</t>
  </si>
  <si>
    <t xml:space="preserve">клавиатура CORSAIR K70 RGB</t>
  </si>
  <si>
    <t>corsair</t>
  </si>
  <si>
    <t>210-24</t>
  </si>
  <si>
    <t xml:space="preserve">Клавиатура Corsair K70 RGB (Pro)</t>
  </si>
  <si>
    <t>CORSAIR</t>
  </si>
  <si>
    <t xml:space="preserve">7 000</t>
  </si>
  <si>
    <t>№АРТ-211</t>
  </si>
  <si>
    <t xml:space="preserve">Смартфон Honor Magic 5</t>
  </si>
  <si>
    <t>Honor</t>
  </si>
  <si>
    <t xml:space="preserve">59 990</t>
  </si>
  <si>
    <t>АРТ_212</t>
  </si>
  <si>
    <t xml:space="preserve">смартфон HONOR MAGIC 5</t>
  </si>
  <si>
    <t>honor</t>
  </si>
  <si>
    <t>213/24</t>
  </si>
  <si>
    <t xml:space="preserve">Смартфон Honor Magic 5 (Pro)</t>
  </si>
  <si>
    <t>HONOR</t>
  </si>
  <si>
    <t xml:space="preserve">37 000</t>
  </si>
  <si>
    <t>№АРТ-214</t>
  </si>
  <si>
    <t xml:space="preserve">Планшет Samsung Galaxy A8</t>
  </si>
  <si>
    <t xml:space="preserve">26 990</t>
  </si>
  <si>
    <t>АРТ_215</t>
  </si>
  <si>
    <t xml:space="preserve">планшет SAMSUNG GALAXY A8</t>
  </si>
  <si>
    <t xml:space="preserve">25 500</t>
  </si>
  <si>
    <t>216-24</t>
  </si>
  <si>
    <t xml:space="preserve">Планшет Samsung Galaxy A8 (Wi-Fi)</t>
  </si>
  <si>
    <t>№АРТ-217</t>
  </si>
  <si>
    <t xml:space="preserve">Телевизор LG UQ8000</t>
  </si>
  <si>
    <t>АРТ_218</t>
  </si>
  <si>
    <t xml:space="preserve">телевизор LG UQ8000</t>
  </si>
  <si>
    <t xml:space="preserve">67 500</t>
  </si>
  <si>
    <t>219/24</t>
  </si>
  <si>
    <t xml:space="preserve">Телевизор LG UQ8000 (65")</t>
  </si>
  <si>
    <t>№АРТ-220</t>
  </si>
  <si>
    <t xml:space="preserve">Наушники Beats Studio Pro</t>
  </si>
  <si>
    <t>Beats</t>
  </si>
  <si>
    <t>АРТ_221</t>
  </si>
  <si>
    <t xml:space="preserve">наушники BEATS STUDIO PRO</t>
  </si>
  <si>
    <t>beats</t>
  </si>
  <si>
    <t>222-24</t>
  </si>
  <si>
    <t xml:space="preserve">Наушники Beats Studio Pro (Black)</t>
  </si>
  <si>
    <t>BEATS</t>
  </si>
  <si>
    <t>№АРТ-223</t>
  </si>
  <si>
    <t xml:space="preserve">Монитор HP E27m G4</t>
  </si>
  <si>
    <t xml:space="preserve">54 990</t>
  </si>
  <si>
    <t>АРТ_224</t>
  </si>
  <si>
    <t xml:space="preserve">монитор HP E27M G4</t>
  </si>
  <si>
    <t>225/24</t>
  </si>
  <si>
    <t xml:space="preserve">Монитор HP E27m G4 (4K)</t>
  </si>
  <si>
    <t xml:space="preserve">36 500</t>
  </si>
  <si>
    <t xml:space="preserve">57 000</t>
  </si>
  <si>
    <t>№АРТ-226</t>
  </si>
  <si>
    <t xml:space="preserve">Мышь SteelSeries Aerox 3</t>
  </si>
  <si>
    <t>SteelSeries</t>
  </si>
  <si>
    <t xml:space="preserve">3 000</t>
  </si>
  <si>
    <t xml:space="preserve">5 990</t>
  </si>
  <si>
    <t>АРТ_227</t>
  </si>
  <si>
    <t xml:space="preserve">мышь STEELSERIES AEROX 3</t>
  </si>
  <si>
    <t>steelseries</t>
  </si>
  <si>
    <t xml:space="preserve">2 800</t>
  </si>
  <si>
    <t>228-24</t>
  </si>
  <si>
    <t xml:space="preserve">Мышь SteelSeries Aerox 3 (White)</t>
  </si>
  <si>
    <t>STEELSERIES</t>
  </si>
  <si>
    <t>№АРТ-229</t>
  </si>
  <si>
    <t xml:space="preserve">Ноутбук Lenovo Yoga 9i</t>
  </si>
  <si>
    <t xml:space="preserve">119 990</t>
  </si>
  <si>
    <t>АРТ_230</t>
  </si>
  <si>
    <t xml:space="preserve">ноутбук LENOVO YOGA 9I</t>
  </si>
  <si>
    <t>231/24</t>
  </si>
  <si>
    <t xml:space="preserve">Ноутбук Lenovo Yoga 9i (OLED)</t>
  </si>
  <si>
    <t>№АРТ-232</t>
  </si>
  <si>
    <t xml:space="preserve">Смартфон Google Pixel 7a</t>
  </si>
  <si>
    <t>АРТ_233</t>
  </si>
  <si>
    <t xml:space="preserve">смартфон GOOGLE PIXEL 7A</t>
  </si>
  <si>
    <t>234-24</t>
  </si>
  <si>
    <t xml:space="preserve">Смартфон Google Pixel 7a (Charcoal)</t>
  </si>
  <si>
    <t>№АРТ-235</t>
  </si>
  <si>
    <t xml:space="preserve">Планшет Huawei MateBook E</t>
  </si>
  <si>
    <t xml:space="preserve">38 000</t>
  </si>
  <si>
    <t>АРТ_236</t>
  </si>
  <si>
    <t xml:space="preserve">планшет HUAWEI MATEBOOK E</t>
  </si>
  <si>
    <t>237/24</t>
  </si>
  <si>
    <t xml:space="preserve">Планшет Huawei MateBook E (i5)</t>
  </si>
  <si>
    <t>№АРТ-238</t>
  </si>
  <si>
    <t xml:space="preserve">Телевизор Sony X90L</t>
  </si>
  <si>
    <t xml:space="preserve">110 990</t>
  </si>
  <si>
    <t>АРТ_239</t>
  </si>
  <si>
    <t xml:space="preserve">телевизор SONY X90L</t>
  </si>
  <si>
    <t>240-24</t>
  </si>
  <si>
    <t xml:space="preserve">Телевизор Sony X90L (55")</t>
  </si>
  <si>
    <t xml:space="preserve">113 500</t>
  </si>
  <si>
    <t>№АРТ-241</t>
  </si>
  <si>
    <t xml:space="preserve">Наушники Focal Bathys</t>
  </si>
  <si>
    <t>Focal</t>
  </si>
  <si>
    <t>АРТ_242</t>
  </si>
  <si>
    <t xml:space="preserve">наушники FOCAL BATHYS</t>
  </si>
  <si>
    <t>focal</t>
  </si>
  <si>
    <t>243/24</t>
  </si>
  <si>
    <t xml:space="preserve">Наушники Focal Bathys (Беспроводные)</t>
  </si>
  <si>
    <t>FOCAL</t>
  </si>
  <si>
    <t>№АРТ-244</t>
  </si>
  <si>
    <t xml:space="preserve">Монитор Samsung Smart Monitor M8</t>
  </si>
  <si>
    <t xml:space="preserve">77 990</t>
  </si>
  <si>
    <t>АРТ_245</t>
  </si>
  <si>
    <t xml:space="preserve">монитор SAMSUNG SMART MONITOR M8</t>
  </si>
  <si>
    <t xml:space="preserve">75 000</t>
  </si>
  <si>
    <t>246-24</t>
  </si>
  <si>
    <t xml:space="preserve">Монитор Samsung Smart Monitor M8 (32")</t>
  </si>
  <si>
    <t>№АРТ-247</t>
  </si>
  <si>
    <t xml:space="preserve">Клавиатура Logitech G Pro X</t>
  </si>
  <si>
    <t>АРТ_248</t>
  </si>
  <si>
    <t xml:space="preserve">клавиатура LOGITECH G PRO X</t>
  </si>
  <si>
    <t>249/24</t>
  </si>
  <si>
    <t xml:space="preserve">Клавиатура Logitech G Pro X (Rapid)</t>
  </si>
  <si>
    <t>№АРТ-250</t>
  </si>
  <si>
    <t xml:space="preserve">Смарт-часы Garmin Venu 3</t>
  </si>
  <si>
    <t>АРТ_251</t>
  </si>
  <si>
    <t xml:space="preserve">смарт-часы GARMIN VENU 3</t>
  </si>
  <si>
    <t>252-24</t>
  </si>
  <si>
    <t xml:space="preserve">Смарт-часы Garmin Venu 3 (Sapphire)</t>
  </si>
  <si>
    <t>№АРТ-253</t>
  </si>
  <si>
    <t xml:space="preserve">Ноутбук Dell Alienware m18</t>
  </si>
  <si>
    <t xml:space="preserve">105 000</t>
  </si>
  <si>
    <t xml:space="preserve">159 990</t>
  </si>
  <si>
    <t>АРТ_254</t>
  </si>
  <si>
    <t xml:space="preserve">ноутбук DELL ALIENWARE M18</t>
  </si>
  <si>
    <t xml:space="preserve">103 000</t>
  </si>
  <si>
    <t xml:space="preserve">157 000</t>
  </si>
  <si>
    <t>255/24</t>
  </si>
  <si>
    <t xml:space="preserve">Ноутбук Dell Alienware m18 (Gaming)</t>
  </si>
  <si>
    <t xml:space="preserve">163 000</t>
  </si>
  <si>
    <t>№АРТ-256</t>
  </si>
  <si>
    <t xml:space="preserve">Смартфон Nokia XR21</t>
  </si>
  <si>
    <t>Nokia</t>
  </si>
  <si>
    <t xml:space="preserve">37 990</t>
  </si>
  <si>
    <t>АРТ_257</t>
  </si>
  <si>
    <t xml:space="preserve">смартфон NOKIA XR21</t>
  </si>
  <si>
    <t>nokia</t>
  </si>
  <si>
    <t>258-24</t>
  </si>
  <si>
    <t xml:space="preserve">Смартфон Nokia XR21 (Black)</t>
  </si>
  <si>
    <t>NOKIA</t>
  </si>
  <si>
    <t>№АРТ-259</t>
  </si>
  <si>
    <t xml:space="preserve">Телевизор Philips 55PUS8888</t>
  </si>
  <si>
    <t xml:space="preserve">92 990</t>
  </si>
  <si>
    <t>АРТ_260</t>
  </si>
  <si>
    <t xml:space="preserve">телевизор PHILIPS 55PUS8888</t>
  </si>
  <si>
    <t>261/24</t>
  </si>
  <si>
    <t xml:space="preserve">Телевизор Philips 55PUS8888 (The One)</t>
  </si>
  <si>
    <t>№АРТ-262</t>
  </si>
  <si>
    <t xml:space="preserve">Наушники AKG K371</t>
  </si>
  <si>
    <t>AKG</t>
  </si>
  <si>
    <t xml:space="preserve">11 990</t>
  </si>
  <si>
    <t>АРТ_263</t>
  </si>
  <si>
    <t xml:space="preserve">наушники AKG K371</t>
  </si>
  <si>
    <t>akg</t>
  </si>
  <si>
    <t xml:space="preserve">11 000</t>
  </si>
  <si>
    <t>264-24</t>
  </si>
  <si>
    <t xml:space="preserve">Наушники AKG K371 (BT)</t>
  </si>
  <si>
    <t xml:space="preserve">12 800</t>
  </si>
  <si>
    <t>№АРТ-265</t>
  </si>
  <si>
    <t xml:space="preserve">Монитор AOC U32U1</t>
  </si>
  <si>
    <t>AOC</t>
  </si>
  <si>
    <t xml:space="preserve">67 990</t>
  </si>
  <si>
    <t>АРТ_266</t>
  </si>
  <si>
    <t xml:space="preserve">монитор AOC U32U1</t>
  </si>
  <si>
    <t>aoc</t>
  </si>
  <si>
    <t xml:space="preserve">65 500</t>
  </si>
  <si>
    <t>267/24</t>
  </si>
  <si>
    <t xml:space="preserve">Монитор AOC U32U1 (4K)</t>
  </si>
  <si>
    <t xml:space="preserve">45 500</t>
  </si>
  <si>
    <t>№АРТ-268</t>
  </si>
  <si>
    <t xml:space="preserve">Колонка Marshall Stanmore II</t>
  </si>
  <si>
    <t>АРТ_269</t>
  </si>
  <si>
    <t xml:space="preserve">колонка MARSHALL STANMORE II</t>
  </si>
  <si>
    <t xml:space="preserve">21 500</t>
  </si>
  <si>
    <t>270-24</t>
  </si>
  <si>
    <t xml:space="preserve">Колонка Marshall Stanmore II (Black)</t>
  </si>
  <si>
    <t xml:space="preserve">24 500</t>
  </si>
  <si>
    <t>№АРТ-271</t>
  </si>
  <si>
    <t xml:space="preserve">Смартфон ZTE Axon 40</t>
  </si>
  <si>
    <t>ZTE</t>
  </si>
  <si>
    <t xml:space="preserve">44 990</t>
  </si>
  <si>
    <t>АРТ_272</t>
  </si>
  <si>
    <t xml:space="preserve">смартфон ZTE AXON 40</t>
  </si>
  <si>
    <t>zte</t>
  </si>
  <si>
    <t>273/24</t>
  </si>
  <si>
    <t xml:space="preserve">Смартфон ZTE Axon 40 (Ultra)</t>
  </si>
  <si>
    <t>№АРТ-274</t>
  </si>
  <si>
    <t xml:space="preserve">Планшет Lenovo Yoga Tab 13</t>
  </si>
  <si>
    <t xml:space="preserve">48 990</t>
  </si>
  <si>
    <t>АРТ_275</t>
  </si>
  <si>
    <t xml:space="preserve">планшет LENOVO YOGA TAB 13</t>
  </si>
  <si>
    <t xml:space="preserve">47 000</t>
  </si>
  <si>
    <t>276-24</t>
  </si>
  <si>
    <t xml:space="preserve">Планшет Lenovo Yoga Tab 13 (Pro)</t>
  </si>
  <si>
    <t>№АРТ-277</t>
  </si>
  <si>
    <t xml:space="preserve">Телевизор Samsung QLED Q80B</t>
  </si>
  <si>
    <t xml:space="preserve">114 990</t>
  </si>
  <si>
    <t>АРТ_278</t>
  </si>
  <si>
    <t xml:space="preserve">телевизор SAMSUNG QLED Q80B</t>
  </si>
  <si>
    <t xml:space="preserve">73 000</t>
  </si>
  <si>
    <t>279/24</t>
  </si>
  <si>
    <t xml:space="preserve">Телевизор Samsung QLED Q80B (65")</t>
  </si>
  <si>
    <t xml:space="preserve">76 500</t>
  </si>
  <si>
    <t xml:space="preserve">117 500</t>
  </si>
  <si>
    <t>№АРТ-280</t>
  </si>
  <si>
    <t xml:space="preserve">Наушники Sony WF-1000XM5</t>
  </si>
  <si>
    <t xml:space="preserve">20 000</t>
  </si>
  <si>
    <t xml:space="preserve">32 990</t>
  </si>
  <si>
    <t>АРТ_281</t>
  </si>
  <si>
    <t xml:space="preserve">наушники SONY WF-1000XM5</t>
  </si>
  <si>
    <t>282-24</t>
  </si>
  <si>
    <t xml:space="preserve">Наушники Sony WF-1000XM5 (Black)</t>
  </si>
  <si>
    <t>№АРТ-283</t>
  </si>
  <si>
    <t xml:space="preserve">Монитор LG 34WP88C</t>
  </si>
  <si>
    <t>АРТ_284</t>
  </si>
  <si>
    <t xml:space="preserve">монитор LG 34WP88C</t>
  </si>
  <si>
    <t xml:space="preserve">53 000</t>
  </si>
  <si>
    <t>285/24</t>
  </si>
  <si>
    <t xml:space="preserve">Монитор LG 34WP88C (UltraWide)</t>
  </si>
  <si>
    <t xml:space="preserve">87 500</t>
  </si>
  <si>
    <t>№АРТ-286</t>
  </si>
  <si>
    <t xml:space="preserve">Клавиатура NuPhy Air75</t>
  </si>
  <si>
    <t>NuPhy</t>
  </si>
  <si>
    <t xml:space="preserve">7 490</t>
  </si>
  <si>
    <t>АРТ_287</t>
  </si>
  <si>
    <t xml:space="preserve">клавиатура NUPHY AIR75</t>
  </si>
  <si>
    <t>nuphy</t>
  </si>
  <si>
    <t>288-24</t>
  </si>
  <si>
    <t xml:space="preserve">Клавиатура NuPhy Air75 (RGB)</t>
  </si>
  <si>
    <t>NUPHY</t>
  </si>
  <si>
    <t>№АРТ-289</t>
  </si>
  <si>
    <t xml:space="preserve">Смарт-часы Polar Vantage V3</t>
  </si>
  <si>
    <t>Polar</t>
  </si>
  <si>
    <t xml:space="preserve">62 990</t>
  </si>
  <si>
    <t>АРТ_290</t>
  </si>
  <si>
    <t xml:space="preserve">смарт-часы POLAR VANTAGE V3</t>
  </si>
  <si>
    <t>polar</t>
  </si>
  <si>
    <t>291/24</t>
  </si>
  <si>
    <t xml:space="preserve">Смарт-часы Polar Vantage V3 (Titanium)</t>
  </si>
  <si>
    <t>POLAR</t>
  </si>
  <si>
    <t>№АРТ-292</t>
  </si>
  <si>
    <t xml:space="preserve">Ноутбук Microsoft Surface Laptop 5</t>
  </si>
  <si>
    <t>АРТ_293</t>
  </si>
  <si>
    <t xml:space="preserve">ноутбук MICROSOFT SURFACE LAPTOP 5</t>
  </si>
  <si>
    <t>294-24</t>
  </si>
  <si>
    <t xml:space="preserve">Ноутбук Microsoft Surface Laptop 5 (15")</t>
  </si>
  <si>
    <t xml:space="preserve">137 500</t>
  </si>
  <si>
    <t>№АРТ-295</t>
  </si>
  <si>
    <t xml:space="preserve">Смартфон Infinix Zero 30</t>
  </si>
  <si>
    <t>Infinix</t>
  </si>
  <si>
    <t>АРТ_296</t>
  </si>
  <si>
    <t xml:space="preserve">смартфон INFINIX ZERO 30</t>
  </si>
  <si>
    <t>infinix</t>
  </si>
  <si>
    <t>297/24</t>
  </si>
  <si>
    <t xml:space="preserve">Смартфон Infinix Zero 30 (5G)</t>
  </si>
  <si>
    <t>INFINIX</t>
  </si>
  <si>
    <t>№АРТ-298</t>
  </si>
  <si>
    <t xml:space="preserve">Телевизор Hisense A6K</t>
  </si>
  <si>
    <t xml:space="preserve">65 990</t>
  </si>
  <si>
    <t>АРТ_299</t>
  </si>
  <si>
    <t xml:space="preserve">телевизор HISENSE A6K</t>
  </si>
  <si>
    <t xml:space="preserve">40 500</t>
  </si>
  <si>
    <t>300-24</t>
  </si>
  <si>
    <t xml:space="preserve">Телевизор Hisense A6K (50")</t>
  </si>
  <si>
    <t>№АРТ-301</t>
  </si>
  <si>
    <t xml:space="preserve">Наушники Edifier W820NB</t>
  </si>
  <si>
    <t>Edifier</t>
  </si>
  <si>
    <t>АРТ_302</t>
  </si>
  <si>
    <t xml:space="preserve">наушники EDIFIER W820NB</t>
  </si>
  <si>
    <t>edifier</t>
  </si>
  <si>
    <t xml:space="preserve">4 000</t>
  </si>
  <si>
    <t>303/24</t>
  </si>
  <si>
    <t xml:space="preserve">Наушники Edifier W820NB (Pro)</t>
  </si>
  <si>
    <t>EDIFIER</t>
  </si>
  <si>
    <t xml:space="preserve">8 800</t>
  </si>
  <si>
    <t>№АРТ-304</t>
  </si>
  <si>
    <t xml:space="preserve">Монитор Acer Nitro XV282K</t>
  </si>
  <si>
    <t>АРТ_305</t>
  </si>
  <si>
    <t xml:space="preserve">монитор ACER NITRO XV282K</t>
  </si>
  <si>
    <t xml:space="preserve">57 500</t>
  </si>
  <si>
    <t>306-24</t>
  </si>
  <si>
    <t xml:space="preserve">Монитор Acer Nitro XV282K (4K)</t>
  </si>
  <si>
    <t>№АРТ-307</t>
  </si>
  <si>
    <t xml:space="preserve">Мышь Razer Viper V2 Pro</t>
  </si>
  <si>
    <t>АРТ_308</t>
  </si>
  <si>
    <t xml:space="preserve">мышь RAZER VIPER V2 PRO</t>
  </si>
  <si>
    <t>309/24</t>
  </si>
  <si>
    <t xml:space="preserve">Мышь Razer Viper V2 Pro (White)</t>
  </si>
  <si>
    <t xml:space="preserve">9 800</t>
  </si>
  <si>
    <t>№АРТ-310</t>
  </si>
  <si>
    <t xml:space="preserve">Планшет Samsung Galaxy Tab S8</t>
  </si>
  <si>
    <t>АРТ_311</t>
  </si>
  <si>
    <t xml:space="preserve">планшет SAMSUNG GALAXY TAB S8</t>
  </si>
  <si>
    <t>312-24</t>
  </si>
  <si>
    <t xml:space="preserve">Планшет Samsung Galaxy Tab S8 (Ultra)</t>
  </si>
  <si>
    <t>№АРТ-313</t>
  </si>
  <si>
    <t xml:space="preserve">Смартфон Apple iPhone 14</t>
  </si>
  <si>
    <t>АРТ_314</t>
  </si>
  <si>
    <t xml:space="preserve">смартфон APPLE IPHONE 14</t>
  </si>
  <si>
    <t>315/24</t>
  </si>
  <si>
    <t xml:space="preserve">Смартфон Apple iPhone 14 (Blue)</t>
  </si>
  <si>
    <t>№АРТ-316</t>
  </si>
  <si>
    <t xml:space="preserve">Ноутбук ASUS TUF Gaming F15</t>
  </si>
  <si>
    <t>АРТ_317</t>
  </si>
  <si>
    <t xml:space="preserve">ноутбук ASUS TUF GAMING F15</t>
  </si>
  <si>
    <t>318-24</t>
  </si>
  <si>
    <t xml:space="preserve">Ноутбук ASUS TUF Gaming F15 (Gaming)</t>
  </si>
  <si>
    <t xml:space="preserve">112 500</t>
  </si>
  <si>
    <t>№АРТ-319</t>
  </si>
  <si>
    <t xml:space="preserve">Телевизор TCL 98C735</t>
  </si>
  <si>
    <t xml:space="preserve">120 000</t>
  </si>
  <si>
    <t xml:space="preserve">184 990</t>
  </si>
  <si>
    <t>АРТ_320</t>
  </si>
  <si>
    <t xml:space="preserve">телевизор TCL 98C735</t>
  </si>
  <si>
    <t xml:space="preserve">118 000</t>
  </si>
  <si>
    <t xml:space="preserve">181 500</t>
  </si>
  <si>
    <t>321/24</t>
  </si>
  <si>
    <t xml:space="preserve">Телевизор TCL 98C735 (QLED)</t>
  </si>
  <si>
    <t xml:space="preserve">122 000</t>
  </si>
  <si>
    <t xml:space="preserve">188 000</t>
  </si>
  <si>
    <t>№АРТ-322</t>
  </si>
  <si>
    <t xml:space="preserve">Наушники Sony WH-CH720N</t>
  </si>
  <si>
    <t>АРТ_323</t>
  </si>
  <si>
    <t xml:space="preserve">наушники SONY WH-CH720N</t>
  </si>
  <si>
    <t>324-24</t>
  </si>
  <si>
    <t xml:space="preserve">Наушники Sony WH-CH720N (Black)</t>
  </si>
  <si>
    <t xml:space="preserve">13 800</t>
  </si>
  <si>
    <t>№АРТ-325</t>
  </si>
  <si>
    <t xml:space="preserve">Монитор LG 27UP850N</t>
  </si>
  <si>
    <t xml:space="preserve">43 000</t>
  </si>
  <si>
    <t xml:space="preserve">66 990</t>
  </si>
  <si>
    <t>АРТ_326</t>
  </si>
  <si>
    <t xml:space="preserve">монитор LG 27UP850N</t>
  </si>
  <si>
    <t xml:space="preserve">64 500</t>
  </si>
  <si>
    <t>327/24</t>
  </si>
  <si>
    <t xml:space="preserve">Монитор LG 27UP850N (4K)</t>
  </si>
  <si>
    <t xml:space="preserve">69 000</t>
  </si>
  <si>
    <t>№АРТ-328</t>
  </si>
  <si>
    <t xml:space="preserve">Клавиатура Keychron Q1 Pro</t>
  </si>
  <si>
    <t>АРТ_329</t>
  </si>
  <si>
    <t xml:space="preserve">клавиатура KEYCHRON Q1 PRO</t>
  </si>
  <si>
    <t>330-24</t>
  </si>
  <si>
    <t xml:space="preserve">Клавиатура Keychron Q1 Pro (Knob)</t>
  </si>
  <si>
    <t>№АРТ-331</t>
  </si>
  <si>
    <t xml:space="preserve">Смарт-часы Suunto 9 Peak</t>
  </si>
  <si>
    <t>Suunto</t>
  </si>
  <si>
    <t>АРТ_332</t>
  </si>
  <si>
    <t xml:space="preserve">смарт-часы SUUNTO 9 PEAK</t>
  </si>
  <si>
    <t>suunto</t>
  </si>
  <si>
    <t>333/24</t>
  </si>
  <si>
    <t xml:space="preserve">Смарт-часы Suunto 9 Peak (Titanium)</t>
  </si>
  <si>
    <t>SUUNTO</t>
  </si>
  <si>
    <t>№АРТ-334</t>
  </si>
  <si>
    <t xml:space="preserve">Планшет OnePlus Pad</t>
  </si>
  <si>
    <t>АРТ_335</t>
  </si>
  <si>
    <t xml:space="preserve">планшет ONEPLUS PAD</t>
  </si>
  <si>
    <t>336-24</t>
  </si>
  <si>
    <t xml:space="preserve">Планшет OnePlus Pad (Green)</t>
  </si>
  <si>
    <t>№АРТ-337</t>
  </si>
  <si>
    <t xml:space="preserve">Смартфон Motorola Razr 40</t>
  </si>
  <si>
    <t>АРТ_338</t>
  </si>
  <si>
    <t xml:space="preserve">смартфон MOTOROLA RAZR 40</t>
  </si>
  <si>
    <t>339/24</t>
  </si>
  <si>
    <t xml:space="preserve">Смартфон Motorola Razr 40 (Ultra)</t>
  </si>
  <si>
    <t>№АРТ-340</t>
  </si>
  <si>
    <t xml:space="preserve">Ноутбук Gigabyte Aero 16</t>
  </si>
  <si>
    <t>АРТ_341</t>
  </si>
  <si>
    <t xml:space="preserve">ноутбук GIGABYTE AERO 16</t>
  </si>
  <si>
    <t>342-24</t>
  </si>
  <si>
    <t xml:space="preserve">Ноутбук Gigabyte Aero 16 (OLED)</t>
  </si>
  <si>
    <t>№АРТ-343</t>
  </si>
  <si>
    <t xml:space="preserve">Телевизор Samsung Crystal UHD</t>
  </si>
  <si>
    <t>АРТ_344</t>
  </si>
  <si>
    <t xml:space="preserve">телевизор SAMSUNG CRYSTAL UHD</t>
  </si>
  <si>
    <t>345/24</t>
  </si>
  <si>
    <t xml:space="preserve">Телевизор Samsung Crystal UHD (55")</t>
  </si>
  <si>
    <t>№АРТ-346</t>
  </si>
  <si>
    <t xml:space="preserve">Наушники Audio-Technica ATH-TWX9</t>
  </si>
  <si>
    <t>АРТ_347</t>
  </si>
  <si>
    <t xml:space="preserve">наушники AUDIO-TECHNICA ATH-TWX9</t>
  </si>
  <si>
    <t>348-24</t>
  </si>
  <si>
    <t xml:space="preserve">Наушники Audio-Technica ATH-TWX9 (Black)</t>
  </si>
  <si>
    <t>№АРТ-349</t>
  </si>
  <si>
    <t xml:space="preserve">Монитор Dell S2721QS</t>
  </si>
  <si>
    <t>АРТ_350</t>
  </si>
  <si>
    <t xml:space="preserve">монитор DELL S2721QS</t>
  </si>
  <si>
    <t>351/24</t>
  </si>
  <si>
    <t xml:space="preserve">Монитор Dell S2721QS (4K)</t>
  </si>
  <si>
    <t>№АРТ-352</t>
  </si>
  <si>
    <t xml:space="preserve">Колонка JBL Flip 6</t>
  </si>
  <si>
    <t>АРТ_353</t>
  </si>
  <si>
    <t xml:space="preserve">колонка JBL FLIP 6</t>
  </si>
  <si>
    <t>354-24</t>
  </si>
  <si>
    <t xml:space="preserve">Колонка JBL Flip 6 (Red)</t>
  </si>
  <si>
    <t>№АРТ-355</t>
  </si>
  <si>
    <t xml:space="preserve">Смартфон Huawei P60 Pro</t>
  </si>
  <si>
    <t xml:space="preserve">85 990</t>
  </si>
  <si>
    <t>АРТ_356</t>
  </si>
  <si>
    <t xml:space="preserve">смартфон HUAWEI P60 PRO</t>
  </si>
  <si>
    <t>357/24</t>
  </si>
  <si>
    <t xml:space="preserve">Смартфон Huawei P60 Pro (Art)</t>
  </si>
  <si>
    <t>№АРТ-358</t>
  </si>
  <si>
    <t xml:space="preserve">Планшет Apple iPad Air</t>
  </si>
  <si>
    <t>АРТ_359</t>
  </si>
  <si>
    <t xml:space="preserve">планшет APPLE IPAD AIR</t>
  </si>
  <si>
    <t>360-24</t>
  </si>
  <si>
    <t xml:space="preserve">Планшет Apple iPad Air (M1)</t>
  </si>
  <si>
    <t>№АРТ-361</t>
  </si>
  <si>
    <t xml:space="preserve">Ноутбук MSI Creator Z17</t>
  </si>
  <si>
    <t xml:space="preserve">145 990</t>
  </si>
  <si>
    <t>АРТ_362</t>
  </si>
  <si>
    <t xml:space="preserve">ноутбук MSI CREATOR Z17</t>
  </si>
  <si>
    <t>363/24</t>
  </si>
  <si>
    <t xml:space="preserve">Ноутбук MSI Creator Z17 (Pro)</t>
  </si>
  <si>
    <t xml:space="preserve">149 000</t>
  </si>
  <si>
    <t>№АРТ-364</t>
  </si>
  <si>
    <t xml:space="preserve">Телевизор Sony A80L</t>
  </si>
  <si>
    <t>АРТ_365</t>
  </si>
  <si>
    <t xml:space="preserve">телевизор SONY A80L</t>
  </si>
  <si>
    <t>366-24</t>
  </si>
  <si>
    <t xml:space="preserve">Телевизор Sony A80L (OLED)</t>
  </si>
  <si>
    <t>№АРТ-367</t>
  </si>
  <si>
    <t xml:space="preserve">Наушники Beats Fit Pro</t>
  </si>
  <si>
    <t>АРТ_368</t>
  </si>
  <si>
    <t xml:space="preserve">наушники BEATS FIT PRO</t>
  </si>
  <si>
    <t>369/24</t>
  </si>
  <si>
    <t xml:space="preserve">Наушники Beats Fit Pro (Black)</t>
  </si>
  <si>
    <t>№АРТ-370</t>
  </si>
  <si>
    <t xml:space="preserve">Монитор ASUS VG27AQ</t>
  </si>
  <si>
    <t>АРТ_371</t>
  </si>
  <si>
    <t xml:space="preserve">монитор ASUS VG27AQ</t>
  </si>
  <si>
    <t>372-24</t>
  </si>
  <si>
    <t xml:space="preserve">Монитор ASUS VG27AQ (Gaming)</t>
  </si>
  <si>
    <t>№АРТ-373</t>
  </si>
  <si>
    <t xml:space="preserve">Клавиатура Razer Huntsman V2</t>
  </si>
  <si>
    <t>АРТ_374</t>
  </si>
  <si>
    <t xml:space="preserve">клавиатура RAZER HUNTSMAN V2</t>
  </si>
  <si>
    <t>375/24</t>
  </si>
  <si>
    <t xml:space="preserve">Клавиатура Razer Huntsman V2 (RGB)</t>
  </si>
  <si>
    <t xml:space="preserve">9 000</t>
  </si>
  <si>
    <t>№АРТ-376</t>
  </si>
  <si>
    <t xml:space="preserve">Смарт-часы Xiaomi Watch S1</t>
  </si>
  <si>
    <t>АРТ_377</t>
  </si>
  <si>
    <t xml:space="preserve">смарт-часы XIAOMI WATCH S1</t>
  </si>
  <si>
    <t>378-24</t>
  </si>
  <si>
    <t xml:space="preserve">Смарт-часы Xiaomi Watch S1 (Active)</t>
  </si>
  <si>
    <t>№АРТ-379</t>
  </si>
  <si>
    <t xml:space="preserve">Планшет Samsung Galaxy Tab S6</t>
  </si>
  <si>
    <t xml:space="preserve">36 990</t>
  </si>
  <si>
    <t>АРТ_380</t>
  </si>
  <si>
    <t xml:space="preserve">планшет SAMSUNG GALAXY TAB S6</t>
  </si>
  <si>
    <t xml:space="preserve">35 500</t>
  </si>
  <si>
    <t>381/24</t>
  </si>
  <si>
    <t xml:space="preserve">Планшет Samsung Galaxy Tab S6 (Lite)</t>
  </si>
  <si>
    <t>№АРТ-382</t>
  </si>
  <si>
    <t xml:space="preserve">Смартфон OnePlus Nord 3</t>
  </si>
  <si>
    <t>АРТ_383</t>
  </si>
  <si>
    <t xml:space="preserve">смартфон ONEPLUS NORD 3</t>
  </si>
  <si>
    <t>384-24</t>
  </si>
  <si>
    <t xml:space="preserve">Смартфон OnePlus Nord 3 (Green)</t>
  </si>
  <si>
    <t>№АРТ-385</t>
  </si>
  <si>
    <t xml:space="preserve">Ноутбук HP Omen 16</t>
  </si>
  <si>
    <t xml:space="preserve">116 990</t>
  </si>
  <si>
    <t>АРТ_386</t>
  </si>
  <si>
    <t xml:space="preserve">ноутбук HP OMEN 16</t>
  </si>
  <si>
    <t xml:space="preserve">74 000</t>
  </si>
  <si>
    <t xml:space="preserve">114 000</t>
  </si>
  <si>
    <t>387/24</t>
  </si>
  <si>
    <t xml:space="preserve">Ноутбук HP Omen 16 (Gaming)</t>
  </si>
  <si>
    <t xml:space="preserve">119 500</t>
  </si>
  <si>
    <t>№АРТ-388</t>
  </si>
  <si>
    <t xml:space="preserve">Телевизор Panasonic LX800</t>
  </si>
  <si>
    <t>АРТ_389</t>
  </si>
  <si>
    <t xml:space="preserve">телевизор PANASONIC LX800</t>
  </si>
  <si>
    <t>390-24</t>
  </si>
  <si>
    <t xml:space="preserve">Телевизор Panasonic LX800 (55")</t>
  </si>
  <si>
    <t>№АРТ-391</t>
  </si>
  <si>
    <t xml:space="preserve">Наушники Sony LinkBuds S</t>
  </si>
  <si>
    <t xml:space="preserve">18 990</t>
  </si>
  <si>
    <t>АРТ_392</t>
  </si>
  <si>
    <t xml:space="preserve">наушники SONY LINKBUDS S</t>
  </si>
  <si>
    <t>393/24</t>
  </si>
  <si>
    <t xml:space="preserve">Наушники Sony LinkBuds S (White)</t>
  </si>
  <si>
    <t xml:space="preserve">19 800</t>
  </si>
  <si>
    <t>№АРТ-394</t>
  </si>
  <si>
    <t xml:space="preserve">Монитор BenQ EW3270U</t>
  </si>
  <si>
    <t>АРТ_395</t>
  </si>
  <si>
    <t xml:space="preserve">монитор BENQ EW3270U</t>
  </si>
  <si>
    <t>396-24</t>
  </si>
  <si>
    <t xml:space="preserve">Монитор BenQ EW3270U (4K)</t>
  </si>
  <si>
    <t>№АРТ-397</t>
  </si>
  <si>
    <t xml:space="preserve">Мышь Logitech G502 X</t>
  </si>
  <si>
    <t>АРТ_398</t>
  </si>
  <si>
    <t xml:space="preserve">мышь LOGITECH G502 X</t>
  </si>
  <si>
    <t>399/24</t>
  </si>
  <si>
    <t xml:space="preserve">Мышь Logitech G502 X (Plus)</t>
  </si>
  <si>
    <t>№АРТ-400</t>
  </si>
  <si>
    <t xml:space="preserve">Смартфон Realme C55</t>
  </si>
  <si>
    <t>АРТ_401</t>
  </si>
  <si>
    <t xml:space="preserve">смартфон REALME C55</t>
  </si>
  <si>
    <t>402-24</t>
  </si>
  <si>
    <t xml:space="preserve">Смартфон Realme C55 (Black)</t>
  </si>
  <si>
    <t>№АРТ-403</t>
  </si>
  <si>
    <t xml:space="preserve">Планшет Lenovo Tab M10</t>
  </si>
  <si>
    <t>АРТ_404</t>
  </si>
  <si>
    <t xml:space="preserve">планшет LENOVO TAB M10</t>
  </si>
  <si>
    <t>405/24</t>
  </si>
  <si>
    <t xml:space="preserve">Планшет Lenovo Tab M10 (HD)</t>
  </si>
  <si>
    <t>№АРТ-406</t>
  </si>
  <si>
    <t xml:space="preserve">Телевизор LG NanoCell 75</t>
  </si>
  <si>
    <t>АРТ_407</t>
  </si>
  <si>
    <t xml:space="preserve">телевизор LG NANOCELL 75</t>
  </si>
  <si>
    <t>408-24</t>
  </si>
  <si>
    <t xml:space="preserve">Телевизор LG NanoCell 75 (65")</t>
  </si>
  <si>
    <t>№АРТ-409</t>
  </si>
  <si>
    <t xml:space="preserve">Наушники Sennheiser MOMENTUM 4</t>
  </si>
  <si>
    <t>АРТ_410</t>
  </si>
  <si>
    <t xml:space="preserve">наушники SENNHEISER MOMENTUM 4</t>
  </si>
  <si>
    <t>411/24</t>
  </si>
  <si>
    <t xml:space="preserve">Наушники Sennheiser MOMENTUM 4 (Black)</t>
  </si>
  <si>
    <t>№АРТ-412</t>
  </si>
  <si>
    <t xml:space="preserve">Монитор ViewSonic VP2458</t>
  </si>
  <si>
    <t>АРТ_413</t>
  </si>
  <si>
    <t xml:space="preserve">монитор VIEWSONIC VP2458</t>
  </si>
  <si>
    <t>414-24</t>
  </si>
  <si>
    <t xml:space="preserve">Монитор ViewSonic VP2458 (Pro)</t>
  </si>
  <si>
    <t>№АРТ-415</t>
  </si>
  <si>
    <t xml:space="preserve">Клавиатура Corsair K100 RGB</t>
  </si>
  <si>
    <t xml:space="preserve">14 990</t>
  </si>
  <si>
    <t>АРТ_416</t>
  </si>
  <si>
    <t xml:space="preserve">клавиатура CORSAIR K100 RGB</t>
  </si>
  <si>
    <t>417/24</t>
  </si>
  <si>
    <t xml:space="preserve">Клавиатура Corsair K100 RGB (OPX)</t>
  </si>
  <si>
    <t>№АРТ-418</t>
  </si>
  <si>
    <t xml:space="preserve">Смарт-часы Amazfit T-Rex 2</t>
  </si>
  <si>
    <t>Amazfit</t>
  </si>
  <si>
    <t>АРТ_419</t>
  </si>
  <si>
    <t xml:space="preserve">смарт-часы AMAZFIT T-REX 2</t>
  </si>
  <si>
    <t>amazfit</t>
  </si>
  <si>
    <t>420-24</t>
  </si>
  <si>
    <t xml:space="preserve">Смарт-часы Amazfit T-Rex 2 (Military)</t>
  </si>
  <si>
    <t>AMAZFIT</t>
  </si>
  <si>
    <t>№АРТ-421</t>
  </si>
  <si>
    <t xml:space="preserve">Ноутбук Acer Predator Helios 300</t>
  </si>
  <si>
    <t>АРТ_422</t>
  </si>
  <si>
    <t xml:space="preserve">ноутбук ACER PREDATOR HELIOS 300</t>
  </si>
  <si>
    <t>423/24</t>
  </si>
  <si>
    <t xml:space="preserve">Ноутбук Acer Predator Helios 300 (Gaming)</t>
  </si>
  <si>
    <t>№АРТ-424</t>
  </si>
  <si>
    <t xml:space="preserve">Смартфон Oppo Reno 10</t>
  </si>
  <si>
    <t>АРТ_425</t>
  </si>
  <si>
    <t xml:space="preserve">смартфон OPPO RENO 10</t>
  </si>
  <si>
    <t>426-24</t>
  </si>
  <si>
    <t xml:space="preserve">Смартфон Oppo Reno 10 (Pro)</t>
  </si>
  <si>
    <t>№АРТ-427</t>
  </si>
  <si>
    <t xml:space="preserve">Телевизор Xiaomi TV 5</t>
  </si>
  <si>
    <t>АРТ_428</t>
  </si>
  <si>
    <t xml:space="preserve">телевизор XIAOMI TV 5</t>
  </si>
  <si>
    <t>429/24</t>
  </si>
  <si>
    <t xml:space="preserve">Телевизор Xiaomi TV 5 (55")</t>
  </si>
  <si>
    <t>№АРТ-430</t>
  </si>
  <si>
    <t xml:space="preserve">Наушники Marshall Motif II</t>
  </si>
  <si>
    <t>АРТ_431</t>
  </si>
  <si>
    <t xml:space="preserve">наушники MARSHALL MOTIF II</t>
  </si>
  <si>
    <t>432-24</t>
  </si>
  <si>
    <t xml:space="preserve">Наушники Marshall Motif II (Black)</t>
  </si>
  <si>
    <t>№АРТ-433</t>
  </si>
  <si>
    <t xml:space="preserve">Монитор MSI PRO MP271</t>
  </si>
  <si>
    <t xml:space="preserve">43 990</t>
  </si>
  <si>
    <t>АРТ_434</t>
  </si>
  <si>
    <t xml:space="preserve">монитор MSI PRO MP271</t>
  </si>
  <si>
    <t>435/24</t>
  </si>
  <si>
    <t xml:space="preserve">Монитор MSI PRO MP271 (Business)</t>
  </si>
  <si>
    <t xml:space="preserve">29 500</t>
  </si>
  <si>
    <t>№АРТ-436</t>
  </si>
  <si>
    <t xml:space="preserve">Колонка Sony SRS-XB13</t>
  </si>
  <si>
    <t>АРТ_437</t>
  </si>
  <si>
    <t xml:space="preserve">колонка SONY SRS-XB13</t>
  </si>
  <si>
    <t>438-24</t>
  </si>
  <si>
    <t xml:space="preserve">Колонка Sony SRS-XB13 (Blue)</t>
  </si>
  <si>
    <t>№АРТ-439</t>
  </si>
  <si>
    <t xml:space="preserve">Планшет Honor Pad 8</t>
  </si>
  <si>
    <t>АРТ_440</t>
  </si>
  <si>
    <t xml:space="preserve">планшет HONOR PAD 8</t>
  </si>
  <si>
    <t>441/24</t>
  </si>
  <si>
    <t xml:space="preserve">Планшет Honor Pad 8 (Wi-Fi)</t>
  </si>
  <si>
    <t>№АРТ-442</t>
  </si>
  <si>
    <t xml:space="preserve">Смартфон Vivo Y100</t>
  </si>
  <si>
    <t>АРТ_443</t>
  </si>
  <si>
    <t xml:space="preserve">смартфон VIVO Y100</t>
  </si>
  <si>
    <t>444-24</t>
  </si>
  <si>
    <t xml:space="preserve">Смартфон Vivo Y100 (Black)</t>
  </si>
  <si>
    <t>№АРТ-445</t>
  </si>
  <si>
    <t xml:space="preserve">Ноутбук Framework Laptop 16</t>
  </si>
  <si>
    <t xml:space="preserve">141 990</t>
  </si>
  <si>
    <t>АРТ_446</t>
  </si>
  <si>
    <t xml:space="preserve">ноутбук FRAMEWORK LAPTOP 16</t>
  </si>
  <si>
    <t xml:space="preserve">139 000</t>
  </si>
  <si>
    <t>447/24</t>
  </si>
  <si>
    <t xml:space="preserve">Ноутбук Framework Laptop 16 (Gaming)</t>
  </si>
  <si>
    <t xml:space="preserve">144 500</t>
  </si>
  <si>
    <t>№АРТ-448</t>
  </si>
  <si>
    <t xml:space="preserve">Телевизор Philips 50PUS8507</t>
  </si>
  <si>
    <t xml:space="preserve">73 990</t>
  </si>
  <si>
    <t>АРТ_449</t>
  </si>
  <si>
    <t xml:space="preserve">телевизор PHILIPS 50PUS8507</t>
  </si>
  <si>
    <t>450-24</t>
  </si>
  <si>
    <t xml:space="preserve">Телевизор Philips 50PUS8507 (The One)</t>
  </si>
  <si>
    <t>№АРТ-451</t>
  </si>
  <si>
    <t xml:space="preserve">Наушники Apple AirPods Max</t>
  </si>
  <si>
    <t>АРТ_452</t>
  </si>
  <si>
    <t xml:space="preserve">наушники APPLE AIRPODS MAX</t>
  </si>
  <si>
    <t>453/24</t>
  </si>
  <si>
    <t xml:space="preserve">Наушники Apple AirPods Max (Silver)</t>
  </si>
  <si>
    <t>№АРТ-454</t>
  </si>
  <si>
    <t xml:space="preserve">Монитор Samsung Odyssey G7</t>
  </si>
  <si>
    <t xml:space="preserve">74 990</t>
  </si>
  <si>
    <t>АРТ_455</t>
  </si>
  <si>
    <t xml:space="preserve">монитор SAMSUNG ODYSSEY G7</t>
  </si>
  <si>
    <t>456-24</t>
  </si>
  <si>
    <t xml:space="preserve">Монитор Samsung Odyssey G7 (Curved)</t>
  </si>
  <si>
    <t>№АРТ-457</t>
  </si>
  <si>
    <t xml:space="preserve">Клавиатура Ducky One 2 Mini</t>
  </si>
  <si>
    <t>АРТ_458</t>
  </si>
  <si>
    <t xml:space="preserve">клавиатура DUCKY ONE 2 MINI</t>
  </si>
  <si>
    <t>459/24</t>
  </si>
  <si>
    <t xml:space="preserve">Клавиатура Ducky One 2 Mini (RGB)</t>
  </si>
  <si>
    <t>№АРТ-460</t>
  </si>
  <si>
    <t xml:space="preserve">Смарт-часы Garmin Instinct 2</t>
  </si>
  <si>
    <t>АРТ_461</t>
  </si>
  <si>
    <t xml:space="preserve">смарт-часы GARMIN INSTINCT 2</t>
  </si>
  <si>
    <t>462-24</t>
  </si>
  <si>
    <t xml:space="preserve">Смарт-часы Garmin Instinct 2 (Solar)</t>
  </si>
  <si>
    <t>№АРТ-463</t>
  </si>
  <si>
    <t xml:space="preserve">Планшет Amazon Fire Max 11</t>
  </si>
  <si>
    <t>АРТ_464</t>
  </si>
  <si>
    <t xml:space="preserve">планшет AMAZON FIRE MAX 11</t>
  </si>
  <si>
    <t>465/24</t>
  </si>
  <si>
    <t xml:space="preserve">Планшет Amazon Fire Max 11 (Pro)</t>
  </si>
  <si>
    <t>№АРТ-466</t>
  </si>
  <si>
    <t xml:space="preserve">Смартфон Nokia G60</t>
  </si>
  <si>
    <t>АРТ_467</t>
  </si>
  <si>
    <t xml:space="preserve">смартфон NOKIA G60</t>
  </si>
  <si>
    <t>468-24</t>
  </si>
  <si>
    <t xml:space="preserve">Смартфон Nokia G60 (Black)</t>
  </si>
  <si>
    <t>№АРТ-469</t>
  </si>
  <si>
    <t xml:space="preserve">Телевизор Hisense E7K</t>
  </si>
  <si>
    <t xml:space="preserve">58 990</t>
  </si>
  <si>
    <t>АРТ_470</t>
  </si>
  <si>
    <t xml:space="preserve">телевизор HISENSE E7K</t>
  </si>
  <si>
    <t>471/24</t>
  </si>
  <si>
    <t xml:space="preserve">Телевизор Hisense E7K (55")</t>
  </si>
  <si>
    <t xml:space="preserve">61 000</t>
  </si>
  <si>
    <t>№АРТ-472</t>
  </si>
  <si>
    <t xml:space="preserve">Наушники Sony WF-C500</t>
  </si>
  <si>
    <t>АРТ_473</t>
  </si>
  <si>
    <t xml:space="preserve">наушники SONY WF-C500</t>
  </si>
  <si>
    <t>474-24</t>
  </si>
  <si>
    <t xml:space="preserve">Наушники Sony WF-C500 (Black)</t>
  </si>
  <si>
    <t>№АРТ-475</t>
  </si>
  <si>
    <t xml:space="preserve">Монитор LG 27GN800</t>
  </si>
  <si>
    <t xml:space="preserve">52 990</t>
  </si>
  <si>
    <t>АРТ_476</t>
  </si>
  <si>
    <t xml:space="preserve">монитор LG 27GN800</t>
  </si>
  <si>
    <t>477/24</t>
  </si>
  <si>
    <t xml:space="preserve">Монитор LG 27GN800 (Gaming)</t>
  </si>
  <si>
    <t>№АРТ-478</t>
  </si>
  <si>
    <t xml:space="preserve">Колонка Marshall Emberton II</t>
  </si>
  <si>
    <t>АРТ_479</t>
  </si>
  <si>
    <t xml:space="preserve">колонка MARSHALL EMBERTON II</t>
  </si>
  <si>
    <t>480-24</t>
  </si>
  <si>
    <t xml:space="preserve">Колонка Marshall Emberton II (Black)</t>
  </si>
  <si>
    <t>№АРТ-481</t>
  </si>
  <si>
    <t xml:space="preserve">Планшет Huawei MatePad 11</t>
  </si>
  <si>
    <t>АРТ_482</t>
  </si>
  <si>
    <t xml:space="preserve">планшет HUAWEI MATEPAD 11</t>
  </si>
  <si>
    <t>483/24</t>
  </si>
  <si>
    <t xml:space="preserve">Планшет Huawei MatePad 11 (2023)</t>
  </si>
  <si>
    <t>№АРТ-484</t>
  </si>
  <si>
    <t xml:space="preserve">Смартфон Google Pixel 6a</t>
  </si>
  <si>
    <t xml:space="preserve">33 990</t>
  </si>
  <si>
    <t>АРТ_485</t>
  </si>
  <si>
    <t xml:space="preserve">смартфон GOOGLE PIXEL 6A</t>
  </si>
  <si>
    <t>486-24</t>
  </si>
  <si>
    <t xml:space="preserve">Смартфон Google Pixel 6a (Charcoal)</t>
  </si>
  <si>
    <t>№АРТ-487</t>
  </si>
  <si>
    <t xml:space="preserve">Ноутбук Dell XPS 13</t>
  </si>
  <si>
    <t>АРТ_488</t>
  </si>
  <si>
    <t xml:space="preserve">ноутбук DELL XPS 13</t>
  </si>
  <si>
    <t>489/24</t>
  </si>
  <si>
    <t xml:space="preserve">Ноутбук Dell XPS 13 (Plus)</t>
  </si>
  <si>
    <t>№АРТ-490</t>
  </si>
  <si>
    <t xml:space="preserve">Телевизор Sony X75L</t>
  </si>
  <si>
    <t xml:space="preserve">61 990</t>
  </si>
  <si>
    <t>АРТ_491</t>
  </si>
  <si>
    <t xml:space="preserve">телевизор SONY X75L</t>
  </si>
  <si>
    <t>492-24</t>
  </si>
  <si>
    <t xml:space="preserve">Телевизор Sony X75L (50")</t>
  </si>
  <si>
    <t>№АРТ-493</t>
  </si>
  <si>
    <t xml:space="preserve">Наушники Sennheiser HD 450BT</t>
  </si>
  <si>
    <t>АРТ_494</t>
  </si>
  <si>
    <t xml:space="preserve">наушники SENNHEISER HD 450BT</t>
  </si>
  <si>
    <t>495/24</t>
  </si>
  <si>
    <t xml:space="preserve">Наушники Sennheiser HD 450BT (Black)</t>
  </si>
  <si>
    <t>№АРТ-496</t>
  </si>
  <si>
    <t xml:space="preserve">Монитор ASUS TUF VG32VQ</t>
  </si>
  <si>
    <t>АРТ_497</t>
  </si>
  <si>
    <t xml:space="preserve">монитор ASUS TUF VG32VQ</t>
  </si>
  <si>
    <t>498-24</t>
  </si>
  <si>
    <t xml:space="preserve">Монитор ASUS TUF VG32VQ (Curved)</t>
  </si>
  <si>
    <t>№АРТ-499</t>
  </si>
  <si>
    <t xml:space="preserve">Клавиатура Logitech POP Keys</t>
  </si>
  <si>
    <t>АРТ_500</t>
  </si>
  <si>
    <t xml:space="preserve">клавиатура LOGITECH POP KEYS</t>
  </si>
  <si>
    <t>501/24</t>
  </si>
  <si>
    <t xml:space="preserve">Клавиатура Logitech POP Keys (Pink)</t>
  </si>
  <si>
    <t xml:space="preserve">Исходные данные «как есть». Все листы очистки ссылаются на этот лист формулами.</t>
  </si>
  <si>
    <t>ИНН</t>
  </si>
  <si>
    <t>Телефон</t>
  </si>
  <si>
    <t>Адрес</t>
  </si>
  <si>
    <t>P001</t>
  </si>
  <si>
    <t xml:space="preserve">ООО ТехноСнаб</t>
  </si>
  <si>
    <t>7708123456</t>
  </si>
  <si>
    <t>770801001</t>
  </si>
  <si>
    <t>8-903-123-45-67</t>
  </si>
  <si>
    <t>info@tehnosnab.ru</t>
  </si>
  <si>
    <t xml:space="preserve">125009 г.Москва ул.Тверская д.15</t>
  </si>
  <si>
    <t>P002</t>
  </si>
  <si>
    <t xml:space="preserve">ЗАО ЭлектроПром</t>
  </si>
  <si>
    <t>7812345678123</t>
  </si>
  <si>
    <t>781201001</t>
  </si>
  <si>
    <t xml:space="preserve">+7 903 234-56-78</t>
  </si>
  <si>
    <t>zakaz@electroprom</t>
  </si>
  <si>
    <t xml:space="preserve">191186 г.Санкт-Петербург Невский пр.д.28</t>
  </si>
  <si>
    <t>P003</t>
  </si>
  <si>
    <t xml:space="preserve">ООО КомплектСервис</t>
  </si>
  <si>
    <t>77098765</t>
  </si>
  <si>
    <t>770901001</t>
  </si>
  <si>
    <t xml:space="preserve">8 903 345 67 89</t>
  </si>
  <si>
    <t>komplekt@mail.ru</t>
  </si>
  <si>
    <t xml:space="preserve">127006 г.Москва ул.Петровка д.20</t>
  </si>
  <si>
    <t>P004</t>
  </si>
  <si>
    <t xml:space="preserve">АО ТехноИмпорт</t>
  </si>
  <si>
    <t>7712345678</t>
  </si>
  <si>
    <t>771001001</t>
  </si>
  <si>
    <t>+79034567890</t>
  </si>
  <si>
    <t>import@techno</t>
  </si>
  <si>
    <t xml:space="preserve">119019 г.Москва ул.Арбат д.12</t>
  </si>
  <si>
    <t>P005</t>
  </si>
  <si>
    <t xml:space="preserve">ООО ТоргМастер</t>
  </si>
  <si>
    <t>7801234567890</t>
  </si>
  <si>
    <t>780101001</t>
  </si>
  <si>
    <t>8-903-567-89-01</t>
  </si>
  <si>
    <t>torg@master</t>
  </si>
  <si>
    <t xml:space="preserve">192007 г.Санкт-Петербург пр.Обуховской Обороны д.120</t>
  </si>
  <si>
    <t>P006</t>
  </si>
  <si>
    <t xml:space="preserve">ЗАО Техноресурс</t>
  </si>
  <si>
    <t>77134567</t>
  </si>
  <si>
    <t>771101001</t>
  </si>
  <si>
    <t>8-903-678-90-12</t>
  </si>
  <si>
    <t>resurs@techno.ru</t>
  </si>
  <si>
    <t xml:space="preserve">119121 г.Москва ул.Плющиха д.25</t>
  </si>
  <si>
    <t>P007</t>
  </si>
  <si>
    <t xml:space="preserve">ООО ПрогрессПлюс</t>
  </si>
  <si>
    <t>7802345678</t>
  </si>
  <si>
    <t>780201001</t>
  </si>
  <si>
    <t xml:space="preserve">+7 903 789-01-23</t>
  </si>
  <si>
    <t>progress@mail</t>
  </si>
  <si>
    <t xml:space="preserve">197022 г.Санкт-Петербург ул.Профессора Попова д.37</t>
  </si>
  <si>
    <t>P008</t>
  </si>
  <si>
    <t xml:space="preserve">АО ЭлектронСбыт</t>
  </si>
  <si>
    <t>771456789012</t>
  </si>
  <si>
    <t>771201001</t>
  </si>
  <si>
    <t>8-903-890-12-34</t>
  </si>
  <si>
    <t>electron@sbyt</t>
  </si>
  <si>
    <t xml:space="preserve">109316 г.Москва ул.Таганская д.54</t>
  </si>
  <si>
    <t>P009</t>
  </si>
  <si>
    <t xml:space="preserve">ООО СмартТех</t>
  </si>
  <si>
    <t>7803456789</t>
  </si>
  <si>
    <t>780301001</t>
  </si>
  <si>
    <t>+79039012345</t>
  </si>
  <si>
    <t>smart@tech</t>
  </si>
  <si>
    <t xml:space="preserve">196084 г.Санкт-Петербург ул.Заставская д.22</t>
  </si>
  <si>
    <t>P010</t>
  </si>
  <si>
    <t xml:space="preserve">ЗАО ТехноПром</t>
  </si>
  <si>
    <t>7715678901</t>
  </si>
  <si>
    <t>771301001</t>
  </si>
  <si>
    <t>8-903-012-34-56</t>
  </si>
  <si>
    <t>prom@tehno</t>
  </si>
  <si>
    <t xml:space="preserve">119334 г.Москва ул.Косыгина д.17</t>
  </si>
  <si>
    <t>P011</t>
  </si>
  <si>
    <t xml:space="preserve">ООО СервисПлюс</t>
  </si>
  <si>
    <t>78045678</t>
  </si>
  <si>
    <t>780401001</t>
  </si>
  <si>
    <t>service@plus.ru</t>
  </si>
  <si>
    <t xml:space="preserve">199178 г.Санкт-Петербург ул.Средний пр.В.О.д.78</t>
  </si>
  <si>
    <t>P012</t>
  </si>
  <si>
    <t xml:space="preserve">АО ТехноТрейд</t>
  </si>
  <si>
    <t>7716789012</t>
  </si>
  <si>
    <t>771401001</t>
  </si>
  <si>
    <t>89032345678</t>
  </si>
  <si>
    <t>trade@tehno</t>
  </si>
  <si>
    <t xml:space="preserve">107113 г.Москва ул.Сокольнический вал д.3</t>
  </si>
  <si>
    <t>P013</t>
  </si>
  <si>
    <t xml:space="preserve">ООО РесурсСнаб</t>
  </si>
  <si>
    <t>7805678901234</t>
  </si>
  <si>
    <t>780501001</t>
  </si>
  <si>
    <t>+7-903-345-67-89</t>
  </si>
  <si>
    <t>resurs_snab@mail</t>
  </si>
  <si>
    <t xml:space="preserve">196247 г.Санкт-Петербург ул.Ленина д.45</t>
  </si>
  <si>
    <t>P014</t>
  </si>
  <si>
    <t xml:space="preserve">ЗАО ТехноСервис</t>
  </si>
  <si>
    <t>7717890123</t>
  </si>
  <si>
    <t>771501001</t>
  </si>
  <si>
    <t>8-903-456-78-90</t>
  </si>
  <si>
    <t>service@tehno</t>
  </si>
  <si>
    <t xml:space="preserve">109147 г.Москва ул.Марксистская д.30</t>
  </si>
  <si>
    <t>P015</t>
  </si>
  <si>
    <t xml:space="preserve">ООО Электротехника</t>
  </si>
  <si>
    <t>7806789012</t>
  </si>
  <si>
    <t>780601001</t>
  </si>
  <si>
    <t>+7-903-567-89-01</t>
  </si>
  <si>
    <t>electro@tehnika</t>
  </si>
  <si>
    <t xml:space="preserve">192236 г.Санкт-Петербург ул.Софийская д.55</t>
  </si>
  <si>
    <t>P016</t>
  </si>
  <si>
    <t xml:space="preserve">АО ПрофТехно</t>
  </si>
  <si>
    <t>7718901234</t>
  </si>
  <si>
    <t>771601001</t>
  </si>
  <si>
    <t>prof@tehno</t>
  </si>
  <si>
    <t xml:space="preserve">109052 г.Москва ул.Смирновская д.8</t>
  </si>
  <si>
    <t>P017</t>
  </si>
  <si>
    <t xml:space="preserve">ООО ТехноКомплект</t>
  </si>
  <si>
    <t>7807890</t>
  </si>
  <si>
    <t>780701001</t>
  </si>
  <si>
    <t>komplekt@tehno</t>
  </si>
  <si>
    <t xml:space="preserve">193079 г.Санкт-Петербург ул.Новоселов д.12</t>
  </si>
  <si>
    <t>P018</t>
  </si>
  <si>
    <t xml:space="preserve">ЗАО Инновация</t>
  </si>
  <si>
    <t>7719012345</t>
  </si>
  <si>
    <t>771701001</t>
  </si>
  <si>
    <t>innov@mail</t>
  </si>
  <si>
    <t xml:space="preserve">109004 г.Москва ул.Земляной вал д.42</t>
  </si>
  <si>
    <t>P019</t>
  </si>
  <si>
    <t xml:space="preserve">ООО ЭлектроПром</t>
  </si>
  <si>
    <t>780890123456</t>
  </si>
  <si>
    <t>780801001</t>
  </si>
  <si>
    <t xml:space="preserve">+7 903 901-23-45</t>
  </si>
  <si>
    <t>electro_prom@mail</t>
  </si>
  <si>
    <t xml:space="preserve">194100 г.Санкт-Петербург ул.Кантемировская д.18</t>
  </si>
  <si>
    <t>P020</t>
  </si>
  <si>
    <t xml:space="preserve">АО ТехноИнвест</t>
  </si>
  <si>
    <t>7720123456</t>
  </si>
  <si>
    <t>771801001</t>
  </si>
  <si>
    <t>invest@tehno</t>
  </si>
  <si>
    <t xml:space="preserve">109380 г.Москва ул.Люблинская д.75</t>
  </si>
  <si>
    <t>P021</t>
  </si>
  <si>
    <t xml:space="preserve">ООО ТехноПарк</t>
  </si>
  <si>
    <t>7809012345</t>
  </si>
  <si>
    <t>780901001</t>
  </si>
  <si>
    <t>+7-903-123-45-67</t>
  </si>
  <si>
    <t>park@tehno</t>
  </si>
  <si>
    <t xml:space="preserve">191040 г.Санкт-Петербург ул.Коломенская д.29</t>
  </si>
  <si>
    <t>P022</t>
  </si>
  <si>
    <t xml:space="preserve">ЗАО ТехноЦентр</t>
  </si>
  <si>
    <t>7721234567</t>
  </si>
  <si>
    <t>771901001</t>
  </si>
  <si>
    <t>8-903-234-56-78</t>
  </si>
  <si>
    <t>center@tehno</t>
  </si>
  <si>
    <t xml:space="preserve">107031 г.Москва ул.Рождественка д.10</t>
  </si>
  <si>
    <t>P023</t>
  </si>
  <si>
    <t xml:space="preserve">ООО ТехноСбыт</t>
  </si>
  <si>
    <t>78101234</t>
  </si>
  <si>
    <t>781001001</t>
  </si>
  <si>
    <t>sbyt@tehno</t>
  </si>
  <si>
    <t xml:space="preserve">195009 г.Санкт-Петербург ул.Комсомола д.21</t>
  </si>
  <si>
    <t>P024</t>
  </si>
  <si>
    <t xml:space="preserve">АО ТехноГарант</t>
  </si>
  <si>
    <t>7722345678</t>
  </si>
  <si>
    <t>772001001</t>
  </si>
  <si>
    <t>garant@tehno</t>
  </si>
  <si>
    <t xml:space="preserve">119071 г.Москва ул.Ленинский пр.д.15</t>
  </si>
  <si>
    <t>P025</t>
  </si>
  <si>
    <t xml:space="preserve">ООО ТехноЭкспо</t>
  </si>
  <si>
    <t>7811234567890</t>
  </si>
  <si>
    <t>781101001</t>
  </si>
  <si>
    <t xml:space="preserve">+7 903 567-89-01</t>
  </si>
  <si>
    <t>expo@tehno</t>
  </si>
  <si>
    <t xml:space="preserve">198095 г.Санкт-Петербург ул.Балтийская д.43</t>
  </si>
  <si>
    <t>P026</t>
  </si>
  <si>
    <t xml:space="preserve">ЗАО ТехноМаркет</t>
  </si>
  <si>
    <t>77234567</t>
  </si>
  <si>
    <t>772101001</t>
  </si>
  <si>
    <t>market@tehno</t>
  </si>
  <si>
    <t xml:space="preserve">125040 г.Москва ул.Нижняя Масловка д.5</t>
  </si>
  <si>
    <t>P027</t>
  </si>
  <si>
    <t xml:space="preserve">ООО ТехноПромТех</t>
  </si>
  <si>
    <t>7812345678</t>
  </si>
  <si>
    <t>+7-903-789-01-23</t>
  </si>
  <si>
    <t>promteh@mail</t>
  </si>
  <si>
    <t xml:space="preserve">192012 г.Санкт-Петербург ул.Заневский пр.д.32</t>
  </si>
  <si>
    <t>P028</t>
  </si>
  <si>
    <t xml:space="preserve">АО ТехноЛогистик</t>
  </si>
  <si>
    <t>772456789012</t>
  </si>
  <si>
    <t>772201001</t>
  </si>
  <si>
    <t>logistik@tehno</t>
  </si>
  <si>
    <t xml:space="preserve">109544 г.Москва ул.Б.Семеновская д.38</t>
  </si>
  <si>
    <t>P029</t>
  </si>
  <si>
    <t xml:space="preserve">ООО ТехноСтандарт</t>
  </si>
  <si>
    <t>7813456789</t>
  </si>
  <si>
    <t>781301001</t>
  </si>
  <si>
    <t>+7-903-901-23-45</t>
  </si>
  <si>
    <t>standart@tehno</t>
  </si>
  <si>
    <t xml:space="preserve">197376 г.Санкт-Петербург ул.Пионерская д.9</t>
  </si>
  <si>
    <t>P030</t>
  </si>
  <si>
    <t xml:space="preserve">ЗАО ТехноСтиль</t>
  </si>
  <si>
    <t>7725678901</t>
  </si>
  <si>
    <t>772301001</t>
  </si>
  <si>
    <t>style@tehno</t>
  </si>
  <si>
    <t xml:space="preserve">119146 г.Москва ул.Фрунзенская д.50</t>
  </si>
  <si>
    <t>P031</t>
  </si>
  <si>
    <t xml:space="preserve">ООО ТехноПоставка</t>
  </si>
  <si>
    <t>78145678</t>
  </si>
  <si>
    <t>781401001</t>
  </si>
  <si>
    <t xml:space="preserve">+7 903 123-45-67</t>
  </si>
  <si>
    <t>postavka@tehno</t>
  </si>
  <si>
    <t xml:space="preserve">190121 г.Санкт-Петербург ул.Курляндская д.27</t>
  </si>
  <si>
    <t>P032</t>
  </si>
  <si>
    <t xml:space="preserve">АО ТехноСфера</t>
  </si>
  <si>
    <t>7726789012</t>
  </si>
  <si>
    <t>772401001</t>
  </si>
  <si>
    <t>sfera@tehno</t>
  </si>
  <si>
    <t xml:space="preserve">111123 г.Москва ул.Электродная д.11</t>
  </si>
  <si>
    <t>P033</t>
  </si>
  <si>
    <t xml:space="preserve">ООО ТехноСистема</t>
  </si>
  <si>
    <t>7815678901234</t>
  </si>
  <si>
    <t>781501001</t>
  </si>
  <si>
    <t>sistema@tehno</t>
  </si>
  <si>
    <t xml:space="preserve">198332 г.Санкт-Петербург ул.Краснопутиловская д.65</t>
  </si>
  <si>
    <t>P034</t>
  </si>
  <si>
    <t xml:space="preserve">ЗАО ТехноТранс</t>
  </si>
  <si>
    <t>7727890123</t>
  </si>
  <si>
    <t>772501001</t>
  </si>
  <si>
    <t>trans@tehno</t>
  </si>
  <si>
    <t xml:space="preserve">107014 г.Москва ул.Малая Почтовая д.2</t>
  </si>
  <si>
    <t>P035</t>
  </si>
  <si>
    <t xml:space="preserve">ООО ТехноЭнерго</t>
  </si>
  <si>
    <t>7816789012</t>
  </si>
  <si>
    <t>781601001</t>
  </si>
  <si>
    <t>energo@tehno</t>
  </si>
  <si>
    <t xml:space="preserve">191123 г.Санкт-Петербург ул.Шпалерная д.54</t>
  </si>
  <si>
    <t>P036</t>
  </si>
  <si>
    <t xml:space="preserve">АО ТехноИзмерение</t>
  </si>
  <si>
    <t>7728901234</t>
  </si>
  <si>
    <t>772601001</t>
  </si>
  <si>
    <t>izmerenie@tehno</t>
  </si>
  <si>
    <t xml:space="preserve">109028 г.Москва ул.Тургеневская д.17</t>
  </si>
  <si>
    <t>P037</t>
  </si>
  <si>
    <t xml:space="preserve">ООО ТехноИнжиниринг</t>
  </si>
  <si>
    <t>7817890</t>
  </si>
  <si>
    <t>781701001</t>
  </si>
  <si>
    <t>ingenering@tehno</t>
  </si>
  <si>
    <t xml:space="preserve">197198 г.Санкт-Петербург ул.Большая Зеленина д.42</t>
  </si>
  <si>
    <t>P038</t>
  </si>
  <si>
    <t xml:space="preserve">ЗАО ТехноЦифра</t>
  </si>
  <si>
    <t>7729012345</t>
  </si>
  <si>
    <t>772701001</t>
  </si>
  <si>
    <t>cifra@tehno</t>
  </si>
  <si>
    <t xml:space="preserve">119048 г.Москва ул.Усачева д.35</t>
  </si>
  <si>
    <t>P039</t>
  </si>
  <si>
    <t xml:space="preserve">ООО ТехноСпектр</t>
  </si>
  <si>
    <t>781890123456</t>
  </si>
  <si>
    <t>781801001</t>
  </si>
  <si>
    <t>spektr@tehno</t>
  </si>
  <si>
    <t xml:space="preserve">192102 г.Санкт-Петербург ул.Бухарестская д.22</t>
  </si>
  <si>
    <t>P040</t>
  </si>
  <si>
    <t xml:space="preserve">АО ТехноФорум</t>
  </si>
  <si>
    <t>7730123456</t>
  </si>
  <si>
    <t>772801001</t>
  </si>
  <si>
    <t>forum@tehno</t>
  </si>
  <si>
    <t xml:space="preserve">109240 г.Москва ул.Гончарная д.18</t>
  </si>
  <si>
    <t>P041</t>
  </si>
  <si>
    <t xml:space="preserve">ООО ТехноХолод</t>
  </si>
  <si>
    <t>7819012345</t>
  </si>
  <si>
    <t>781901001</t>
  </si>
  <si>
    <t>holod@tehno</t>
  </si>
  <si>
    <t xml:space="preserve">196191 г.Санкт-Петербург ул.Бассейная д.63</t>
  </si>
  <si>
    <t>P042</t>
  </si>
  <si>
    <t xml:space="preserve">ЗАО ТехноРесурс</t>
  </si>
  <si>
    <t>7731234567</t>
  </si>
  <si>
    <t>772901001</t>
  </si>
  <si>
    <t>resurs_tehno@mail</t>
  </si>
  <si>
    <t xml:space="preserve">115114 г.Москва ул.Дербеневская д.17</t>
  </si>
  <si>
    <t>P043</t>
  </si>
  <si>
    <t xml:space="preserve">ООО ТехноДизайн</t>
  </si>
  <si>
    <t>78201234</t>
  </si>
  <si>
    <t>782001001</t>
  </si>
  <si>
    <t>design@tehno</t>
  </si>
  <si>
    <t xml:space="preserve">194292 г.Санкт-Петербург ул.Светлановский пр.д.62</t>
  </si>
  <si>
    <t>P044</t>
  </si>
  <si>
    <t xml:space="preserve">АО ТехноАльянс</t>
  </si>
  <si>
    <t>7732345678</t>
  </si>
  <si>
    <t>773001001</t>
  </si>
  <si>
    <t>aljans@tehno</t>
  </si>
  <si>
    <t xml:space="preserve">127018 г.Москва ул.Полковая д.3</t>
  </si>
  <si>
    <t>P045</t>
  </si>
  <si>
    <t xml:space="preserve">ООО ТехноПартнер</t>
  </si>
  <si>
    <t>7821234567890</t>
  </si>
  <si>
    <t>782101001</t>
  </si>
  <si>
    <t>partner@tehno</t>
  </si>
  <si>
    <t xml:space="preserve">190000 г.Санкт-Петербург ул.Большая Морская д.18</t>
  </si>
  <si>
    <t>P046</t>
  </si>
  <si>
    <t xml:space="preserve">ЗАО ТехноКомфорт</t>
  </si>
  <si>
    <t>77334567</t>
  </si>
  <si>
    <t>773101001</t>
  </si>
  <si>
    <t>komfort@tehno</t>
  </si>
  <si>
    <t xml:space="preserve">117312 г.Москва ул.Вавилова д.65</t>
  </si>
  <si>
    <t>P047</t>
  </si>
  <si>
    <t xml:space="preserve">ООО ТехноСтрой</t>
  </si>
  <si>
    <t>7822345678</t>
  </si>
  <si>
    <t>782201001</t>
  </si>
  <si>
    <t>stroy@tehno</t>
  </si>
  <si>
    <t xml:space="preserve">193231 г.Санкт-Петербург ул.Дыбенко д.14</t>
  </si>
  <si>
    <t>P048</t>
  </si>
  <si>
    <t xml:space="preserve">АО ТехноАвтоматика</t>
  </si>
  <si>
    <t>773456789012</t>
  </si>
  <si>
    <t>773201001</t>
  </si>
  <si>
    <t>avtomatika@tehno</t>
  </si>
  <si>
    <t xml:space="preserve">109012 г.Москва ул.Никольская д.8</t>
  </si>
  <si>
    <t>P049</t>
  </si>
  <si>
    <t xml:space="preserve">ООО ТехноКонтроль</t>
  </si>
  <si>
    <t>7823456789</t>
  </si>
  <si>
    <t>782301001</t>
  </si>
  <si>
    <t>kontrol@tehno</t>
  </si>
  <si>
    <t xml:space="preserve">194044 г.Санкт-Петербург ул.Смолячкова д.7</t>
  </si>
  <si>
    <t>P050</t>
  </si>
  <si>
    <t xml:space="preserve">ЗАО ТехноПроект</t>
  </si>
  <si>
    <t>7735678901</t>
  </si>
  <si>
    <t>773301001</t>
  </si>
  <si>
    <t>proekt@tehno</t>
  </si>
  <si>
    <t xml:space="preserve">119435 г.Москва ул.Погодинская д.18</t>
  </si>
  <si>
    <t>Цена_продажи</t>
  </si>
  <si>
    <t>01/15/2025</t>
  </si>
  <si>
    <t>№АРТ-045</t>
  </si>
  <si>
    <t>2</t>
  </si>
  <si>
    <t>$100</t>
  </si>
  <si>
    <t>C0001</t>
  </si>
  <si>
    <t>АРТ_112</t>
  </si>
  <si>
    <t>1</t>
  </si>
  <si>
    <t>€85</t>
  </si>
  <si>
    <t>C0002</t>
  </si>
  <si>
    <t>01/16/2025</t>
  </si>
  <si>
    <t xml:space="preserve">3 шт.</t>
  </si>
  <si>
    <t xml:space="preserve">7500 ₽</t>
  </si>
  <si>
    <t>C0003</t>
  </si>
  <si>
    <t>№АРТ-234</t>
  </si>
  <si>
    <t>-1</t>
  </si>
  <si>
    <t>$110</t>
  </si>
  <si>
    <t>C0004</t>
  </si>
  <si>
    <t>01/17/2025</t>
  </si>
  <si>
    <t>АРТ_067</t>
  </si>
  <si>
    <t xml:space="preserve">2 шт</t>
  </si>
  <si>
    <t>€90</t>
  </si>
  <si>
    <t>C0005</t>
  </si>
  <si>
    <t xml:space="preserve">8000 ₽</t>
  </si>
  <si>
    <t>C0006</t>
  </si>
  <si>
    <t>01/18/2025</t>
  </si>
  <si>
    <t>№АРТ-389</t>
  </si>
  <si>
    <t>3</t>
  </si>
  <si>
    <t>$105</t>
  </si>
  <si>
    <t>C0007</t>
  </si>
  <si>
    <t>АРТ_156</t>
  </si>
  <si>
    <t>€95</t>
  </si>
  <si>
    <t>C0008</t>
  </si>
  <si>
    <t>01/19/2025</t>
  </si>
  <si>
    <t>251/24</t>
  </si>
  <si>
    <t xml:space="preserve">1 шт.</t>
  </si>
  <si>
    <t xml:space="preserve">6500 ₽</t>
  </si>
  <si>
    <t>C0009</t>
  </si>
  <si>
    <t>№АРТ-023</t>
  </si>
  <si>
    <t>-2</t>
  </si>
  <si>
    <t>$115</t>
  </si>
  <si>
    <t>C0010</t>
  </si>
  <si>
    <t>01/20/2025</t>
  </si>
  <si>
    <t>АРТ_478</t>
  </si>
  <si>
    <t>€80</t>
  </si>
  <si>
    <t>C0011</t>
  </si>
  <si>
    <t>045-24</t>
  </si>
  <si>
    <t xml:space="preserve">8500 ₽</t>
  </si>
  <si>
    <t>C0012</t>
  </si>
  <si>
    <t>01/21/2025</t>
  </si>
  <si>
    <t>№АРТ-189</t>
  </si>
  <si>
    <t>$130</t>
  </si>
  <si>
    <t>C0013</t>
  </si>
  <si>
    <t>АРТ_334</t>
  </si>
  <si>
    <t>€110</t>
  </si>
  <si>
    <t>C0014</t>
  </si>
  <si>
    <t>01/22/2025</t>
  </si>
  <si>
    <t>126/24</t>
  </si>
  <si>
    <t xml:space="preserve">9500 ₽</t>
  </si>
  <si>
    <t>C0015</t>
  </si>
  <si>
    <t>$95</t>
  </si>
  <si>
    <t>C0016</t>
  </si>
  <si>
    <t>01/23/2025</t>
  </si>
  <si>
    <t>АРТ_057</t>
  </si>
  <si>
    <t>€75</t>
  </si>
  <si>
    <t>C0017</t>
  </si>
  <si>
    <t>394-24</t>
  </si>
  <si>
    <t xml:space="preserve">7000 ₽</t>
  </si>
  <si>
    <t>C0018</t>
  </si>
  <si>
    <t>01/24/2025</t>
  </si>
  <si>
    <t>№АРТ-278</t>
  </si>
  <si>
    <t>$140</t>
  </si>
  <si>
    <t>C0019</t>
  </si>
  <si>
    <t>АРТ_193</t>
  </si>
  <si>
    <t>€120</t>
  </si>
  <si>
    <t>C0020</t>
  </si>
  <si>
    <t>01/25/2025</t>
  </si>
  <si>
    <t>149/24</t>
  </si>
  <si>
    <t xml:space="preserve">10000 ₽</t>
  </si>
  <si>
    <t>C0021</t>
  </si>
  <si>
    <t>№АРТ-345</t>
  </si>
  <si>
    <t>-3</t>
  </si>
  <si>
    <t>$90</t>
  </si>
  <si>
    <t>C0022</t>
  </si>
  <si>
    <t>01/26/2025</t>
  </si>
  <si>
    <t>€70</t>
  </si>
  <si>
    <t>C0023</t>
  </si>
  <si>
    <t>223-24</t>
  </si>
  <si>
    <t xml:space="preserve">5500 ₽</t>
  </si>
  <si>
    <t>C0024</t>
  </si>
  <si>
    <t>01/27/2025</t>
  </si>
  <si>
    <t>$125</t>
  </si>
  <si>
    <t>C0025</t>
  </si>
  <si>
    <t>АРТ_501</t>
  </si>
  <si>
    <t>€105</t>
  </si>
  <si>
    <t>C0026</t>
  </si>
  <si>
    <t>01/28/2025</t>
  </si>
  <si>
    <t>067/24</t>
  </si>
  <si>
    <t xml:space="preserve">9000 ₽</t>
  </si>
  <si>
    <t>C0027</t>
  </si>
  <si>
    <t>$85</t>
  </si>
  <si>
    <t>C0028</t>
  </si>
  <si>
    <t>01/29/2025</t>
  </si>
  <si>
    <t>АРТ_321</t>
  </si>
  <si>
    <t>€65</t>
  </si>
  <si>
    <t>C0029</t>
  </si>
  <si>
    <t>176-24</t>
  </si>
  <si>
    <t xml:space="preserve">6000 ₽</t>
  </si>
  <si>
    <t>C0030</t>
  </si>
  <si>
    <t>01/30/2025</t>
  </si>
  <si>
    <t>№АРТ-009</t>
  </si>
  <si>
    <t>C0031</t>
  </si>
  <si>
    <t>АРТ_444</t>
  </si>
  <si>
    <t>C0032</t>
  </si>
  <si>
    <t>01/31/2025</t>
  </si>
  <si>
    <t>352/24</t>
  </si>
  <si>
    <t xml:space="preserve">2 шт.</t>
  </si>
  <si>
    <t>C0033</t>
  </si>
  <si>
    <t>C0034</t>
  </si>
  <si>
    <t>02/01/2025</t>
  </si>
  <si>
    <t>АРТ_159</t>
  </si>
  <si>
    <t>C0035</t>
  </si>
  <si>
    <t>C0036</t>
  </si>
  <si>
    <t>02/02/2025</t>
  </si>
  <si>
    <t>№АРТ-401</t>
  </si>
  <si>
    <t>C0037</t>
  </si>
  <si>
    <t>АРТ_234</t>
  </si>
  <si>
    <t>4</t>
  </si>
  <si>
    <t>C0038</t>
  </si>
  <si>
    <t>02/03/2025</t>
  </si>
  <si>
    <t>C0039</t>
  </si>
  <si>
    <t>№АРТ-116</t>
  </si>
  <si>
    <t>C0040</t>
  </si>
  <si>
    <t>02/04/2025</t>
  </si>
  <si>
    <t>АРТ_087</t>
  </si>
  <si>
    <t>C0041</t>
  </si>
  <si>
    <t>322-24</t>
  </si>
  <si>
    <t>C0042</t>
  </si>
  <si>
    <t>02/05/2025</t>
  </si>
  <si>
    <t>№АРТ-257</t>
  </si>
  <si>
    <t>$120</t>
  </si>
  <si>
    <t>C0043</t>
  </si>
  <si>
    <t>€100</t>
  </si>
  <si>
    <t>C0044</t>
  </si>
  <si>
    <t>02/06/2025</t>
  </si>
  <si>
    <t>042/24</t>
  </si>
  <si>
    <t xml:space="preserve">8800 ₽</t>
  </si>
  <si>
    <t>C0045</t>
  </si>
  <si>
    <t>№АРТ-194</t>
  </si>
  <si>
    <t>C0046</t>
  </si>
  <si>
    <t>02/07/2025</t>
  </si>
  <si>
    <t>АРТ_075</t>
  </si>
  <si>
    <t>C0047</t>
  </si>
  <si>
    <t>461-24</t>
  </si>
  <si>
    <t>C0048</t>
  </si>
  <si>
    <t>02/08/2025</t>
  </si>
  <si>
    <t>№АРТ-312</t>
  </si>
  <si>
    <t>C0049</t>
  </si>
  <si>
    <t>АРТ_423</t>
  </si>
  <si>
    <t>C0050</t>
  </si>
  <si>
    <t>02/09/2025</t>
  </si>
  <si>
    <t>208/24</t>
  </si>
  <si>
    <t>C0051</t>
  </si>
  <si>
    <t>№АРТ-147</t>
  </si>
  <si>
    <t>C0052</t>
  </si>
  <si>
    <t>02/10/2025</t>
  </si>
  <si>
    <t>C0053</t>
  </si>
  <si>
    <t>065-24</t>
  </si>
  <si>
    <t>C0054</t>
  </si>
  <si>
    <t>02/11/2025</t>
  </si>
  <si>
    <t>C0055</t>
  </si>
  <si>
    <t>АРТ_492</t>
  </si>
  <si>
    <t>C0056</t>
  </si>
  <si>
    <t>02/12/2025</t>
  </si>
  <si>
    <t>134/24</t>
  </si>
  <si>
    <t xml:space="preserve">6800 ₽</t>
  </si>
  <si>
    <t>C0057</t>
  </si>
  <si>
    <t>№АРТ-368</t>
  </si>
  <si>
    <t>C0058</t>
  </si>
  <si>
    <t>02/13/2025</t>
  </si>
  <si>
    <t>АРТ_177</t>
  </si>
  <si>
    <t>C0059</t>
  </si>
  <si>
    <t>275-24</t>
  </si>
  <si>
    <t xml:space="preserve">9200 ₽</t>
  </si>
  <si>
    <t>C0060</t>
  </si>
  <si>
    <t>02/14/2025</t>
  </si>
  <si>
    <t>$135</t>
  </si>
  <si>
    <t>C0061</t>
  </si>
  <si>
    <t>АРТ_456</t>
  </si>
  <si>
    <t>€115</t>
  </si>
  <si>
    <t>C0062</t>
  </si>
  <si>
    <t>02/15/2025</t>
  </si>
  <si>
    <t>364/24</t>
  </si>
  <si>
    <t>C0063</t>
  </si>
  <si>
    <t>№АРТ-221</t>
  </si>
  <si>
    <t>C0064</t>
  </si>
  <si>
    <t>02/16/2025</t>
  </si>
  <si>
    <t>C0065</t>
  </si>
  <si>
    <t>327-24</t>
  </si>
  <si>
    <t>C0066</t>
  </si>
  <si>
    <t>02/17/2025</t>
  </si>
  <si>
    <t>№АРТ-485</t>
  </si>
  <si>
    <t>C0067</t>
  </si>
  <si>
    <t>C0068</t>
  </si>
  <si>
    <t>02/18/2025</t>
  </si>
  <si>
    <t>188/24</t>
  </si>
  <si>
    <t xml:space="preserve">10500 ₽</t>
  </si>
  <si>
    <t>C0069</t>
  </si>
  <si>
    <t>C0070</t>
  </si>
  <si>
    <t>02/19/2025</t>
  </si>
  <si>
    <t>АРТ_411</t>
  </si>
  <si>
    <t>C0071</t>
  </si>
  <si>
    <t>056-24</t>
  </si>
  <si>
    <t>C0072</t>
  </si>
  <si>
    <t>02/20/2025</t>
  </si>
  <si>
    <t>C0073</t>
  </si>
  <si>
    <t>АРТ_348</t>
  </si>
  <si>
    <t>C0074</t>
  </si>
  <si>
    <t>02/21/2025</t>
  </si>
  <si>
    <t>241/24</t>
  </si>
  <si>
    <t xml:space="preserve">9800 ₽</t>
  </si>
  <si>
    <t>C0075</t>
  </si>
  <si>
    <t>№АРТ-132</t>
  </si>
  <si>
    <t>C0076</t>
  </si>
  <si>
    <t>02/22/2025</t>
  </si>
  <si>
    <t>C0077</t>
  </si>
  <si>
    <t>032-24</t>
  </si>
  <si>
    <t>C0078</t>
  </si>
  <si>
    <t>02/23/2025</t>
  </si>
  <si>
    <t>№АРТ-266</t>
  </si>
  <si>
    <t>C0079</t>
  </si>
  <si>
    <t>C0080</t>
  </si>
  <si>
    <t>02/24/2025</t>
  </si>
  <si>
    <t>C0081</t>
  </si>
  <si>
    <t>№АРТ-059</t>
  </si>
  <si>
    <t>C0082</t>
  </si>
  <si>
    <t>02/25/2025</t>
  </si>
  <si>
    <t>АРТ_319</t>
  </si>
  <si>
    <t>C0083</t>
  </si>
  <si>
    <t>147-24</t>
  </si>
  <si>
    <t>C0084</t>
  </si>
  <si>
    <t>02/26/2025</t>
  </si>
  <si>
    <t>$145</t>
  </si>
  <si>
    <t>C0085</t>
  </si>
  <si>
    <t>€125</t>
  </si>
  <si>
    <t>C0086</t>
  </si>
  <si>
    <t>02/27/2025</t>
  </si>
  <si>
    <t>271/24</t>
  </si>
  <si>
    <t xml:space="preserve">11000 ₽</t>
  </si>
  <si>
    <t>C0087</t>
  </si>
  <si>
    <t>C0088</t>
  </si>
  <si>
    <t>02/28/2025</t>
  </si>
  <si>
    <t>АРТ_369</t>
  </si>
  <si>
    <t>C0089</t>
  </si>
  <si>
    <t>104-24</t>
  </si>
  <si>
    <t>C0090</t>
  </si>
  <si>
    <t>03/01/2025</t>
  </si>
  <si>
    <t>№АРТ-452</t>
  </si>
  <si>
    <t>C0091</t>
  </si>
  <si>
    <t>C0092</t>
  </si>
  <si>
    <t>03/02/2025</t>
  </si>
  <si>
    <t>336/24</t>
  </si>
  <si>
    <t xml:space="preserve">7800 ₽</t>
  </si>
  <si>
    <t>C0093</t>
  </si>
  <si>
    <t>C0094</t>
  </si>
  <si>
    <t>03/03/2025</t>
  </si>
  <si>
    <t>АРТ_490</t>
  </si>
  <si>
    <t>C0095</t>
  </si>
  <si>
    <t>087-24</t>
  </si>
  <si>
    <t>C0096</t>
  </si>
  <si>
    <t>03/04/2025</t>
  </si>
  <si>
    <t>C0097</t>
  </si>
  <si>
    <t>АРТ_141</t>
  </si>
  <si>
    <t>C0098</t>
  </si>
  <si>
    <t>03/05/2025</t>
  </si>
  <si>
    <t>226/24</t>
  </si>
  <si>
    <t>C0099</t>
  </si>
  <si>
    <t>C0100</t>
  </si>
  <si>
    <t>03/06/2025</t>
  </si>
  <si>
    <t>АРТ_273</t>
  </si>
  <si>
    <t>C0101</t>
  </si>
  <si>
    <t>184-24</t>
  </si>
  <si>
    <t>C0102</t>
  </si>
  <si>
    <t>03/07/2025</t>
  </si>
  <si>
    <t>№АРТ-065</t>
  </si>
  <si>
    <t>C0103</t>
  </si>
  <si>
    <t>АРТ_408</t>
  </si>
  <si>
    <t>C0104</t>
  </si>
  <si>
    <t>03/08/2025</t>
  </si>
  <si>
    <t>C0105</t>
  </si>
  <si>
    <t>№АРТ-159</t>
  </si>
  <si>
    <t>C0106</t>
  </si>
  <si>
    <t>03/09/2025</t>
  </si>
  <si>
    <t>АРТ_432</t>
  </si>
  <si>
    <t>C0107</t>
  </si>
  <si>
    <t>067-24</t>
  </si>
  <si>
    <t>C0108</t>
  </si>
  <si>
    <t>03/10/2025</t>
  </si>
  <si>
    <t>№АРТ-287</t>
  </si>
  <si>
    <t>C0109</t>
  </si>
  <si>
    <t>C0110</t>
  </si>
  <si>
    <t>03/11/2025</t>
  </si>
  <si>
    <t>382/24</t>
  </si>
  <si>
    <t>C0111</t>
  </si>
  <si>
    <t>№АРТ-077</t>
  </si>
  <si>
    <t>C0112</t>
  </si>
  <si>
    <t>03/12/2025</t>
  </si>
  <si>
    <t>C0113</t>
  </si>
  <si>
    <t>245-24</t>
  </si>
  <si>
    <t>C0114</t>
  </si>
  <si>
    <t>03/13/2025</t>
  </si>
  <si>
    <t>C0115</t>
  </si>
  <si>
    <t>АРТ_298</t>
  </si>
  <si>
    <t>C0116</t>
  </si>
  <si>
    <t>03/14/2025</t>
  </si>
  <si>
    <t>C0117</t>
  </si>
  <si>
    <t>№АРТ-329</t>
  </si>
  <si>
    <t>C0118</t>
  </si>
  <si>
    <t>03/15/2025</t>
  </si>
  <si>
    <t>АРТ_063</t>
  </si>
  <si>
    <t>C0119</t>
  </si>
  <si>
    <t>049-24</t>
  </si>
  <si>
    <t>C0120</t>
  </si>
  <si>
    <t>03/16/2025</t>
  </si>
  <si>
    <t>C0121</t>
  </si>
  <si>
    <t>C0122</t>
  </si>
  <si>
    <t>03/17/2025</t>
  </si>
  <si>
    <t>329/24</t>
  </si>
  <si>
    <t>C0123</t>
  </si>
  <si>
    <t>№АРТ-344</t>
  </si>
  <si>
    <t>C0124</t>
  </si>
  <si>
    <t>03/18/2025</t>
  </si>
  <si>
    <t>АРТ_291</t>
  </si>
  <si>
    <t>C0125</t>
  </si>
  <si>
    <t>133-24</t>
  </si>
  <si>
    <t>C0126</t>
  </si>
  <si>
    <t>03/19/2025</t>
  </si>
  <si>
    <t>№АРТ-251</t>
  </si>
  <si>
    <t>C0127</t>
  </si>
  <si>
    <t>C0128</t>
  </si>
  <si>
    <t>03/20/2025</t>
  </si>
  <si>
    <t>378/24</t>
  </si>
  <si>
    <t>C0129</t>
  </si>
  <si>
    <t>№АРТ-161</t>
  </si>
  <si>
    <t>C0130</t>
  </si>
  <si>
    <t>03/21/2025</t>
  </si>
  <si>
    <t>АРТ_480</t>
  </si>
  <si>
    <t>C0131</t>
  </si>
  <si>
    <t>059-24</t>
  </si>
  <si>
    <t>C0132</t>
  </si>
  <si>
    <t>03/22/2025</t>
  </si>
  <si>
    <t>№АРТ-222</t>
  </si>
  <si>
    <t>C0133</t>
  </si>
  <si>
    <t>C0134</t>
  </si>
  <si>
    <t>03/23/2025</t>
  </si>
  <si>
    <t>097/24</t>
  </si>
  <si>
    <t>C0135</t>
  </si>
  <si>
    <t>№АРТ-306</t>
  </si>
  <si>
    <t>C0136</t>
  </si>
  <si>
    <t>03/24/2025</t>
  </si>
  <si>
    <t>АРТ_184</t>
  </si>
  <si>
    <t>C0137</t>
  </si>
  <si>
    <t>256-24</t>
  </si>
  <si>
    <t>C0138</t>
  </si>
  <si>
    <t>03/25/2025</t>
  </si>
  <si>
    <t>№АРТ-138</t>
  </si>
  <si>
    <t>C0139</t>
  </si>
  <si>
    <t>АРТ_399</t>
  </si>
  <si>
    <t>C0140</t>
  </si>
  <si>
    <t>03/26/2025</t>
  </si>
  <si>
    <t>407/24</t>
  </si>
  <si>
    <t>C0141</t>
  </si>
  <si>
    <t>№АРТ-272</t>
  </si>
  <si>
    <t>C0142</t>
  </si>
  <si>
    <t>03/27/2025</t>
  </si>
  <si>
    <t>АРТ_144</t>
  </si>
  <si>
    <t>C0143</t>
  </si>
  <si>
    <t>112-24</t>
  </si>
  <si>
    <t>C0144</t>
  </si>
  <si>
    <t>03/28/2025</t>
  </si>
  <si>
    <t>№АРТ-099</t>
  </si>
  <si>
    <t>C0145</t>
  </si>
  <si>
    <t>АРТ_337</t>
  </si>
  <si>
    <t>C0146</t>
  </si>
  <si>
    <t>03/29/2025</t>
  </si>
  <si>
    <t>C0147</t>
  </si>
  <si>
    <t>№АРТ-165</t>
  </si>
  <si>
    <t>C0148</t>
  </si>
  <si>
    <t>03/30/2025</t>
  </si>
  <si>
    <t>C0149</t>
  </si>
  <si>
    <t>025-24</t>
  </si>
  <si>
    <t>C0150</t>
  </si>
  <si>
    <t>03/31/2025</t>
  </si>
  <si>
    <t>№АРТ-285</t>
  </si>
  <si>
    <t>C0151</t>
  </si>
  <si>
    <t>АРТ_472</t>
  </si>
  <si>
    <t>C0152</t>
  </si>
  <si>
    <t>04/01/2025</t>
  </si>
  <si>
    <t>157/24</t>
  </si>
  <si>
    <t>C0153</t>
  </si>
  <si>
    <t>№АРТ-042</t>
  </si>
  <si>
    <t>C0154</t>
  </si>
  <si>
    <t>04/02/2025</t>
  </si>
  <si>
    <t>АРТ_397</t>
  </si>
  <si>
    <t>C0155</t>
  </si>
  <si>
    <t>203-24</t>
  </si>
  <si>
    <t>C0156</t>
  </si>
  <si>
    <t>04/03/2025</t>
  </si>
  <si>
    <t>№АРТ-315</t>
  </si>
  <si>
    <t>C0157</t>
  </si>
  <si>
    <t>АРТ_109</t>
  </si>
  <si>
    <t>C0158</t>
  </si>
  <si>
    <t>04/04/2025</t>
  </si>
  <si>
    <t>278/24</t>
  </si>
  <si>
    <t>C0159</t>
  </si>
  <si>
    <t>№АРТ-129</t>
  </si>
  <si>
    <t>C0160</t>
  </si>
  <si>
    <t>04/05/2025</t>
  </si>
  <si>
    <t>АРТ_424</t>
  </si>
  <si>
    <t>C0161</t>
  </si>
  <si>
    <t>046-24</t>
  </si>
  <si>
    <t>C0162</t>
  </si>
  <si>
    <t>04/06/2025</t>
  </si>
  <si>
    <t>№АРТ-353</t>
  </si>
  <si>
    <t>C0163</t>
  </si>
  <si>
    <t>АРТ_244</t>
  </si>
  <si>
    <t>C0164</t>
  </si>
  <si>
    <t>04/07/2025</t>
  </si>
  <si>
    <t>193/24</t>
  </si>
  <si>
    <t>C0165</t>
  </si>
  <si>
    <t>C0166</t>
  </si>
  <si>
    <t>04/08/2025</t>
  </si>
  <si>
    <t>C0167</t>
  </si>
  <si>
    <t>321-24</t>
  </si>
  <si>
    <t>C0168</t>
  </si>
  <si>
    <t>04/09/2025</t>
  </si>
  <si>
    <t>№АРТ-263</t>
  </si>
  <si>
    <t>C0169</t>
  </si>
  <si>
    <t>C0170</t>
  </si>
  <si>
    <t>04/10/2025</t>
  </si>
  <si>
    <t>014/24</t>
  </si>
  <si>
    <t>C0171</t>
  </si>
  <si>
    <t>№АРТ-396</t>
  </si>
  <si>
    <t>C0172</t>
  </si>
  <si>
    <t>04/11/2025</t>
  </si>
  <si>
    <t>АРТ_078</t>
  </si>
  <si>
    <t>C0173</t>
  </si>
  <si>
    <t>C0174</t>
  </si>
  <si>
    <t>04/12/2025</t>
  </si>
  <si>
    <t>C0175</t>
  </si>
  <si>
    <t>C0176</t>
  </si>
  <si>
    <t>04/13/2025</t>
  </si>
  <si>
    <t>456/24</t>
  </si>
  <si>
    <t>C0177</t>
  </si>
  <si>
    <t>C0178</t>
  </si>
  <si>
    <t>04/14/2025</t>
  </si>
  <si>
    <t>C0179</t>
  </si>
  <si>
    <t>091-24</t>
  </si>
  <si>
    <t>C0180</t>
  </si>
  <si>
    <t>04/15/2025</t>
  </si>
  <si>
    <t>№АРТ-323</t>
  </si>
  <si>
    <t>C0181</t>
  </si>
  <si>
    <t>АРТ_468</t>
  </si>
  <si>
    <t>C0182</t>
  </si>
  <si>
    <t>04/16/2025</t>
  </si>
  <si>
    <t>358/24</t>
  </si>
  <si>
    <t>C0183</t>
  </si>
  <si>
    <t>C0184</t>
  </si>
  <si>
    <t>04/17/2025</t>
  </si>
  <si>
    <t>C0185</t>
  </si>
  <si>
    <t>110-24</t>
  </si>
  <si>
    <t>C0186</t>
  </si>
  <si>
    <t>04/18/2025</t>
  </si>
  <si>
    <t>№АРТ-029</t>
  </si>
  <si>
    <t>C0187</t>
  </si>
  <si>
    <t>АРТ_415</t>
  </si>
  <si>
    <t>C0188</t>
  </si>
  <si>
    <t>04/19/2025</t>
  </si>
  <si>
    <t>223/24</t>
  </si>
  <si>
    <t>C0189</t>
  </si>
  <si>
    <t>C0190</t>
  </si>
  <si>
    <t>04/20/2025</t>
  </si>
  <si>
    <t>АРТ_196</t>
  </si>
  <si>
    <t>C0191</t>
  </si>
  <si>
    <t>289-24</t>
  </si>
  <si>
    <t>C0192</t>
  </si>
  <si>
    <t>04/21/2025</t>
  </si>
  <si>
    <t>№АРТ-105</t>
  </si>
  <si>
    <t>C0193</t>
  </si>
  <si>
    <t>C0194</t>
  </si>
  <si>
    <t>04/22/2025</t>
  </si>
  <si>
    <t>371/24</t>
  </si>
  <si>
    <t>C0195</t>
  </si>
  <si>
    <t>C0196</t>
  </si>
  <si>
    <t>04/23/2025</t>
  </si>
  <si>
    <t>C0197</t>
  </si>
  <si>
    <t>062-24</t>
  </si>
  <si>
    <t>C0198</t>
  </si>
  <si>
    <t>04/24/2025</t>
  </si>
  <si>
    <t>№АРТ-134</t>
  </si>
  <si>
    <t>C0199</t>
  </si>
  <si>
    <t>C0200</t>
  </si>
  <si>
    <t>04/25/2025</t>
  </si>
  <si>
    <t>C0201</t>
  </si>
  <si>
    <t>№АРТ-291</t>
  </si>
  <si>
    <t>C0202</t>
  </si>
  <si>
    <t>04/26/2025</t>
  </si>
  <si>
    <t>АРТ_180</t>
  </si>
  <si>
    <t>C0203</t>
  </si>
  <si>
    <t>166-24</t>
  </si>
  <si>
    <t>C0204</t>
  </si>
  <si>
    <t>04/27/2025</t>
  </si>
  <si>
    <t>№АРТ-060</t>
  </si>
  <si>
    <t>C0205</t>
  </si>
  <si>
    <t>C0206</t>
  </si>
  <si>
    <t>04/28/2025</t>
  </si>
  <si>
    <t>248/24</t>
  </si>
  <si>
    <t>C0207</t>
  </si>
  <si>
    <t>№АРТ-383</t>
  </si>
  <si>
    <t>C0208</t>
  </si>
  <si>
    <t>04/29/2025</t>
  </si>
  <si>
    <t>АРТ_229</t>
  </si>
  <si>
    <t>C0209</t>
  </si>
  <si>
    <t>034-24</t>
  </si>
  <si>
    <t>C0210</t>
  </si>
  <si>
    <t>04/30/2025</t>
  </si>
  <si>
    <t>C0211</t>
  </si>
  <si>
    <t>АРТ_459</t>
  </si>
  <si>
    <t>C0212</t>
  </si>
  <si>
    <t>05/01/2025</t>
  </si>
  <si>
    <t>296/24</t>
  </si>
  <si>
    <t>C0213</t>
  </si>
  <si>
    <t>№АРТ-267</t>
  </si>
  <si>
    <t>C0214</t>
  </si>
  <si>
    <t>05/02/2025</t>
  </si>
  <si>
    <t>АРТ_340</t>
  </si>
  <si>
    <t>C0215</t>
  </si>
  <si>
    <t>C0216</t>
  </si>
  <si>
    <t>05/03/2025</t>
  </si>
  <si>
    <t>C0217</t>
  </si>
  <si>
    <t>АРТ_474</t>
  </si>
  <si>
    <t>C0218</t>
  </si>
  <si>
    <t>05/04/2025</t>
  </si>
  <si>
    <t>C0219</t>
  </si>
  <si>
    <t>C0220</t>
  </si>
  <si>
    <t>05/05/2025</t>
  </si>
  <si>
    <t>АРТ_202</t>
  </si>
  <si>
    <t>C0221</t>
  </si>
  <si>
    <t>C0222</t>
  </si>
  <si>
    <t>05/06/2025</t>
  </si>
  <si>
    <t>№АРТ-081</t>
  </si>
  <si>
    <t>C0223</t>
  </si>
  <si>
    <t>АРТ_418</t>
  </si>
  <si>
    <t>C0224</t>
  </si>
  <si>
    <t>05/07/2025</t>
  </si>
  <si>
    <t>272/24</t>
  </si>
  <si>
    <t>C0225</t>
  </si>
  <si>
    <t>№АРТ-407</t>
  </si>
  <si>
    <t>C0226</t>
  </si>
  <si>
    <t>05/08/2025</t>
  </si>
  <si>
    <t>C0227</t>
  </si>
  <si>
    <t>057-24</t>
  </si>
  <si>
    <t>C0228</t>
  </si>
  <si>
    <t>05/09/2025</t>
  </si>
  <si>
    <t>№АРТ-183</t>
  </si>
  <si>
    <t>C0229</t>
  </si>
  <si>
    <t>АРТ_481</t>
  </si>
  <si>
    <t>C0230</t>
  </si>
  <si>
    <t>05/10/2025</t>
  </si>
  <si>
    <t>335/24</t>
  </si>
  <si>
    <t>C0231</t>
  </si>
  <si>
    <t>№АРТ-021</t>
  </si>
  <si>
    <t>C0232</t>
  </si>
  <si>
    <t>05/11/2025</t>
  </si>
  <si>
    <t>АРТ_390</t>
  </si>
  <si>
    <t>C0233</t>
  </si>
  <si>
    <t>098-24</t>
  </si>
  <si>
    <t>C0234</t>
  </si>
  <si>
    <t>05/12/2025</t>
  </si>
  <si>
    <t>C0235</t>
  </si>
  <si>
    <t>C0236</t>
  </si>
  <si>
    <t>05/13/2025</t>
  </si>
  <si>
    <t>C0237</t>
  </si>
  <si>
    <t>№АРТ-338</t>
  </si>
  <si>
    <t>C0238</t>
  </si>
  <si>
    <t>05/14/2025</t>
  </si>
  <si>
    <t>АРТ_214</t>
  </si>
  <si>
    <t>C0239</t>
  </si>
  <si>
    <t>178-24</t>
  </si>
  <si>
    <t>C0240</t>
  </si>
  <si>
    <t>05/15/2025</t>
  </si>
  <si>
    <t>№АРТ-071</t>
  </si>
  <si>
    <t>C0241</t>
  </si>
  <si>
    <t>АРТ_439</t>
  </si>
  <si>
    <t>C0242</t>
  </si>
  <si>
    <t>05/16/2025</t>
  </si>
  <si>
    <t>C0243</t>
  </si>
  <si>
    <t>№АРТ-423</t>
  </si>
  <si>
    <t>C0244</t>
  </si>
  <si>
    <t>05/17/2025</t>
  </si>
  <si>
    <t>АРТ_276</t>
  </si>
  <si>
    <t>C0245</t>
  </si>
  <si>
    <t>113-24</t>
  </si>
  <si>
    <t>C0246</t>
  </si>
  <si>
    <t>05/18/2025</t>
  </si>
  <si>
    <t>№АРТ-162</t>
  </si>
  <si>
    <t>C0247</t>
  </si>
  <si>
    <t>АРТ_502</t>
  </si>
  <si>
    <t>C0248</t>
  </si>
  <si>
    <t>05/19/2025</t>
  </si>
  <si>
    <t>C0249</t>
  </si>
  <si>
    <t>C0250</t>
  </si>
  <si>
    <t>05/20/2025</t>
  </si>
  <si>
    <t>АРТ_361</t>
  </si>
  <si>
    <t>C0251</t>
  </si>
  <si>
    <t>075-24</t>
  </si>
  <si>
    <t>C0252</t>
  </si>
  <si>
    <t>05/21/2025</t>
  </si>
  <si>
    <t>C0253</t>
  </si>
  <si>
    <t>АРТ_483</t>
  </si>
  <si>
    <t>C0254</t>
  </si>
  <si>
    <t>05/22/2025</t>
  </si>
  <si>
    <t>346/24</t>
  </si>
  <si>
    <t>C0255</t>
  </si>
  <si>
    <t>№АРТ-374</t>
  </si>
  <si>
    <t>C0256</t>
  </si>
  <si>
    <t>05/23/2025</t>
  </si>
  <si>
    <t>C0257</t>
  </si>
  <si>
    <t>189-24</t>
  </si>
  <si>
    <t>C0258</t>
  </si>
  <si>
    <t>05/24/2025</t>
  </si>
  <si>
    <t>№АРТ-102</t>
  </si>
  <si>
    <t>C0259</t>
  </si>
  <si>
    <t>АРТ_451</t>
  </si>
  <si>
    <t>C0260</t>
  </si>
  <si>
    <t>05/25/2025</t>
  </si>
  <si>
    <t>312/24</t>
  </si>
  <si>
    <t>C0261</t>
  </si>
  <si>
    <t>C0262</t>
  </si>
  <si>
    <t>05/26/2025</t>
  </si>
  <si>
    <t>АРТ_283</t>
  </si>
  <si>
    <t>C0263</t>
  </si>
  <si>
    <t>C0264</t>
  </si>
  <si>
    <t>05/27/2025</t>
  </si>
  <si>
    <t>C0265</t>
  </si>
  <si>
    <t>C0266</t>
  </si>
  <si>
    <t>05/28/2025</t>
  </si>
  <si>
    <t>311/24</t>
  </si>
  <si>
    <t>C0267</t>
  </si>
  <si>
    <t>C0268</t>
  </si>
  <si>
    <t>05/29/2025</t>
  </si>
  <si>
    <t>АРТ_330</t>
  </si>
  <si>
    <t>C0269</t>
  </si>
  <si>
    <t>053-24</t>
  </si>
  <si>
    <t>C0270</t>
  </si>
  <si>
    <t>05/30/2025</t>
  </si>
  <si>
    <t>C0271</t>
  </si>
  <si>
    <t>АРТ_462</t>
  </si>
  <si>
    <t>C0272</t>
  </si>
  <si>
    <t>05/31/2025</t>
  </si>
  <si>
    <t>388/24</t>
  </si>
  <si>
    <t>C0273</t>
  </si>
  <si>
    <t>№АРТ-206</t>
  </si>
  <si>
    <t>C0274</t>
  </si>
  <si>
    <t>06/01/2025</t>
  </si>
  <si>
    <t>АРТ_274</t>
  </si>
  <si>
    <t>C0275</t>
  </si>
  <si>
    <t>C0276</t>
  </si>
  <si>
    <t>06/02/2025</t>
  </si>
  <si>
    <t>№АРТ-062</t>
  </si>
  <si>
    <t>C0277</t>
  </si>
  <si>
    <t>C0278</t>
  </si>
  <si>
    <t>06/03/2025</t>
  </si>
  <si>
    <t>258/24</t>
  </si>
  <si>
    <t>C0279</t>
  </si>
  <si>
    <t>№АРТ-386</t>
  </si>
  <si>
    <t>C0280</t>
  </si>
  <si>
    <t>06/04/2025</t>
  </si>
  <si>
    <t>C0281</t>
  </si>
  <si>
    <t>073-24</t>
  </si>
  <si>
    <t>C0282</t>
  </si>
  <si>
    <t>06/05/2025</t>
  </si>
  <si>
    <t>C0283</t>
  </si>
  <si>
    <t>АРТ_457</t>
  </si>
  <si>
    <t>C0284</t>
  </si>
  <si>
    <t>06/06/2025</t>
  </si>
  <si>
    <t>359/24</t>
  </si>
  <si>
    <t>C0285</t>
  </si>
  <si>
    <t>№АРТ-053</t>
  </si>
  <si>
    <t>C0286</t>
  </si>
  <si>
    <t>06/07/2025</t>
  </si>
  <si>
    <t>C0287</t>
  </si>
  <si>
    <t>C0288</t>
  </si>
  <si>
    <t>06/08/2025</t>
  </si>
  <si>
    <t>№АРТ-203</t>
  </si>
  <si>
    <t>C0289</t>
  </si>
  <si>
    <t>АРТ_303</t>
  </si>
  <si>
    <t>C0290</t>
  </si>
  <si>
    <t>06/09/2025</t>
  </si>
  <si>
    <t>259/24</t>
  </si>
  <si>
    <t>C0291</t>
  </si>
  <si>
    <t>C0292</t>
  </si>
  <si>
    <t>06/10/2025</t>
  </si>
  <si>
    <t>C0293</t>
  </si>
  <si>
    <t>C0294</t>
  </si>
  <si>
    <t>06/11/2025</t>
  </si>
  <si>
    <t>C0295</t>
  </si>
  <si>
    <t>C0296</t>
  </si>
  <si>
    <t>06/12/2025</t>
  </si>
  <si>
    <t>325/24</t>
  </si>
  <si>
    <t>C0297</t>
  </si>
  <si>
    <t>C0298</t>
  </si>
  <si>
    <t>06/13/2025</t>
  </si>
  <si>
    <t>АРТ_268</t>
  </si>
  <si>
    <t>C0299</t>
  </si>
  <si>
    <t>187-24</t>
  </si>
  <si>
    <t>C0300</t>
  </si>
  <si>
    <t>06/14/2025</t>
  </si>
  <si>
    <t>C0301</t>
  </si>
  <si>
    <t>АРТ_486</t>
  </si>
  <si>
    <t>C0302</t>
  </si>
  <si>
    <t>06/15/2025</t>
  </si>
  <si>
    <t>347/24</t>
  </si>
  <si>
    <t>C0303</t>
  </si>
  <si>
    <t>№АРТ-381</t>
  </si>
  <si>
    <t>C0304</t>
  </si>
  <si>
    <t>06/16/2025</t>
  </si>
  <si>
    <t>АРТ_219</t>
  </si>
  <si>
    <t>C0305</t>
  </si>
  <si>
    <t>263-24</t>
  </si>
  <si>
    <t>C0306</t>
  </si>
  <si>
    <t>06/17/2025</t>
  </si>
  <si>
    <t>№АРТ-101</t>
  </si>
  <si>
    <t>C0307</t>
  </si>
  <si>
    <t>C0308</t>
  </si>
  <si>
    <t>06/18/2025</t>
  </si>
  <si>
    <t>380/24</t>
  </si>
  <si>
    <t>C0309</t>
  </si>
  <si>
    <t>C0310</t>
  </si>
  <si>
    <t>06/19/2025</t>
  </si>
  <si>
    <t>АРТ_306</t>
  </si>
  <si>
    <t>C0311</t>
  </si>
  <si>
    <t>158-24</t>
  </si>
  <si>
    <t>C0312</t>
  </si>
  <si>
    <t>06/20/2025</t>
  </si>
  <si>
    <t>№АРТ-074</t>
  </si>
  <si>
    <t>C0313</t>
  </si>
  <si>
    <t>C0314</t>
  </si>
  <si>
    <t>06/21/2025</t>
  </si>
  <si>
    <t>293/24</t>
  </si>
  <si>
    <t>C0315</t>
  </si>
  <si>
    <t>№АРТ-416</t>
  </si>
  <si>
    <t>C0316</t>
  </si>
  <si>
    <t>06/22/2025</t>
  </si>
  <si>
    <t>C0317</t>
  </si>
  <si>
    <t>243-24</t>
  </si>
  <si>
    <t>C0318</t>
  </si>
  <si>
    <t>06/23/2025</t>
  </si>
  <si>
    <t>C0319</t>
  </si>
  <si>
    <t>C0320</t>
  </si>
  <si>
    <t>06/24/2025</t>
  </si>
  <si>
    <t>C0321</t>
  </si>
  <si>
    <t>№АРТ-305</t>
  </si>
  <si>
    <t>C0322</t>
  </si>
  <si>
    <t>06/25/2025</t>
  </si>
  <si>
    <t>АРТ_288</t>
  </si>
  <si>
    <t>C0323</t>
  </si>
  <si>
    <t>134-24</t>
  </si>
  <si>
    <t>C0324</t>
  </si>
  <si>
    <t>06/26/2025</t>
  </si>
  <si>
    <t>№АРТ-110</t>
  </si>
  <si>
    <t>C0325</t>
  </si>
  <si>
    <t>АРТ_471</t>
  </si>
  <si>
    <t>C0326</t>
  </si>
  <si>
    <t>06/27/2025</t>
  </si>
  <si>
    <t>322/24</t>
  </si>
  <si>
    <t>C0327</t>
  </si>
  <si>
    <t>№АРТ-188</t>
  </si>
  <si>
    <t>C0328</t>
  </si>
  <si>
    <t>06/28/2025</t>
  </si>
  <si>
    <t>C0329</t>
  </si>
  <si>
    <t>063-24</t>
  </si>
  <si>
    <t>C0330</t>
  </si>
  <si>
    <t>06/29/2025</t>
  </si>
  <si>
    <t>№АРТ-248</t>
  </si>
  <si>
    <t>C0331</t>
  </si>
  <si>
    <t>АРТ_454</t>
  </si>
  <si>
    <t>C0332</t>
  </si>
  <si>
    <t>06/30/2025</t>
  </si>
  <si>
    <t>281/24</t>
  </si>
  <si>
    <t>C0333</t>
  </si>
  <si>
    <t>C0334</t>
  </si>
  <si>
    <t>07/01/2025</t>
  </si>
  <si>
    <t>АРТ_345</t>
  </si>
  <si>
    <t>C0335</t>
  </si>
  <si>
    <t>224-24</t>
  </si>
  <si>
    <t>C0336</t>
  </si>
  <si>
    <t>07/02/2025</t>
  </si>
  <si>
    <t>C0337</t>
  </si>
  <si>
    <t>АРТ_438</t>
  </si>
  <si>
    <t>C0338</t>
  </si>
  <si>
    <t>07/03/2025</t>
  </si>
  <si>
    <t>C0339</t>
  </si>
  <si>
    <t>C0340</t>
  </si>
  <si>
    <t>07/04/2025</t>
  </si>
  <si>
    <t>АРТ_267</t>
  </si>
  <si>
    <t>C0341</t>
  </si>
  <si>
    <t>095-24</t>
  </si>
  <si>
    <t>C0342</t>
  </si>
  <si>
    <t>07/05/2025</t>
  </si>
  <si>
    <t>№АРТ-030</t>
  </si>
  <si>
    <t>C0343</t>
  </si>
  <si>
    <t>АРТ_493</t>
  </si>
  <si>
    <t>C0344</t>
  </si>
  <si>
    <t>07/06/2025</t>
  </si>
  <si>
    <t>313/24</t>
  </si>
  <si>
    <t>C0345</t>
  </si>
  <si>
    <t>№АРТ-200</t>
  </si>
  <si>
    <t>C0346</t>
  </si>
  <si>
    <t>07/07/2025</t>
  </si>
  <si>
    <t>АРТ_253</t>
  </si>
  <si>
    <t>C0347</t>
  </si>
  <si>
    <t>105-24</t>
  </si>
  <si>
    <t>C0348</t>
  </si>
  <si>
    <t>07/08/2025</t>
  </si>
  <si>
    <t>C0349</t>
  </si>
  <si>
    <t>C0350</t>
  </si>
  <si>
    <t>07/09/2025</t>
  </si>
  <si>
    <t>C0351</t>
  </si>
  <si>
    <t>C0352</t>
  </si>
  <si>
    <t>07/10/2025</t>
  </si>
  <si>
    <t>АРТ_328</t>
  </si>
  <si>
    <t>C0353</t>
  </si>
  <si>
    <t>C0354</t>
  </si>
  <si>
    <t>07/11/2025</t>
  </si>
  <si>
    <t>C0355</t>
  </si>
  <si>
    <t>АРТ_466</t>
  </si>
  <si>
    <t>C0356</t>
  </si>
  <si>
    <t>07/12/2025</t>
  </si>
  <si>
    <t>334/24</t>
  </si>
  <si>
    <t>C0357</t>
  </si>
  <si>
    <t>C0358</t>
  </si>
  <si>
    <t>07/13/2025</t>
  </si>
  <si>
    <t>АРТ_223</t>
  </si>
  <si>
    <t>C0359</t>
  </si>
  <si>
    <t>137-24</t>
  </si>
  <si>
    <t>C0360</t>
  </si>
  <si>
    <t>07/14/2025</t>
  </si>
  <si>
    <t>№АРТ-096</t>
  </si>
  <si>
    <t>C0361</t>
  </si>
  <si>
    <t>C0362</t>
  </si>
  <si>
    <t>07/15/2025</t>
  </si>
  <si>
    <t>304/24</t>
  </si>
  <si>
    <t>C0363</t>
  </si>
  <si>
    <t>№АРТ-179</t>
  </si>
  <si>
    <t>C0364</t>
  </si>
  <si>
    <t>07/16/2025</t>
  </si>
  <si>
    <t>АРТ_364</t>
  </si>
  <si>
    <t>C0365</t>
  </si>
  <si>
    <t>C0366</t>
  </si>
  <si>
    <t>07/17/2025</t>
  </si>
  <si>
    <t>№АРТ-044</t>
  </si>
  <si>
    <t>C0367</t>
  </si>
  <si>
    <t>АРТ_448</t>
  </si>
  <si>
    <t>C0368</t>
  </si>
  <si>
    <t>07/18/2025</t>
  </si>
  <si>
    <t>389/24</t>
  </si>
  <si>
    <t>C0369</t>
  </si>
  <si>
    <t>№АРТ-419</t>
  </si>
  <si>
    <t>C0370</t>
  </si>
  <si>
    <t>07/19/2025</t>
  </si>
  <si>
    <t>АРТ_258</t>
  </si>
  <si>
    <t>C0371</t>
  </si>
  <si>
    <t>C0372</t>
  </si>
  <si>
    <t>07/20/2025</t>
  </si>
  <si>
    <t>C0373</t>
  </si>
  <si>
    <t>АРТ_477</t>
  </si>
  <si>
    <t>C0374</t>
  </si>
  <si>
    <t>07/21/2025</t>
  </si>
  <si>
    <t>342/24</t>
  </si>
  <si>
    <t>C0375</t>
  </si>
  <si>
    <t>C0376</t>
  </si>
  <si>
    <t>07/22/2025</t>
  </si>
  <si>
    <t>АРТ_216</t>
  </si>
  <si>
    <t>C0377</t>
  </si>
  <si>
    <t>257-24</t>
  </si>
  <si>
    <t>C0378</t>
  </si>
  <si>
    <t>07/23/2025</t>
  </si>
  <si>
    <t>№АРТ-080</t>
  </si>
  <si>
    <t>C0379</t>
  </si>
  <si>
    <t>C0380</t>
  </si>
  <si>
    <t>07/24/2025</t>
  </si>
  <si>
    <t>328/24</t>
  </si>
  <si>
    <t>C0381</t>
  </si>
  <si>
    <t>C0382</t>
  </si>
  <si>
    <t>07/25/2025</t>
  </si>
  <si>
    <t>АРТ_342</t>
  </si>
  <si>
    <t>C0383</t>
  </si>
  <si>
    <t>181-24</t>
  </si>
  <si>
    <t>C0384</t>
  </si>
  <si>
    <t>07/26/2025</t>
  </si>
  <si>
    <t>C0385</t>
  </si>
  <si>
    <t>АРТ_489</t>
  </si>
  <si>
    <t>C0386</t>
  </si>
  <si>
    <t>07/27/2025</t>
  </si>
  <si>
    <t>C0387</t>
  </si>
  <si>
    <t>№АРТ-413</t>
  </si>
  <si>
    <t>C0388</t>
  </si>
  <si>
    <t>07/28/2025</t>
  </si>
  <si>
    <t>АРТ_357</t>
  </si>
  <si>
    <t>C0389</t>
  </si>
  <si>
    <t>238-24</t>
  </si>
  <si>
    <t>C0390</t>
  </si>
  <si>
    <t>07/29/2025</t>
  </si>
  <si>
    <t>№АРТ-168</t>
  </si>
  <si>
    <t>C0391</t>
  </si>
  <si>
    <t>АРТ_426</t>
  </si>
  <si>
    <t>C0392</t>
  </si>
  <si>
    <t>07/30/2025</t>
  </si>
  <si>
    <t>C0393</t>
  </si>
  <si>
    <t>№АРТ-360</t>
  </si>
  <si>
    <t>C0394</t>
  </si>
  <si>
    <t>07/31/2025</t>
  </si>
  <si>
    <t>C0395</t>
  </si>
  <si>
    <t>C0396</t>
  </si>
  <si>
    <t>08/01/2025</t>
  </si>
  <si>
    <t>№АРТ-141</t>
  </si>
  <si>
    <t>C0397</t>
  </si>
  <si>
    <t>АРТ_495</t>
  </si>
  <si>
    <t>C0398</t>
  </si>
  <si>
    <t>08/02/2025</t>
  </si>
  <si>
    <t>331/24</t>
  </si>
  <si>
    <t>C0399</t>
  </si>
  <si>
    <t>C0400</t>
  </si>
  <si>
    <t>08/03/2025</t>
  </si>
  <si>
    <t>АРТ_256</t>
  </si>
  <si>
    <t>C0401</t>
  </si>
  <si>
    <t>139-24</t>
  </si>
  <si>
    <t>C0402</t>
  </si>
  <si>
    <t>08/04/2025</t>
  </si>
  <si>
    <t>C0403</t>
  </si>
  <si>
    <t>АРТ_436</t>
  </si>
  <si>
    <t>C0404</t>
  </si>
  <si>
    <t>08/05/2025</t>
  </si>
  <si>
    <t>C0405</t>
  </si>
  <si>
    <t>№АРТ-437</t>
  </si>
  <si>
    <t>C0406</t>
  </si>
  <si>
    <t>08/06/2025</t>
  </si>
  <si>
    <t>C0407</t>
  </si>
  <si>
    <t>217-24</t>
  </si>
  <si>
    <t>C0408</t>
  </si>
  <si>
    <t>08/07/2025</t>
  </si>
  <si>
    <t>C0409</t>
  </si>
  <si>
    <t>C0410</t>
  </si>
  <si>
    <t>08/08/2025</t>
  </si>
  <si>
    <t>C0411</t>
  </si>
  <si>
    <t>№АРТ-408</t>
  </si>
  <si>
    <t>C0412</t>
  </si>
  <si>
    <t>08/09/2025</t>
  </si>
  <si>
    <t>C0413</t>
  </si>
  <si>
    <t>278-24</t>
  </si>
  <si>
    <t>C0414</t>
  </si>
  <si>
    <t>08/10/2025</t>
  </si>
  <si>
    <t>№АРТ-038</t>
  </si>
  <si>
    <t>C0415</t>
  </si>
  <si>
    <t>C0416</t>
  </si>
  <si>
    <t>08/11/2025</t>
  </si>
  <si>
    <t>C0417</t>
  </si>
  <si>
    <t>C0418</t>
  </si>
  <si>
    <t>08/12/2025</t>
  </si>
  <si>
    <t>АРТ_286</t>
  </si>
  <si>
    <t>C0419</t>
  </si>
  <si>
    <t>052-24</t>
  </si>
  <si>
    <t>C0420</t>
  </si>
  <si>
    <t>08/13/2025</t>
  </si>
  <si>
    <t>№АРТ-197</t>
  </si>
  <si>
    <t>C0421</t>
  </si>
  <si>
    <t>АРТ_414</t>
  </si>
  <si>
    <t>C0422</t>
  </si>
  <si>
    <t>08/14/2025</t>
  </si>
  <si>
    <t>C0423</t>
  </si>
  <si>
    <t>C0424</t>
  </si>
  <si>
    <t>08/15/2025</t>
  </si>
  <si>
    <t>C0425</t>
  </si>
  <si>
    <t>254-24</t>
  </si>
  <si>
    <t>C0426</t>
  </si>
  <si>
    <t>08/16/2025</t>
  </si>
  <si>
    <t>№АРТ-104</t>
  </si>
  <si>
    <t>C0427</t>
  </si>
  <si>
    <t>АРТ_442</t>
  </si>
  <si>
    <t>C0428</t>
  </si>
  <si>
    <t>08/17/2025</t>
  </si>
  <si>
    <t>286/24</t>
  </si>
  <si>
    <t>C0429</t>
  </si>
  <si>
    <t>№АРТ-333</t>
  </si>
  <si>
    <t>C0430</t>
  </si>
  <si>
    <t>08/18/2025</t>
  </si>
  <si>
    <t>C0431</t>
  </si>
  <si>
    <t>C0432</t>
  </si>
  <si>
    <t>08/19/2025</t>
  </si>
  <si>
    <t>C0433</t>
  </si>
  <si>
    <t>C0434</t>
  </si>
  <si>
    <t>08/20/2025</t>
  </si>
  <si>
    <t>307/24</t>
  </si>
  <si>
    <t>C0435</t>
  </si>
  <si>
    <t>№АРТ-201</t>
  </si>
  <si>
    <t>C0436</t>
  </si>
  <si>
    <t>08/21/2025</t>
  </si>
  <si>
    <t>C0437</t>
  </si>
  <si>
    <t>041-24</t>
  </si>
  <si>
    <t>C0438</t>
  </si>
  <si>
    <t>08/22/2025</t>
  </si>
  <si>
    <t>C0439</t>
  </si>
  <si>
    <t>C0440</t>
  </si>
  <si>
    <t>08/23/2025</t>
  </si>
  <si>
    <t>C0441</t>
  </si>
  <si>
    <t>C0442</t>
  </si>
  <si>
    <t>08/24/2025</t>
  </si>
  <si>
    <t>АРТ_327</t>
  </si>
  <si>
    <t>C0443</t>
  </si>
  <si>
    <t>153-24</t>
  </si>
  <si>
    <t>C0444</t>
  </si>
  <si>
    <t>08/25/2025</t>
  </si>
  <si>
    <t>C0445</t>
  </si>
  <si>
    <t>C0446</t>
  </si>
  <si>
    <t>08/26/2025</t>
  </si>
  <si>
    <t>C0447</t>
  </si>
  <si>
    <t>C0448</t>
  </si>
  <si>
    <t>08/27/2025</t>
  </si>
  <si>
    <t>C0449</t>
  </si>
  <si>
    <t>265-24</t>
  </si>
  <si>
    <t>C0450</t>
  </si>
  <si>
    <t>08/28/2025</t>
  </si>
  <si>
    <t>C0451</t>
  </si>
  <si>
    <t>C0452</t>
  </si>
  <si>
    <t>08/29/2025</t>
  </si>
  <si>
    <t>361/24</t>
  </si>
  <si>
    <t>C0453</t>
  </si>
  <si>
    <t>C0454</t>
  </si>
  <si>
    <t>08/30/2025</t>
  </si>
  <si>
    <t>C0455</t>
  </si>
  <si>
    <t>088-24</t>
  </si>
  <si>
    <t>C0456</t>
  </si>
  <si>
    <t>08/31/2025</t>
  </si>
  <si>
    <t>№АРТ-171</t>
  </si>
  <si>
    <t>C0457</t>
  </si>
  <si>
    <t>АРТ_433</t>
  </si>
  <si>
    <t>C0458</t>
  </si>
  <si>
    <t>09/01/2025</t>
  </si>
  <si>
    <t>C0459</t>
  </si>
  <si>
    <t>C0460</t>
  </si>
  <si>
    <t>09/02/2025</t>
  </si>
  <si>
    <t>АРТ_312</t>
  </si>
  <si>
    <t>C0461</t>
  </si>
  <si>
    <t>C0462</t>
  </si>
  <si>
    <t>09/03/2025</t>
  </si>
  <si>
    <t>C0463</t>
  </si>
  <si>
    <t>АРТ_460</t>
  </si>
  <si>
    <t>C0464</t>
  </si>
  <si>
    <t>09/04/2025</t>
  </si>
  <si>
    <t>366/24</t>
  </si>
  <si>
    <t>C0465</t>
  </si>
  <si>
    <t>№АРТ-384</t>
  </si>
  <si>
    <t>C0466</t>
  </si>
  <si>
    <t>09/05/2025</t>
  </si>
  <si>
    <t>C0467</t>
  </si>
  <si>
    <t>299-24</t>
  </si>
  <si>
    <t>C0468</t>
  </si>
  <si>
    <t>09/06/2025</t>
  </si>
  <si>
    <t>№АРТ-001</t>
  </si>
  <si>
    <t>C0469</t>
  </si>
  <si>
    <t>АРТ_496</t>
  </si>
  <si>
    <t>C0470</t>
  </si>
  <si>
    <t>09/07/2025</t>
  </si>
  <si>
    <t>305/24</t>
  </si>
  <si>
    <t>C0471</t>
  </si>
  <si>
    <t>C0472</t>
  </si>
  <si>
    <t>09/08/2025</t>
  </si>
  <si>
    <t>АРТ_351</t>
  </si>
  <si>
    <t>C0473</t>
  </si>
  <si>
    <t>214-24</t>
  </si>
  <si>
    <t>C0474</t>
  </si>
  <si>
    <t>09/09/2025</t>
  </si>
  <si>
    <t>№АРТ-135</t>
  </si>
  <si>
    <t>C0475</t>
  </si>
  <si>
    <t>C0476</t>
  </si>
  <si>
    <t>09/10/2025</t>
  </si>
  <si>
    <t>C0477</t>
  </si>
  <si>
    <t>C0478</t>
  </si>
  <si>
    <t>09/11/2025</t>
  </si>
  <si>
    <t>C0479</t>
  </si>
  <si>
    <t>129-24</t>
  </si>
  <si>
    <t>C0480</t>
  </si>
  <si>
    <t>09/12/2025</t>
  </si>
  <si>
    <t>C0481</t>
  </si>
  <si>
    <t>C0482</t>
  </si>
  <si>
    <t>09/13/2025</t>
  </si>
  <si>
    <t>362/24</t>
  </si>
  <si>
    <t>C0483</t>
  </si>
  <si>
    <t>C0484</t>
  </si>
  <si>
    <t>09/14/2025</t>
  </si>
  <si>
    <t>C0485</t>
  </si>
  <si>
    <t>C0486</t>
  </si>
  <si>
    <t>09/15/2025</t>
  </si>
  <si>
    <t>№АРТ-047</t>
  </si>
  <si>
    <t>C0487</t>
  </si>
  <si>
    <t>C0488</t>
  </si>
  <si>
    <t>09/16/2025</t>
  </si>
  <si>
    <t>308/24</t>
  </si>
  <si>
    <t>C0489</t>
  </si>
  <si>
    <t>C0490</t>
  </si>
  <si>
    <t>09/17/2025</t>
  </si>
  <si>
    <t>C0491</t>
  </si>
  <si>
    <t>C0492</t>
  </si>
  <si>
    <t>09/18/2025</t>
  </si>
  <si>
    <t>C0493</t>
  </si>
  <si>
    <t>АРТ_498</t>
  </si>
  <si>
    <t>C0494</t>
  </si>
  <si>
    <t>09/19/2025</t>
  </si>
  <si>
    <t>C0495</t>
  </si>
  <si>
    <t>C0496</t>
  </si>
  <si>
    <t>09/20/2025</t>
  </si>
  <si>
    <t>C0497</t>
  </si>
  <si>
    <t>145-24</t>
  </si>
  <si>
    <t>C0498</t>
  </si>
  <si>
    <t>09/21/2025</t>
  </si>
  <si>
    <t>№АРТ-020</t>
  </si>
  <si>
    <t>C0499</t>
  </si>
  <si>
    <t>C0500</t>
  </si>
  <si>
    <t>09/22/2025</t>
  </si>
  <si>
    <t>376/24</t>
  </si>
  <si>
    <t>C0501</t>
  </si>
  <si>
    <t>C0502</t>
  </si>
  <si>
    <t>09/23/2025</t>
  </si>
  <si>
    <t>АРТ_309</t>
  </si>
  <si>
    <t>C0503</t>
  </si>
  <si>
    <t>251-24</t>
  </si>
  <si>
    <t>C0504</t>
  </si>
  <si>
    <t>09/24/2025</t>
  </si>
  <si>
    <t>C0505</t>
  </si>
  <si>
    <t>C0506</t>
  </si>
  <si>
    <t>09/25/2025</t>
  </si>
  <si>
    <t>C0507</t>
  </si>
  <si>
    <t>C0508</t>
  </si>
  <si>
    <t>09/26/2025</t>
  </si>
  <si>
    <t>АРТ_367</t>
  </si>
  <si>
    <t>C0509</t>
  </si>
  <si>
    <t>C0510</t>
  </si>
  <si>
    <t>09/27/2025</t>
  </si>
  <si>
    <t>№АРТ-050</t>
  </si>
  <si>
    <t>C0511</t>
  </si>
  <si>
    <t>C0512</t>
  </si>
  <si>
    <t>09/28/2025</t>
  </si>
  <si>
    <t>C0513</t>
  </si>
  <si>
    <t>№АРТ-398</t>
  </si>
  <si>
    <t>C0514</t>
  </si>
  <si>
    <t>09/29/2025</t>
  </si>
  <si>
    <t>C0515</t>
  </si>
  <si>
    <t>284-24</t>
  </si>
  <si>
    <t>C0516</t>
  </si>
  <si>
    <t>09/30/2025</t>
  </si>
  <si>
    <t>№АРТ-093</t>
  </si>
  <si>
    <t>C0517</t>
  </si>
  <si>
    <t>C0518</t>
  </si>
  <si>
    <t>10/01/2025</t>
  </si>
  <si>
    <t>C0519</t>
  </si>
  <si>
    <t>C0520</t>
  </si>
  <si>
    <t>10/02/2025</t>
  </si>
  <si>
    <t>C0521</t>
  </si>
  <si>
    <t>225-24</t>
  </si>
  <si>
    <t>C0522</t>
  </si>
  <si>
    <t>10/03/2025</t>
  </si>
  <si>
    <t>№АРТ-144</t>
  </si>
  <si>
    <t>C0523</t>
  </si>
  <si>
    <t>C0524</t>
  </si>
  <si>
    <t>10/04/2025</t>
  </si>
  <si>
    <t>C0525</t>
  </si>
  <si>
    <t>C0526</t>
  </si>
  <si>
    <t>10/05/2025</t>
  </si>
  <si>
    <t>C0527</t>
  </si>
  <si>
    <t>267-24</t>
  </si>
  <si>
    <t>C0528</t>
  </si>
  <si>
    <t>10/06/2025</t>
  </si>
  <si>
    <t>C0529</t>
  </si>
  <si>
    <t>АРТ_445</t>
  </si>
  <si>
    <t>C0530</t>
  </si>
  <si>
    <t>10/07/2025</t>
  </si>
  <si>
    <t>288/24</t>
  </si>
  <si>
    <t>C0531</t>
  </si>
  <si>
    <t>№АРТ-377</t>
  </si>
  <si>
    <t>C0532</t>
  </si>
  <si>
    <t>10/08/2025</t>
  </si>
  <si>
    <t>C0533</t>
  </si>
  <si>
    <t>C0534</t>
  </si>
  <si>
    <t>10/09/2025</t>
  </si>
  <si>
    <t>C0535</t>
  </si>
  <si>
    <t>C0536</t>
  </si>
  <si>
    <t>10/10/2025</t>
  </si>
  <si>
    <t>386/24</t>
  </si>
  <si>
    <t>C0537</t>
  </si>
  <si>
    <t>№АРТ-299</t>
  </si>
  <si>
    <t>C0538</t>
  </si>
  <si>
    <t>10/11/2025</t>
  </si>
  <si>
    <t>C0539</t>
  </si>
  <si>
    <t>320-24</t>
  </si>
  <si>
    <t>C0540</t>
  </si>
  <si>
    <t>10/12/2025</t>
  </si>
  <si>
    <t>C0541</t>
  </si>
  <si>
    <t>C0542</t>
  </si>
  <si>
    <t>10/13/2025</t>
  </si>
  <si>
    <t>C0543</t>
  </si>
  <si>
    <t>C0544</t>
  </si>
  <si>
    <t>10/14/2025</t>
  </si>
  <si>
    <t>C0545</t>
  </si>
  <si>
    <t>083-24</t>
  </si>
  <si>
    <t>C0546</t>
  </si>
  <si>
    <t>10/15/2025</t>
  </si>
  <si>
    <t>C0547</t>
  </si>
  <si>
    <t>C0548</t>
  </si>
  <si>
    <t>10/16/2025</t>
  </si>
  <si>
    <t>330/24</t>
  </si>
  <si>
    <t>C0549</t>
  </si>
  <si>
    <t>№АРТ-296</t>
  </si>
  <si>
    <t>C0550</t>
  </si>
  <si>
    <t>10/17/2025</t>
  </si>
  <si>
    <t>АРТ_354</t>
  </si>
  <si>
    <t>C0551</t>
  </si>
  <si>
    <t>C0552</t>
  </si>
  <si>
    <t>10/18/2025</t>
  </si>
  <si>
    <t>C0553</t>
  </si>
  <si>
    <t>C0554</t>
  </si>
  <si>
    <t>10/19/2025</t>
  </si>
  <si>
    <t>C0555</t>
  </si>
  <si>
    <t>C0556</t>
  </si>
  <si>
    <t>10/20/2025</t>
  </si>
  <si>
    <t>C0557</t>
  </si>
  <si>
    <t>C0558</t>
  </si>
  <si>
    <t>10/21/2025</t>
  </si>
  <si>
    <t>C0559</t>
  </si>
  <si>
    <t>C0560</t>
  </si>
  <si>
    <t>10/22/2025</t>
  </si>
  <si>
    <t>C0561</t>
  </si>
  <si>
    <t>№АРТ-192</t>
  </si>
  <si>
    <t>C0562</t>
  </si>
  <si>
    <t>10/23/2025</t>
  </si>
  <si>
    <t>C0563</t>
  </si>
  <si>
    <t>C0564</t>
  </si>
  <si>
    <t>10/24/2025</t>
  </si>
  <si>
    <t>№АРТ-087</t>
  </si>
  <si>
    <t>C0565</t>
  </si>
  <si>
    <t>C0566</t>
  </si>
  <si>
    <t>10/25/2025</t>
  </si>
  <si>
    <t>C0567</t>
  </si>
  <si>
    <t>C0568</t>
  </si>
  <si>
    <t>10/26/2025</t>
  </si>
  <si>
    <t>АРТ_396</t>
  </si>
  <si>
    <t>C0569</t>
  </si>
  <si>
    <t>253-24</t>
  </si>
  <si>
    <t>C0570</t>
  </si>
  <si>
    <t>10/27/2025</t>
  </si>
  <si>
    <t>C0571</t>
  </si>
  <si>
    <t>АРТ_484</t>
  </si>
  <si>
    <t>C0572</t>
  </si>
  <si>
    <t>10/28/2025</t>
  </si>
  <si>
    <t>C0573</t>
  </si>
  <si>
    <t>C0574</t>
  </si>
  <si>
    <t>10/29/2025</t>
  </si>
  <si>
    <t>C0575</t>
  </si>
  <si>
    <t>141-24</t>
  </si>
  <si>
    <t>C0576</t>
  </si>
  <si>
    <t>10/30/2025</t>
  </si>
  <si>
    <t>C0577</t>
  </si>
  <si>
    <t>АРТ_475</t>
  </si>
  <si>
    <t>C0578</t>
  </si>
  <si>
    <t>10/31/2025</t>
  </si>
  <si>
    <t>C0579</t>
  </si>
  <si>
    <t>C0580</t>
  </si>
  <si>
    <t>11/01/2025</t>
  </si>
  <si>
    <t>C0581</t>
  </si>
  <si>
    <t>C0582</t>
  </si>
  <si>
    <t>11/02/2025</t>
  </si>
  <si>
    <t>C0583</t>
  </si>
  <si>
    <t>C0584</t>
  </si>
  <si>
    <t>11/03/2025</t>
  </si>
  <si>
    <t>C0585</t>
  </si>
  <si>
    <t>C0586</t>
  </si>
  <si>
    <t>11/04/2025</t>
  </si>
  <si>
    <t>C0587</t>
  </si>
  <si>
    <t>272-24</t>
  </si>
  <si>
    <t>C0588</t>
  </si>
  <si>
    <t>11/05/2025</t>
  </si>
  <si>
    <t>C0589</t>
  </si>
  <si>
    <t>АРТ_447</t>
  </si>
  <si>
    <t>C0590</t>
  </si>
  <si>
    <t>11/06/2025</t>
  </si>
  <si>
    <t>379/24</t>
  </si>
  <si>
    <t>C0591</t>
  </si>
  <si>
    <t>C0592</t>
  </si>
  <si>
    <t>11/07/2025</t>
  </si>
  <si>
    <t>C0593</t>
  </si>
  <si>
    <t>C0594</t>
  </si>
  <si>
    <t>11/08/2025</t>
  </si>
  <si>
    <t>№АРТ-128</t>
  </si>
  <si>
    <t>C0595</t>
  </si>
  <si>
    <t>C0596</t>
  </si>
  <si>
    <t>11/09/2025</t>
  </si>
  <si>
    <t>310/24</t>
  </si>
  <si>
    <t>C0597</t>
  </si>
  <si>
    <t>C0598</t>
  </si>
  <si>
    <t>11/10/2025</t>
  </si>
  <si>
    <t>АРТ_372</t>
  </si>
  <si>
    <t>C0599</t>
  </si>
  <si>
    <t>C0600</t>
  </si>
  <si>
    <t>11/11/2025</t>
  </si>
  <si>
    <t>C0601</t>
  </si>
  <si>
    <t>АРТ_429</t>
  </si>
  <si>
    <t>C0602</t>
  </si>
  <si>
    <t>11/12/2025</t>
  </si>
  <si>
    <t>C0603</t>
  </si>
  <si>
    <t>C0604</t>
  </si>
  <si>
    <t>11/13/2025</t>
  </si>
  <si>
    <t>C0605</t>
  </si>
  <si>
    <t>293-24</t>
  </si>
  <si>
    <t>C0606</t>
  </si>
  <si>
    <t>11/14/2025</t>
  </si>
  <si>
    <t>№АРТ-006</t>
  </si>
  <si>
    <t>C0607</t>
  </si>
  <si>
    <t>C0608</t>
  </si>
  <si>
    <t>11/15/2025</t>
  </si>
  <si>
    <t>398/24</t>
  </si>
  <si>
    <t>C0609</t>
  </si>
  <si>
    <t>C0610</t>
  </si>
  <si>
    <t>11/16/2025</t>
  </si>
  <si>
    <t>C0611</t>
  </si>
  <si>
    <t>C0612</t>
  </si>
  <si>
    <t>11/17/2025</t>
  </si>
  <si>
    <t>C0613</t>
  </si>
  <si>
    <t>C0614</t>
  </si>
  <si>
    <t>11/18/2025</t>
  </si>
  <si>
    <t>324/24</t>
  </si>
  <si>
    <t>C0615</t>
  </si>
  <si>
    <t>C0616</t>
  </si>
  <si>
    <t>11/19/2025</t>
  </si>
  <si>
    <t>C0617</t>
  </si>
  <si>
    <t>218-24</t>
  </si>
  <si>
    <t>C0618</t>
  </si>
  <si>
    <t>11/20/2025</t>
  </si>
  <si>
    <t>C0619</t>
  </si>
  <si>
    <t>АРТ_412</t>
  </si>
  <si>
    <t>C0620</t>
  </si>
  <si>
    <t>11/21/2025</t>
  </si>
  <si>
    <t>385/24</t>
  </si>
  <si>
    <t>C0621</t>
  </si>
  <si>
    <t>C0622</t>
  </si>
  <si>
    <t>11/22/2025</t>
  </si>
  <si>
    <t>C0623</t>
  </si>
  <si>
    <t>C0624</t>
  </si>
  <si>
    <t>11/23/2025</t>
  </si>
  <si>
    <t>№АРТ-095</t>
  </si>
  <si>
    <t>C0625</t>
  </si>
  <si>
    <t>C0626</t>
  </si>
  <si>
    <t>11/24/2025</t>
  </si>
  <si>
    <t>C0627</t>
  </si>
  <si>
    <t>№АРТ-219</t>
  </si>
  <si>
    <t>C0628</t>
  </si>
  <si>
    <t>11/25/2025</t>
  </si>
  <si>
    <t>АРТ_336</t>
  </si>
  <si>
    <t>C0629</t>
  </si>
  <si>
    <t>279-24</t>
  </si>
  <si>
    <t>C0630</t>
  </si>
  <si>
    <t>11/26/2025</t>
  </si>
  <si>
    <t>C0631</t>
  </si>
  <si>
    <t>АРТ_465</t>
  </si>
  <si>
    <t>C0632</t>
  </si>
  <si>
    <t>11/27/2025</t>
  </si>
  <si>
    <t>365/24</t>
  </si>
  <si>
    <t>C0633</t>
  </si>
  <si>
    <t>C0634</t>
  </si>
  <si>
    <t>11/28/2025</t>
  </si>
  <si>
    <t>C0635</t>
  </si>
  <si>
    <t>C0636</t>
  </si>
  <si>
    <t>11/29/2025</t>
  </si>
  <si>
    <t>№АРТ-150</t>
  </si>
  <si>
    <t>C0637</t>
  </si>
  <si>
    <t>C0638</t>
  </si>
  <si>
    <t>11/30/2025</t>
  </si>
  <si>
    <t>C0639</t>
  </si>
  <si>
    <t>№АРТ-411</t>
  </si>
  <si>
    <t>C0640</t>
  </si>
  <si>
    <t>12/01/2025</t>
  </si>
  <si>
    <t>C0641</t>
  </si>
  <si>
    <t>155-24</t>
  </si>
  <si>
    <t>C0642</t>
  </si>
  <si>
    <t>12/02/2025</t>
  </si>
  <si>
    <t>№АРТ-056</t>
  </si>
  <si>
    <t>C0643</t>
  </si>
  <si>
    <t>C0644</t>
  </si>
  <si>
    <t>12/03/2025</t>
  </si>
  <si>
    <t>300/24</t>
  </si>
  <si>
    <t>C0645</t>
  </si>
  <si>
    <t>C0646</t>
  </si>
  <si>
    <t>12/04/2025</t>
  </si>
  <si>
    <t>C0647</t>
  </si>
  <si>
    <t>233-24</t>
  </si>
  <si>
    <t>C0648</t>
  </si>
  <si>
    <t>12/05/2025</t>
  </si>
  <si>
    <t>№АРТ-122</t>
  </si>
  <si>
    <t>C0649</t>
  </si>
  <si>
    <t>C0650</t>
  </si>
  <si>
    <t>12/06/2025</t>
  </si>
  <si>
    <t>367/24</t>
  </si>
  <si>
    <t>C0651</t>
  </si>
  <si>
    <t>C0652</t>
  </si>
  <si>
    <t>12/07/2025</t>
  </si>
  <si>
    <t>АРТ_385</t>
  </si>
  <si>
    <t>C0653</t>
  </si>
  <si>
    <t>242-24</t>
  </si>
  <si>
    <t>C0654</t>
  </si>
  <si>
    <t>12/08/2025</t>
  </si>
  <si>
    <t>№АРТ-089</t>
  </si>
  <si>
    <t>C0655</t>
  </si>
  <si>
    <t>C0656</t>
  </si>
  <si>
    <t>12/09/2025</t>
  </si>
  <si>
    <t>C0657</t>
  </si>
  <si>
    <t>C0658</t>
  </si>
  <si>
    <t>12/10/2025</t>
  </si>
  <si>
    <t>C0659</t>
  </si>
  <si>
    <t>C0660</t>
  </si>
  <si>
    <t>12/11/2025</t>
  </si>
  <si>
    <t>№АРТ-014</t>
  </si>
  <si>
    <t>C0661</t>
  </si>
  <si>
    <t>АРТ_453</t>
  </si>
  <si>
    <t>C0662</t>
  </si>
  <si>
    <t>12/12/2025</t>
  </si>
  <si>
    <t>C0663</t>
  </si>
  <si>
    <t>№АРТ-273</t>
  </si>
  <si>
    <t>C0664</t>
  </si>
  <si>
    <t>12/13/2025</t>
  </si>
  <si>
    <t>C0665</t>
  </si>
  <si>
    <t>C0666</t>
  </si>
  <si>
    <t>12/14/2025</t>
  </si>
  <si>
    <t>№АРТ-039</t>
  </si>
  <si>
    <t>C0667</t>
  </si>
  <si>
    <t>C0668</t>
  </si>
  <si>
    <t>12/15/2025</t>
  </si>
  <si>
    <t>377/24</t>
  </si>
  <si>
    <t>C0669</t>
  </si>
  <si>
    <t>C0670</t>
  </si>
  <si>
    <t>12/16/2025</t>
  </si>
  <si>
    <t>C0671</t>
  </si>
  <si>
    <t>285-24</t>
  </si>
  <si>
    <t>C0672</t>
  </si>
  <si>
    <t>12/17/2025</t>
  </si>
  <si>
    <t>C0673</t>
  </si>
  <si>
    <t>АРТ_430</t>
  </si>
  <si>
    <t>C0674</t>
  </si>
  <si>
    <t>12/18/2025</t>
  </si>
  <si>
    <t>C0675</t>
  </si>
  <si>
    <t>№АРТ-198</t>
  </si>
  <si>
    <t>C0676</t>
  </si>
  <si>
    <t>12/19/2025</t>
  </si>
  <si>
    <t>АРТ_379</t>
  </si>
  <si>
    <t>C0677</t>
  </si>
  <si>
    <t>116-24</t>
  </si>
  <si>
    <t>C0678</t>
  </si>
  <si>
    <t>12/20/2025</t>
  </si>
  <si>
    <t>№АРТ-066</t>
  </si>
  <si>
    <t>C0679</t>
  </si>
  <si>
    <t>C0680</t>
  </si>
  <si>
    <t>12/21/2025</t>
  </si>
  <si>
    <t>C0681</t>
  </si>
  <si>
    <t>C0682</t>
  </si>
  <si>
    <t>12/22/2025</t>
  </si>
  <si>
    <t>АРТ_282</t>
  </si>
  <si>
    <t>C0683</t>
  </si>
  <si>
    <t>259-24</t>
  </si>
  <si>
    <t>C0684</t>
  </si>
  <si>
    <t>12/23/2025</t>
  </si>
  <si>
    <t>C0685</t>
  </si>
  <si>
    <t>C0686</t>
  </si>
  <si>
    <t>12/24/2025</t>
  </si>
  <si>
    <t>C0687</t>
  </si>
  <si>
    <t>№АРТ-236</t>
  </si>
  <si>
    <t>C0688</t>
  </si>
  <si>
    <t>12/25/2025</t>
  </si>
  <si>
    <t>АРТ_322</t>
  </si>
  <si>
    <t>C0689</t>
  </si>
  <si>
    <t>C0690</t>
  </si>
  <si>
    <t>12/26/2025</t>
  </si>
  <si>
    <t>№АРТ-008</t>
  </si>
  <si>
    <t>C0691</t>
  </si>
  <si>
    <t>C0692</t>
  </si>
  <si>
    <t>12/27/2025</t>
  </si>
  <si>
    <t>C0693</t>
  </si>
  <si>
    <t>C0694</t>
  </si>
  <si>
    <t>12/28/2025</t>
  </si>
  <si>
    <t>C0695</t>
  </si>
  <si>
    <t>283-24</t>
  </si>
  <si>
    <t>C0696</t>
  </si>
  <si>
    <t>12/29/2025</t>
  </si>
  <si>
    <t>C0697</t>
  </si>
  <si>
    <t>C0698</t>
  </si>
  <si>
    <t>12/30/2025</t>
  </si>
  <si>
    <t>306/24</t>
  </si>
  <si>
    <t>C0699</t>
  </si>
  <si>
    <t>C0700</t>
  </si>
  <si>
    <t>12/31/2025</t>
  </si>
  <si>
    <t>АРТ_375</t>
  </si>
  <si>
    <t>C0701</t>
  </si>
  <si>
    <t>C0702</t>
  </si>
  <si>
    <t>01/01/2026</t>
  </si>
  <si>
    <t>C0703</t>
  </si>
  <si>
    <t>C0704</t>
  </si>
  <si>
    <t>01/02/2026</t>
  </si>
  <si>
    <t>323/24</t>
  </si>
  <si>
    <t>C0705</t>
  </si>
  <si>
    <t>C0706</t>
  </si>
  <si>
    <t>01/03/2026</t>
  </si>
  <si>
    <t>АРТ_343</t>
  </si>
  <si>
    <t>C0707</t>
  </si>
  <si>
    <t>C0708</t>
  </si>
  <si>
    <t>01/04/2026</t>
  </si>
  <si>
    <t>C0709</t>
  </si>
  <si>
    <t>C0710</t>
  </si>
  <si>
    <t>01/05/2026</t>
  </si>
  <si>
    <t>C0711</t>
  </si>
  <si>
    <t>№АРТ-390</t>
  </si>
  <si>
    <t>C0712</t>
  </si>
  <si>
    <t>01/06/2026</t>
  </si>
  <si>
    <t>АРТ_301</t>
  </si>
  <si>
    <t>C0713</t>
  </si>
  <si>
    <t>C0714</t>
  </si>
  <si>
    <t>01/07/2026</t>
  </si>
  <si>
    <t>C0715</t>
  </si>
  <si>
    <t>АРТ_469</t>
  </si>
  <si>
    <t>C0716</t>
  </si>
  <si>
    <t>01/08/2026</t>
  </si>
  <si>
    <t>C0717</t>
  </si>
  <si>
    <t>C0718</t>
  </si>
  <si>
    <t>01/09/2026</t>
  </si>
  <si>
    <t>АРТ_310</t>
  </si>
  <si>
    <t>C0719</t>
  </si>
  <si>
    <t>C0720</t>
  </si>
  <si>
    <t>01/10/2026</t>
  </si>
  <si>
    <t>C0721</t>
  </si>
  <si>
    <t>АРТ_463</t>
  </si>
  <si>
    <t>C0722</t>
  </si>
  <si>
    <t>01/11/2026</t>
  </si>
  <si>
    <t>C0723</t>
  </si>
  <si>
    <t>C0724</t>
  </si>
  <si>
    <t>01/12/2026</t>
  </si>
  <si>
    <t>АРТ_246</t>
  </si>
  <si>
    <t>C0725</t>
  </si>
  <si>
    <t>C0726</t>
  </si>
  <si>
    <t>01/13/2026</t>
  </si>
  <si>
    <t>C0727</t>
  </si>
  <si>
    <t>C0728</t>
  </si>
  <si>
    <t>01/14/2026</t>
  </si>
  <si>
    <t>374/24</t>
  </si>
  <si>
    <t>C0729</t>
  </si>
  <si>
    <t>№АРТ-357</t>
  </si>
  <si>
    <t>C0730</t>
  </si>
  <si>
    <t>01/15/2026</t>
  </si>
  <si>
    <t>C0731</t>
  </si>
  <si>
    <t>C0732</t>
  </si>
  <si>
    <t>01/16/2026</t>
  </si>
  <si>
    <t>C0733</t>
  </si>
  <si>
    <t>C0734</t>
  </si>
  <si>
    <t>01/17/2026</t>
  </si>
  <si>
    <t>397/24</t>
  </si>
  <si>
    <t>C0735</t>
  </si>
  <si>
    <t>C0736</t>
  </si>
  <si>
    <t>01/18/2026</t>
  </si>
  <si>
    <t>C0737</t>
  </si>
  <si>
    <t>131-24</t>
  </si>
  <si>
    <t>C0738</t>
  </si>
  <si>
    <t>01/19/2026</t>
  </si>
  <si>
    <t>C0739</t>
  </si>
  <si>
    <t>C0740</t>
  </si>
  <si>
    <t>01/20/2026</t>
  </si>
  <si>
    <t>C0741</t>
  </si>
  <si>
    <t>№АРТ-351</t>
  </si>
  <si>
    <t>C0742</t>
  </si>
  <si>
    <t>01/21/2026</t>
  </si>
  <si>
    <t>АРТ_324</t>
  </si>
  <si>
    <t>C0743</t>
  </si>
  <si>
    <t>196-24</t>
  </si>
  <si>
    <t>C0744</t>
  </si>
  <si>
    <t>01/22/2026</t>
  </si>
  <si>
    <t>№АРТ-083</t>
  </si>
  <si>
    <t>C0745</t>
  </si>
  <si>
    <t>C0746</t>
  </si>
  <si>
    <t>01/23/2026</t>
  </si>
  <si>
    <t>C0747</t>
  </si>
  <si>
    <t>№АРТ-326</t>
  </si>
  <si>
    <t>C0748</t>
  </si>
  <si>
    <t>01/24/2026</t>
  </si>
  <si>
    <t>АРТ_315</t>
  </si>
  <si>
    <t>C0749</t>
  </si>
  <si>
    <t>221-24</t>
  </si>
  <si>
    <t>C0750</t>
  </si>
  <si>
    <t>01/25/2026</t>
  </si>
  <si>
    <t>C0751</t>
  </si>
  <si>
    <t>C0752</t>
  </si>
  <si>
    <t>01/26/2026</t>
  </si>
  <si>
    <t>C0753</t>
  </si>
  <si>
    <t>C0754</t>
  </si>
  <si>
    <t>01/27/2026</t>
  </si>
  <si>
    <t>C0755</t>
  </si>
  <si>
    <t>124-24</t>
  </si>
  <si>
    <t>C0756</t>
  </si>
  <si>
    <t>01/28/2026</t>
  </si>
  <si>
    <t>№АРТ-158</t>
  </si>
  <si>
    <t>C0757</t>
  </si>
  <si>
    <t>C0758</t>
  </si>
  <si>
    <t>01/29/2026</t>
  </si>
  <si>
    <t>326/24</t>
  </si>
  <si>
    <t>C0759</t>
  </si>
  <si>
    <t>C0760</t>
  </si>
  <si>
    <t>01/30/2026</t>
  </si>
  <si>
    <t>C0761</t>
  </si>
  <si>
    <t>277-24</t>
  </si>
  <si>
    <t>C0762</t>
  </si>
  <si>
    <t>01/31/2026</t>
  </si>
  <si>
    <t>№АРТ-069</t>
  </si>
  <si>
    <t>C0763</t>
  </si>
  <si>
    <t>C0764</t>
  </si>
  <si>
    <t>02/01/2026</t>
  </si>
  <si>
    <t>349/24</t>
  </si>
  <si>
    <t>C0765</t>
  </si>
  <si>
    <t>C0766</t>
  </si>
  <si>
    <t>02/02/2026</t>
  </si>
  <si>
    <t>АРТ_394</t>
  </si>
  <si>
    <t>C0767</t>
  </si>
  <si>
    <t>C0768</t>
  </si>
  <si>
    <t>02/03/2026</t>
  </si>
  <si>
    <t>C0769</t>
  </si>
  <si>
    <t>C0770</t>
  </si>
  <si>
    <t>02/04/2026</t>
  </si>
  <si>
    <t>319/24</t>
  </si>
  <si>
    <t>C0771</t>
  </si>
  <si>
    <t>C0772</t>
  </si>
  <si>
    <t>02/05/2026</t>
  </si>
  <si>
    <t>C0773</t>
  </si>
  <si>
    <t>115-24</t>
  </si>
  <si>
    <t>C0774</t>
  </si>
  <si>
    <t>02/06/2026</t>
  </si>
  <si>
    <t>C0775</t>
  </si>
  <si>
    <t>C0776</t>
  </si>
  <si>
    <t>02/07/2026</t>
  </si>
  <si>
    <t>C0777</t>
  </si>
  <si>
    <t>№АРТ-167</t>
  </si>
  <si>
    <t>C0778</t>
  </si>
  <si>
    <t>02/08/2026</t>
  </si>
  <si>
    <t>C0779</t>
  </si>
  <si>
    <t>193-24</t>
  </si>
  <si>
    <t>C0780</t>
  </si>
  <si>
    <t>02/09/2026</t>
  </si>
  <si>
    <t>C0781</t>
  </si>
  <si>
    <t>C0782</t>
  </si>
  <si>
    <t>02/10/2026</t>
  </si>
  <si>
    <t>320/24</t>
  </si>
  <si>
    <t>C0783</t>
  </si>
  <si>
    <t>C0784</t>
  </si>
  <si>
    <t>02/11/2026</t>
  </si>
  <si>
    <t>АРТ_325</t>
  </si>
  <si>
    <t>C0785</t>
  </si>
  <si>
    <t>C0786</t>
  </si>
  <si>
    <t>02/12/2026</t>
  </si>
  <si>
    <t>C0787</t>
  </si>
  <si>
    <t>C0788</t>
  </si>
  <si>
    <t>02/13/2026</t>
  </si>
  <si>
    <t>C0789</t>
  </si>
  <si>
    <t>C0790</t>
  </si>
  <si>
    <t>02/14/2026</t>
  </si>
  <si>
    <t>C0791</t>
  </si>
  <si>
    <t>C0792</t>
  </si>
  <si>
    <t>02/15/2026</t>
  </si>
  <si>
    <t>C0793</t>
  </si>
  <si>
    <t>C0794</t>
  </si>
  <si>
    <t>02/16/2026</t>
  </si>
  <si>
    <t>C0795</t>
  </si>
  <si>
    <t>№АРТ-264</t>
  </si>
  <si>
    <t>C0796</t>
  </si>
  <si>
    <t>02/17/2026</t>
  </si>
  <si>
    <t>C0797</t>
  </si>
  <si>
    <t>191-24</t>
  </si>
  <si>
    <t>C0798</t>
  </si>
  <si>
    <t>02/18/2026</t>
  </si>
  <si>
    <t>№АРТ-153</t>
  </si>
  <si>
    <t>C0799</t>
  </si>
  <si>
    <t>C0800</t>
  </si>
  <si>
    <t>02/19/2026</t>
  </si>
  <si>
    <t>C0801</t>
  </si>
  <si>
    <t>№АРТ-393</t>
  </si>
  <si>
    <t>C0802</t>
  </si>
  <si>
    <t>02/20/2026</t>
  </si>
  <si>
    <t>АРТ_307</t>
  </si>
  <si>
    <t>C0803</t>
  </si>
  <si>
    <t>C0804</t>
  </si>
  <si>
    <t>02/21/2026</t>
  </si>
  <si>
    <t>C0805</t>
  </si>
  <si>
    <t>C0806</t>
  </si>
  <si>
    <t>02/22/2026</t>
  </si>
  <si>
    <t>C0807</t>
  </si>
  <si>
    <t>C0808</t>
  </si>
  <si>
    <t>02/23/2026</t>
  </si>
  <si>
    <t>C0809</t>
  </si>
  <si>
    <t>C0810</t>
  </si>
  <si>
    <t>02/24/2026</t>
  </si>
  <si>
    <t>C0811</t>
  </si>
  <si>
    <t>C0812</t>
  </si>
  <si>
    <t>02/25/2026</t>
  </si>
  <si>
    <t>C0813</t>
  </si>
  <si>
    <t>C0814</t>
  </si>
  <si>
    <t>02/26/2026</t>
  </si>
  <si>
    <t>C0815</t>
  </si>
  <si>
    <t>136-24</t>
  </si>
  <si>
    <t>C0816</t>
  </si>
  <si>
    <t>02/27/2026</t>
  </si>
  <si>
    <t>№АРТ-117</t>
  </si>
  <si>
    <t>C0817</t>
  </si>
  <si>
    <t>C0818</t>
  </si>
  <si>
    <t>02/28/2026</t>
  </si>
  <si>
    <t>384/24</t>
  </si>
  <si>
    <t>C0819</t>
  </si>
  <si>
    <t>№АРТ-336</t>
  </si>
  <si>
    <t>C0820</t>
  </si>
  <si>
    <t>03/01/2026</t>
  </si>
  <si>
    <t>C0821</t>
  </si>
  <si>
    <t>C0822</t>
  </si>
  <si>
    <t>03/02/2026</t>
  </si>
  <si>
    <t>C0823</t>
  </si>
  <si>
    <t>АРТ_421</t>
  </si>
  <si>
    <t>C0824</t>
  </si>
  <si>
    <t>03/03/2026</t>
  </si>
  <si>
    <t>C0825</t>
  </si>
  <si>
    <t>C0826</t>
  </si>
  <si>
    <t>03/04/2026</t>
  </si>
  <si>
    <t>C0827</t>
  </si>
  <si>
    <t>101-24</t>
  </si>
  <si>
    <t>C0828</t>
  </si>
  <si>
    <t>03/05/2026</t>
  </si>
  <si>
    <t>C0829</t>
  </si>
  <si>
    <t>C0830</t>
  </si>
  <si>
    <t>03/06/2026</t>
  </si>
  <si>
    <t>C0831</t>
  </si>
  <si>
    <t>C0832</t>
  </si>
  <si>
    <t>03/07/2026</t>
  </si>
  <si>
    <t>C0833</t>
  </si>
  <si>
    <t>152-24</t>
  </si>
  <si>
    <t>C0834</t>
  </si>
  <si>
    <t>03/08/2026</t>
  </si>
  <si>
    <t>C0835</t>
  </si>
  <si>
    <t>C0836</t>
  </si>
  <si>
    <t>03/09/2026</t>
  </si>
  <si>
    <t>C0837</t>
  </si>
  <si>
    <t>№АРТ-270</t>
  </si>
  <si>
    <t>C0838</t>
  </si>
  <si>
    <t>03/10/2026</t>
  </si>
  <si>
    <t>C0839</t>
  </si>
  <si>
    <t>197-24</t>
  </si>
  <si>
    <t>C0840</t>
  </si>
  <si>
    <t>03/11/2026</t>
  </si>
  <si>
    <t>C0841</t>
  </si>
  <si>
    <t>C0842</t>
  </si>
  <si>
    <t>03/12/2026</t>
  </si>
  <si>
    <t>C0843</t>
  </si>
  <si>
    <t>C0844</t>
  </si>
  <si>
    <t>03/13/2026</t>
  </si>
  <si>
    <t>C0845</t>
  </si>
  <si>
    <t>151-24</t>
  </si>
  <si>
    <t>C0846</t>
  </si>
  <si>
    <t>03/14/2026</t>
  </si>
  <si>
    <t>C0847</t>
  </si>
  <si>
    <t>C0848</t>
  </si>
  <si>
    <t>03/15/2026</t>
  </si>
  <si>
    <t>C0849</t>
  </si>
  <si>
    <t>C0850</t>
  </si>
  <si>
    <t>03/16/2026</t>
  </si>
  <si>
    <t>C0851</t>
  </si>
  <si>
    <t>248-24</t>
  </si>
  <si>
    <t>C0852</t>
  </si>
  <si>
    <t>03/17/2026</t>
  </si>
  <si>
    <t>№АРТ-075</t>
  </si>
  <si>
    <t>C0853</t>
  </si>
  <si>
    <t>C0854</t>
  </si>
  <si>
    <t>03/18/2026</t>
  </si>
  <si>
    <t>C0855</t>
  </si>
  <si>
    <t>C0856</t>
  </si>
  <si>
    <t>03/19/2026</t>
  </si>
  <si>
    <t>C0857</t>
  </si>
  <si>
    <t>C0858</t>
  </si>
  <si>
    <t>03/20/2026</t>
  </si>
  <si>
    <t>№АРТ-113</t>
  </si>
  <si>
    <t>C0859</t>
  </si>
  <si>
    <t>C0860</t>
  </si>
  <si>
    <t>03/21/2026</t>
  </si>
  <si>
    <t>C0861</t>
  </si>
  <si>
    <t>№АРТ-402</t>
  </si>
  <si>
    <t>C0862</t>
  </si>
  <si>
    <t>03/22/2026</t>
  </si>
  <si>
    <t>C0863</t>
  </si>
  <si>
    <t>C0864</t>
  </si>
  <si>
    <t>03/23/2026</t>
  </si>
  <si>
    <t>C0865</t>
  </si>
  <si>
    <t>C0866</t>
  </si>
  <si>
    <t>03/24/2026</t>
  </si>
  <si>
    <t>C0867</t>
  </si>
  <si>
    <t>C0868</t>
  </si>
  <si>
    <t>03/25/2026</t>
  </si>
  <si>
    <t>АРТ_355</t>
  </si>
  <si>
    <t>C0869</t>
  </si>
  <si>
    <t>C0870</t>
  </si>
  <si>
    <t>03/26/2026</t>
  </si>
  <si>
    <t>C0871</t>
  </si>
  <si>
    <t>C0872</t>
  </si>
  <si>
    <t>03/27/2026</t>
  </si>
  <si>
    <t>C0873</t>
  </si>
  <si>
    <t>№АРТ-213</t>
  </si>
  <si>
    <t>C0874</t>
  </si>
  <si>
    <t>03/28/2026</t>
  </si>
  <si>
    <t>C0875</t>
  </si>
  <si>
    <t>C0876</t>
  </si>
  <si>
    <t>03/29/2026</t>
  </si>
  <si>
    <t>C0877</t>
  </si>
  <si>
    <t>C0878</t>
  </si>
  <si>
    <t>03/30/2026</t>
  </si>
  <si>
    <t>337/24</t>
  </si>
  <si>
    <t>C0879</t>
  </si>
  <si>
    <t>C0880</t>
  </si>
  <si>
    <t>03/31/2026</t>
  </si>
  <si>
    <t>C0881</t>
  </si>
  <si>
    <t>229-24</t>
  </si>
  <si>
    <t>C0882</t>
  </si>
  <si>
    <t>04/01/2026</t>
  </si>
  <si>
    <t>C0883</t>
  </si>
  <si>
    <t>C0884</t>
  </si>
  <si>
    <t>04/02/2026</t>
  </si>
  <si>
    <t>392/24</t>
  </si>
  <si>
    <t>C0885</t>
  </si>
  <si>
    <t>№АРТ-240</t>
  </si>
  <si>
    <t>C0886</t>
  </si>
  <si>
    <t>04/03/2026</t>
  </si>
  <si>
    <t>C0887</t>
  </si>
  <si>
    <t>C0888</t>
  </si>
  <si>
    <t>04/04/2026</t>
  </si>
  <si>
    <t>№АРТ-111</t>
  </si>
  <si>
    <t>C0889</t>
  </si>
  <si>
    <t>C0890</t>
  </si>
  <si>
    <t>04/05/2026</t>
  </si>
  <si>
    <t>C0891</t>
  </si>
  <si>
    <t>C0892</t>
  </si>
  <si>
    <t>04/06/2026</t>
  </si>
  <si>
    <t>C0893</t>
  </si>
  <si>
    <t>266-24</t>
  </si>
  <si>
    <t>C0894</t>
  </si>
  <si>
    <t>04/07/2026</t>
  </si>
  <si>
    <t>№АРТ-090</t>
  </si>
  <si>
    <t>C0895</t>
  </si>
  <si>
    <t>C0896</t>
  </si>
  <si>
    <t>04/08/2026</t>
  </si>
  <si>
    <t>C0897</t>
  </si>
  <si>
    <t>C0898</t>
  </si>
  <si>
    <t>04/09/2026</t>
  </si>
  <si>
    <t>АРТ_391</t>
  </si>
  <si>
    <t>C0899</t>
  </si>
  <si>
    <t>C0900</t>
  </si>
  <si>
    <t>04/10/2026</t>
  </si>
  <si>
    <t>C0901</t>
  </si>
  <si>
    <t>C0902</t>
  </si>
  <si>
    <t>04/11/2026</t>
  </si>
  <si>
    <t>C0903</t>
  </si>
  <si>
    <t>№АРТ-279</t>
  </si>
  <si>
    <t>C0904</t>
  </si>
  <si>
    <t>04/12/2026</t>
  </si>
  <si>
    <t>АРТ_271</t>
  </si>
  <si>
    <t>C0905</t>
  </si>
  <si>
    <t>C0906</t>
  </si>
  <si>
    <t>04/13/2026</t>
  </si>
  <si>
    <t>№АРТ-015</t>
  </si>
  <si>
    <t>C0907</t>
  </si>
  <si>
    <t>АРТ_417</t>
  </si>
  <si>
    <t>C0908</t>
  </si>
  <si>
    <t>04/14/2026</t>
  </si>
  <si>
    <t>C0909</t>
  </si>
  <si>
    <t>C0910</t>
  </si>
  <si>
    <t>04/15/2026</t>
  </si>
  <si>
    <t>C0911</t>
  </si>
  <si>
    <t>209-24</t>
  </si>
  <si>
    <t>C0912</t>
  </si>
  <si>
    <t>04/16/2026</t>
  </si>
  <si>
    <t>№АРТ-143</t>
  </si>
  <si>
    <t>C0913</t>
  </si>
  <si>
    <t>C0914</t>
  </si>
  <si>
    <t>04/17/2026</t>
  </si>
  <si>
    <t>C0915</t>
  </si>
  <si>
    <t>№АРТ-309</t>
  </si>
  <si>
    <t>C0916</t>
  </si>
  <si>
    <t>04/18/2026</t>
  </si>
  <si>
    <t>C0917</t>
  </si>
  <si>
    <t>C0918</t>
  </si>
  <si>
    <t>04/19/2026</t>
  </si>
  <si>
    <t>C0919</t>
  </si>
  <si>
    <t>C0920</t>
  </si>
  <si>
    <t>04/20/2026</t>
  </si>
  <si>
    <t>C0921</t>
  </si>
  <si>
    <t>№АРТ-314</t>
  </si>
  <si>
    <t>C0922</t>
  </si>
  <si>
    <t>04/21/2026</t>
  </si>
  <si>
    <t>C0923</t>
  </si>
  <si>
    <t>287-24</t>
  </si>
  <si>
    <t>C0924</t>
  </si>
  <si>
    <t>04/22/2026</t>
  </si>
  <si>
    <t>№АРТ-048</t>
  </si>
  <si>
    <t>C0925</t>
  </si>
  <si>
    <t>C0926</t>
  </si>
  <si>
    <t>04/23/2026</t>
  </si>
  <si>
    <t>C0927</t>
  </si>
  <si>
    <t>№АРТ-395</t>
  </si>
  <si>
    <t>C0928</t>
  </si>
  <si>
    <t>04/24/2026</t>
  </si>
  <si>
    <t>C0929</t>
  </si>
  <si>
    <t>230-24</t>
  </si>
  <si>
    <t>C0930</t>
  </si>
  <si>
    <t>04/25/2026</t>
  </si>
  <si>
    <t>C0931</t>
  </si>
  <si>
    <t>C0932</t>
  </si>
  <si>
    <t>04/26/2026</t>
  </si>
  <si>
    <t>332/24</t>
  </si>
  <si>
    <t>C0933</t>
  </si>
  <si>
    <t>C0934</t>
  </si>
  <si>
    <t>04/27/2026</t>
  </si>
  <si>
    <t>C0935</t>
  </si>
  <si>
    <t>109-24</t>
  </si>
  <si>
    <t>C0936</t>
  </si>
  <si>
    <t>04/28/2026</t>
  </si>
  <si>
    <t>№АРТ-098</t>
  </si>
  <si>
    <t>C0937</t>
  </si>
  <si>
    <t>C0938</t>
  </si>
  <si>
    <t>04/29/2026</t>
  </si>
  <si>
    <t>C0939</t>
  </si>
  <si>
    <t>C0940</t>
  </si>
  <si>
    <t>04/30/2026</t>
  </si>
  <si>
    <t>C0941</t>
  </si>
  <si>
    <t>244-24</t>
  </si>
  <si>
    <t>C0942</t>
  </si>
  <si>
    <t>05/01/2026</t>
  </si>
  <si>
    <t>C0943</t>
  </si>
  <si>
    <t>C0944</t>
  </si>
  <si>
    <t>05/02/2026</t>
  </si>
  <si>
    <t>C0945</t>
  </si>
  <si>
    <t>№АРТ-170</t>
  </si>
  <si>
    <t>C0946</t>
  </si>
  <si>
    <t>05/03/2026</t>
  </si>
  <si>
    <t>C0947</t>
  </si>
  <si>
    <t>273-24</t>
  </si>
  <si>
    <t>C0948</t>
  </si>
  <si>
    <t>05/04/2026</t>
  </si>
  <si>
    <t>C0949</t>
  </si>
  <si>
    <t>C0950</t>
  </si>
  <si>
    <t>05/05/2026</t>
  </si>
  <si>
    <t>C0951</t>
  </si>
  <si>
    <t>№АРТ-369</t>
  </si>
  <si>
    <t>C0952</t>
  </si>
  <si>
    <t>05/06/2026</t>
  </si>
  <si>
    <t>C0953</t>
  </si>
  <si>
    <t>C0954</t>
  </si>
  <si>
    <t>05/07/2026</t>
  </si>
  <si>
    <t>C0955</t>
  </si>
  <si>
    <t>АРТ_499</t>
  </si>
  <si>
    <t>C0956</t>
  </si>
  <si>
    <t>05/08/2026</t>
  </si>
  <si>
    <t>C0957</t>
  </si>
  <si>
    <t>C0958</t>
  </si>
  <si>
    <t>05/09/2026</t>
  </si>
  <si>
    <t>C0959</t>
  </si>
  <si>
    <t>C0960</t>
  </si>
  <si>
    <t>05/10/2026</t>
  </si>
  <si>
    <t>C0961</t>
  </si>
  <si>
    <t>C0962</t>
  </si>
  <si>
    <t>05/11/2026</t>
  </si>
  <si>
    <t>C0963</t>
  </si>
  <si>
    <t>C0964</t>
  </si>
  <si>
    <t>05/12/2026</t>
  </si>
  <si>
    <t>C0965</t>
  </si>
  <si>
    <t>C0966</t>
  </si>
  <si>
    <t>05/13/2026</t>
  </si>
  <si>
    <t>C0967</t>
  </si>
  <si>
    <t>C0968</t>
  </si>
  <si>
    <t>05/14/2026</t>
  </si>
  <si>
    <t>C0969</t>
  </si>
  <si>
    <t>C0970</t>
  </si>
  <si>
    <t>05/15/2026</t>
  </si>
  <si>
    <t>C0971</t>
  </si>
  <si>
    <t>154-24</t>
  </si>
  <si>
    <t>C0972</t>
  </si>
  <si>
    <t>05/16/2026</t>
  </si>
  <si>
    <t>C0973</t>
  </si>
  <si>
    <t>C0974</t>
  </si>
  <si>
    <t>05/17/2026</t>
  </si>
  <si>
    <t>C0975</t>
  </si>
  <si>
    <t>C0976</t>
  </si>
  <si>
    <t>05/18/2026</t>
  </si>
  <si>
    <t>C0977</t>
  </si>
  <si>
    <t>C0978</t>
  </si>
  <si>
    <t>05/19/2026</t>
  </si>
  <si>
    <t>C0979</t>
  </si>
  <si>
    <t>C0980</t>
  </si>
  <si>
    <t>05/20/2026</t>
  </si>
  <si>
    <t>C0981</t>
  </si>
  <si>
    <t>C0982</t>
  </si>
  <si>
    <t>05/21/2026</t>
  </si>
  <si>
    <t>C0983</t>
  </si>
  <si>
    <t>C0984</t>
  </si>
  <si>
    <t>05/22/2026</t>
  </si>
  <si>
    <t>C0985</t>
  </si>
  <si>
    <t>C0986</t>
  </si>
  <si>
    <t>05/23/2026</t>
  </si>
  <si>
    <t>C0987</t>
  </si>
  <si>
    <t>№АРТ-140</t>
  </si>
  <si>
    <t>C0988</t>
  </si>
  <si>
    <t>05/24/2026</t>
  </si>
  <si>
    <t>АРТ_270</t>
  </si>
  <si>
    <t>C0989</t>
  </si>
  <si>
    <t>C0990</t>
  </si>
  <si>
    <t>05/25/2026</t>
  </si>
  <si>
    <t>C0991</t>
  </si>
  <si>
    <t>C0992</t>
  </si>
  <si>
    <t>05/26/2026</t>
  </si>
  <si>
    <t>C0993</t>
  </si>
  <si>
    <t>№АРТ-174</t>
  </si>
  <si>
    <t>C0994</t>
  </si>
  <si>
    <t>05/27/2026</t>
  </si>
  <si>
    <t>C0995</t>
  </si>
  <si>
    <t>C0996</t>
  </si>
  <si>
    <t>05/28/2026</t>
  </si>
  <si>
    <t>C0997</t>
  </si>
  <si>
    <t>C0998</t>
  </si>
  <si>
    <t>05/29/2026</t>
  </si>
  <si>
    <t>372/24</t>
  </si>
  <si>
    <t>C0999</t>
  </si>
  <si>
    <t>C1000</t>
  </si>
  <si>
    <t>ФИО</t>
  </si>
  <si>
    <t>Город</t>
  </si>
  <si>
    <t xml:space="preserve">Иванов Иван Иванович</t>
  </si>
  <si>
    <t>15.05.1990</t>
  </si>
  <si>
    <t>ivanov@mail.ru</t>
  </si>
  <si>
    <t>01.01.2022</t>
  </si>
  <si>
    <t xml:space="preserve">Петров Петр Петрович</t>
  </si>
  <si>
    <t>23.08.1985</t>
  </si>
  <si>
    <t>petrov@yandex</t>
  </si>
  <si>
    <t>2022-01-15</t>
  </si>
  <si>
    <t xml:space="preserve">Сидоров Сидор Сидорович</t>
  </si>
  <si>
    <t>12.03.1992</t>
  </si>
  <si>
    <t>sidorov@gmail.com</t>
  </si>
  <si>
    <t>15.01.2022</t>
  </si>
  <si>
    <t xml:space="preserve">Кузнецова Анна Сергеевна</t>
  </si>
  <si>
    <t>07.11.1978</t>
  </si>
  <si>
    <t>kuznetsova@mail</t>
  </si>
  <si>
    <t>Новосибирск</t>
  </si>
  <si>
    <t>01.02.2022</t>
  </si>
  <si>
    <t xml:space="preserve">Смирнов Алексей Владимирович</t>
  </si>
  <si>
    <t>30.06.1995</t>
  </si>
  <si>
    <t>smirnov@yandex</t>
  </si>
  <si>
    <t>Казань</t>
  </si>
  <si>
    <t>2022-02-10</t>
  </si>
  <si>
    <t xml:space="preserve">Попова Елена Дмитриевна</t>
  </si>
  <si>
    <t>14.09.1982</t>
  </si>
  <si>
    <t xml:space="preserve">8 903 567 89 01</t>
  </si>
  <si>
    <t>popova@gmail</t>
  </si>
  <si>
    <t>10.02.2022</t>
  </si>
  <si>
    <t xml:space="preserve">Васильев Андрей Николаевич</t>
  </si>
  <si>
    <t>25.12.1970</t>
  </si>
  <si>
    <t>+79035678901</t>
  </si>
  <si>
    <t>vasiliev@mail</t>
  </si>
  <si>
    <t>Челябинск</t>
  </si>
  <si>
    <t>01.03.2022</t>
  </si>
  <si>
    <t xml:space="preserve">Зайцева Ольга Игоревна</t>
  </si>
  <si>
    <t>19.04.1988</t>
  </si>
  <si>
    <t>zaitceva@yandex</t>
  </si>
  <si>
    <t>Самара</t>
  </si>
  <si>
    <t>2022-03-15</t>
  </si>
  <si>
    <t xml:space="preserve">Морозов Дмитрий Алексеевич</t>
  </si>
  <si>
    <t>02.10.1993</t>
  </si>
  <si>
    <t xml:space="preserve">8 903 789 01 23</t>
  </si>
  <si>
    <t>morozov@gmail</t>
  </si>
  <si>
    <t>Омск</t>
  </si>
  <si>
    <t>15.03.2022</t>
  </si>
  <si>
    <t xml:space="preserve">Соколова Екатерина Павловна</t>
  </si>
  <si>
    <t>16.01.1976</t>
  </si>
  <si>
    <t>+79038901234</t>
  </si>
  <si>
    <t>sokolova@mail</t>
  </si>
  <si>
    <t>Ростов-на-Дону</t>
  </si>
  <si>
    <t>01.04.2022</t>
  </si>
  <si>
    <t xml:space="preserve">Михайлов Сергей Иванович</t>
  </si>
  <si>
    <t>28.07.1984</t>
  </si>
  <si>
    <t>mihailov@yandex</t>
  </si>
  <si>
    <t>Уфа</t>
  </si>
  <si>
    <t>2022-04-10</t>
  </si>
  <si>
    <t xml:space="preserve">Федорова Татьяна Владимировна</t>
  </si>
  <si>
    <t>11.03.1991</t>
  </si>
  <si>
    <t xml:space="preserve">8 903 901 23 45</t>
  </si>
  <si>
    <t>fedorova@gmail</t>
  </si>
  <si>
    <t>Красноярск</t>
  </si>
  <si>
    <t>10.04.2022</t>
  </si>
  <si>
    <t xml:space="preserve">Егоров Павел Андреевич</t>
  </si>
  <si>
    <t>05.12.1973</t>
  </si>
  <si>
    <t>egorov@mail</t>
  </si>
  <si>
    <t>Пермь</t>
  </si>
  <si>
    <t>01.05.2022</t>
  </si>
  <si>
    <t xml:space="preserve">Николаев Александр Сергеевич</t>
  </si>
  <si>
    <t>23.08.1986</t>
  </si>
  <si>
    <t>nikolaev@yandex</t>
  </si>
  <si>
    <t>Волгоград</t>
  </si>
  <si>
    <t>2022-05-15</t>
  </si>
  <si>
    <t xml:space="preserve">Григорьева Наталья Юрьевна</t>
  </si>
  <si>
    <t>14.05.1994</t>
  </si>
  <si>
    <t xml:space="preserve">8 903 123 45 67</t>
  </si>
  <si>
    <t>grigorieva@gmail</t>
  </si>
  <si>
    <t>Воронеж</t>
  </si>
  <si>
    <t>15.05.2022</t>
  </si>
  <si>
    <t xml:space="preserve">Семенов Константин Денисович</t>
  </si>
  <si>
    <t>07.11.1979</t>
  </si>
  <si>
    <t>+79031234567</t>
  </si>
  <si>
    <t>semenov@mail</t>
  </si>
  <si>
    <t>Саратов</t>
  </si>
  <si>
    <t>01.06.2022</t>
  </si>
  <si>
    <t xml:space="preserve">Игнатова Мария Петровна</t>
  </si>
  <si>
    <t>22.06.1987</t>
  </si>
  <si>
    <t>ignatova@yandex</t>
  </si>
  <si>
    <t>Тольятти</t>
  </si>
  <si>
    <t>2022-06-10</t>
  </si>
  <si>
    <t xml:space="preserve">Поликарпов Василий Олегович</t>
  </si>
  <si>
    <t>30.09.1996</t>
  </si>
  <si>
    <t xml:space="preserve">8 903 234 56 78</t>
  </si>
  <si>
    <t>polikarpov@gmail</t>
  </si>
  <si>
    <t>Тюмень</t>
  </si>
  <si>
    <t>10.06.2022</t>
  </si>
  <si>
    <t xml:space="preserve">Тимофеева Оксана Николаевна</t>
  </si>
  <si>
    <t>12.02.1975</t>
  </si>
  <si>
    <t>+79032345678</t>
  </si>
  <si>
    <t>timofeeva@mail</t>
  </si>
  <si>
    <t>Ижевск</t>
  </si>
  <si>
    <t>01.07.2022</t>
  </si>
  <si>
    <t xml:space="preserve">Яковлев Артем Романович</t>
  </si>
  <si>
    <t>18.07.1983</t>
  </si>
  <si>
    <t>yakovlev@yandex</t>
  </si>
  <si>
    <t>Барнаул</t>
  </si>
  <si>
    <t>2022-07-15</t>
  </si>
  <si>
    <t xml:space="preserve">Медведева Кристина Сергеевна</t>
  </si>
  <si>
    <t>05.10.1990</t>
  </si>
  <si>
    <t>medvedeva@gmail</t>
  </si>
  <si>
    <t>Ульяновск</t>
  </si>
  <si>
    <t>15.07.2022</t>
  </si>
  <si>
    <t xml:space="preserve">Беляев Григорий Алексеевич</t>
  </si>
  <si>
    <t>27.04.1972</t>
  </si>
  <si>
    <t>+79033456789</t>
  </si>
  <si>
    <t>belyaev@mail</t>
  </si>
  <si>
    <t>Иркутск</t>
  </si>
  <si>
    <t>01.08.2022</t>
  </si>
  <si>
    <t xml:space="preserve">Романова Елизавета Дмитриевна</t>
  </si>
  <si>
    <t>14.11.1984</t>
  </si>
  <si>
    <t>8-903-345-67-89</t>
  </si>
  <si>
    <t>romanova@yandex</t>
  </si>
  <si>
    <t>Хабаровск</t>
  </si>
  <si>
    <t>2022-08-10</t>
  </si>
  <si>
    <t xml:space="preserve">Степанов Максим Владимирович</t>
  </si>
  <si>
    <t>20.03.1992</t>
  </si>
  <si>
    <t xml:space="preserve">8 903 456 78 90</t>
  </si>
  <si>
    <t>stepanov@gmail</t>
  </si>
  <si>
    <t>Ярославль</t>
  </si>
  <si>
    <t>10.08.2022</t>
  </si>
  <si>
    <t xml:space="preserve">Алексеева Татьяна Аркадьевна</t>
  </si>
  <si>
    <t>31.08.1976</t>
  </si>
  <si>
    <t>alekseeva@mail</t>
  </si>
  <si>
    <t>Владивосток</t>
  </si>
  <si>
    <t>01.09.2022</t>
  </si>
  <si>
    <t xml:space="preserve">Лебедев Николай Павлович</t>
  </si>
  <si>
    <t>09.12.1981</t>
  </si>
  <si>
    <t>lebedev@yandex</t>
  </si>
  <si>
    <t>Махачкала</t>
  </si>
  <si>
    <t>2022-09-15</t>
  </si>
  <si>
    <t xml:space="preserve">Козлова Надежда Викторовна</t>
  </si>
  <si>
    <t>17.06.1989</t>
  </si>
  <si>
    <t>kozlova@gmail</t>
  </si>
  <si>
    <t>Томск</t>
  </si>
  <si>
    <t>15.09.2022</t>
  </si>
  <si>
    <t xml:space="preserve">Орлов Юрий Александрович</t>
  </si>
  <si>
    <t>25.01.1977</t>
  </si>
  <si>
    <t>orlov@mail</t>
  </si>
  <si>
    <t>Оренбург</t>
  </si>
  <si>
    <t>01.10.2022</t>
  </si>
  <si>
    <t xml:space="preserve">Борисов Виталий Игоревич</t>
  </si>
  <si>
    <t>03.09.1991</t>
  </si>
  <si>
    <t>borisov@yandex</t>
  </si>
  <si>
    <t>Кемерово</t>
  </si>
  <si>
    <t>2022-10-10</t>
  </si>
  <si>
    <t xml:space="preserve">Фомина Светлана Петровна</t>
  </si>
  <si>
    <t>19.07.1983</t>
  </si>
  <si>
    <t xml:space="preserve">8 903 678 90 12</t>
  </si>
  <si>
    <t>fomina@gmail</t>
  </si>
  <si>
    <t>Новокузнецк</t>
  </si>
  <si>
    <t>10.10.2022</t>
  </si>
  <si>
    <t xml:space="preserve">Крылова Анжелика Сергеевна</t>
  </si>
  <si>
    <t>06.11.1974</t>
  </si>
  <si>
    <t>+79036789012</t>
  </si>
  <si>
    <t>krylova@mail</t>
  </si>
  <si>
    <t>Рязань</t>
  </si>
  <si>
    <t>01.11.2022</t>
  </si>
  <si>
    <t xml:space="preserve">Тихонов Владислав Андреевич</t>
  </si>
  <si>
    <t>15.04.1994</t>
  </si>
  <si>
    <t>tihonov@yandex</t>
  </si>
  <si>
    <t>Астрахань</t>
  </si>
  <si>
    <t>2022-11-15</t>
  </si>
  <si>
    <t xml:space="preserve">Никитина Дарья Владимировна</t>
  </si>
  <si>
    <t>28.09.1985</t>
  </si>
  <si>
    <t>nikitina@gmail</t>
  </si>
  <si>
    <t xml:space="preserve">Набережные Челны</t>
  </si>
  <si>
    <t>15.11.2022</t>
  </si>
  <si>
    <t xml:space="preserve">Соболев Арсений Федорович</t>
  </si>
  <si>
    <t>11.02.1973</t>
  </si>
  <si>
    <t>+79037890123</t>
  </si>
  <si>
    <t>sobolev@mail</t>
  </si>
  <si>
    <t>Липецк</t>
  </si>
  <si>
    <t>01.12.2022</t>
  </si>
  <si>
    <t xml:space="preserve">Данилова Ева Александровна</t>
  </si>
  <si>
    <t>23.12.1987</t>
  </si>
  <si>
    <t>8-903-789-01-23</t>
  </si>
  <si>
    <t>danilova@yandex</t>
  </si>
  <si>
    <t>Киров</t>
  </si>
  <si>
    <t>2022-12-10</t>
  </si>
  <si>
    <t xml:space="preserve">Гусев Олег Юрьевич</t>
  </si>
  <si>
    <t>18.05.1990</t>
  </si>
  <si>
    <t xml:space="preserve">8 903 890 12 34</t>
  </si>
  <si>
    <t>gusev@gmail</t>
  </si>
  <si>
    <t>Чебоксары</t>
  </si>
  <si>
    <t>10.12.2022</t>
  </si>
  <si>
    <t xml:space="preserve">Колесникова Жанна Игоревна</t>
  </si>
  <si>
    <t>07.08.1978</t>
  </si>
  <si>
    <t>kolesnikova@mail</t>
  </si>
  <si>
    <t>Тверь</t>
  </si>
  <si>
    <t>01.01.2023</t>
  </si>
  <si>
    <t xml:space="preserve">Куликов Илья Николаевич</t>
  </si>
  <si>
    <t>29.01.1982</t>
  </si>
  <si>
    <t>kulikov@yandex</t>
  </si>
  <si>
    <t>Краснодар</t>
  </si>
  <si>
    <t>2023-01-15</t>
  </si>
  <si>
    <t xml:space="preserve">Большакова Антонина Викторовна</t>
  </si>
  <si>
    <t>14.06.1993</t>
  </si>
  <si>
    <t>bolshakova@gmail</t>
  </si>
  <si>
    <t>Стерлитамак</t>
  </si>
  <si>
    <t>15.01.2023</t>
  </si>
  <si>
    <t xml:space="preserve">Савельев Артур Евгеньевич</t>
  </si>
  <si>
    <t>02.10.1976</t>
  </si>
  <si>
    <t>savelev@mail</t>
  </si>
  <si>
    <t>Пенза</t>
  </si>
  <si>
    <t>01.02.2023</t>
  </si>
  <si>
    <t xml:space="preserve">Журавлева Полина Ильинична</t>
  </si>
  <si>
    <t>19.03.1986</t>
  </si>
  <si>
    <t>8-903-901-23-45</t>
  </si>
  <si>
    <t>zhuravleva@yandex</t>
  </si>
  <si>
    <t>Находка</t>
  </si>
  <si>
    <t>2023-02-10</t>
  </si>
  <si>
    <t xml:space="preserve">Еремин Сергей Владимирович</t>
  </si>
  <si>
    <t>31.07.1991</t>
  </si>
  <si>
    <t xml:space="preserve">8 903 012 34 56</t>
  </si>
  <si>
    <t>eremin@gmail</t>
  </si>
  <si>
    <t>Магнитогорск</t>
  </si>
  <si>
    <t>10.02.2023</t>
  </si>
  <si>
    <t xml:space="preserve">Сергеева Анна Михайловна</t>
  </si>
  <si>
    <t>12.11.1975</t>
  </si>
  <si>
    <t>+79030123456</t>
  </si>
  <si>
    <t>sergeeva@mail</t>
  </si>
  <si>
    <t>Курск</t>
  </si>
  <si>
    <t>01.03.2023</t>
  </si>
  <si>
    <t xml:space="preserve">Карпов Андрей Петрович</t>
  </si>
  <si>
    <t>05.04.1983</t>
  </si>
  <si>
    <t>karpov@yandex</t>
  </si>
  <si>
    <t>Комсомольск-на-Амуре</t>
  </si>
  <si>
    <t>2023-03-15</t>
  </si>
  <si>
    <t xml:space="preserve">Киселева Екатерина Евгеньевна</t>
  </si>
  <si>
    <t>22.09.1989</t>
  </si>
  <si>
    <t>kiseleva@gmail</t>
  </si>
  <si>
    <t>Улан-Удэ</t>
  </si>
  <si>
    <t>15.03.2023</t>
  </si>
  <si>
    <t xml:space="preserve">Власов Денис Алексеевич</t>
  </si>
  <si>
    <t>10.02.1979</t>
  </si>
  <si>
    <t>vlasov@mail</t>
  </si>
  <si>
    <t>Якутск</t>
  </si>
  <si>
    <t>01.04.2023</t>
  </si>
  <si>
    <t xml:space="preserve">Ларионова Елена Валентиновна</t>
  </si>
  <si>
    <t>27.06.1994</t>
  </si>
  <si>
    <t>larionova@yandex</t>
  </si>
  <si>
    <t>Череповец</t>
  </si>
  <si>
    <t>2023-04-10</t>
  </si>
  <si>
    <t xml:space="preserve">Савин Юрий Михайлович</t>
  </si>
  <si>
    <t>14.12.1970</t>
  </si>
  <si>
    <t>savin@gmail</t>
  </si>
  <si>
    <t>Саранск</t>
  </si>
  <si>
    <t>10.04.2023</t>
  </si>
  <si>
    <t xml:space="preserve">Лобанова Ксения Сергеевна</t>
  </si>
  <si>
    <t>16.08.1982</t>
  </si>
  <si>
    <t>lobanova@mail</t>
  </si>
  <si>
    <t>Тула</t>
  </si>
  <si>
    <t>01.05.2023</t>
  </si>
  <si>
    <t xml:space="preserve">Макаров Игорь Дмитриевич</t>
  </si>
  <si>
    <t>23.01.1990</t>
  </si>
  <si>
    <t>makarov@yandex</t>
  </si>
  <si>
    <t>Калуга</t>
  </si>
  <si>
    <t>2023-05-15</t>
  </si>
  <si>
    <t xml:space="preserve">Спиридонова Ольга Петровна</t>
  </si>
  <si>
    <t>05.11.1977</t>
  </si>
  <si>
    <t>spiridonova@gmail</t>
  </si>
  <si>
    <t>Владикавказ</t>
  </si>
  <si>
    <t>15.05.2023</t>
  </si>
  <si>
    <t xml:space="preserve">Абрамова Марина Александровна</t>
  </si>
  <si>
    <t>29.07.1985</t>
  </si>
  <si>
    <t>abramova@mail</t>
  </si>
  <si>
    <t>Смоленск</t>
  </si>
  <si>
    <t>01.06.2023</t>
  </si>
  <si>
    <t xml:space="preserve">Богданов Павел Николаевич</t>
  </si>
  <si>
    <t>18.03.1992</t>
  </si>
  <si>
    <t>bogdanov@yandex</t>
  </si>
  <si>
    <t>Белгород</t>
  </si>
  <si>
    <t>2023-06-10</t>
  </si>
  <si>
    <t xml:space="preserve">Комаров Иван Валерьевич</t>
  </si>
  <si>
    <t>06.10.1987</t>
  </si>
  <si>
    <t>komarov@gmail</t>
  </si>
  <si>
    <t>Мурманск</t>
  </si>
  <si>
    <t>10.06.2023</t>
  </si>
  <si>
    <t xml:space="preserve">Анисимова Людмила Юрьевна</t>
  </si>
  <si>
    <t>12.05.1974</t>
  </si>
  <si>
    <t>anisimova@mail</t>
  </si>
  <si>
    <t>Ставрополь</t>
  </si>
  <si>
    <t>01.07.2023</t>
  </si>
  <si>
    <t xml:space="preserve">Трифонов Алексей Игоревич</t>
  </si>
  <si>
    <t>30.12.1980</t>
  </si>
  <si>
    <t>trifonov@yandex</t>
  </si>
  <si>
    <t>Севастополь</t>
  </si>
  <si>
    <t>2023-07-15</t>
  </si>
  <si>
    <t xml:space="preserve">Овсянникова Раиса Петровна</t>
  </si>
  <si>
    <t>17.09.1986</t>
  </si>
  <si>
    <t>ovsyannikova@gmail</t>
  </si>
  <si>
    <t>Сочи</t>
  </si>
  <si>
    <t>15.07.2023</t>
  </si>
  <si>
    <t xml:space="preserve">Дементьева Тамара Васильевна</t>
  </si>
  <si>
    <t>25.02.1971</t>
  </si>
  <si>
    <t>dementeva@mail</t>
  </si>
  <si>
    <t>Симферополь</t>
  </si>
  <si>
    <t>01.08.2023</t>
  </si>
  <si>
    <t xml:space="preserve">Суханов Станислав Анатольевич</t>
  </si>
  <si>
    <t>08.11.1993</t>
  </si>
  <si>
    <t>suhanov@yandex</t>
  </si>
  <si>
    <t>Брянск</t>
  </si>
  <si>
    <t>2023-08-10</t>
  </si>
  <si>
    <t xml:space="preserve">Новикова Алла Станиславовна</t>
  </si>
  <si>
    <t>14.07.1984</t>
  </si>
  <si>
    <t>novikova@gmail</t>
  </si>
  <si>
    <t>Абакан</t>
  </si>
  <si>
    <t>10.08.2023</t>
  </si>
  <si>
    <t xml:space="preserve">Калинин Герман Викторович</t>
  </si>
  <si>
    <t>27.03.1976</t>
  </si>
  <si>
    <t>kalinin@mail</t>
  </si>
  <si>
    <t>Грозный</t>
  </si>
  <si>
    <t>01.09.2023</t>
  </si>
  <si>
    <t xml:space="preserve">Мартынова Лариса Олеговна</t>
  </si>
  <si>
    <t>10.12.1981</t>
  </si>
  <si>
    <t>martynova@yandex</t>
  </si>
  <si>
    <t>Бийск</t>
  </si>
  <si>
    <t>2023-09-15</t>
  </si>
  <si>
    <t xml:space="preserve">Одинцов Сергей Алексеевич</t>
  </si>
  <si>
    <t>22.10.1988</t>
  </si>
  <si>
    <t>odintsov@gmail</t>
  </si>
  <si>
    <t>Йошкар-Ола</t>
  </si>
  <si>
    <t>15.09.2023</t>
  </si>
  <si>
    <t xml:space="preserve">Емельянова Татьяна Николаевна</t>
  </si>
  <si>
    <t>04.08.1972</t>
  </si>
  <si>
    <t>emelyanova@mail</t>
  </si>
  <si>
    <t>Курган</t>
  </si>
  <si>
    <t>01.10.2023</t>
  </si>
  <si>
    <t xml:space="preserve">Павлов Антон Сергеевич</t>
  </si>
  <si>
    <t>19.11.1995</t>
  </si>
  <si>
    <t>pavlov@yandex</t>
  </si>
  <si>
    <t>Архангельск</t>
  </si>
  <si>
    <t>2023-10-10</t>
  </si>
  <si>
    <t xml:space="preserve">Морозова Алина Викторовна</t>
  </si>
  <si>
    <t>23.06.1983</t>
  </si>
  <si>
    <t>morozova@gmail</t>
  </si>
  <si>
    <t>Благовещенск</t>
  </si>
  <si>
    <t>10.10.2023</t>
  </si>
  <si>
    <t xml:space="preserve">Кожевникова Инна Александровна</t>
  </si>
  <si>
    <t>16.01.1978</t>
  </si>
  <si>
    <t>kozhevnikova@mail</t>
  </si>
  <si>
    <t>Майкоп</t>
  </si>
  <si>
    <t>01.11.2023</t>
  </si>
  <si>
    <t xml:space="preserve">Баранова Снежана Олеговна</t>
  </si>
  <si>
    <t>03.09.1990</t>
  </si>
  <si>
    <t>baranova@yandex</t>
  </si>
  <si>
    <t>Уссурийск</t>
  </si>
  <si>
    <t>2023-11-15</t>
  </si>
  <si>
    <t xml:space="preserve">Казакова Надежда Андреевна</t>
  </si>
  <si>
    <t>28.04.1985</t>
  </si>
  <si>
    <t>kazakova@gmail</t>
  </si>
  <si>
    <t>Миасс</t>
  </si>
  <si>
    <t>15.11.2023</t>
  </si>
  <si>
    <t xml:space="preserve">Кравцов Павел Сергеевич</t>
  </si>
  <si>
    <t>14.12.1974</t>
  </si>
  <si>
    <t>kravtsov@mail</t>
  </si>
  <si>
    <t>Кызыл</t>
  </si>
  <si>
    <t>01.12.2023</t>
  </si>
  <si>
    <t xml:space="preserve">Васина Виктория Михайловна</t>
  </si>
  <si>
    <t>21.07.1992</t>
  </si>
  <si>
    <t>vasina@yandex</t>
  </si>
  <si>
    <t>Калининград</t>
  </si>
  <si>
    <t>2023-12-10</t>
  </si>
  <si>
    <t xml:space="preserve">Петухов Анатолий Игоревич</t>
  </si>
  <si>
    <t>10.05.1981</t>
  </si>
  <si>
    <t>petuhov@gmail</t>
  </si>
  <si>
    <t>Петрозаводск</t>
  </si>
  <si>
    <t>10.12.2023</t>
  </si>
  <si>
    <t xml:space="preserve">Гаврилова Светлана Алексеевна</t>
  </si>
  <si>
    <t>29.11.1976</t>
  </si>
  <si>
    <t>gavrilova@mail</t>
  </si>
  <si>
    <t>Рубцовск</t>
  </si>
  <si>
    <t>01.01.2024</t>
  </si>
  <si>
    <t xml:space="preserve">Харламов Федор Владимирович</t>
  </si>
  <si>
    <t>12.08.1988</t>
  </si>
  <si>
    <t>harlamov@yandex</t>
  </si>
  <si>
    <t>Элиста</t>
  </si>
  <si>
    <t>2024-01-15</t>
  </si>
  <si>
    <t xml:space="preserve">Юдина Майя Евгеньевна</t>
  </si>
  <si>
    <t>07.03.1993</t>
  </si>
  <si>
    <t>yudina@gmail</t>
  </si>
  <si>
    <t>Орск</t>
  </si>
  <si>
    <t>15.01.2024</t>
  </si>
  <si>
    <t xml:space="preserve">Прохоров Вадим Александрович</t>
  </si>
  <si>
    <t>25.09.1979</t>
  </si>
  <si>
    <t>prohorov@mail</t>
  </si>
  <si>
    <t>Нижневартовск</t>
  </si>
  <si>
    <t>01.02.2024</t>
  </si>
  <si>
    <t xml:space="preserve">Краснова Жанна Петровна</t>
  </si>
  <si>
    <t>18.12.1986</t>
  </si>
  <si>
    <t>krasnova@yandex</t>
  </si>
  <si>
    <t>Новороссийск</t>
  </si>
  <si>
    <t>2024-02-10</t>
  </si>
  <si>
    <t xml:space="preserve">Савельева Таисия Сергеевна</t>
  </si>
  <si>
    <t>02.06.1994</t>
  </si>
  <si>
    <t>saveleva@gmail</t>
  </si>
  <si>
    <t>Химки</t>
  </si>
  <si>
    <t>10.02.2024</t>
  </si>
  <si>
    <t xml:space="preserve">Шестаков Никита Игоревич</t>
  </si>
  <si>
    <t>31.01.1975</t>
  </si>
  <si>
    <t>shestakov@mail</t>
  </si>
  <si>
    <t>Подольск</t>
  </si>
  <si>
    <t>01.03.2024</t>
  </si>
  <si>
    <t xml:space="preserve">Виноградов Данил Олегович</t>
  </si>
  <si>
    <t>13.10.1982</t>
  </si>
  <si>
    <t>vinogradov@yandex</t>
  </si>
  <si>
    <t>Балашиха</t>
  </si>
  <si>
    <t>2024-03-15</t>
  </si>
  <si>
    <t xml:space="preserve">Александрова Милана Викторовна</t>
  </si>
  <si>
    <t>24.08.1991</t>
  </si>
  <si>
    <t>aleksandrova@gmail</t>
  </si>
  <si>
    <t>Сургут</t>
  </si>
  <si>
    <t>15.03.2024</t>
  </si>
  <si>
    <t xml:space="preserve">Борисенко Артём Денисович</t>
  </si>
  <si>
    <t>06.04.1977</t>
  </si>
  <si>
    <t>borisenko@mail</t>
  </si>
  <si>
    <t>Армавир</t>
  </si>
  <si>
    <t>01.04.2024</t>
  </si>
  <si>
    <t xml:space="preserve">Некрасова Екатерина Николаевна</t>
  </si>
  <si>
    <t>17.12.1984</t>
  </si>
  <si>
    <t>nekrasova@yandex</t>
  </si>
  <si>
    <t>Волжский</t>
  </si>
  <si>
    <t>2024-04-10</t>
  </si>
  <si>
    <t xml:space="preserve">Агапов Борис Евгеньевич</t>
  </si>
  <si>
    <t>30.07.1989</t>
  </si>
  <si>
    <t>agapov@gmail</t>
  </si>
  <si>
    <t>Шахты</t>
  </si>
  <si>
    <t>10.04.2024</t>
  </si>
  <si>
    <t xml:space="preserve">Фролова Дарья Павловна</t>
  </si>
  <si>
    <t>09.03.1973</t>
  </si>
  <si>
    <t>frolova@mail</t>
  </si>
  <si>
    <t>Златоуст</t>
  </si>
  <si>
    <t>01.05.2024</t>
  </si>
  <si>
    <t xml:space="preserve">Мишина Татьяна Андреевна</t>
  </si>
  <si>
    <t>21.10.1980</t>
  </si>
  <si>
    <t>mishina@yandex</t>
  </si>
  <si>
    <t>Ангарск</t>
  </si>
  <si>
    <t>2024-05-15</t>
  </si>
  <si>
    <t xml:space="preserve">Ильин Евгений Сергеевич</t>
  </si>
  <si>
    <t>04.06.1995</t>
  </si>
  <si>
    <t>ilin@gmail</t>
  </si>
  <si>
    <t>Озёрск</t>
  </si>
  <si>
    <t>15.05.2024</t>
  </si>
  <si>
    <t xml:space="preserve">Горбунова Виктория Дмитриевна</t>
  </si>
  <si>
    <t>27.11.1970</t>
  </si>
  <si>
    <t>gorbunova@mail</t>
  </si>
  <si>
    <t>Орел</t>
  </si>
  <si>
    <t>01.06.2024</t>
  </si>
  <si>
    <t xml:space="preserve">Ширяев Валерий Петрович</t>
  </si>
  <si>
    <t>15.02.1983</t>
  </si>
  <si>
    <t>shiryaev@yandex</t>
  </si>
  <si>
    <t>2024-06-10</t>
  </si>
  <si>
    <t xml:space="preserve">Пчелинцева Наталья Владимировна</t>
  </si>
  <si>
    <t>08.09.1987</t>
  </si>
  <si>
    <t>pchelintseva@gmail</t>
  </si>
  <si>
    <t>10.06.2024</t>
  </si>
  <si>
    <t xml:space="preserve">Столяров Алексей Валентинович</t>
  </si>
  <si>
    <t>19.05.1976</t>
  </si>
  <si>
    <t>stolyarov@mail</t>
  </si>
  <si>
    <t>01.07.2024</t>
  </si>
  <si>
    <t xml:space="preserve">Королева Анжела Алексеевна</t>
  </si>
  <si>
    <t>01.12.1992</t>
  </si>
  <si>
    <t>koroleva@yandex</t>
  </si>
  <si>
    <t>2024-07-15</t>
  </si>
  <si>
    <t xml:space="preserve">Мальцева Алла Борисовна</t>
  </si>
  <si>
    <t>24.08.1981</t>
  </si>
  <si>
    <t>maltseva@gmail</t>
  </si>
  <si>
    <t>15.07.2024</t>
  </si>
  <si>
    <t xml:space="preserve">Тарасова Ирина Павловна</t>
  </si>
  <si>
    <t>11.10.1974</t>
  </si>
  <si>
    <t>tarasova@mail</t>
  </si>
  <si>
    <t>01.08.2024</t>
  </si>
  <si>
    <t xml:space="preserve">Беспалов Глеб Анатольевич</t>
  </si>
  <si>
    <t>26.06.1988</t>
  </si>
  <si>
    <t>bespalov@yandex</t>
  </si>
  <si>
    <t>2024-08-10</t>
  </si>
  <si>
    <t xml:space="preserve">Соколовская Ольга Михайловна</t>
  </si>
  <si>
    <t>03.03.1979</t>
  </si>
  <si>
    <t>sokolovskaya@gmail</t>
  </si>
  <si>
    <t>10.08.2024</t>
  </si>
  <si>
    <t xml:space="preserve">Ермаков Павел Владимирович</t>
  </si>
  <si>
    <t>14.12.1985</t>
  </si>
  <si>
    <t>ermakov@mail</t>
  </si>
  <si>
    <t>01.09.2024</t>
  </si>
  <si>
    <t xml:space="preserve">Герасимова Анна Юрьевна</t>
  </si>
  <si>
    <t>22.07.1993</t>
  </si>
  <si>
    <t>gerasimova@yandex</t>
  </si>
  <si>
    <t>2024-09-15</t>
  </si>
  <si>
    <t xml:space="preserve">Кузьмина Ева Евгеньевна</t>
  </si>
  <si>
    <t>09.01.1977</t>
  </si>
  <si>
    <t>kuzmina@gmail</t>
  </si>
  <si>
    <t>15.09.2024</t>
  </si>
  <si>
    <t xml:space="preserve">Литвинов Станислав Андреевич</t>
  </si>
  <si>
    <t>17.09.1984</t>
  </si>
  <si>
    <t>litvinov@mail</t>
  </si>
  <si>
    <t>01.10.2024</t>
  </si>
  <si>
    <t xml:space="preserve">Архипова Диана Валерьевна</t>
  </si>
  <si>
    <t>28.04.1991</t>
  </si>
  <si>
    <t>arhipova@yandex</t>
  </si>
  <si>
    <t>2024-10-10</t>
  </si>
  <si>
    <t xml:space="preserve">Кузьмин Андрей Сергеевич</t>
  </si>
  <si>
    <t>03.11.1972</t>
  </si>
  <si>
    <t>kuzmin@gmail</t>
  </si>
  <si>
    <t>10.10.2024</t>
  </si>
  <si>
    <t xml:space="preserve">Афанасьева Виктория Денисовна</t>
  </si>
  <si>
    <t>16.06.1986</t>
  </si>
  <si>
    <t>afanasieva@mail</t>
  </si>
  <si>
    <t>01.11.2024</t>
  </si>
  <si>
    <t xml:space="preserve">Денисов Константин Викторович</t>
  </si>
  <si>
    <t>29.01.1994</t>
  </si>
  <si>
    <t>denisov@yandex</t>
  </si>
  <si>
    <t>2024-11-15</t>
  </si>
  <si>
    <t xml:space="preserve">Серова Наталья Анатольевна</t>
  </si>
  <si>
    <t>12.08.1978</t>
  </si>
  <si>
    <t>serova@gmail</t>
  </si>
  <si>
    <t>15.11.2024</t>
  </si>
  <si>
    <t xml:space="preserve">Голубев Максим Иванович</t>
  </si>
  <si>
    <t>07.12.1983</t>
  </si>
  <si>
    <t>golubev@mail</t>
  </si>
  <si>
    <t>01.12.2024</t>
  </si>
  <si>
    <t xml:space="preserve">Панова Карина Александровна</t>
  </si>
  <si>
    <t>20.03.1990</t>
  </si>
  <si>
    <t>panova@yandex</t>
  </si>
  <si>
    <t>2024-12-10</t>
  </si>
  <si>
    <t xml:space="preserve">Шевченко Тимофей Олегович</t>
  </si>
  <si>
    <t>25.10.1975</t>
  </si>
  <si>
    <t>shevchenko@gmail</t>
  </si>
  <si>
    <t>10.12.2024</t>
  </si>
  <si>
    <t xml:space="preserve">Титова Ника Павловна</t>
  </si>
  <si>
    <t>04.09.1982</t>
  </si>
  <si>
    <t>titova@mail</t>
  </si>
  <si>
    <t>01.01.2025</t>
  </si>
  <si>
    <t xml:space="preserve">Федотов Илья Степанович</t>
  </si>
  <si>
    <t>18.06.1995</t>
  </si>
  <si>
    <t>fedotov@yandex</t>
  </si>
  <si>
    <t>2025-01-15</t>
  </si>
  <si>
    <t xml:space="preserve">Захарова Елизавета Максимовна</t>
  </si>
  <si>
    <t>27.02.1971</t>
  </si>
  <si>
    <t>zaharova@gmail</t>
  </si>
  <si>
    <t>15.01.2025</t>
  </si>
  <si>
    <t xml:space="preserve">Беляева Мария Сергеевна</t>
  </si>
  <si>
    <t>09.11.1984</t>
  </si>
  <si>
    <t>belyaeva@mail</t>
  </si>
  <si>
    <t>01.02.2025</t>
  </si>
  <si>
    <t xml:space="preserve">Новиков Петр Дмитриевич</t>
  </si>
  <si>
    <t>15.07.1992</t>
  </si>
  <si>
    <t>novikov@yandex</t>
  </si>
  <si>
    <t>2025-02-10</t>
  </si>
  <si>
    <t xml:space="preserve">Осипова Ксения Игоревна</t>
  </si>
  <si>
    <t>30.04.1977</t>
  </si>
  <si>
    <t>osipova@gmail</t>
  </si>
  <si>
    <t>10.02.2025</t>
  </si>
  <si>
    <t xml:space="preserve">Климов Алексей Сергеевич</t>
  </si>
  <si>
    <t>23.12.1989</t>
  </si>
  <si>
    <t>klimov@mail</t>
  </si>
  <si>
    <t>01.03.2025</t>
  </si>
  <si>
    <t xml:space="preserve">Шмидт Елена Викторовна</t>
  </si>
  <si>
    <t>06.08.1974</t>
  </si>
  <si>
    <t>shmidt@yandex</t>
  </si>
  <si>
    <t>2025-03-15</t>
  </si>
  <si>
    <t xml:space="preserve">Золотарева Людмила Петровна</t>
  </si>
  <si>
    <t>19.01.1986</t>
  </si>
  <si>
    <t>zolotareva@gmail</t>
  </si>
  <si>
    <t>15.03.2025</t>
  </si>
  <si>
    <t xml:space="preserve">Субботин Владислав Романович</t>
  </si>
  <si>
    <t>subbotin@mail</t>
  </si>
  <si>
    <t>01.04.2025</t>
  </si>
  <si>
    <t xml:space="preserve">Карасев Арсений Николаевич</t>
  </si>
  <si>
    <t>14.05.1981</t>
  </si>
  <si>
    <t>karasev@yandex</t>
  </si>
  <si>
    <t>2025-04-10</t>
  </si>
  <si>
    <t xml:space="preserve">Шаповалова Валерия Андреевна</t>
  </si>
  <si>
    <t>08.12.1970</t>
  </si>
  <si>
    <t>shapovalova@gmail</t>
  </si>
  <si>
    <t>10.04.2025</t>
  </si>
  <si>
    <t xml:space="preserve">Васильев Иван Петрович</t>
  </si>
  <si>
    <t>21.03.1988</t>
  </si>
  <si>
    <t>vasilev@mail</t>
  </si>
  <si>
    <t>01.05.2025</t>
  </si>
  <si>
    <t xml:space="preserve">Ковалев Сергей Владимирович</t>
  </si>
  <si>
    <t>17.09.1983</t>
  </si>
  <si>
    <t>kovalev@yandex</t>
  </si>
  <si>
    <t>2025-05-15</t>
  </si>
  <si>
    <t xml:space="preserve">Мельникова Ольга Евгеньевна</t>
  </si>
  <si>
    <t>11.07.1991</t>
  </si>
  <si>
    <t>melnikova@gmail</t>
  </si>
  <si>
    <t>15.05.2025</t>
  </si>
  <si>
    <t xml:space="preserve">Поляков Илья Анатольевич</t>
  </si>
  <si>
    <t>28.11.1976</t>
  </si>
  <si>
    <t>polyakov@mail</t>
  </si>
  <si>
    <t>01.06.2025</t>
  </si>
  <si>
    <t xml:space="preserve">Куликова Екатерина Игоревна</t>
  </si>
  <si>
    <t>04.06.1985</t>
  </si>
  <si>
    <t>kulikova@yandex</t>
  </si>
  <si>
    <t>2025-06-10</t>
  </si>
  <si>
    <t xml:space="preserve">Самойлов Денис Олегович</t>
  </si>
  <si>
    <t>22.02.1994</t>
  </si>
  <si>
    <t>samoylov@gmail</t>
  </si>
  <si>
    <t>10.06.2025</t>
  </si>
  <si>
    <t xml:space="preserve">Гущина Анастасия Павловна</t>
  </si>
  <si>
    <t>09.10.1978</t>
  </si>
  <si>
    <t>guschina@mail</t>
  </si>
  <si>
    <t>01.07.2025</t>
  </si>
  <si>
    <t xml:space="preserve">Кочетков Алексей Владиславович</t>
  </si>
  <si>
    <t>15.08.1982</t>
  </si>
  <si>
    <t>kochetkov@yandex</t>
  </si>
  <si>
    <t>2025-07-15</t>
  </si>
  <si>
    <t xml:space="preserve">Ерофеева Татьяна Дмитриевна</t>
  </si>
  <si>
    <t>03.05.1992</t>
  </si>
  <si>
    <t>erofeeva@gmail</t>
  </si>
  <si>
    <t>15.07.2025</t>
  </si>
  <si>
    <t xml:space="preserve">Антонов Максим Юрьевич</t>
  </si>
  <si>
    <t>26.12.1973</t>
  </si>
  <si>
    <t>antonov@mail</t>
  </si>
  <si>
    <t>01.08.2025</t>
  </si>
  <si>
    <t xml:space="preserve">Миронова Лариса Андреевна</t>
  </si>
  <si>
    <t>19.07.1987</t>
  </si>
  <si>
    <t>mironova@yandex</t>
  </si>
  <si>
    <t>2025-08-10</t>
  </si>
  <si>
    <t xml:space="preserve">Климова Оксана Борисовна</t>
  </si>
  <si>
    <t>31.03.1980</t>
  </si>
  <si>
    <t>klimova@gmail</t>
  </si>
  <si>
    <t>10.08.2025</t>
  </si>
  <si>
    <t xml:space="preserve">Сидоренко Артем Николаевич</t>
  </si>
  <si>
    <t>sidorenko@mail</t>
  </si>
  <si>
    <t>01.09.2025</t>
  </si>
  <si>
    <t xml:space="preserve">Горбачев Глеб Ильич</t>
  </si>
  <si>
    <t>28.06.1995</t>
  </si>
  <si>
    <t>gorbachev@yandex</t>
  </si>
  <si>
    <t>2025-09-15</t>
  </si>
  <si>
    <t xml:space="preserve">Михайлова Елена Станиславовна</t>
  </si>
  <si>
    <t>01.09.1984</t>
  </si>
  <si>
    <t>mihailova@gmail</t>
  </si>
  <si>
    <t>15.09.2025</t>
  </si>
  <si>
    <t xml:space="preserve">Сорокин Антон Викторович</t>
  </si>
  <si>
    <t>23.04.1979</t>
  </si>
  <si>
    <t>sorokin@mail</t>
  </si>
  <si>
    <t>01.10.2025</t>
  </si>
  <si>
    <t xml:space="preserve">Филиппов Юрий Игоревич</t>
  </si>
  <si>
    <t>16.12.1986</t>
  </si>
  <si>
    <t>filipov@yandex</t>
  </si>
  <si>
    <t>2025-10-10</t>
  </si>
  <si>
    <t xml:space="preserve">Буркова Надежда Валерьевна</t>
  </si>
  <si>
    <t>08.10.1993</t>
  </si>
  <si>
    <t>burkova@gmail</t>
  </si>
  <si>
    <t>10.10.2025</t>
  </si>
  <si>
    <t xml:space="preserve">Маркова Галина Петровна</t>
  </si>
  <si>
    <t>27.05.1970</t>
  </si>
  <si>
    <t>markova@mail</t>
  </si>
  <si>
    <t>01.11.2025</t>
  </si>
  <si>
    <t xml:space="preserve">Дмитриев Степан Олегович</t>
  </si>
  <si>
    <t>14.03.1988</t>
  </si>
  <si>
    <t>dmitriev@yandex</t>
  </si>
  <si>
    <t>2025-11-15</t>
  </si>
  <si>
    <t xml:space="preserve">Гришин Владислав Денисович</t>
  </si>
  <si>
    <t>20.09.1981</t>
  </si>
  <si>
    <t>grishin@gmail</t>
  </si>
  <si>
    <t>15.11.2025</t>
  </si>
  <si>
    <t xml:space="preserve">Симонова Татьяна Владимировна</t>
  </si>
  <si>
    <t>11.07.1974</t>
  </si>
  <si>
    <t>simonova@mail</t>
  </si>
  <si>
    <t>01.12.2025</t>
  </si>
  <si>
    <t xml:space="preserve">Назаров Антон Иванович</t>
  </si>
  <si>
    <t>05.02.1992</t>
  </si>
  <si>
    <t>nazarov@yandex</t>
  </si>
  <si>
    <t>2025-12-10</t>
  </si>
  <si>
    <t xml:space="preserve">Коновалова Людмила Юрьевна</t>
  </si>
  <si>
    <t>19.11.1985</t>
  </si>
  <si>
    <t>konovalova@gmail</t>
  </si>
  <si>
    <t>10.12.2025</t>
  </si>
  <si>
    <t xml:space="preserve">Панфилов Николай Евгеньевич</t>
  </si>
  <si>
    <t>26.08.1977</t>
  </si>
  <si>
    <t>panfilov@mail</t>
  </si>
  <si>
    <t>01.01.2026</t>
  </si>
  <si>
    <t xml:space="preserve">Щербакова Ирина Алексеевна</t>
  </si>
  <si>
    <t>09.04.1983</t>
  </si>
  <si>
    <t>scherbakova@yandex</t>
  </si>
  <si>
    <t>2026-01-15</t>
  </si>
  <si>
    <t xml:space="preserve">Терентьев Виталий Михайлович</t>
  </si>
  <si>
    <t>30.12.1989</t>
  </si>
  <si>
    <t>terentev@gmail</t>
  </si>
  <si>
    <t>15.01.2026</t>
  </si>
  <si>
    <t xml:space="preserve">Молчанова Ольга Сергеевна</t>
  </si>
  <si>
    <t>16.06.1976</t>
  </si>
  <si>
    <t>molchanova@mail</t>
  </si>
  <si>
    <t>01.02.2026</t>
  </si>
  <si>
    <t xml:space="preserve">Крымов Алексей Игоревич</t>
  </si>
  <si>
    <t>04.10.1984</t>
  </si>
  <si>
    <t>krymov@yandex</t>
  </si>
  <si>
    <t>2026-02-10</t>
  </si>
  <si>
    <t xml:space="preserve">Сидорова Екатерина Андреевна</t>
  </si>
  <si>
    <t>22.01.1994</t>
  </si>
  <si>
    <t>sidorova@gmail</t>
  </si>
  <si>
    <t>10.02.2026</t>
  </si>
  <si>
    <t xml:space="preserve">Павлова Диана Петровна</t>
  </si>
  <si>
    <t>07.07.1978</t>
  </si>
  <si>
    <t>pavlova@mail</t>
  </si>
  <si>
    <t>01.03.2026</t>
  </si>
  <si>
    <t xml:space="preserve">Степанова Антонина Алексеевна</t>
  </si>
  <si>
    <t>29.05.1982</t>
  </si>
  <si>
    <t>stepanova@yandex</t>
  </si>
  <si>
    <t>2026-03-15</t>
  </si>
  <si>
    <t xml:space="preserve">Моргунова Татьяна Ивановна</t>
  </si>
  <si>
    <t>15.12.1987</t>
  </si>
  <si>
    <t>morgunova@gmail</t>
  </si>
  <si>
    <t>15.03.2026</t>
  </si>
  <si>
    <t xml:space="preserve">Евдокимов Сергей Анатольевич</t>
  </si>
  <si>
    <t>18.08.1973</t>
  </si>
  <si>
    <t>evdokimov@mail</t>
  </si>
  <si>
    <t>01.04.2026</t>
  </si>
  <si>
    <t xml:space="preserve">Быкова Елизавета Николаевна</t>
  </si>
  <si>
    <t>03.11.1985</t>
  </si>
  <si>
    <t>bykova@yandex</t>
  </si>
  <si>
    <t>2026-04-10</t>
  </si>
  <si>
    <t xml:space="preserve">Тищенко Владимир Олегович</t>
  </si>
  <si>
    <t>24.03.1991</t>
  </si>
  <si>
    <t>tischenko@gmail</t>
  </si>
  <si>
    <t>10.04.2026</t>
  </si>
  <si>
    <t xml:space="preserve">Соколова Наталия Дмитриевна</t>
  </si>
  <si>
    <t>09.09.1979</t>
  </si>
  <si>
    <t>01.05.2026</t>
  </si>
  <si>
    <t xml:space="preserve">Громов Александр Валерьевич</t>
  </si>
  <si>
    <t>21.07.1986</t>
  </si>
  <si>
    <t>gromov@yandex</t>
  </si>
  <si>
    <t>2026-05-15</t>
  </si>
  <si>
    <t xml:space="preserve">Мищенко Валентина Алексеевна</t>
  </si>
  <si>
    <t>14.12.1993</t>
  </si>
  <si>
    <t>mischenko@gmail</t>
  </si>
  <si>
    <t>15.05.2026</t>
  </si>
  <si>
    <t xml:space="preserve">Лаврентьев Виталий Андреевич</t>
  </si>
  <si>
    <t>26.10.1975</t>
  </si>
  <si>
    <t>lavrentev@mail</t>
  </si>
  <si>
    <t>01.06.2026</t>
  </si>
  <si>
    <t xml:space="preserve">Костина Анастасия Вячеславовна</t>
  </si>
  <si>
    <t>02.04.1988</t>
  </si>
  <si>
    <t>kostina@yandex</t>
  </si>
  <si>
    <t>2026-06-10</t>
  </si>
  <si>
    <t xml:space="preserve">Белов Михаил Сергеевич</t>
  </si>
  <si>
    <t>08.06.1982</t>
  </si>
  <si>
    <t>belov@gmail</t>
  </si>
  <si>
    <t>10.06.2026</t>
  </si>
  <si>
    <t xml:space="preserve">Кириллов Алексей Петрович</t>
  </si>
  <si>
    <t>17.11.1974</t>
  </si>
  <si>
    <t>kirillov@mail</t>
  </si>
  <si>
    <t>01.07.2026</t>
  </si>
  <si>
    <t xml:space="preserve">Исаев Вадим Евгеньевич</t>
  </si>
  <si>
    <t>13.09.1980</t>
  </si>
  <si>
    <t>isaev@yandex</t>
  </si>
  <si>
    <t>2026-07-15</t>
  </si>
  <si>
    <t xml:space="preserve">Гриценко Мария Владимировна</t>
  </si>
  <si>
    <t>28.02.1995</t>
  </si>
  <si>
    <t>gricenko@gmail</t>
  </si>
  <si>
    <t>15.07.2026</t>
  </si>
  <si>
    <t xml:space="preserve">Шевелева Екатерина Петровна</t>
  </si>
  <si>
    <t>20.05.1989</t>
  </si>
  <si>
    <t>sheveleva@mail</t>
  </si>
  <si>
    <t>01.08.2026</t>
  </si>
  <si>
    <t xml:space="preserve">Аничкин Илья Алексеевич</t>
  </si>
  <si>
    <t>16.07.1971</t>
  </si>
  <si>
    <t>anichkin@yandex</t>
  </si>
  <si>
    <t>2026-08-10</t>
  </si>
  <si>
    <t xml:space="preserve">Рябова Ольга Павловна</t>
  </si>
  <si>
    <t>10.12.1983</t>
  </si>
  <si>
    <t>ryabova@gmail</t>
  </si>
  <si>
    <t>10.08.2026</t>
  </si>
  <si>
    <t xml:space="preserve">Гуляев Денис Николаевич</t>
  </si>
  <si>
    <t>21.03.1977</t>
  </si>
  <si>
    <t>gulyaev@mail</t>
  </si>
  <si>
    <t>01.09.2026</t>
  </si>
  <si>
    <t xml:space="preserve">Горюнова Екатерина Андреевна</t>
  </si>
  <si>
    <t>04.09.1990</t>
  </si>
  <si>
    <t>goryunova@yandex</t>
  </si>
  <si>
    <t>2026-09-15</t>
  </si>
  <si>
    <t xml:space="preserve">Константинов Максим Викторович</t>
  </si>
  <si>
    <t>19.06.1984</t>
  </si>
  <si>
    <t>konstantinov@gmail</t>
  </si>
  <si>
    <t>15.09.2026</t>
  </si>
  <si>
    <t xml:space="preserve">Пантелеева Надежда Владимировна</t>
  </si>
  <si>
    <t>23.01.1972</t>
  </si>
  <si>
    <t>panteleeva@mail</t>
  </si>
  <si>
    <t>01.10.2026</t>
  </si>
  <si>
    <t xml:space="preserve">Елисеев Андрей Сергеевич</t>
  </si>
  <si>
    <t>08.08.1986</t>
  </si>
  <si>
    <t>eliseev@yandex</t>
  </si>
  <si>
    <t>2026-10-10</t>
  </si>
  <si>
    <t xml:space="preserve">Щеголева Татьяна Ивановна</t>
  </si>
  <si>
    <t>25.11.1992</t>
  </si>
  <si>
    <t>schegoleva@gmail</t>
  </si>
  <si>
    <t>10.10.2026</t>
  </si>
  <si>
    <t xml:space="preserve">Алехин Виктор Викторович</t>
  </si>
  <si>
    <t>14.04.1978</t>
  </si>
  <si>
    <t>alehin@mail</t>
  </si>
  <si>
    <t>01.11.2026</t>
  </si>
  <si>
    <t xml:space="preserve">Зверев Артем Сергеевич</t>
  </si>
  <si>
    <t>30.09.1981</t>
  </si>
  <si>
    <t>zverev@yandex</t>
  </si>
  <si>
    <t>2026-11-15</t>
  </si>
  <si>
    <t xml:space="preserve">Исакова Мария Михайловна</t>
  </si>
  <si>
    <t>11.07.1987</t>
  </si>
  <si>
    <t>isakova@gmail</t>
  </si>
  <si>
    <t>15.11.2026</t>
  </si>
  <si>
    <t xml:space="preserve">Симаков Григорий Павлович</t>
  </si>
  <si>
    <t>03.12.1994</t>
  </si>
  <si>
    <t>simakov@mail</t>
  </si>
  <si>
    <t>01.12.2026</t>
  </si>
  <si>
    <t xml:space="preserve">Кузькина Ольга Олеговна</t>
  </si>
  <si>
    <t>16.05.1976</t>
  </si>
  <si>
    <t>kuzkina@yandex</t>
  </si>
  <si>
    <t>2026-12-10</t>
  </si>
  <si>
    <t xml:space="preserve">Лукин Дмитрий Николаевич</t>
  </si>
  <si>
    <t>01.10.1982</t>
  </si>
  <si>
    <t>lukin@gmail</t>
  </si>
  <si>
    <t>10.12.2026</t>
  </si>
  <si>
    <t xml:space="preserve">Астафьева Татьяна Борисовна</t>
  </si>
  <si>
    <t>28.02.1975</t>
  </si>
  <si>
    <t>astafieva@mail</t>
  </si>
  <si>
    <t>01.01.2027</t>
  </si>
  <si>
    <t xml:space="preserve">Григорьев Андрей Игоревич</t>
  </si>
  <si>
    <t>14.08.1991</t>
  </si>
  <si>
    <t>grigoriev@yandex</t>
  </si>
  <si>
    <t>2027-01-15</t>
  </si>
  <si>
    <t xml:space="preserve">Чернова Екатерина Алексеевна</t>
  </si>
  <si>
    <t>04.06.1983</t>
  </si>
  <si>
    <t>chernova@gmail</t>
  </si>
  <si>
    <t>15.01.2027</t>
  </si>
  <si>
    <t xml:space="preserve">Прокопенко Олег Вадимович</t>
  </si>
  <si>
    <t>27.10.1970</t>
  </si>
  <si>
    <t>prokopenko@mail</t>
  </si>
  <si>
    <t>01.02.2027</t>
  </si>
  <si>
    <t xml:space="preserve">Сафонова Ирина Александровна</t>
  </si>
  <si>
    <t>19.03.1988</t>
  </si>
  <si>
    <t>safonova@yandex</t>
  </si>
  <si>
    <t>2027-02-10</t>
  </si>
  <si>
    <t xml:space="preserve">Колесов Иван Михайлович</t>
  </si>
  <si>
    <t>05.12.1995</t>
  </si>
  <si>
    <t>kolesov@gmail</t>
  </si>
  <si>
    <t>10.02.2027</t>
  </si>
  <si>
    <t xml:space="preserve">Трофимова Майя Сергеевна</t>
  </si>
  <si>
    <t>22.07.1977</t>
  </si>
  <si>
    <t>trofimova@mail</t>
  </si>
  <si>
    <t>01.03.2027</t>
  </si>
  <si>
    <t xml:space="preserve">Василенко Константин Юрьевич</t>
  </si>
  <si>
    <t>16.05.1986</t>
  </si>
  <si>
    <t>vasilenko@yandex</t>
  </si>
  <si>
    <t>2027-03-15</t>
  </si>
  <si>
    <t xml:space="preserve">Юрченко Наталья Станиславовна</t>
  </si>
  <si>
    <t>08.01.1980</t>
  </si>
  <si>
    <t>yurchenko@gmail</t>
  </si>
  <si>
    <t>15.03.2027</t>
  </si>
  <si>
    <t xml:space="preserve">Прокофьев Евгений Владиславович</t>
  </si>
  <si>
    <t>03.09.1974</t>
  </si>
  <si>
    <t>prokofiev@mail</t>
  </si>
  <si>
    <t>01.04.2027</t>
  </si>
  <si>
    <t xml:space="preserve">Зыкова Анна Алексеевна</t>
  </si>
  <si>
    <t>25.11.1989</t>
  </si>
  <si>
    <t>zykova@yandex</t>
  </si>
  <si>
    <t>2027-04-10</t>
  </si>
  <si>
    <t xml:space="preserve">Шубин Илья Олегович</t>
  </si>
  <si>
    <t>12.04.1985</t>
  </si>
  <si>
    <t>shubin@gmail</t>
  </si>
  <si>
    <t>10.04.2027</t>
  </si>
  <si>
    <t xml:space="preserve">Жукова Елена Сергеевна</t>
  </si>
  <si>
    <t>14.10.1976</t>
  </si>
  <si>
    <t>zhukova@mail</t>
  </si>
  <si>
    <t>01.05.2027</t>
  </si>
  <si>
    <t xml:space="preserve">Баранов Андрей Владимирович</t>
  </si>
  <si>
    <t>06.06.1990</t>
  </si>
  <si>
    <t>baranov@yandex</t>
  </si>
  <si>
    <t>2027-05-15</t>
  </si>
  <si>
    <t xml:space="preserve">Гурова Инна Павловна</t>
  </si>
  <si>
    <t>21.02.1983</t>
  </si>
  <si>
    <t>gurova@gmail</t>
  </si>
  <si>
    <t>15.05.2027</t>
  </si>
  <si>
    <t xml:space="preserve">Лазарев Алексей Олегович</t>
  </si>
  <si>
    <t>17.08.1971</t>
  </si>
  <si>
    <t>lazarev@mail</t>
  </si>
  <si>
    <t>01.06.2027</t>
  </si>
  <si>
    <t xml:space="preserve">Карташова Ольга Валерьевна</t>
  </si>
  <si>
    <t>09.12.1987</t>
  </si>
  <si>
    <t>kartashova@yandex</t>
  </si>
  <si>
    <t>2027-06-10</t>
  </si>
  <si>
    <t xml:space="preserve">Олейник Светлана Николаевна</t>
  </si>
  <si>
    <t>28.05.1994</t>
  </si>
  <si>
    <t>oleynik@gmail</t>
  </si>
  <si>
    <t>10.06.2027</t>
  </si>
  <si>
    <t xml:space="preserve">Нестеров Никита Алексеевич</t>
  </si>
  <si>
    <t>03.07.1979</t>
  </si>
  <si>
    <t>nesterov@mail</t>
  </si>
  <si>
    <t>01.07.2027</t>
  </si>
  <si>
    <t xml:space="preserve">Рожков Денис Вячеславович</t>
  </si>
  <si>
    <t>19.11.1986</t>
  </si>
  <si>
    <t>rozhkov@yandex</t>
  </si>
  <si>
    <t>2027-07-15</t>
  </si>
  <si>
    <t xml:space="preserve">Кравченко Екатерина Игоревна</t>
  </si>
  <si>
    <t>22.04.1981</t>
  </si>
  <si>
    <t>kravchenko@gmail</t>
  </si>
  <si>
    <t>15.07.2027</t>
  </si>
  <si>
    <t xml:space="preserve">Иванченко Олег Сергеевич</t>
  </si>
  <si>
    <t>14.09.1975</t>
  </si>
  <si>
    <t>ivanchenko@mail</t>
  </si>
  <si>
    <t>01.08.2027</t>
  </si>
  <si>
    <t xml:space="preserve">Максимова Алина Павловна</t>
  </si>
  <si>
    <t>07.01.1992</t>
  </si>
  <si>
    <t>maksimova@yandex</t>
  </si>
  <si>
    <t>2027-08-10</t>
  </si>
  <si>
    <t xml:space="preserve">Петрова Кристина Алексеевна</t>
  </si>
  <si>
    <t>30.06.1984</t>
  </si>
  <si>
    <t>petrova@gmail</t>
  </si>
  <si>
    <t>10.08.2027</t>
  </si>
  <si>
    <t xml:space="preserve">Галкина Марина Викторовна</t>
  </si>
  <si>
    <t>13.10.1976</t>
  </si>
  <si>
    <t>galkina@mail</t>
  </si>
  <si>
    <t>01.09.2027</t>
  </si>
  <si>
    <t xml:space="preserve">Чистяков Илья Андреевич</t>
  </si>
  <si>
    <t>02.03.1993</t>
  </si>
  <si>
    <t>chistyakov@yandex</t>
  </si>
  <si>
    <t>2027-09-15</t>
  </si>
  <si>
    <t xml:space="preserve">Чернышова Лариса Николаевна</t>
  </si>
  <si>
    <t>18.08.1988</t>
  </si>
  <si>
    <t>chernyshova@gmail</t>
  </si>
  <si>
    <t>15.09.2027</t>
  </si>
  <si>
    <t xml:space="preserve">Шишков Сергей Евгеньевич</t>
  </si>
  <si>
    <t>26.12.1978</t>
  </si>
  <si>
    <t>shishkov@mail</t>
  </si>
  <si>
    <t>01.10.2027</t>
  </si>
  <si>
    <t xml:space="preserve">Субботина Елена Валерьевна</t>
  </si>
  <si>
    <t>04.05.1982</t>
  </si>
  <si>
    <t>subbotina@yandex</t>
  </si>
  <si>
    <t>2027-10-10</t>
  </si>
  <si>
    <t xml:space="preserve">Головина Татьяна Михайловна</t>
  </si>
  <si>
    <t>15.07.1974</t>
  </si>
  <si>
    <t>golovina@gmail</t>
  </si>
  <si>
    <t>10.10.2027</t>
  </si>
  <si>
    <t xml:space="preserve">Красильников Денис Павлович</t>
  </si>
  <si>
    <t>29.10.1989</t>
  </si>
  <si>
    <t>krasilnikov@mail</t>
  </si>
  <si>
    <t>01.11.2027</t>
  </si>
  <si>
    <t xml:space="preserve">Шульженко Инна Дмитриевна</t>
  </si>
  <si>
    <t>20.09.1991</t>
  </si>
  <si>
    <t>shulzhenko@yandex</t>
  </si>
  <si>
    <t>2027-11-15</t>
  </si>
  <si>
    <t xml:space="preserve">Боброва Екатерина Станиславовна</t>
  </si>
  <si>
    <t>11.02.1977</t>
  </si>
  <si>
    <t>bobrova@gmail</t>
  </si>
  <si>
    <t>15.11.2027</t>
  </si>
  <si>
    <t xml:space="preserve">Носов Алексей Игоревич</t>
  </si>
  <si>
    <t>23.11.1983</t>
  </si>
  <si>
    <t>nosov@mail</t>
  </si>
  <si>
    <t>01.12.2027</t>
  </si>
  <si>
    <t xml:space="preserve">Кузьмина Анна Борисовна</t>
  </si>
  <si>
    <t>06.08.1990</t>
  </si>
  <si>
    <t>kuzmina@yandex</t>
  </si>
  <si>
    <t>2027-12-10</t>
  </si>
  <si>
    <t xml:space="preserve">Руденко Виктор Сергеевич</t>
  </si>
  <si>
    <t>27.12.1972</t>
  </si>
  <si>
    <t>rudenko@gmail</t>
  </si>
  <si>
    <t>10.12.2027</t>
  </si>
  <si>
    <t xml:space="preserve">Степанова Алла Владимировна</t>
  </si>
  <si>
    <t>16.04.1986</t>
  </si>
  <si>
    <t>stepanova@mail</t>
  </si>
  <si>
    <t>01.01.2028</t>
  </si>
  <si>
    <t xml:space="preserve">Мазур Илья Романович</t>
  </si>
  <si>
    <t>08.09.1994</t>
  </si>
  <si>
    <t>mazur@yandex</t>
  </si>
  <si>
    <t>2028-01-15</t>
  </si>
  <si>
    <t xml:space="preserve">Касьянова Оксана Юрьевна</t>
  </si>
  <si>
    <t>25.07.1979</t>
  </si>
  <si>
    <t>kasyanova@gmail</t>
  </si>
  <si>
    <t>15.01.2028</t>
  </si>
  <si>
    <t xml:space="preserve">Масленников Денис Олегович</t>
  </si>
  <si>
    <t>maslennikov@mail</t>
  </si>
  <si>
    <t>01.02.2028</t>
  </si>
  <si>
    <t xml:space="preserve">Чумак Екатерина Алексеевна</t>
  </si>
  <si>
    <t>19.06.1981</t>
  </si>
  <si>
    <t>chumak@yandex</t>
  </si>
  <si>
    <t>2028-02-10</t>
  </si>
  <si>
    <t xml:space="preserve">Спицин Никита Павлович</t>
  </si>
  <si>
    <t>01.10.1975</t>
  </si>
  <si>
    <t>spicin@gmail</t>
  </si>
  <si>
    <t>10.02.2028</t>
  </si>
  <si>
    <t xml:space="preserve">Ткаченко Ольга Викторовна</t>
  </si>
  <si>
    <t>27.12.1984</t>
  </si>
  <si>
    <t>tkachenko@mail</t>
  </si>
  <si>
    <t>01.03.2028</t>
  </si>
  <si>
    <t xml:space="preserve">Загорский Анатолий Сергеевич</t>
  </si>
  <si>
    <t>15.08.1992</t>
  </si>
  <si>
    <t>zagorsky@yandex</t>
  </si>
  <si>
    <t>2028-03-15</t>
  </si>
  <si>
    <t xml:space="preserve">Сидорова Ольга Ивановна</t>
  </si>
  <si>
    <t>04.11.1973</t>
  </si>
  <si>
    <t>15.03.2028</t>
  </si>
  <si>
    <t xml:space="preserve">Попова Надежда Петровна</t>
  </si>
  <si>
    <t>21.03.1986</t>
  </si>
  <si>
    <t>popova@mail</t>
  </si>
  <si>
    <t>01.04.2028</t>
  </si>
  <si>
    <t xml:space="preserve">Чехов Илья Александрович</t>
  </si>
  <si>
    <t>08.06.1991</t>
  </si>
  <si>
    <t>chehov@yandex</t>
  </si>
  <si>
    <t>2028-04-10</t>
  </si>
  <si>
    <t xml:space="preserve">Курочкина Мария Андреевна</t>
  </si>
  <si>
    <t>16.12.1977</t>
  </si>
  <si>
    <t>kurochkina@gmail</t>
  </si>
  <si>
    <t>10.04.2028</t>
  </si>
  <si>
    <t xml:space="preserve">Печеневский Артем Валентинович</t>
  </si>
  <si>
    <t>02.09.1983</t>
  </si>
  <si>
    <t>pechenevsky@mail</t>
  </si>
  <si>
    <t>01.05.2028</t>
  </si>
  <si>
    <t xml:space="preserve">Смагина Елена Юрьевна</t>
  </si>
  <si>
    <t>23.05.1993</t>
  </si>
  <si>
    <t>smagina@yandex</t>
  </si>
  <si>
    <t>2028-05-15</t>
  </si>
  <si>
    <t xml:space="preserve">Гущин Илья Николаевич</t>
  </si>
  <si>
    <t>11.07.1971</t>
  </si>
  <si>
    <t>guschin@gmail</t>
  </si>
  <si>
    <t>15.05.2028</t>
  </si>
  <si>
    <t xml:space="preserve">Минаев Владислав Владимирович</t>
  </si>
  <si>
    <t>29.01.1986</t>
  </si>
  <si>
    <t>minaev@mail</t>
  </si>
  <si>
    <t>01.06.2028</t>
  </si>
  <si>
    <t xml:space="preserve">Жилинская Ольга Анатольевна</t>
  </si>
  <si>
    <t>17.10.1989</t>
  </si>
  <si>
    <t>zhilinskaya@yandex</t>
  </si>
  <si>
    <t>2028-06-10</t>
  </si>
  <si>
    <t xml:space="preserve">Булычев Роман Викторович</t>
  </si>
  <si>
    <t>14.04.1976</t>
  </si>
  <si>
    <t>bulychev@gmail</t>
  </si>
  <si>
    <t>10.06.2028</t>
  </si>
  <si>
    <t xml:space="preserve">Дубова Марина Игоревна</t>
  </si>
  <si>
    <t>08.12.1982</t>
  </si>
  <si>
    <t>dubova@mail</t>
  </si>
  <si>
    <t>01.07.2028</t>
  </si>
  <si>
    <t xml:space="preserve">Анисимов Андрей Олегович</t>
  </si>
  <si>
    <t>22.08.1994</t>
  </si>
  <si>
    <t>anisimov@yandex</t>
  </si>
  <si>
    <t>2028-07-15</t>
  </si>
  <si>
    <t xml:space="preserve">Савицкая Оксана Николаевна</t>
  </si>
  <si>
    <t>07.06.1980</t>
  </si>
  <si>
    <t>savitskaya@gmail</t>
  </si>
  <si>
    <t>15.07.2028</t>
  </si>
  <si>
    <t xml:space="preserve">Ефанов Дмитрий Алексеевич</t>
  </si>
  <si>
    <t>19.11.1974</t>
  </si>
  <si>
    <t>efanov@mail</t>
  </si>
  <si>
    <t>01.08.2028</t>
  </si>
  <si>
    <t xml:space="preserve">Яблочкова Татьяна Дмитриевна</t>
  </si>
  <si>
    <t>25.02.1987</t>
  </si>
  <si>
    <t>yablochkova@yandex</t>
  </si>
  <si>
    <t>2028-08-10</t>
  </si>
  <si>
    <t xml:space="preserve">Блинков Сергей Петрович</t>
  </si>
  <si>
    <t>blinkov@gmail</t>
  </si>
  <si>
    <t>10.08.2028</t>
  </si>
  <si>
    <t xml:space="preserve">Зубова Екатерина Сергеевна</t>
  </si>
  <si>
    <t>12.07.1978</t>
  </si>
  <si>
    <t>zubova@mail</t>
  </si>
  <si>
    <t>01.09.2028</t>
  </si>
  <si>
    <t xml:space="preserve">Латкин Андрей Владимирович</t>
  </si>
  <si>
    <t>30.01.1985</t>
  </si>
  <si>
    <t>latkin@yandex</t>
  </si>
  <si>
    <t>2028-09-15</t>
  </si>
  <si>
    <t xml:space="preserve">Копылова Ольга Павловна</t>
  </si>
  <si>
    <t>16.10.1992</t>
  </si>
  <si>
    <t>kopylova@gmail</t>
  </si>
  <si>
    <t>15.09.2028</t>
  </si>
  <si>
    <t xml:space="preserve">Селиверстов Игорь Евгеньевич</t>
  </si>
  <si>
    <t>05.12.1970</t>
  </si>
  <si>
    <t>seliverstov@mail</t>
  </si>
  <si>
    <t>01.10.2028</t>
  </si>
  <si>
    <t xml:space="preserve">Гаврикова Мария Николаевна</t>
  </si>
  <si>
    <t>24.04.1983</t>
  </si>
  <si>
    <t>gavrikova@yandex</t>
  </si>
  <si>
    <t>2028-10-10</t>
  </si>
  <si>
    <t xml:space="preserve">Таратухин Денис Павлович</t>
  </si>
  <si>
    <t>taratuhin@gmail</t>
  </si>
  <si>
    <t>10.10.2028</t>
  </si>
  <si>
    <t xml:space="preserve">Киселева Ирина Степановна</t>
  </si>
  <si>
    <t>01.06.1976</t>
  </si>
  <si>
    <t>kiseleva@mail</t>
  </si>
  <si>
    <t>01.11.2028</t>
  </si>
  <si>
    <t xml:space="preserve">Хохлов Алексей Иванович</t>
  </si>
  <si>
    <t>hohlov@yandex</t>
  </si>
  <si>
    <t>2028-11-15</t>
  </si>
  <si>
    <t xml:space="preserve">Мельник Елена Владимировна</t>
  </si>
  <si>
    <t>09.09.1993</t>
  </si>
  <si>
    <t>melnik@gmail</t>
  </si>
  <si>
    <t>15.11.2028</t>
  </si>
  <si>
    <t xml:space="preserve">Кашкаров Илья Алексеевич</t>
  </si>
  <si>
    <t>22.12.1979</t>
  </si>
  <si>
    <t>kashkarov@mail</t>
  </si>
  <si>
    <t>01.12.2028</t>
  </si>
  <si>
    <t xml:space="preserve">Любимова Анна Петровна</t>
  </si>
  <si>
    <t>26.03.1986</t>
  </si>
  <si>
    <t>lyubimova@yandex</t>
  </si>
  <si>
    <t>2028-12-10</t>
  </si>
  <si>
    <t xml:space="preserve">Грачев Александр Сергеевич</t>
  </si>
  <si>
    <t>15.07.1990</t>
  </si>
  <si>
    <t>grachev@gmail</t>
  </si>
  <si>
    <t>10.12.2028</t>
  </si>
  <si>
    <t xml:space="preserve">Корнилов Владимир Олегович</t>
  </si>
  <si>
    <t>07.09.1975</t>
  </si>
  <si>
    <t>kornilov@mail</t>
  </si>
  <si>
    <t>01.01.2029</t>
  </si>
  <si>
    <t xml:space="preserve">Филатова Наталья Игоревна</t>
  </si>
  <si>
    <t>18.04.1982</t>
  </si>
  <si>
    <t>filatova@yandex</t>
  </si>
  <si>
    <t>2029-01-15</t>
  </si>
  <si>
    <t xml:space="preserve">Бердникова Мария Владимировна</t>
  </si>
  <si>
    <t>31.10.1991</t>
  </si>
  <si>
    <t>berdnikova@gmail</t>
  </si>
  <si>
    <t>15.01.2029</t>
  </si>
  <si>
    <t xml:space="preserve">Мельниченко Андрей Павлович</t>
  </si>
  <si>
    <t>13.02.1977</t>
  </si>
  <si>
    <t>melnichenko@mail</t>
  </si>
  <si>
    <t>01.02.2029</t>
  </si>
  <si>
    <t xml:space="preserve">Воронина Ольга Владиславовна</t>
  </si>
  <si>
    <t>22.06.1985</t>
  </si>
  <si>
    <t>voronina@yandex</t>
  </si>
  <si>
    <t>2029-02-10</t>
  </si>
  <si>
    <t xml:space="preserve">Зеленов Кирилл Валерьевич</t>
  </si>
  <si>
    <t>08.12.1994</t>
  </si>
  <si>
    <t>zelenov@gmail</t>
  </si>
  <si>
    <t>10.02.2029</t>
  </si>
  <si>
    <t xml:space="preserve">Стручкова Екатерина Алексеевна</t>
  </si>
  <si>
    <t>17.08.1973</t>
  </si>
  <si>
    <t>struchkova@mail</t>
  </si>
  <si>
    <t>01.03.2029</t>
  </si>
  <si>
    <t xml:space="preserve">Шаламов Олег Игоревич</t>
  </si>
  <si>
    <t>shalamov@yandex</t>
  </si>
  <si>
    <t>2029-03-15</t>
  </si>
  <si>
    <t xml:space="preserve">Алексеев Дмитрий Петрович</t>
  </si>
  <si>
    <t>11.11.1981</t>
  </si>
  <si>
    <t>alekseev@gmail</t>
  </si>
  <si>
    <t>15.03.2029</t>
  </si>
  <si>
    <t xml:space="preserve">Сорокина Татьяна Борисовна</t>
  </si>
  <si>
    <t>05.07.1976</t>
  </si>
  <si>
    <t>sorokina@mail</t>
  </si>
  <si>
    <t>01.04.2029</t>
  </si>
  <si>
    <t xml:space="preserve">Пономарёв Сергей Александрович</t>
  </si>
  <si>
    <t>24.09.1992</t>
  </si>
  <si>
    <t>ponomarev@yandex</t>
  </si>
  <si>
    <t>2029-04-10</t>
  </si>
  <si>
    <t xml:space="preserve">Репин Илья Васильевич</t>
  </si>
  <si>
    <t>16.05.1984</t>
  </si>
  <si>
    <t>repin@gmail</t>
  </si>
  <si>
    <t>10.04.2029</t>
  </si>
  <si>
    <t xml:space="preserve">Кудрявцева Оксана Юрьевна</t>
  </si>
  <si>
    <t>30.10.1979</t>
  </si>
  <si>
    <t>kudryavtseva@mail</t>
  </si>
  <si>
    <t>01.05.2029</t>
  </si>
  <si>
    <t xml:space="preserve">Лыков Алексей Павлович</t>
  </si>
  <si>
    <t>14.01.1987</t>
  </si>
  <si>
    <t>lykov@yandex</t>
  </si>
  <si>
    <t>2029-05-15</t>
  </si>
  <si>
    <t xml:space="preserve">Туманова Наталья Владимировна</t>
  </si>
  <si>
    <t>02.04.1993</t>
  </si>
  <si>
    <t>tumanova@gmail</t>
  </si>
  <si>
    <t>15.05.2029</t>
  </si>
  <si>
    <t xml:space="preserve">Сапожников Владислав Евгеньевич</t>
  </si>
  <si>
    <t>21.07.1971</t>
  </si>
  <si>
    <t>sapozhnikov@mail</t>
  </si>
  <si>
    <t>01.06.2029</t>
  </si>
  <si>
    <t xml:space="preserve">Куницына Елена Алексеевна</t>
  </si>
  <si>
    <t>13.12.1982</t>
  </si>
  <si>
    <t>kunitsyna@yandex</t>
  </si>
  <si>
    <t>2029-06-10</t>
  </si>
  <si>
    <t xml:space="preserve">Кондратьев Михаил Олегович</t>
  </si>
  <si>
    <t>27.08.1990</t>
  </si>
  <si>
    <t>kondratiev@gmail</t>
  </si>
  <si>
    <t>10.06.2029</t>
  </si>
  <si>
    <t xml:space="preserve">Горшкова Инна Сергеевна</t>
  </si>
  <si>
    <t>06.06.1978</t>
  </si>
  <si>
    <t>gorshkova@mail</t>
  </si>
  <si>
    <t>01.07.2029</t>
  </si>
  <si>
    <t xml:space="preserve">Якушев Андрей Николаевич</t>
  </si>
  <si>
    <t>18.11.1985</t>
  </si>
  <si>
    <t>yakushev@yandex</t>
  </si>
  <si>
    <t>2029-07-15</t>
  </si>
  <si>
    <t xml:space="preserve">Ермилова Ольга Викторовна</t>
  </si>
  <si>
    <t>29.09.1980</t>
  </si>
  <si>
    <t>ermilova@gmail</t>
  </si>
  <si>
    <t>15.07.2029</t>
  </si>
  <si>
    <t xml:space="preserve">Шестопалов Евгений Сергеевич</t>
  </si>
  <si>
    <t>12.04.1974</t>
  </si>
  <si>
    <t>shestopalov@mail</t>
  </si>
  <si>
    <t>01.08.2029</t>
  </si>
  <si>
    <t xml:space="preserve">Ванюшина Мария Игоревна</t>
  </si>
  <si>
    <t>05.02.1989</t>
  </si>
  <si>
    <t>vanyushina@yandex</t>
  </si>
  <si>
    <t>2029-08-10</t>
  </si>
  <si>
    <t xml:space="preserve">Краснов Денис Александрович</t>
  </si>
  <si>
    <t>26.07.1994</t>
  </si>
  <si>
    <t>krasnov@gmail</t>
  </si>
  <si>
    <t>10.08.2029</t>
  </si>
  <si>
    <t xml:space="preserve">Мухина Татьяна Павловна</t>
  </si>
  <si>
    <t>15.10.1975</t>
  </si>
  <si>
    <t>muhina@mail</t>
  </si>
  <si>
    <t>01.09.2029</t>
  </si>
  <si>
    <t xml:space="preserve">Вакуленко Андрей Олегович</t>
  </si>
  <si>
    <t>19.12.1983</t>
  </si>
  <si>
    <t>vakulenko@yandex</t>
  </si>
  <si>
    <t>2029-09-15</t>
  </si>
  <si>
    <t xml:space="preserve">Терехова Светлана Николаевна</t>
  </si>
  <si>
    <t>03.06.1991</t>
  </si>
  <si>
    <t>terehova@gmail</t>
  </si>
  <si>
    <t>15.09.2029</t>
  </si>
  <si>
    <t xml:space="preserve">Бобков Илья Алексеевич</t>
  </si>
  <si>
    <t>22.08.1972</t>
  </si>
  <si>
    <t>bobkov@mail</t>
  </si>
  <si>
    <t>01.10.2029</t>
  </si>
  <si>
    <t xml:space="preserve">Ильина Анна Владимировна</t>
  </si>
  <si>
    <t>10.11.1986</t>
  </si>
  <si>
    <t>ilina@yandex</t>
  </si>
  <si>
    <t>2029-10-10</t>
  </si>
  <si>
    <t xml:space="preserve">Силин Олег Валериевич</t>
  </si>
  <si>
    <t>28.03.1982</t>
  </si>
  <si>
    <t>silin@gmail</t>
  </si>
  <si>
    <t>10.10.2029</t>
  </si>
  <si>
    <t xml:space="preserve">Лобова Екатерина Петровна</t>
  </si>
  <si>
    <t>14.07.1977</t>
  </si>
  <si>
    <t>lobova@mail</t>
  </si>
  <si>
    <t>01.11.2029</t>
  </si>
  <si>
    <t xml:space="preserve">Дубровин Вячеслав Николаевич</t>
  </si>
  <si>
    <t>05.01.1984</t>
  </si>
  <si>
    <t>dubrovin@yandex</t>
  </si>
  <si>
    <t>2029-11-15</t>
  </si>
  <si>
    <t xml:space="preserve">Паршина Ольга Сергеевна</t>
  </si>
  <si>
    <t>17.09.1989</t>
  </si>
  <si>
    <t>parshina@gmail</t>
  </si>
  <si>
    <t>15.11.2029</t>
  </si>
  <si>
    <t xml:space="preserve">Липатова Наталья Игоревна</t>
  </si>
  <si>
    <t>30.12.1970</t>
  </si>
  <si>
    <t>lipatova@mail</t>
  </si>
  <si>
    <t>01.12.2029</t>
  </si>
  <si>
    <t xml:space="preserve">Губанов Андрей Викторович</t>
  </si>
  <si>
    <t>08.06.1987</t>
  </si>
  <si>
    <t>gubanov@yandex</t>
  </si>
  <si>
    <t>2029-12-10</t>
  </si>
  <si>
    <t xml:space="preserve">Богомолова Мария Александровна</t>
  </si>
  <si>
    <t>21.10.1976</t>
  </si>
  <si>
    <t>bogomolova@gmail</t>
  </si>
  <si>
    <t>10.12.2029</t>
  </si>
  <si>
    <t xml:space="preserve">Харитонов Алексей Павлович</t>
  </si>
  <si>
    <t>04.04.1992</t>
  </si>
  <si>
    <t>haritonov@mail</t>
  </si>
  <si>
    <t>01.01.2030</t>
  </si>
  <si>
    <t xml:space="preserve">Ким Олег Иванович</t>
  </si>
  <si>
    <t>27.12.1981</t>
  </si>
  <si>
    <t>kim@yandex</t>
  </si>
  <si>
    <t>2030-01-15</t>
  </si>
  <si>
    <t xml:space="preserve">Лаврова Елена Викторовна</t>
  </si>
  <si>
    <t>15.08.1975</t>
  </si>
  <si>
    <t>lavrova@gmail</t>
  </si>
  <si>
    <t>15.01.2030</t>
  </si>
  <si>
    <t xml:space="preserve">Завьялов Владимир Сергеевич</t>
  </si>
  <si>
    <t>13.03.1983</t>
  </si>
  <si>
    <t>zavyalov@mail</t>
  </si>
  <si>
    <t>01.02.2030</t>
  </si>
  <si>
    <t xml:space="preserve">Костин Денис Алексеевич</t>
  </si>
  <si>
    <t>06.11.1990</t>
  </si>
  <si>
    <t>kostin@yandex</t>
  </si>
  <si>
    <t>2030-02-10</t>
  </si>
  <si>
    <t xml:space="preserve">Арсеньева Ирина Павловна</t>
  </si>
  <si>
    <t>19.09.1977</t>
  </si>
  <si>
    <t>arsenieva@gmail</t>
  </si>
  <si>
    <t>10.02.2030</t>
  </si>
  <si>
    <t xml:space="preserve">Крутиков Александр Игоревич</t>
  </si>
  <si>
    <t>22.05.1984</t>
  </si>
  <si>
    <t>krutikov@mail</t>
  </si>
  <si>
    <t>01.03.2030</t>
  </si>
  <si>
    <t xml:space="preserve">Озерова Светлана Владимировна</t>
  </si>
  <si>
    <t>14.01.1991</t>
  </si>
  <si>
    <t>ozerova@yandex</t>
  </si>
  <si>
    <t>2030-03-15</t>
  </si>
  <si>
    <t xml:space="preserve">Литвинова Ольга Николаевна</t>
  </si>
  <si>
    <t>02.07.1972</t>
  </si>
  <si>
    <t>litvinova@gmail</t>
  </si>
  <si>
    <t>15.03.2030</t>
  </si>
  <si>
    <t xml:space="preserve">Аксенов Илья Евгеньевич</t>
  </si>
  <si>
    <t>28.12.1988</t>
  </si>
  <si>
    <t>aksenov@mail</t>
  </si>
  <si>
    <t>01.04.2030</t>
  </si>
  <si>
    <t xml:space="preserve">Сычев Андрей Александрович</t>
  </si>
  <si>
    <t>17.04.1979</t>
  </si>
  <si>
    <t>sychev@yandex</t>
  </si>
  <si>
    <t>2030-04-10</t>
  </si>
  <si>
    <t xml:space="preserve">Пименова Татьяна Сергеевна</t>
  </si>
  <si>
    <t>05.08.1986</t>
  </si>
  <si>
    <t>pimenova@gmail</t>
  </si>
  <si>
    <t>10.04.2030</t>
  </si>
  <si>
    <t xml:space="preserve">Блохин Денис Викторович</t>
  </si>
  <si>
    <t>10.10.1974</t>
  </si>
  <si>
    <t>blohin@mail</t>
  </si>
  <si>
    <t>01.05.2030</t>
  </si>
  <si>
    <t xml:space="preserve">Майорова Мария Павловна</t>
  </si>
  <si>
    <t>23.06.1982</t>
  </si>
  <si>
    <t>mayorova@yandex</t>
  </si>
  <si>
    <t>2030-05-15</t>
  </si>
  <si>
    <t xml:space="preserve">Кравчук Алексей Олегович</t>
  </si>
  <si>
    <t>02.02.1990</t>
  </si>
  <si>
    <t>kravchuk@gmail</t>
  </si>
  <si>
    <t>15.05.2030</t>
  </si>
  <si>
    <t xml:space="preserve">Черкасова Наталья Игоревна</t>
  </si>
  <si>
    <t>19.11.1976</t>
  </si>
  <si>
    <t>cherkasova@mail</t>
  </si>
  <si>
    <t>01.06.2030</t>
  </si>
  <si>
    <t xml:space="preserve">Шаповалов Андрей Николаевич</t>
  </si>
  <si>
    <t>16.09.1985</t>
  </si>
  <si>
    <t>shapovalov@yandex</t>
  </si>
  <si>
    <t>2030-06-10</t>
  </si>
  <si>
    <t xml:space="preserve">Козырева Елена Станиславовна</t>
  </si>
  <si>
    <t>31.05.1981</t>
  </si>
  <si>
    <t>kozyreva@gmail</t>
  </si>
  <si>
    <t>10.06.2030</t>
  </si>
  <si>
    <t xml:space="preserve">Сысоев Игорь Викторович</t>
  </si>
  <si>
    <t>12.12.1973</t>
  </si>
  <si>
    <t>sysoev@mail</t>
  </si>
  <si>
    <t>01.07.2030</t>
  </si>
  <si>
    <t xml:space="preserve">Орешкин Олег Сергеевич</t>
  </si>
  <si>
    <t>07.03.1988</t>
  </si>
  <si>
    <t>oreshkin@yandex</t>
  </si>
  <si>
    <t>2030-07-15</t>
  </si>
  <si>
    <t xml:space="preserve">Котлярова Ольга Валерьевна</t>
  </si>
  <si>
    <t>24.08.1992</t>
  </si>
  <si>
    <t>kotlyarova@gmail</t>
  </si>
  <si>
    <t>15.07.2030</t>
  </si>
  <si>
    <t xml:space="preserve">Неклюдов Александр Петрович</t>
  </si>
  <si>
    <t>neklyudov@mail</t>
  </si>
  <si>
    <t>01.08.2030</t>
  </si>
  <si>
    <t xml:space="preserve">Савченко Екатерина Алексеевна</t>
  </si>
  <si>
    <t>27.04.1987</t>
  </si>
  <si>
    <t>savchenko@yandex</t>
  </si>
  <si>
    <t>2030-08-10</t>
  </si>
  <si>
    <t xml:space="preserve">Колесник Илья Дмитриевич</t>
  </si>
  <si>
    <t>kolesnik@gmail</t>
  </si>
  <si>
    <t>10.08.2030</t>
  </si>
  <si>
    <t xml:space="preserve">Гладкова Мария Владимировна</t>
  </si>
  <si>
    <t>22.06.1978</t>
  </si>
  <si>
    <t>gladkova@mail</t>
  </si>
  <si>
    <t>01.09.2030</t>
  </si>
  <si>
    <t xml:space="preserve">Снигирев Сергей Олегович</t>
  </si>
  <si>
    <t>14.07.1983</t>
  </si>
  <si>
    <t>snigirev@yandex</t>
  </si>
  <si>
    <t>2030-09-15</t>
  </si>
  <si>
    <t xml:space="preserve">Яшина Татьяна Николаевна</t>
  </si>
  <si>
    <t>19.02.1991</t>
  </si>
  <si>
    <t>yashina@gmail</t>
  </si>
  <si>
    <t>15.09.2030</t>
  </si>
  <si>
    <t xml:space="preserve">Суворов Алексей Александрович</t>
  </si>
  <si>
    <t>06.11.1976</t>
  </si>
  <si>
    <t>suvorov@mail</t>
  </si>
  <si>
    <t>01.10.2030</t>
  </si>
  <si>
    <t xml:space="preserve">Бабенко Инна Олеговна</t>
  </si>
  <si>
    <t>28.09.1984</t>
  </si>
  <si>
    <t>babenko@yandex</t>
  </si>
  <si>
    <t>2030-10-10</t>
  </si>
  <si>
    <t xml:space="preserve">Кислов Денис Павлович</t>
  </si>
  <si>
    <t>17.12.1970</t>
  </si>
  <si>
    <t>kislov@gmail</t>
  </si>
  <si>
    <t>10.10.2030</t>
  </si>
  <si>
    <t xml:space="preserve">Серикова Ольга Михайловна</t>
  </si>
  <si>
    <t>05.05.1988</t>
  </si>
  <si>
    <t>serikova@mail</t>
  </si>
  <si>
    <t>01.11.2030</t>
  </si>
  <si>
    <t xml:space="preserve">Мокрушин Илья Валентинович</t>
  </si>
  <si>
    <t>23.08.1993</t>
  </si>
  <si>
    <t>mokrushin@yandex</t>
  </si>
  <si>
    <t>2030-11-15</t>
  </si>
  <si>
    <t xml:space="preserve">Гуреева Елена Александровна</t>
  </si>
  <si>
    <t>13.03.1977</t>
  </si>
  <si>
    <t>gureeva@gmail</t>
  </si>
  <si>
    <t>15.11.2030</t>
  </si>
  <si>
    <t xml:space="preserve">Синицын Виталий Олегович</t>
  </si>
  <si>
    <t>20.10.1981</t>
  </si>
  <si>
    <t>sinitsin@mail</t>
  </si>
  <si>
    <t>01.12.2030</t>
  </si>
  <si>
    <t xml:space="preserve">Чернова Анна Игоревна</t>
  </si>
  <si>
    <t>18.01.1990</t>
  </si>
  <si>
    <t>chernova@yandex</t>
  </si>
  <si>
    <t>2030-12-10</t>
  </si>
  <si>
    <t xml:space="preserve">Ширяев Андрей Викторович</t>
  </si>
  <si>
    <t>07.06.1974</t>
  </si>
  <si>
    <t>shiryaev@gmail</t>
  </si>
  <si>
    <t>10.12.2030</t>
  </si>
  <si>
    <t xml:space="preserve">Казанцев Дмитрий Сергеевич</t>
  </si>
  <si>
    <t>26.09.1986</t>
  </si>
  <si>
    <t>kazantsev@mail</t>
  </si>
  <si>
    <t>01.01.2031</t>
  </si>
  <si>
    <t xml:space="preserve">Медведев Артем Павлович</t>
  </si>
  <si>
    <t>14.12.1992</t>
  </si>
  <si>
    <t>medvedev@yandex</t>
  </si>
  <si>
    <t>2031-01-15</t>
  </si>
  <si>
    <t xml:space="preserve">Широкова Светлана Николаевна</t>
  </si>
  <si>
    <t>09.04.1978</t>
  </si>
  <si>
    <t>shirokova@gmail</t>
  </si>
  <si>
    <t>15.01.2031</t>
  </si>
  <si>
    <t xml:space="preserve">Анищенко Владимир Игоревич</t>
  </si>
  <si>
    <t>23.08.1983</t>
  </si>
  <si>
    <t>anischenko@mail</t>
  </si>
  <si>
    <t>01.02.2031</t>
  </si>
  <si>
    <t xml:space="preserve">Стукалова Ольга Сергеевна</t>
  </si>
  <si>
    <t>12.11.1989</t>
  </si>
  <si>
    <t>stukalova@yandex</t>
  </si>
  <si>
    <t>2031-02-10</t>
  </si>
  <si>
    <t xml:space="preserve">Панков Андрей Владимирович</t>
  </si>
  <si>
    <t>05.02.1971</t>
  </si>
  <si>
    <t>pankov@gmail</t>
  </si>
  <si>
    <t>10.02.2031</t>
  </si>
  <si>
    <t xml:space="preserve">Коршунова Елена Петровна</t>
  </si>
  <si>
    <t>19.07.1985</t>
  </si>
  <si>
    <t>korshunova@mail</t>
  </si>
  <si>
    <t>01.03.2031</t>
  </si>
  <si>
    <t xml:space="preserve">Гордеев Сергей Александрович</t>
  </si>
  <si>
    <t>28.10.1994</t>
  </si>
  <si>
    <t>gordeev@yandex</t>
  </si>
  <si>
    <t>2031-03-15</t>
  </si>
  <si>
    <t xml:space="preserve">Новикова Татьяна Владимировна</t>
  </si>
  <si>
    <t>15.03.2031</t>
  </si>
  <si>
    <t xml:space="preserve">Меркулова Ирина Алексеевна</t>
  </si>
  <si>
    <t>03.03.1982</t>
  </si>
  <si>
    <t>merkulova@mail</t>
  </si>
  <si>
    <t>01.04.2031</t>
  </si>
  <si>
    <t xml:space="preserve">Ланской Илья Евгеньевич</t>
  </si>
  <si>
    <t>24.12.1990</t>
  </si>
  <si>
    <t>lanskoy@yandex</t>
  </si>
  <si>
    <t>2031-04-10</t>
  </si>
  <si>
    <t xml:space="preserve">Карельский Денис Олегович</t>
  </si>
  <si>
    <t>11.08.1973</t>
  </si>
  <si>
    <t>karelsky@gmail</t>
  </si>
  <si>
    <t>10.04.2031</t>
  </si>
  <si>
    <t xml:space="preserve">Шилова Оксана Викторовна</t>
  </si>
  <si>
    <t>29.05.1984</t>
  </si>
  <si>
    <t>shilova@mail</t>
  </si>
  <si>
    <t>01.05.2031</t>
  </si>
  <si>
    <t xml:space="preserve">Козырев Никита Павлович</t>
  </si>
  <si>
    <t>22.09.1991</t>
  </si>
  <si>
    <t>kozyrev@yandex</t>
  </si>
  <si>
    <t>2031-05-15</t>
  </si>
  <si>
    <t xml:space="preserve">Купреева Мария Александровна</t>
  </si>
  <si>
    <t>06.01.1979</t>
  </si>
  <si>
    <t>kupreeva@gmail</t>
  </si>
  <si>
    <t>15.05.2031</t>
  </si>
  <si>
    <t xml:space="preserve">Разумовский Олег Сергеевич</t>
  </si>
  <si>
    <t>17.11.1986</t>
  </si>
  <si>
    <t>razumovsky@mail</t>
  </si>
  <si>
    <t>01.06.2031</t>
  </si>
  <si>
    <t xml:space="preserve">Майорова Анастасия Игоревна</t>
  </si>
  <si>
    <t>15.07.1983</t>
  </si>
  <si>
    <t>2031-06-10</t>
  </si>
  <si>
    <t xml:space="preserve">Скуратов Илья Владимирович</t>
  </si>
  <si>
    <t>26.04.1975</t>
  </si>
  <si>
    <t>skuratov@gmail</t>
  </si>
  <si>
    <t>10.06.2031</t>
  </si>
  <si>
    <t xml:space="preserve">Кузовлева Елена Сергеевна</t>
  </si>
  <si>
    <t>23.10.1988</t>
  </si>
  <si>
    <t>kuzovleva@mail</t>
  </si>
  <si>
    <t>01.07.2031</t>
  </si>
  <si>
    <t xml:space="preserve">Станкевич Артем Николаевич</t>
  </si>
  <si>
    <t>14.02.1981</t>
  </si>
  <si>
    <t>stankevich@yandex</t>
  </si>
  <si>
    <t>2031-07-15</t>
  </si>
  <si>
    <t xml:space="preserve">Милютина Ольга Валерьевна</t>
  </si>
  <si>
    <t>08.06.1992</t>
  </si>
  <si>
    <t>milyutina@gmail</t>
  </si>
  <si>
    <t>15.07.2031</t>
  </si>
  <si>
    <t xml:space="preserve">Белоусов Андрей Павлович</t>
  </si>
  <si>
    <t>29.12.1977</t>
  </si>
  <si>
    <t>belousov@mail</t>
  </si>
  <si>
    <t>01.08.2031</t>
  </si>
  <si>
    <t xml:space="preserve">Рябчинская Наталья Юрьевна</t>
  </si>
  <si>
    <t>19.09.1985</t>
  </si>
  <si>
    <t>ryabchinskaya@yandex</t>
  </si>
  <si>
    <t>2031-08-10</t>
  </si>
  <si>
    <t xml:space="preserve">Толстиков Денис Алексеевич</t>
  </si>
  <si>
    <t>31.05.1980</t>
  </si>
  <si>
    <t>tolstikov@gmail</t>
  </si>
  <si>
    <t>10.08.2031</t>
  </si>
  <si>
    <t xml:space="preserve">Скворцова Мария Игоревна</t>
  </si>
  <si>
    <t>20.03.1987</t>
  </si>
  <si>
    <t>skvortsova@mail</t>
  </si>
  <si>
    <t>01.09.2031</t>
  </si>
  <si>
    <t xml:space="preserve">Данильчук Алексей Олегович</t>
  </si>
  <si>
    <t>12.11.1991</t>
  </si>
  <si>
    <t>danilchuk@yandex</t>
  </si>
  <si>
    <t>2031-09-15</t>
  </si>
  <si>
    <t xml:space="preserve">Протасова Елена Владимировна</t>
  </si>
  <si>
    <t>27.07.1974</t>
  </si>
  <si>
    <t>protasova@gmail</t>
  </si>
  <si>
    <t>15.09.2031</t>
  </si>
  <si>
    <t xml:space="preserve">Кувшинов Илья Николаевич</t>
  </si>
  <si>
    <t>16.01.1983</t>
  </si>
  <si>
    <t>kuvshinov@mail</t>
  </si>
  <si>
    <t>01.10.2031</t>
  </si>
  <si>
    <t xml:space="preserve">Шумилова Оксана Павловна</t>
  </si>
  <si>
    <t>05.10.1988</t>
  </si>
  <si>
    <t>shumilova@yandex</t>
  </si>
  <si>
    <t>2031-10-10</t>
  </si>
  <si>
    <t xml:space="preserve">Михайличенко Денис Сергеевич</t>
  </si>
  <si>
    <t>28.12.1970</t>
  </si>
  <si>
    <t>mihaylichenko@gmail</t>
  </si>
  <si>
    <t>10.10.2031</t>
  </si>
  <si>
    <t xml:space="preserve">Лысенко Татьяна Александровна</t>
  </si>
  <si>
    <t>21.06.1979</t>
  </si>
  <si>
    <t>lysenko@mail</t>
  </si>
  <si>
    <t>01.11.2031</t>
  </si>
  <si>
    <t xml:space="preserve">Назарчук Андрей Викторович</t>
  </si>
  <si>
    <t>14.09.1990</t>
  </si>
  <si>
    <t>nazarchuk@yandex</t>
  </si>
  <si>
    <t>2031-11-15</t>
  </si>
  <si>
    <t xml:space="preserve">Скачкова Мария Игоревна</t>
  </si>
  <si>
    <t>02.02.1986</t>
  </si>
  <si>
    <t>skachkova@gmail</t>
  </si>
  <si>
    <t>15.11.2031</t>
  </si>
  <si>
    <t xml:space="preserve">Чернышев Олег Павлович</t>
  </si>
  <si>
    <t>23.05.1982</t>
  </si>
  <si>
    <t>chernyshev@mail</t>
  </si>
  <si>
    <t>01.12.2031</t>
  </si>
  <si>
    <t xml:space="preserve">Покровская Елена Владимировна</t>
  </si>
  <si>
    <t>10.08.1975</t>
  </si>
  <si>
    <t>pokrovskaya@yandex</t>
  </si>
  <si>
    <t>2031-12-10</t>
  </si>
  <si>
    <t xml:space="preserve">Шабалин Илья Олегович</t>
  </si>
  <si>
    <t>19.11.1993</t>
  </si>
  <si>
    <t>shabalin@gmail</t>
  </si>
  <si>
    <t>10.12.2031</t>
  </si>
  <si>
    <t xml:space="preserve">Кубасова Наталья Алексеевна</t>
  </si>
  <si>
    <t>31.12.1978</t>
  </si>
  <si>
    <t>kubasova@mail</t>
  </si>
  <si>
    <t>01.01.2032</t>
  </si>
  <si>
    <t xml:space="preserve">Логунов Андрей Сергеевич</t>
  </si>
  <si>
    <t>16.04.1987</t>
  </si>
  <si>
    <t>logunov@yandex</t>
  </si>
  <si>
    <t>2032-01-15</t>
  </si>
  <si>
    <t xml:space="preserve">Топоркова Ольга Владимировна</t>
  </si>
  <si>
    <t>toporkova@gmail</t>
  </si>
  <si>
    <t>15.01.2032</t>
  </si>
  <si>
    <t xml:space="preserve">Кирьянов Денис Павлович</t>
  </si>
  <si>
    <t>13.02.1976</t>
  </si>
  <si>
    <t>kiryanov@mail</t>
  </si>
  <si>
    <t>01.02.2032</t>
  </si>
  <si>
    <t xml:space="preserve">Басырова Ирина Сергеевна</t>
  </si>
  <si>
    <t>24.10.1989</t>
  </si>
  <si>
    <t>basyrova@yandex</t>
  </si>
  <si>
    <t>2032-02-10</t>
  </si>
  <si>
    <t xml:space="preserve">Фокин Александр Николаевич</t>
  </si>
  <si>
    <t>06.08.1981</t>
  </si>
  <si>
    <t>fokin@gmail</t>
  </si>
  <si>
    <t>10.02.2032</t>
  </si>
  <si>
    <t xml:space="preserve">Рябинина Екатерина Алексеевна</t>
  </si>
  <si>
    <t>18.12.1972</t>
  </si>
  <si>
    <t>ryabinina@mail</t>
  </si>
  <si>
    <t>01.03.2032</t>
  </si>
  <si>
    <t xml:space="preserve">Смолин Илья Викторович</t>
  </si>
  <si>
    <t>09.06.1985</t>
  </si>
  <si>
    <t>smolin@yandex</t>
  </si>
  <si>
    <t>2032-03-15</t>
  </si>
  <si>
    <t xml:space="preserve">Труфанова Мария Сергеевна</t>
  </si>
  <si>
    <t>22.01.1991</t>
  </si>
  <si>
    <t>trufanova@gmail</t>
  </si>
  <si>
    <t>15.03.2032</t>
  </si>
  <si>
    <t xml:space="preserve">Кулиш Андрей Олегович</t>
  </si>
  <si>
    <t>14.09.1977</t>
  </si>
  <si>
    <t>kulish@mail</t>
  </si>
  <si>
    <t>01.04.2032</t>
  </si>
  <si>
    <t xml:space="preserve">Евсеева Ольга Павловна</t>
  </si>
  <si>
    <t>26.04.1988</t>
  </si>
  <si>
    <t>evseeva@yandex</t>
  </si>
  <si>
    <t>2032-04-10</t>
  </si>
  <si>
    <t xml:space="preserve">Малков Денис Александрович</t>
  </si>
  <si>
    <t>30.11.1980</t>
  </si>
  <si>
    <t>malkov@gmail</t>
  </si>
  <si>
    <t>10.04.2032</t>
  </si>
  <si>
    <t xml:space="preserve">Курепина Наталья Владимировна</t>
  </si>
  <si>
    <t>kurepina@mail</t>
  </si>
  <si>
    <t>01.05.2032</t>
  </si>
  <si>
    <t xml:space="preserve">Меркушев Илья Юрьевич</t>
  </si>
  <si>
    <t>05.03.1986</t>
  </si>
  <si>
    <t>merkushev@yandex</t>
  </si>
  <si>
    <t>2032-05-15</t>
  </si>
  <si>
    <t xml:space="preserve">Панкратова Елена Игоревна</t>
  </si>
  <si>
    <t>23.08.1992</t>
  </si>
  <si>
    <t>pankratova@gmail</t>
  </si>
  <si>
    <t>15.05.2032</t>
  </si>
  <si>
    <t xml:space="preserve">Сазонов Олег Викторович</t>
  </si>
  <si>
    <t>16.12.1975</t>
  </si>
  <si>
    <t>sazonov@mail</t>
  </si>
  <si>
    <t>01.06.2032</t>
  </si>
  <si>
    <t xml:space="preserve">Князева Светлана Николаевна</t>
  </si>
  <si>
    <t>27.10.1983</t>
  </si>
  <si>
    <t>knyazeva@yandex</t>
  </si>
  <si>
    <t>2032-06-10</t>
  </si>
  <si>
    <t xml:space="preserve">Куприенко Денис Павлович</t>
  </si>
  <si>
    <t>14.06.1990</t>
  </si>
  <si>
    <t>kuprienko@gmail</t>
  </si>
  <si>
    <t>10.06.2032</t>
  </si>
  <si>
    <t xml:space="preserve">Марчук Ольга Алексеевна</t>
  </si>
  <si>
    <t>19.02.1978</t>
  </si>
  <si>
    <t>marchuk@mail</t>
  </si>
  <si>
    <t>01.07.2032</t>
  </si>
  <si>
    <t xml:space="preserve">Золотов Александр Сергеевич</t>
  </si>
  <si>
    <t>08.09.1985</t>
  </si>
  <si>
    <t>zolotov@yandex</t>
  </si>
  <si>
    <t>2032-07-15</t>
  </si>
  <si>
    <t xml:space="preserve">Никифорова Мария Владимировна</t>
  </si>
  <si>
    <t>21.11.1994</t>
  </si>
  <si>
    <t>nikiforova@gmail</t>
  </si>
  <si>
    <t>15.07.2032</t>
  </si>
  <si>
    <t xml:space="preserve">Колосков Илья Алексеевич</t>
  </si>
  <si>
    <t>03.04.1976</t>
  </si>
  <si>
    <t>koloskov@mail</t>
  </si>
  <si>
    <t>01.08.2032</t>
  </si>
  <si>
    <t xml:space="preserve">Устинова Екатерина Олеговна</t>
  </si>
  <si>
    <t>12.07.1982</t>
  </si>
  <si>
    <t>ustinova@yandex</t>
  </si>
  <si>
    <t>2032-08-10</t>
  </si>
  <si>
    <t xml:space="preserve">Сидорчук Андрей Павлович</t>
  </si>
  <si>
    <t>31.12.1988</t>
  </si>
  <si>
    <t>sidorchuk@gmail</t>
  </si>
  <si>
    <t>10.08.2032</t>
  </si>
  <si>
    <t xml:space="preserve">Горчакова Ольга Сергеевна</t>
  </si>
  <si>
    <t>17.05.1973</t>
  </si>
  <si>
    <t>gorchakova@mail</t>
  </si>
  <si>
    <t>01.09.2032</t>
  </si>
  <si>
    <t xml:space="preserve">Васюков Денис Викторович</t>
  </si>
  <si>
    <t>28.10.1979</t>
  </si>
  <si>
    <t>vasyukov@yandex</t>
  </si>
  <si>
    <t>2032-09-15</t>
  </si>
  <si>
    <t xml:space="preserve">Кузьминова Елена Игоревна</t>
  </si>
  <si>
    <t>25.03.1986</t>
  </si>
  <si>
    <t>kuzminova@gmail</t>
  </si>
  <si>
    <t>15.09.2032</t>
  </si>
  <si>
    <t xml:space="preserve">Стрелков Илья Александрович</t>
  </si>
  <si>
    <t>strelkov@mail</t>
  </si>
  <si>
    <t>01.10.2032</t>
  </si>
  <si>
    <t xml:space="preserve">Волкова Оксана Владимировна</t>
  </si>
  <si>
    <t>06.06.1977</t>
  </si>
  <si>
    <t>volkova@yandex</t>
  </si>
  <si>
    <t>2032-10-10</t>
  </si>
  <si>
    <t xml:space="preserve">Пронин Алексей Петрович</t>
  </si>
  <si>
    <t>18.12.1984</t>
  </si>
  <si>
    <t>pronin@gmail</t>
  </si>
  <si>
    <t>10.10.2032</t>
  </si>
  <si>
    <t xml:space="preserve">Иваницкая Мария Николаевна</t>
  </si>
  <si>
    <t>22.09.1992</t>
  </si>
  <si>
    <t>ivanitskaya@mail</t>
  </si>
  <si>
    <t>01.11.2032</t>
  </si>
  <si>
    <t xml:space="preserve">Серпиков Андрей Олегович</t>
  </si>
  <si>
    <t>16.07.1975</t>
  </si>
  <si>
    <t>serpikov@yandex</t>
  </si>
  <si>
    <t>2032-11-15</t>
  </si>
  <si>
    <t xml:space="preserve">Рыбакова Елена Сергеевна</t>
  </si>
  <si>
    <t>09.11.1980</t>
  </si>
  <si>
    <t>rybakova@gmail</t>
  </si>
  <si>
    <t>15.11.2032</t>
  </si>
  <si>
    <t xml:space="preserve">Соломатин Денис Алексеевич</t>
  </si>
  <si>
    <t>27.02.1986</t>
  </si>
  <si>
    <t>solomatin@mail</t>
  </si>
  <si>
    <t>01.12.2032</t>
  </si>
  <si>
    <t xml:space="preserve">Королева Ольга Игоревна</t>
  </si>
  <si>
    <t>14.05.1990</t>
  </si>
  <si>
    <t>2032-12-10</t>
  </si>
  <si>
    <t xml:space="preserve">Симонов Илья Владимирович</t>
  </si>
  <si>
    <t>23.08.1972</t>
  </si>
  <si>
    <t>simonov@gmail</t>
  </si>
  <si>
    <t>10.12.2032</t>
  </si>
  <si>
    <t xml:space="preserve">Гонтарь Татьяна Алексеевна</t>
  </si>
  <si>
    <t>15.03.1987</t>
  </si>
  <si>
    <t>gontar@mail</t>
  </si>
  <si>
    <t>01.01.2033</t>
  </si>
  <si>
    <t xml:space="preserve">Ивановский Денис Павлович</t>
  </si>
  <si>
    <t>03.12.1993</t>
  </si>
  <si>
    <t>ivanovsky@yandex</t>
  </si>
  <si>
    <t>2033-01-15</t>
  </si>
  <si>
    <t xml:space="preserve">Савинкова Екатерина Сергеевна</t>
  </si>
  <si>
    <t>26.10.1978</t>
  </si>
  <si>
    <t>savinkova@gmail</t>
  </si>
  <si>
    <t>15.01.2033</t>
  </si>
  <si>
    <t xml:space="preserve">Бирюков Андрей Викторович</t>
  </si>
  <si>
    <t>11.06.1984</t>
  </si>
  <si>
    <t>biryukov@mail</t>
  </si>
  <si>
    <t>01.02.2033</t>
  </si>
  <si>
    <t xml:space="preserve">Шевель Ольга Павловна</t>
  </si>
  <si>
    <t>19.07.1989</t>
  </si>
  <si>
    <t>shevel@yandex</t>
  </si>
  <si>
    <t>2033-02-10</t>
  </si>
  <si>
    <t xml:space="preserve">Коновалов Илья Олегович</t>
  </si>
  <si>
    <t>04.05.1975</t>
  </si>
  <si>
    <t>konovalov@gmail</t>
  </si>
  <si>
    <t>10.02.2033</t>
  </si>
  <si>
    <t xml:space="preserve">Щербаков Виталий Николаевич</t>
  </si>
  <si>
    <t>28.12.1982</t>
  </si>
  <si>
    <t>scherbakov@mail</t>
  </si>
  <si>
    <t>01.03.2033</t>
  </si>
  <si>
    <t xml:space="preserve">Макеева Анастасия Игоревна</t>
  </si>
  <si>
    <t>17.09.1991</t>
  </si>
  <si>
    <t>makeeva@yandex</t>
  </si>
  <si>
    <t>2033-03-15</t>
  </si>
  <si>
    <t xml:space="preserve">Дорофеев Денис Александрович</t>
  </si>
  <si>
    <t>06.03.1979</t>
  </si>
  <si>
    <t>dorofeev@gmail</t>
  </si>
  <si>
    <t>15.03.2033</t>
  </si>
  <si>
    <t xml:space="preserve">Слободчикова Елена Владимировна</t>
  </si>
  <si>
    <t>24.11.1986</t>
  </si>
  <si>
    <t>slobodchikova@mail</t>
  </si>
  <si>
    <t>01.04.2033</t>
  </si>
  <si>
    <t xml:space="preserve">Толкунов Олег Сергеевич</t>
  </si>
  <si>
    <t>tolkunov@yandex</t>
  </si>
  <si>
    <t>2033-04-10</t>
  </si>
  <si>
    <t xml:space="preserve">Ушакова Ирина Павловна</t>
  </si>
  <si>
    <t>16.01.1984</t>
  </si>
  <si>
    <t>ushakova@gmail</t>
  </si>
  <si>
    <t>10.04.2033</t>
  </si>
  <si>
    <t xml:space="preserve">Краюхин Андрей Викторович</t>
  </si>
  <si>
    <t>10.08.1977</t>
  </si>
  <si>
    <t>krayuhin@mail</t>
  </si>
  <si>
    <t>01.05.2033</t>
  </si>
  <si>
    <t xml:space="preserve">Агафонова Мария Олеговна</t>
  </si>
  <si>
    <t>29.12.1990</t>
  </si>
  <si>
    <t>agafonova@yandex</t>
  </si>
  <si>
    <t>2033-05-15</t>
  </si>
  <si>
    <t xml:space="preserve">Пронский Илья Николаевич</t>
  </si>
  <si>
    <t>23.04.1985</t>
  </si>
  <si>
    <t>pronsky@gmail</t>
  </si>
  <si>
    <t>15.05.2033</t>
  </si>
  <si>
    <t xml:space="preserve">Маркин Денис Сергеевич</t>
  </si>
  <si>
    <t>05.09.1974</t>
  </si>
  <si>
    <t>markin@mail</t>
  </si>
  <si>
    <t>01.06.2033</t>
  </si>
  <si>
    <t xml:space="preserve">Булатова Ольга Владимировна</t>
  </si>
  <si>
    <t>21.11.1981</t>
  </si>
  <si>
    <t>bulatova@yandex</t>
  </si>
  <si>
    <t>2033-06-10</t>
  </si>
  <si>
    <t xml:space="preserve">Кузнецов Дмитрий Александрович</t>
  </si>
  <si>
    <t>17.07.1988</t>
  </si>
  <si>
    <t>kuznetsov@gmail</t>
  </si>
  <si>
    <t>10.06.2033</t>
  </si>
  <si>
    <t xml:space="preserve">Сизова Елена Игоревна</t>
  </si>
  <si>
    <t>30.10.1976</t>
  </si>
  <si>
    <t>sizova@mail</t>
  </si>
  <si>
    <t>01.07.2033</t>
  </si>
  <si>
    <t xml:space="preserve">Карнаухов Андрей Павлович</t>
  </si>
  <si>
    <t>12.02.1983</t>
  </si>
  <si>
    <t>karnauhov@yandex</t>
  </si>
  <si>
    <t>2033-07-15</t>
  </si>
  <si>
    <t xml:space="preserve">Кашкарова Мария Сергеевна</t>
  </si>
  <si>
    <t>kashkarova@gmail</t>
  </si>
  <si>
    <t>15.07.2033</t>
  </si>
  <si>
    <t xml:space="preserve">Лопатин Илья Алексеевич</t>
  </si>
  <si>
    <t>lopatin@mail</t>
  </si>
  <si>
    <t>01.08.2033</t>
  </si>
  <si>
    <t xml:space="preserve">Хромова Татьяна Викторовна</t>
  </si>
  <si>
    <t>25.03.1984</t>
  </si>
  <si>
    <t>hromova@yandex</t>
  </si>
  <si>
    <t>2033-08-10</t>
  </si>
  <si>
    <t xml:space="preserve">Коптев Денис Олегович</t>
  </si>
  <si>
    <t>13.12.1993</t>
  </si>
  <si>
    <t>koptiev@gmail</t>
  </si>
  <si>
    <t>10.08.2033</t>
  </si>
  <si>
    <t xml:space="preserve">Теплова Екатерина Сергеевна</t>
  </si>
  <si>
    <t>01.08.1970</t>
  </si>
  <si>
    <t>teplova@mail</t>
  </si>
  <si>
    <t>01.09.2033</t>
  </si>
  <si>
    <t xml:space="preserve">Гриднева Ольга Павловна</t>
  </si>
  <si>
    <t>gridneva@yandex</t>
  </si>
  <si>
    <t>2033-09-15</t>
  </si>
  <si>
    <t xml:space="preserve">Мордасов Андрей Владимирович</t>
  </si>
  <si>
    <t>mordasov@gmail</t>
  </si>
  <si>
    <t>15.09.2033</t>
  </si>
  <si>
    <t xml:space="preserve">Пашкова Ирина Сергеевна</t>
  </si>
  <si>
    <t>10.10.1975</t>
  </si>
  <si>
    <t>pashkova@mail</t>
  </si>
  <si>
    <t>01.10.2033</t>
  </si>
  <si>
    <t xml:space="preserve">Скрипкин Илья Олегович</t>
  </si>
  <si>
    <t>03.05.1988</t>
  </si>
  <si>
    <t>skripkin@yandex</t>
  </si>
  <si>
    <t>2033-10-10</t>
  </si>
  <si>
    <t xml:space="preserve">Кузовкина Мария Алексеевна</t>
  </si>
  <si>
    <t>22.09.1994</t>
  </si>
  <si>
    <t>kuzovkina@gmail</t>
  </si>
  <si>
    <t>10.10.2033</t>
  </si>
  <si>
    <t xml:space="preserve">Хабаров Денис Николаевич</t>
  </si>
  <si>
    <t>14.02.1976</t>
  </si>
  <si>
    <t>habarov@mail</t>
  </si>
  <si>
    <t>01.11.2033</t>
  </si>
  <si>
    <t xml:space="preserve">Фирсова Екатерина Викторовна</t>
  </si>
  <si>
    <t>19.11.1982</t>
  </si>
  <si>
    <t>firsova@yandex</t>
  </si>
  <si>
    <t>2033-11-15</t>
  </si>
  <si>
    <t xml:space="preserve">Саблин Андрей Павлович</t>
  </si>
  <si>
    <t>08.06.1990</t>
  </si>
  <si>
    <t>sablin@gmail</t>
  </si>
  <si>
    <t>15.11.2033</t>
  </si>
  <si>
    <t xml:space="preserve">Сиднева Ольга Сергеевна</t>
  </si>
  <si>
    <t>31.03.1978</t>
  </si>
  <si>
    <t>sidneva@mail</t>
  </si>
  <si>
    <t>01.12.2033</t>
  </si>
  <si>
    <t xml:space="preserve">Кочергин Илья Александрович</t>
  </si>
  <si>
    <t>17.12.1985</t>
  </si>
  <si>
    <t>kochergin@yandex</t>
  </si>
  <si>
    <t>2033-12-10</t>
  </si>
  <si>
    <t xml:space="preserve">Забелина Мария Владимировна</t>
  </si>
  <si>
    <t>26.07.1972</t>
  </si>
  <si>
    <t>zabelina@gmail</t>
  </si>
  <si>
    <t>10.12.2033</t>
  </si>
  <si>
    <t xml:space="preserve">Шипилов Денис Олегович</t>
  </si>
  <si>
    <t>04.09.1988</t>
  </si>
  <si>
    <t>shipilov@mail</t>
  </si>
  <si>
    <t>01.01.2034</t>
  </si>
  <si>
    <t xml:space="preserve">Кононова Елена Алексеевна</t>
  </si>
  <si>
    <t>19.12.1991</t>
  </si>
  <si>
    <t>kononova@yandex</t>
  </si>
  <si>
    <t>2034-01-15</t>
  </si>
  <si>
    <t xml:space="preserve">Лебедева Ольга Павловна</t>
  </si>
  <si>
    <t>23.05.1975</t>
  </si>
  <si>
    <t>lebedevа@gmail</t>
  </si>
  <si>
    <t>15.01.2034</t>
  </si>
  <si>
    <t xml:space="preserve">Мартынов Илья Викторович</t>
  </si>
  <si>
    <t>10.10.1983</t>
  </si>
  <si>
    <t>martynov@mail</t>
  </si>
  <si>
    <t>01.02.2034</t>
  </si>
  <si>
    <t xml:space="preserve">Бражникова Екатерина Сергеевна</t>
  </si>
  <si>
    <t>02.08.1986</t>
  </si>
  <si>
    <t>brazhnikova@yandex</t>
  </si>
  <si>
    <t>2034-02-10</t>
  </si>
  <si>
    <t xml:space="preserve">Сухоруков Андрей Олегович</t>
  </si>
  <si>
    <t>14.11.1979</t>
  </si>
  <si>
    <t>suhorukov@gmail</t>
  </si>
  <si>
    <t>10.02.2034</t>
  </si>
  <si>
    <t xml:space="preserve">Гапонова Мария Игоревна</t>
  </si>
  <si>
    <t>27.01.1992</t>
  </si>
  <si>
    <t>gaponova@mail</t>
  </si>
  <si>
    <t>01.03.2034</t>
  </si>
  <si>
    <t xml:space="preserve">Жигалов Денис Павлович</t>
  </si>
  <si>
    <t>15.06.1981</t>
  </si>
  <si>
    <t>zhigalov@yandex</t>
  </si>
  <si>
    <t>2034-03-15</t>
  </si>
  <si>
    <t xml:space="preserve">Курочкин Илья Александрович</t>
  </si>
  <si>
    <t>09.09.1974</t>
  </si>
  <si>
    <t>kurochkin@gmail</t>
  </si>
  <si>
    <t>15.03.2034</t>
  </si>
  <si>
    <t xml:space="preserve">Панина Ольга Владимировна</t>
  </si>
  <si>
    <t>28.04.1987</t>
  </si>
  <si>
    <t>panina@mail</t>
  </si>
  <si>
    <t>01.04.2034</t>
  </si>
  <si>
    <t xml:space="preserve">Махалов Андрей Сергеевич</t>
  </si>
  <si>
    <t>12.12.1993</t>
  </si>
  <si>
    <t>mahalov@yandex</t>
  </si>
  <si>
    <t>2034-04-10</t>
  </si>
  <si>
    <t xml:space="preserve">Федорова Екатерина Петровна</t>
  </si>
  <si>
    <t>07.03.1976</t>
  </si>
  <si>
    <t>10.04.2034</t>
  </si>
  <si>
    <t xml:space="preserve">Зарубин Илья Викторович</t>
  </si>
  <si>
    <t>21.07.1988</t>
  </si>
  <si>
    <t>zarubin@mail</t>
  </si>
  <si>
    <t>01.05.2034</t>
  </si>
  <si>
    <t xml:space="preserve">Калинина Мария Сергеевна</t>
  </si>
  <si>
    <t>16.10.1980</t>
  </si>
  <si>
    <t>kalinina@yandex</t>
  </si>
  <si>
    <t>2034-05-15</t>
  </si>
  <si>
    <t xml:space="preserve">Свиридов Денис Олегович</t>
  </si>
  <si>
    <t>05.05.1973</t>
  </si>
  <si>
    <t>sviridov@gmail</t>
  </si>
  <si>
    <t>15.05.2034</t>
  </si>
  <si>
    <t xml:space="preserve">Игнатьев Андрей Павлович</t>
  </si>
  <si>
    <t>28.08.1984</t>
  </si>
  <si>
    <t>ignatiev@mail</t>
  </si>
  <si>
    <t>01.06.2034</t>
  </si>
  <si>
    <t xml:space="preserve">Шаталова Ольга Владимировна</t>
  </si>
  <si>
    <t>12.01.1991</t>
  </si>
  <si>
    <t>shatalova@yandex</t>
  </si>
  <si>
    <t>2034-06-10</t>
  </si>
  <si>
    <t xml:space="preserve">Шумаков Илья Алексеевич</t>
  </si>
  <si>
    <t>23.07.1978</t>
  </si>
  <si>
    <t>shumakov@gmail</t>
  </si>
  <si>
    <t>10.06.2034</t>
  </si>
  <si>
    <t xml:space="preserve">Дробышева Екатерина Сергеевна</t>
  </si>
  <si>
    <t>15.12.1986</t>
  </si>
  <si>
    <t>drobysheva@mail</t>
  </si>
  <si>
    <t>01.07.2034</t>
  </si>
  <si>
    <t xml:space="preserve">Петрухин Денис Викторович</t>
  </si>
  <si>
    <t>09.04.1992</t>
  </si>
  <si>
    <t>petruhin@yandex</t>
  </si>
  <si>
    <t>2034-07-15</t>
  </si>
  <si>
    <t xml:space="preserve">Буторина Мария Олеговна</t>
  </si>
  <si>
    <t>01.11.1979</t>
  </si>
  <si>
    <t>butorina@gmail</t>
  </si>
  <si>
    <t>15.07.2034</t>
  </si>
  <si>
    <t xml:space="preserve">Кисель Андрей Александрович</t>
  </si>
  <si>
    <t>19.09.1983</t>
  </si>
  <si>
    <t>kisel@mail</t>
  </si>
  <si>
    <t>01.08.2034</t>
  </si>
  <si>
    <t xml:space="preserve">Юсупова Ольга Павловна</t>
  </si>
  <si>
    <t>27.05.1987</t>
  </si>
  <si>
    <t>yusupova@yandex</t>
  </si>
  <si>
    <t>2034-08-10</t>
  </si>
  <si>
    <t xml:space="preserve">Рудаков Илья Игоревич</t>
  </si>
  <si>
    <t>16.02.1975</t>
  </si>
  <si>
    <t>rudakov@gmail</t>
  </si>
  <si>
    <t>10.08.2034</t>
  </si>
  <si>
    <t xml:space="preserve">Мосина Елена Владимировна</t>
  </si>
  <si>
    <t>06.08.1980</t>
  </si>
  <si>
    <t>mosina@mail</t>
  </si>
  <si>
    <t>01.09.2034</t>
  </si>
  <si>
    <t xml:space="preserve">Титов Андрей Сергеевич</t>
  </si>
  <si>
    <t>25.10.1990</t>
  </si>
  <si>
    <t>titov@yandex</t>
  </si>
  <si>
    <t>2034-09-15</t>
  </si>
  <si>
    <t xml:space="preserve">Вершинина Мария Николаевна</t>
  </si>
  <si>
    <t>13.07.1985</t>
  </si>
  <si>
    <t>vershinina@gmail</t>
  </si>
  <si>
    <t>15.09.2034</t>
  </si>
  <si>
    <t xml:space="preserve">Ануфриев Илья Олегович</t>
  </si>
  <si>
    <t>02.01.1974</t>
  </si>
  <si>
    <t>anufriev@mail</t>
  </si>
  <si>
    <t>01.10.2034</t>
  </si>
  <si>
    <t xml:space="preserve">Черникова Ольга Александровна</t>
  </si>
  <si>
    <t>chernikova@yandex</t>
  </si>
  <si>
    <t>2034-10-10</t>
  </si>
  <si>
    <t xml:space="preserve">Дударев Денис Павлович</t>
  </si>
  <si>
    <t>14.09.1988</t>
  </si>
  <si>
    <t>dudarev@gmail</t>
  </si>
  <si>
    <t>10.10.2034</t>
  </si>
  <si>
    <t xml:space="preserve">Лаптева Екатерина Игоревна</t>
  </si>
  <si>
    <t>18.06.1976</t>
  </si>
  <si>
    <t>lapteva@mail</t>
  </si>
  <si>
    <t>01.11.2034</t>
  </si>
  <si>
    <t xml:space="preserve">Печников Андрей Викторович</t>
  </si>
  <si>
    <t>05.12.1983</t>
  </si>
  <si>
    <t>pechnikov@yandex</t>
  </si>
  <si>
    <t>2034-11-15</t>
  </si>
  <si>
    <t xml:space="preserve">Бобылева Мария Сергеевна</t>
  </si>
  <si>
    <t>26.03.1991</t>
  </si>
  <si>
    <t>bobyleva@gmail</t>
  </si>
  <si>
    <t>15.11.2034</t>
  </si>
  <si>
    <t xml:space="preserve">Гордеев Денис Олегович</t>
  </si>
  <si>
    <t>09.10.1972</t>
  </si>
  <si>
    <t>gordeev@mail</t>
  </si>
  <si>
    <t>01.12.2034</t>
  </si>
  <si>
    <t xml:space="preserve">Слепцова Ольга Владимировна</t>
  </si>
  <si>
    <t>22.08.1986</t>
  </si>
  <si>
    <t>sleptsova@yandex</t>
  </si>
  <si>
    <t>2034-12-10</t>
  </si>
  <si>
    <t xml:space="preserve">Пономарев Илья Александрович</t>
  </si>
  <si>
    <t>18.01.1992</t>
  </si>
  <si>
    <t>ponomarev@gmail</t>
  </si>
  <si>
    <t>10.12.2034</t>
  </si>
  <si>
    <t xml:space="preserve">Овчаренко Елена Сергеевна</t>
  </si>
  <si>
    <t>07.07.1980</t>
  </si>
  <si>
    <t>ovcharenko@mail</t>
  </si>
  <si>
    <t>01.01.2035</t>
  </si>
  <si>
    <t xml:space="preserve">Клименков Андрей Павлович</t>
  </si>
  <si>
    <t>klimenkov@yandex</t>
  </si>
  <si>
    <t>2035-01-15</t>
  </si>
  <si>
    <t xml:space="preserve">Гурьева Мария Викторовна</t>
  </si>
  <si>
    <t>19.02.1979</t>
  </si>
  <si>
    <t>gurieva@gmail</t>
  </si>
  <si>
    <t>15.01.2035</t>
  </si>
  <si>
    <t xml:space="preserve">Селезнев Денис Алексеевич</t>
  </si>
  <si>
    <t>15.04.1983</t>
  </si>
  <si>
    <t>seleznev@mail</t>
  </si>
  <si>
    <t>01.02.2035</t>
  </si>
  <si>
    <t xml:space="preserve">Стрельцова Ольга Николаевна</t>
  </si>
  <si>
    <t>28.09.1987</t>
  </si>
  <si>
    <t>streltsova@yandex</t>
  </si>
  <si>
    <t>2035-02-10</t>
  </si>
  <si>
    <t xml:space="preserve">Бондаренко Илья Игоревич</t>
  </si>
  <si>
    <t>11.12.1971</t>
  </si>
  <si>
    <t>bondarenko@gmail</t>
  </si>
  <si>
    <t>10.02.2035</t>
  </si>
  <si>
    <t xml:space="preserve">Белоусова Екатерина Сергеевна</t>
  </si>
  <si>
    <t>24.07.1993</t>
  </si>
  <si>
    <t>belousova@mail</t>
  </si>
  <si>
    <t>01.03.2035</t>
  </si>
  <si>
    <t xml:space="preserve">Бурмистров Андрей Олегович</t>
  </si>
  <si>
    <t>16.10.1982</t>
  </si>
  <si>
    <t>burmistrov@yandex</t>
  </si>
  <si>
    <t>2035-03-15</t>
  </si>
  <si>
    <t xml:space="preserve">Муратова Мария Павловна</t>
  </si>
  <si>
    <t>05.03.1977</t>
  </si>
  <si>
    <t>muratova@gmail</t>
  </si>
  <si>
    <t>15.03.2035</t>
  </si>
  <si>
    <t xml:space="preserve">Лазаренко Денис Викторович</t>
  </si>
  <si>
    <t>26.12.1988</t>
  </si>
  <si>
    <t>lazarenko@mail</t>
  </si>
  <si>
    <t>01.04.2035</t>
  </si>
  <si>
    <t xml:space="preserve">Самарская Ольга Владимировна</t>
  </si>
  <si>
    <t>14.05.1974</t>
  </si>
  <si>
    <t>samarskaya@yandex</t>
  </si>
  <si>
    <t>2035-04-10</t>
  </si>
  <si>
    <t xml:space="preserve">Никонов Илья Александрович</t>
  </si>
  <si>
    <t>08.08.1980</t>
  </si>
  <si>
    <t>nikonov@gmail</t>
  </si>
  <si>
    <t>10.04.2035</t>
  </si>
  <si>
    <t xml:space="preserve">Ермоленко Екатерина Сергеевна</t>
  </si>
  <si>
    <t>21.09.1984</t>
  </si>
  <si>
    <t>ermolenko@mail</t>
  </si>
  <si>
    <t>01.05.2035</t>
  </si>
  <si>
    <t xml:space="preserve">Пахомов Андрей Павлович</t>
  </si>
  <si>
    <t>13.01.1991</t>
  </si>
  <si>
    <t>pahomov@yandex</t>
  </si>
  <si>
    <t>2035-05-15</t>
  </si>
  <si>
    <t xml:space="preserve">Рыжова Мария Олеговна</t>
  </si>
  <si>
    <t>04.06.1976</t>
  </si>
  <si>
    <t>ryzhova@gmail</t>
  </si>
  <si>
    <t>15.05.2035</t>
  </si>
  <si>
    <t xml:space="preserve">Ситников Денис Игоревич</t>
  </si>
  <si>
    <t>27.11.1983</t>
  </si>
  <si>
    <t>sitnikov@mail</t>
  </si>
  <si>
    <t>01.06.2035</t>
  </si>
  <si>
    <t xml:space="preserve">Калмыкова Ольга Павловна</t>
  </si>
  <si>
    <t>12.04.1988</t>
  </si>
  <si>
    <t>kalmykova@yandex</t>
  </si>
  <si>
    <t>2035-06-10</t>
  </si>
  <si>
    <t xml:space="preserve">Зуев Илья Викторович</t>
  </si>
  <si>
    <t>01.07.1972</t>
  </si>
  <si>
    <t>zuev@gmail</t>
  </si>
  <si>
    <t>10.06.2035</t>
  </si>
  <si>
    <t xml:space="preserve">Прокопьева Елена Сергеевна</t>
  </si>
  <si>
    <t>18.10.1978</t>
  </si>
  <si>
    <t>prokopyeva@mail</t>
  </si>
  <si>
    <t>01.07.2035</t>
  </si>
  <si>
    <t xml:space="preserve">Сухарев Андрей Олегович</t>
  </si>
  <si>
    <t>16.02.1985</t>
  </si>
  <si>
    <t>suharev@yandex</t>
  </si>
  <si>
    <t>2035-07-15</t>
  </si>
  <si>
    <t xml:space="preserve">Меньшова Мария Владимировна</t>
  </si>
  <si>
    <t>29.08.1992</t>
  </si>
  <si>
    <t>menshova@gmail</t>
  </si>
  <si>
    <t>15.07.2035</t>
  </si>
  <si>
    <t xml:space="preserve">Пискунов Денис Сергеевич</t>
  </si>
  <si>
    <t>22.12.1977</t>
  </si>
  <si>
    <t>piskunov@mail</t>
  </si>
  <si>
    <t>01.08.2035</t>
  </si>
  <si>
    <t xml:space="preserve">Соболева Ольга Алексеевна</t>
  </si>
  <si>
    <t>09.05.1980</t>
  </si>
  <si>
    <t>soboleva@yandex</t>
  </si>
  <si>
    <t>2035-08-10</t>
  </si>
  <si>
    <t xml:space="preserve">Черкесов Илья Николаевич</t>
  </si>
  <si>
    <t>03.07.1985</t>
  </si>
  <si>
    <t>cherkesov@gmail</t>
  </si>
  <si>
    <t>10.08.2035</t>
  </si>
  <si>
    <t xml:space="preserve">Ракитина Екатерина Павловна</t>
  </si>
  <si>
    <t>17.01.1990</t>
  </si>
  <si>
    <t>rakitina@mail</t>
  </si>
  <si>
    <t>01.09.2035</t>
  </si>
  <si>
    <t>28.10.1983</t>
  </si>
  <si>
    <t>2035-09-15</t>
  </si>
  <si>
    <t xml:space="preserve">Боровкова Мария Олеговна</t>
  </si>
  <si>
    <t>25.04.1976</t>
  </si>
  <si>
    <t>borovkova@gmail</t>
  </si>
  <si>
    <t>15.09.2035</t>
  </si>
  <si>
    <t xml:space="preserve">Терехов Денис Викторович</t>
  </si>
  <si>
    <t>06.12.1981</t>
  </si>
  <si>
    <t>terehov@mail</t>
  </si>
  <si>
    <t>01.10.2035</t>
  </si>
  <si>
    <t xml:space="preserve">Курагина Ольга Сергеевна</t>
  </si>
  <si>
    <t>19.06.1986</t>
  </si>
  <si>
    <t>kuragina@yandex</t>
  </si>
  <si>
    <t>2035-10-10</t>
  </si>
  <si>
    <t xml:space="preserve">Горохов Илья Олегович</t>
  </si>
  <si>
    <t>14.03.1978</t>
  </si>
  <si>
    <t>gorohov@gmail</t>
  </si>
  <si>
    <t>10.10.2035</t>
  </si>
  <si>
    <t xml:space="preserve">Маликова Екатерина Владимировна</t>
  </si>
  <si>
    <t>02.09.1992</t>
  </si>
  <si>
    <t>malikova@mail</t>
  </si>
  <si>
    <t>01.11.2035</t>
  </si>
  <si>
    <t xml:space="preserve">Санников Андрей Павлович</t>
  </si>
  <si>
    <t>24.12.1984</t>
  </si>
  <si>
    <t>sannikov@yandex</t>
  </si>
  <si>
    <t>2035-11-15</t>
  </si>
  <si>
    <t xml:space="preserve">Крутова Мария Сергеевна</t>
  </si>
  <si>
    <t>11.07.1975</t>
  </si>
  <si>
    <t>krutova@gmail</t>
  </si>
  <si>
    <t>15.11.2035</t>
  </si>
  <si>
    <t xml:space="preserve">Фадеев Денис Алексеевич</t>
  </si>
  <si>
    <t>fadeev@mail</t>
  </si>
  <si>
    <t>01.12.2035</t>
  </si>
  <si>
    <t xml:space="preserve">Русанова Ольга Павловна</t>
  </si>
  <si>
    <t>05.06.1987</t>
  </si>
  <si>
    <t>rusanova@yandex</t>
  </si>
  <si>
    <t>2035-12-10</t>
  </si>
  <si>
    <t xml:space="preserve">Букаев Илья Викторович</t>
  </si>
  <si>
    <t>19.12.1970</t>
  </si>
  <si>
    <t>bukaev@gmail</t>
  </si>
  <si>
    <t>10.12.2035</t>
  </si>
  <si>
    <t xml:space="preserve">Мухина Екатерина Игоревна</t>
  </si>
  <si>
    <t>01.01.2036</t>
  </si>
  <si>
    <t xml:space="preserve">Зиновьев Андрей Олегович</t>
  </si>
  <si>
    <t>22.04.1991</t>
  </si>
  <si>
    <t>zinoviev@yandex</t>
  </si>
  <si>
    <t>2036-01-15</t>
  </si>
  <si>
    <t xml:space="preserve">Рябова Мария Сергеевна</t>
  </si>
  <si>
    <t>15.01.1978</t>
  </si>
  <si>
    <t>15.01.2036</t>
  </si>
  <si>
    <t xml:space="preserve">Солнцев Денис Павлович</t>
  </si>
  <si>
    <t>17.08.1982</t>
  </si>
  <si>
    <t>solntsev@mail</t>
  </si>
  <si>
    <t>01.02.2036</t>
  </si>
  <si>
    <t xml:space="preserve">Ткачева Ольга Владимировна</t>
  </si>
  <si>
    <t>30.11.1986</t>
  </si>
  <si>
    <t>tkacheva@yandex</t>
  </si>
  <si>
    <t>2036-02-10</t>
  </si>
  <si>
    <t xml:space="preserve">Цветков Илья Александрович</t>
  </si>
  <si>
    <t>13.06.1974</t>
  </si>
  <si>
    <t>tsvetkov@gmail</t>
  </si>
  <si>
    <t>10.02.2036</t>
  </si>
  <si>
    <t xml:space="preserve">Балашова Елена Сергеевна</t>
  </si>
  <si>
    <t>03.03.1983</t>
  </si>
  <si>
    <t>balashova@mail</t>
  </si>
  <si>
    <t>01.03.2036</t>
  </si>
  <si>
    <t xml:space="preserve">Осипов Андрей Викторович</t>
  </si>
  <si>
    <t>25.10.1992</t>
  </si>
  <si>
    <t>osipov@yandex</t>
  </si>
  <si>
    <t>2036-03-15</t>
  </si>
  <si>
    <t xml:space="preserve">Краснова Мария Павловна</t>
  </si>
  <si>
    <t>14.07.1976</t>
  </si>
  <si>
    <t>krasnova@gmail</t>
  </si>
  <si>
    <t>15.03.2036</t>
  </si>
  <si>
    <t xml:space="preserve">Мальков Денис Олегович</t>
  </si>
  <si>
    <t>malkov@mail</t>
  </si>
  <si>
    <t>01.04.2036</t>
  </si>
  <si>
    <t xml:space="preserve">Дьячкова Ольга Сергеевна</t>
  </si>
  <si>
    <t>04.08.1988</t>
  </si>
  <si>
    <t>dyachkova@yandex</t>
  </si>
  <si>
    <t>2036-04-10</t>
  </si>
  <si>
    <t xml:space="preserve">Кулешов Илья Игоревич</t>
  </si>
  <si>
    <t>16.05.1972</t>
  </si>
  <si>
    <t>kuleshov@gmail</t>
  </si>
  <si>
    <t>10.04.2036</t>
  </si>
  <si>
    <t xml:space="preserve">Панкратова Екатерина Владимировна</t>
  </si>
  <si>
    <t>27.09.1985</t>
  </si>
  <si>
    <t>pankratova@mail</t>
  </si>
  <si>
    <t>01.05.2036</t>
  </si>
  <si>
    <t xml:space="preserve">Доронин Андрей Павлович</t>
  </si>
  <si>
    <t>21.02.1990</t>
  </si>
  <si>
    <t>doronin@yandex</t>
  </si>
  <si>
    <t>2036-05-15</t>
  </si>
  <si>
    <t xml:space="preserve">Щукина Мария Олеговна</t>
  </si>
  <si>
    <t>12.11.1979</t>
  </si>
  <si>
    <t>schukina@gmail</t>
  </si>
  <si>
    <t>15.05.2036</t>
  </si>
  <si>
    <t xml:space="preserve">Князев Денис Сергеевич</t>
  </si>
  <si>
    <t>06.06.1984</t>
  </si>
  <si>
    <t>knyazev@mail</t>
  </si>
  <si>
    <t>01.06.2036</t>
  </si>
  <si>
    <t xml:space="preserve">Зинченко Ольга Павловна</t>
  </si>
  <si>
    <t>19.10.1991</t>
  </si>
  <si>
    <t>zinchenko@yandex</t>
  </si>
  <si>
    <t>2036-06-10</t>
  </si>
  <si>
    <t xml:space="preserve">Столяров Илья Викторович</t>
  </si>
  <si>
    <t>01.04.1973</t>
  </si>
  <si>
    <t>stolyarov@gmail</t>
  </si>
  <si>
    <t>10.06.2036</t>
  </si>
  <si>
    <t xml:space="preserve">Галкина Екатерина Сергеевна</t>
  </si>
  <si>
    <t>14.07.1986</t>
  </si>
  <si>
    <t>01.07.2036</t>
  </si>
  <si>
    <t xml:space="preserve">Коробов Андрей Олегович</t>
  </si>
  <si>
    <t>22.12.1982</t>
  </si>
  <si>
    <t>korobov@yandex</t>
  </si>
  <si>
    <t>2036-07-15</t>
  </si>
  <si>
    <t xml:space="preserve">Шапкина Мария Владимировна</t>
  </si>
  <si>
    <t>18.09.1977</t>
  </si>
  <si>
    <t>shapkina@gmail</t>
  </si>
  <si>
    <t>15.07.2036</t>
  </si>
  <si>
    <t xml:space="preserve">Винокуров Денис Алексеевич</t>
  </si>
  <si>
    <t>30.05.1993</t>
  </si>
  <si>
    <t>vinokurov@mail</t>
  </si>
  <si>
    <t>01.08.2036</t>
  </si>
  <si>
    <t xml:space="preserve">Трифонова Ольга Павловна</t>
  </si>
  <si>
    <t>23.11.1980</t>
  </si>
  <si>
    <t>trifonova@yandex</t>
  </si>
  <si>
    <t>2036-08-10</t>
  </si>
  <si>
    <t xml:space="preserve">Червяков Илья Александрович</t>
  </si>
  <si>
    <t>07.08.1985</t>
  </si>
  <si>
    <t>chervyakov@gmail</t>
  </si>
  <si>
    <t>10.08.2036</t>
  </si>
  <si>
    <t xml:space="preserve">Потапова Екатерина Сергеевна</t>
  </si>
  <si>
    <t>20.04.1978</t>
  </si>
  <si>
    <t>potapova@mail</t>
  </si>
  <si>
    <t>01.09.2036</t>
  </si>
  <si>
    <t xml:space="preserve">Рогов Андрей Викторович</t>
  </si>
  <si>
    <t>15.12.1984</t>
  </si>
  <si>
    <t>rogov@yandex</t>
  </si>
  <si>
    <t>2036-09-15</t>
  </si>
  <si>
    <t xml:space="preserve">Беспалова Мария Олеговна</t>
  </si>
  <si>
    <t>11.09.1989</t>
  </si>
  <si>
    <t>bespalova@gmail</t>
  </si>
  <si>
    <t>15.09.2036</t>
  </si>
  <si>
    <t xml:space="preserve">Окунев Денис Павлович</t>
  </si>
  <si>
    <t>03.02.1975</t>
  </si>
  <si>
    <t>okunev@mail</t>
  </si>
  <si>
    <t>01.10.2036</t>
  </si>
  <si>
    <t xml:space="preserve">Панова Ольга Владимировна</t>
  </si>
  <si>
    <t>26.10.1983</t>
  </si>
  <si>
    <t>2036-10-10</t>
  </si>
  <si>
    <t xml:space="preserve">Житков Илья Сергеевич</t>
  </si>
  <si>
    <t>17.06.1991</t>
  </si>
  <si>
    <t>zhitkov@gmail</t>
  </si>
  <si>
    <t>10.10.2036</t>
  </si>
  <si>
    <t xml:space="preserve">Кузьмичева Екатерина Алексеевна</t>
  </si>
  <si>
    <t>08.03.1979</t>
  </si>
  <si>
    <t>kuzmicheva@mail</t>
  </si>
  <si>
    <t>01.11.2036</t>
  </si>
  <si>
    <t xml:space="preserve">Филимонов Андрей Олегович</t>
  </si>
  <si>
    <t>25.08.1986</t>
  </si>
  <si>
    <t>filimonov@yandex</t>
  </si>
  <si>
    <t>2036-11-15</t>
  </si>
  <si>
    <t xml:space="preserve">Шестакова Мария Павловна</t>
  </si>
  <si>
    <t>19.12.1971</t>
  </si>
  <si>
    <t>shestakova@gmail</t>
  </si>
  <si>
    <t>15.11.2036</t>
  </si>
  <si>
    <t xml:space="preserve">Барышников Денис Викторович</t>
  </si>
  <si>
    <t>12.05.1982</t>
  </si>
  <si>
    <t>baryshnikov@mail</t>
  </si>
  <si>
    <t>01.12.2036</t>
  </si>
  <si>
    <t xml:space="preserve">Лапшина Ольга Сергеевна</t>
  </si>
  <si>
    <t>28.07.1988</t>
  </si>
  <si>
    <t>lapshina@yandex</t>
  </si>
  <si>
    <t>2036-12-10</t>
  </si>
  <si>
    <t xml:space="preserve">Сергеев Илья Николаевич</t>
  </si>
  <si>
    <t>04.10.1976</t>
  </si>
  <si>
    <t>sergeev@gmail</t>
  </si>
  <si>
    <t>10.12.2036</t>
  </si>
  <si>
    <t xml:space="preserve">Аникина Екатерина Владимировна</t>
  </si>
  <si>
    <t>23.01.1984</t>
  </si>
  <si>
    <t>anikina@mail</t>
  </si>
  <si>
    <t>01.01.2037</t>
  </si>
  <si>
    <t xml:space="preserve">Гуляев Андрей Олегович</t>
  </si>
  <si>
    <t>15.06.1990</t>
  </si>
  <si>
    <t>gulyaev@yandex</t>
  </si>
  <si>
    <t>2037-01-15</t>
  </si>
  <si>
    <t xml:space="preserve">Малышева Мария Сергеевна</t>
  </si>
  <si>
    <t>09.11.1977</t>
  </si>
  <si>
    <t>malysheva@gmail</t>
  </si>
  <si>
    <t>15.01.2037</t>
  </si>
  <si>
    <t xml:space="preserve">Снегирев Денис Павлович</t>
  </si>
  <si>
    <t>02.04.1985</t>
  </si>
  <si>
    <t>snegirev@mail</t>
  </si>
  <si>
    <t>01.02.2037</t>
  </si>
  <si>
    <t xml:space="preserve">Блохина Ольга Игоревна</t>
  </si>
  <si>
    <t>18.09.1992</t>
  </si>
  <si>
    <t>blohina@yandex</t>
  </si>
  <si>
    <t>2037-02-10</t>
  </si>
  <si>
    <t xml:space="preserve">Таранов Илья Александрович</t>
  </si>
  <si>
    <t>22.12.1973</t>
  </si>
  <si>
    <t>taranov@gmail</t>
  </si>
  <si>
    <t>10.02.2037</t>
  </si>
  <si>
    <t xml:space="preserve">Бобылева Екатерина Сергеевна</t>
  </si>
  <si>
    <t>bobyleva@mail</t>
  </si>
  <si>
    <t>01.03.2037</t>
  </si>
  <si>
    <t xml:space="preserve">Мочалов Андрей Павлович</t>
  </si>
  <si>
    <t>27.05.1988</t>
  </si>
  <si>
    <t>mochalov@yandex</t>
  </si>
  <si>
    <t>2037-03-15</t>
  </si>
  <si>
    <t xml:space="preserve">Курина Мария Владимировна</t>
  </si>
  <si>
    <t>13.10.1974</t>
  </si>
  <si>
    <t>kurina@gmail</t>
  </si>
  <si>
    <t>15.03.2037</t>
  </si>
  <si>
    <t xml:space="preserve">Клементьев Денис Олегович</t>
  </si>
  <si>
    <t>24.02.1983</t>
  </si>
  <si>
    <t>klementev@mail</t>
  </si>
  <si>
    <t>01.04.2037</t>
  </si>
  <si>
    <t xml:space="preserve">Носова Ольга Павловна</t>
  </si>
  <si>
    <t>06.09.1989</t>
  </si>
  <si>
    <t>nosova@yandex</t>
  </si>
  <si>
    <t>2037-04-10</t>
  </si>
  <si>
    <t xml:space="preserve">Ромашин Илья Викторович</t>
  </si>
  <si>
    <t>romashin@gmail</t>
  </si>
  <si>
    <t>10.04.2037</t>
  </si>
  <si>
    <t xml:space="preserve">Авдеева Екатерина Сергеевна</t>
  </si>
  <si>
    <t>12.04.1981</t>
  </si>
  <si>
    <t>avdeeva@mail</t>
  </si>
  <si>
    <t>01.05.2037</t>
  </si>
  <si>
    <t xml:space="preserve">Ларин Андрей Олегович</t>
  </si>
  <si>
    <t>28.07.1990</t>
  </si>
  <si>
    <t>larin@yandex</t>
  </si>
  <si>
    <t>2037-05-15</t>
  </si>
  <si>
    <t xml:space="preserve">Журавлева Мария Павловна</t>
  </si>
  <si>
    <t>16.12.1978</t>
  </si>
  <si>
    <t>zhuravleva@gmail</t>
  </si>
  <si>
    <t>15.05.2037</t>
  </si>
  <si>
    <t xml:space="preserve">Волков Денис Александрович</t>
  </si>
  <si>
    <t>09.03.1985</t>
  </si>
  <si>
    <t>volkov@mail</t>
  </si>
  <si>
    <t>01.06.2037</t>
  </si>
  <si>
    <t xml:space="preserve">Плотникова Ольга Владимировна</t>
  </si>
  <si>
    <t>25.06.1993</t>
  </si>
  <si>
    <t>plotnikova@yandex</t>
  </si>
  <si>
    <t>2037-06-10</t>
  </si>
  <si>
    <t xml:space="preserve">Кораблёв Илья Павлович</t>
  </si>
  <si>
    <t>01.10.1972</t>
  </si>
  <si>
    <t>korablyov@gmail</t>
  </si>
  <si>
    <t>10.06.2037</t>
  </si>
  <si>
    <t xml:space="preserve">Голубкова Екатерина Сергеевна</t>
  </si>
  <si>
    <t>14.08.1986</t>
  </si>
  <si>
    <t>golubkova@mail</t>
  </si>
  <si>
    <t>01.07.2037</t>
  </si>
  <si>
    <t xml:space="preserve">Уваров Андрей Викторович</t>
  </si>
  <si>
    <t>22.11.1981</t>
  </si>
  <si>
    <t>uvarov@yandex</t>
  </si>
  <si>
    <t>2037-07-15</t>
  </si>
  <si>
    <t xml:space="preserve">Чуприна Мария Олеговна</t>
  </si>
  <si>
    <t>18.09.1974</t>
  </si>
  <si>
    <t>chupra@gmail</t>
  </si>
  <si>
    <t>15.07.2037</t>
  </si>
  <si>
    <t xml:space="preserve">Ступин Денис Павлович</t>
  </si>
  <si>
    <t>07.05.1988</t>
  </si>
  <si>
    <t>stupin@mail</t>
  </si>
  <si>
    <t>01.08.2037</t>
  </si>
  <si>
    <t xml:space="preserve">Тимошина Ольга Сергеевна</t>
  </si>
  <si>
    <t>23.12.1991</t>
  </si>
  <si>
    <t>timoshina@yandex</t>
  </si>
  <si>
    <t>2037-08-10</t>
  </si>
  <si>
    <t xml:space="preserve">Кулаков Илья Алексеевич</t>
  </si>
  <si>
    <t>10.03.1977</t>
  </si>
  <si>
    <t>kulakov@gmail</t>
  </si>
  <si>
    <t>10.08.2037</t>
  </si>
  <si>
    <t xml:space="preserve">Казарина Екатерина Владимировна</t>
  </si>
  <si>
    <t>06.07.1983</t>
  </si>
  <si>
    <t>kazarina@mail</t>
  </si>
  <si>
    <t>01.09.2037</t>
  </si>
  <si>
    <t xml:space="preserve">Осинцев Андрей Олегович</t>
  </si>
  <si>
    <t>27.04.1990</t>
  </si>
  <si>
    <t>osintsev@yandex</t>
  </si>
  <si>
    <t>2037-09-15</t>
  </si>
  <si>
    <t xml:space="preserve">Седакова Мария Павловна</t>
  </si>
  <si>
    <t>19.11.1975</t>
  </si>
  <si>
    <t>sedakova@gmail</t>
  </si>
  <si>
    <t>15.09.2037</t>
  </si>
  <si>
    <t xml:space="preserve">Кузьмин Денис Викторович</t>
  </si>
  <si>
    <t>20.09.1984</t>
  </si>
  <si>
    <t>kuzmin@mail</t>
  </si>
  <si>
    <t>01.10.2037</t>
  </si>
  <si>
    <t xml:space="preserve">Кравцова Ольга Игоревна</t>
  </si>
  <si>
    <t>01.06.1987</t>
  </si>
  <si>
    <t>kravtsova@yandex</t>
  </si>
  <si>
    <t>2037-10-10</t>
  </si>
  <si>
    <t xml:space="preserve">Быстров Илья Александрович</t>
  </si>
  <si>
    <t>14.01.1979</t>
  </si>
  <si>
    <t>bystrov@gmail</t>
  </si>
  <si>
    <t>10.10.2037</t>
  </si>
  <si>
    <t xml:space="preserve">Сафонова Екатерина Сергеевна</t>
  </si>
  <si>
    <t>safonova@mail</t>
  </si>
  <si>
    <t>01.11.2037</t>
  </si>
  <si>
    <t xml:space="preserve">Рыбин Андрей Олегович</t>
  </si>
  <si>
    <t>16.10.1971</t>
  </si>
  <si>
    <t>rybin@yandex</t>
  </si>
  <si>
    <t>2037-11-15</t>
  </si>
  <si>
    <t xml:space="preserve">Пирогова Мария Владимировна</t>
  </si>
  <si>
    <t>15.07.1985</t>
  </si>
  <si>
    <t>pirogova@gmail</t>
  </si>
  <si>
    <t>15.11.2037</t>
  </si>
  <si>
    <t xml:space="preserve">Агафонов Денис Павлович</t>
  </si>
  <si>
    <t>08.05.1988</t>
  </si>
  <si>
    <t>agafonov@mail</t>
  </si>
  <si>
    <t>01.12.2037</t>
  </si>
  <si>
    <t xml:space="preserve">Соболева Ольга Сергеевна</t>
  </si>
  <si>
    <t>27.12.1980</t>
  </si>
  <si>
    <t>2037-12-10</t>
  </si>
  <si>
    <t xml:space="preserve">Кротов Илья Викторович</t>
  </si>
  <si>
    <t>22.02.1976</t>
  </si>
  <si>
    <t>krotov@gmail</t>
  </si>
  <si>
    <t>10.12.2037</t>
  </si>
  <si>
    <t xml:space="preserve">Судакова Екатерина Алексеевна</t>
  </si>
  <si>
    <t>12.11.1984</t>
  </si>
  <si>
    <t>sudakova@mail</t>
  </si>
  <si>
    <t>01.01.2038</t>
  </si>
  <si>
    <t xml:space="preserve">Белкин Андрей Олегович</t>
  </si>
  <si>
    <t>29.06.1990</t>
  </si>
  <si>
    <t>belkin@yandex</t>
  </si>
  <si>
    <t>2038-01-15</t>
  </si>
  <si>
    <t xml:space="preserve">Митрофанова Мария Павловна</t>
  </si>
  <si>
    <t>18.01.1973</t>
  </si>
  <si>
    <t>mitrofanova@gmail</t>
  </si>
  <si>
    <t>15.01.2038</t>
  </si>
  <si>
    <t xml:space="preserve">Лысов Денис Сергеевич</t>
  </si>
  <si>
    <t>07.09.1981</t>
  </si>
  <si>
    <t>lysov@mail</t>
  </si>
  <si>
    <t>01.02.2038</t>
  </si>
  <si>
    <t xml:space="preserve">Горбачева Ольга Владимировна</t>
  </si>
  <si>
    <t>24.07.1986</t>
  </si>
  <si>
    <t>gorbacheva@yandex</t>
  </si>
  <si>
    <t>2038-02-10</t>
  </si>
  <si>
    <t xml:space="preserve">Сыроваткин Илья Алексеевич</t>
  </si>
  <si>
    <t>01.12.1977</t>
  </si>
  <si>
    <t>syrovatkin@gmail</t>
  </si>
  <si>
    <t>10.02.2038</t>
  </si>
  <si>
    <t xml:space="preserve">Блинова Екатерина Сергеевна</t>
  </si>
  <si>
    <t>14.04.1983</t>
  </si>
  <si>
    <t>blinova@mail</t>
  </si>
  <si>
    <t>01.03.2038</t>
  </si>
  <si>
    <t xml:space="preserve">Кочнев Андрей Павлович</t>
  </si>
  <si>
    <t>21.10.1989</t>
  </si>
  <si>
    <t>kochnev@yandex</t>
  </si>
  <si>
    <t>2038-03-15</t>
  </si>
  <si>
    <t xml:space="preserve">Шаповалова Мария Олеговна</t>
  </si>
  <si>
    <t>11.03.1975</t>
  </si>
  <si>
    <t>15.03.2038</t>
  </si>
  <si>
    <t xml:space="preserve">Попов Денис Викторович</t>
  </si>
  <si>
    <t>05.08.1984</t>
  </si>
  <si>
    <t>popov@mail</t>
  </si>
  <si>
    <t>01.04.2038</t>
  </si>
  <si>
    <t xml:space="preserve">Тарасова Ольга Павловна</t>
  </si>
  <si>
    <t>26.11.1991</t>
  </si>
  <si>
    <t>tarasova@yandex</t>
  </si>
  <si>
    <t>2038-04-10</t>
  </si>
  <si>
    <t xml:space="preserve">Грибов Илья Александрович</t>
  </si>
  <si>
    <t>30.06.1972</t>
  </si>
  <si>
    <t>gribov@gmail</t>
  </si>
  <si>
    <t>10.04.2038</t>
  </si>
  <si>
    <t xml:space="preserve">Костюкова Екатерина Сергеевна</t>
  </si>
  <si>
    <t>16.09.1980</t>
  </si>
  <si>
    <t>kostyukova@mail</t>
  </si>
  <si>
    <t>01.05.2038</t>
  </si>
  <si>
    <t xml:space="preserve">Чеботарев Андрей Олегович</t>
  </si>
  <si>
    <t>22.03.1987</t>
  </si>
  <si>
    <t>chebotarev@yandex</t>
  </si>
  <si>
    <t>2038-05-15</t>
  </si>
  <si>
    <t xml:space="preserve">Зорина Мария Владимировна</t>
  </si>
  <si>
    <t>08.07.1976</t>
  </si>
  <si>
    <t>zorina@gmail</t>
  </si>
  <si>
    <t>15.05.2038</t>
  </si>
  <si>
    <t xml:space="preserve">Лопатин Денис Павлович</t>
  </si>
  <si>
    <t>01.06.2038</t>
  </si>
  <si>
    <t xml:space="preserve">Овсянникова Ольга Сергеевна</t>
  </si>
  <si>
    <t>01.05.1988</t>
  </si>
  <si>
    <t>ovsyannikova@yandex</t>
  </si>
  <si>
    <t>2038-06-10</t>
  </si>
  <si>
    <t xml:space="preserve">Руднев Илья Викторович</t>
  </si>
  <si>
    <t>17.10.1974</t>
  </si>
  <si>
    <t>rudnev@gmail</t>
  </si>
  <si>
    <t>10.06.2038</t>
  </si>
  <si>
    <t xml:space="preserve">Кулагина Екатерина Алексеевна</t>
  </si>
  <si>
    <t>25.02.1982</t>
  </si>
  <si>
    <t>kulagina@mail</t>
  </si>
  <si>
    <t>01.07.2038</t>
  </si>
  <si>
    <t xml:space="preserve">Прохоров Андрей Олегович</t>
  </si>
  <si>
    <t>prohorov@yandex</t>
  </si>
  <si>
    <t>2038-07-15</t>
  </si>
  <si>
    <t xml:space="preserve">Ермилова Мария Павловна</t>
  </si>
  <si>
    <t>15.12.1977</t>
  </si>
  <si>
    <t>15.07.2038</t>
  </si>
  <si>
    <t xml:space="preserve">Крайнов Денис Сергеевич</t>
  </si>
  <si>
    <t>29.04.1985</t>
  </si>
  <si>
    <t>kraynov@mail</t>
  </si>
  <si>
    <t>01.08.2038</t>
  </si>
  <si>
    <t xml:space="preserve">Московцева Ольга Владимировна</t>
  </si>
  <si>
    <t>03.09.1992</t>
  </si>
  <si>
    <t>moskovtseva@yandex</t>
  </si>
  <si>
    <t>2038-08-10</t>
  </si>
  <si>
    <t xml:space="preserve">Шапкин Илья Александрович</t>
  </si>
  <si>
    <t>16.11.1971</t>
  </si>
  <si>
    <t>shapkin@gmail</t>
  </si>
  <si>
    <t>10.08.2038</t>
  </si>
  <si>
    <t xml:space="preserve">Антонова Екатерина Сергеевна</t>
  </si>
  <si>
    <t>20.07.1980</t>
  </si>
  <si>
    <t>antonova@mail</t>
  </si>
  <si>
    <t>01.09.2038</t>
  </si>
  <si>
    <t xml:space="preserve">Рыжков Андрей Павлович</t>
  </si>
  <si>
    <t>08.03.1986</t>
  </si>
  <si>
    <t>ryzhkov@yandex</t>
  </si>
  <si>
    <t>2038-09-15</t>
  </si>
  <si>
    <t xml:space="preserve">Зеленина Мария Олеговна</t>
  </si>
  <si>
    <t>27.10.1975</t>
  </si>
  <si>
    <t>zelenina@gmail</t>
  </si>
  <si>
    <t>15.09.2038</t>
  </si>
  <si>
    <t xml:space="preserve">Суриков Денис Викторович</t>
  </si>
  <si>
    <t>13.05.1983</t>
  </si>
  <si>
    <t>sirikov@mail</t>
  </si>
  <si>
    <t>01.10.2038</t>
  </si>
  <si>
    <t xml:space="preserve">Петрова Ольга Павловна</t>
  </si>
  <si>
    <t>18.12.1988</t>
  </si>
  <si>
    <t>petrova@yandex</t>
  </si>
  <si>
    <t>2038-10-10</t>
  </si>
  <si>
    <t xml:space="preserve">Беляков Илья Алексеевич</t>
  </si>
  <si>
    <t>02.07.1977</t>
  </si>
  <si>
    <t>belyakov@gmail</t>
  </si>
  <si>
    <t>10.10.2038</t>
  </si>
  <si>
    <t xml:space="preserve">Фомина Екатерина Сергеевна</t>
  </si>
  <si>
    <t>22.02.1984</t>
  </si>
  <si>
    <t>fomina@mail</t>
  </si>
  <si>
    <t>01.11.2038</t>
  </si>
  <si>
    <t xml:space="preserve">Галкин Андрей Олегович</t>
  </si>
  <si>
    <t>14.09.1991</t>
  </si>
  <si>
    <t>galkin@yandex</t>
  </si>
  <si>
    <t>2038-11-15</t>
  </si>
  <si>
    <t xml:space="preserve">Чумакова Мария Владимировна</t>
  </si>
  <si>
    <t>09.04.1973</t>
  </si>
  <si>
    <t>chumakova@gmail</t>
  </si>
  <si>
    <t>15.11.2038</t>
  </si>
  <si>
    <t xml:space="preserve">Евсеев Денис Павлович</t>
  </si>
  <si>
    <t>26.11.1981</t>
  </si>
  <si>
    <t>evseev@mail</t>
  </si>
  <si>
    <t>01.12.2038</t>
  </si>
  <si>
    <t xml:space="preserve">Климова Ольга Сергеевна</t>
  </si>
  <si>
    <t>04.08.1987</t>
  </si>
  <si>
    <t>klimova@yandex</t>
  </si>
  <si>
    <t>2038-12-10</t>
  </si>
  <si>
    <t xml:space="preserve">Сазонов Илья Викторович</t>
  </si>
  <si>
    <t>18.10.1976</t>
  </si>
  <si>
    <t>sazonov@gmail</t>
  </si>
  <si>
    <t>10.12.2038</t>
  </si>
  <si>
    <t xml:space="preserve">Кузина Екатерина Алексеевна</t>
  </si>
  <si>
    <t>15.12.1980</t>
  </si>
  <si>
    <t>kuzina@mail</t>
  </si>
  <si>
    <t>01.01.2039</t>
  </si>
  <si>
    <t xml:space="preserve">Самойлов Андрей Олегович</t>
  </si>
  <si>
    <t>23.06.1985</t>
  </si>
  <si>
    <t>samoylov@yandex</t>
  </si>
  <si>
    <t>2039-01-15</t>
  </si>
  <si>
    <t xml:space="preserve">Трофимова Мария Павловна</t>
  </si>
  <si>
    <t>16.01.1979</t>
  </si>
  <si>
    <t>trofimova@gmail</t>
  </si>
  <si>
    <t>15.01.2039</t>
  </si>
  <si>
    <t xml:space="preserve">Власов Денис Сергеевич</t>
  </si>
  <si>
    <t>28.03.1984</t>
  </si>
  <si>
    <t>01.02.2039</t>
  </si>
  <si>
    <t xml:space="preserve">Андреева Ольга Владимировна</t>
  </si>
  <si>
    <t>07.07.1990</t>
  </si>
  <si>
    <t>andreeva@yandex</t>
  </si>
  <si>
    <t>2039-02-10</t>
  </si>
  <si>
    <t xml:space="preserve">Плотников Илья Александрович</t>
  </si>
  <si>
    <t>19.10.1973</t>
  </si>
  <si>
    <t>plotnikov@gmail</t>
  </si>
  <si>
    <t>10.02.2039</t>
  </si>
  <si>
    <t xml:space="preserve">Максимова Екатерина Сергеевна</t>
  </si>
  <si>
    <t>20.09.1982</t>
  </si>
  <si>
    <t>maksimova@mail</t>
  </si>
  <si>
    <t>01.03.2039</t>
  </si>
  <si>
    <t xml:space="preserve">Владимиров Андрей Павлович</t>
  </si>
  <si>
    <t>01.05.1987</t>
  </si>
  <si>
    <t>vladimirov@yandex</t>
  </si>
  <si>
    <t>2039-03-15</t>
  </si>
  <si>
    <t xml:space="preserve">Грибова Мария Олеговна</t>
  </si>
  <si>
    <t>22.12.1976</t>
  </si>
  <si>
    <t>gribova@gmail</t>
  </si>
  <si>
    <t>15.03.2039</t>
  </si>
  <si>
    <t xml:space="preserve">Курочкин Денис Викторович</t>
  </si>
  <si>
    <t>15.08.1983</t>
  </si>
  <si>
    <t>kurochkin@mail</t>
  </si>
  <si>
    <t>01.04.2039</t>
  </si>
  <si>
    <t xml:space="preserve">Соловьева Ольга Павловна</t>
  </si>
  <si>
    <t>solovieva@yandex</t>
  </si>
  <si>
    <t>2039-04-10</t>
  </si>
  <si>
    <t xml:space="preserve">Звягинцев Илья Алексеевич</t>
  </si>
  <si>
    <t>13.11.1974</t>
  </si>
  <si>
    <t>zvyagintsev@gmail</t>
  </si>
  <si>
    <t>10.04.2039</t>
  </si>
  <si>
    <t xml:space="preserve">Муромцева Екатерина Сергеевна</t>
  </si>
  <si>
    <t>09.06.1981</t>
  </si>
  <si>
    <t>muromtseva@mail</t>
  </si>
  <si>
    <t>01.05.2039</t>
  </si>
  <si>
    <t xml:space="preserve">Бакулин Андрей Олегович</t>
  </si>
  <si>
    <t>17.09.1992</t>
  </si>
  <si>
    <t>bakulin@yandex</t>
  </si>
  <si>
    <t>2039-05-15</t>
  </si>
  <si>
    <t xml:space="preserve">Корнеева Мария Владимировна</t>
  </si>
  <si>
    <t>30.01.1975</t>
  </si>
  <si>
    <t>korneeva@gmail</t>
  </si>
  <si>
    <t>15.05.2039</t>
  </si>
  <si>
    <t xml:space="preserve">Сидоров Денис Павлович</t>
  </si>
  <si>
    <t>08.07.1984</t>
  </si>
  <si>
    <t>sidorov@mail</t>
  </si>
  <si>
    <t>01.06.2039</t>
  </si>
  <si>
    <t xml:space="preserve">Бирюкова Ольга Сергеевна</t>
  </si>
  <si>
    <t>18.03.1990</t>
  </si>
  <si>
    <t>biryukova@yandex</t>
  </si>
  <si>
    <t>2039-06-10</t>
  </si>
  <si>
    <t xml:space="preserve">Елисеев Илья Викторович</t>
  </si>
  <si>
    <t>24.12.1977</t>
  </si>
  <si>
    <t>eliseev@gmail</t>
  </si>
  <si>
    <t>10.06.2039</t>
  </si>
  <si>
    <t xml:space="preserve">Демидова Екатерина Алексеевна</t>
  </si>
  <si>
    <t>21.10.1986</t>
  </si>
  <si>
    <t>demidova@mail</t>
  </si>
  <si>
    <t>01.07.2039</t>
  </si>
  <si>
    <t xml:space="preserve">Медведев Андрей Олегович</t>
  </si>
  <si>
    <t>07.08.1982</t>
  </si>
  <si>
    <t>2039-07-15</t>
  </si>
  <si>
    <t xml:space="preserve">Покровская Мария Павловна</t>
  </si>
  <si>
    <t>15.05.1973</t>
  </si>
  <si>
    <t>pokrovskaya@gmail</t>
  </si>
  <si>
    <t>15.07.2039</t>
  </si>
  <si>
    <t xml:space="preserve">Коршунов Денис Сергеевич</t>
  </si>
  <si>
    <t>03.11.1988</t>
  </si>
  <si>
    <t>korshunov@mail</t>
  </si>
  <si>
    <t>01.08.2039</t>
  </si>
  <si>
    <t xml:space="preserve">Алексеева Ольга Владимировна</t>
  </si>
  <si>
    <t>22.09.1985</t>
  </si>
  <si>
    <t>alekseeva@yandex</t>
  </si>
  <si>
    <t>2039-08-10</t>
  </si>
  <si>
    <t xml:space="preserve">Баринов Илья Александрович</t>
  </si>
  <si>
    <t>14.02.1978</t>
  </si>
  <si>
    <t>barinov@gmail</t>
  </si>
  <si>
    <t>10.08.2039</t>
  </si>
  <si>
    <t xml:space="preserve">Савельева Екатерина Сергеевна</t>
  </si>
  <si>
    <t>09.07.1991</t>
  </si>
  <si>
    <t>saveleva@mail</t>
  </si>
  <si>
    <t>01.09.2039</t>
  </si>
  <si>
    <t xml:space="preserve">Богданов Андрей Павлович</t>
  </si>
  <si>
    <t>29.01.1980</t>
  </si>
  <si>
    <t>2039-09-15</t>
  </si>
  <si>
    <t xml:space="preserve">Петрова Мария Олеговна</t>
  </si>
  <si>
    <t>18.12.1974</t>
  </si>
  <si>
    <t>15.09.2039</t>
  </si>
  <si>
    <t xml:space="preserve">Лукоянов Денис Викторович</t>
  </si>
  <si>
    <t>03.06.1983</t>
  </si>
  <si>
    <t>lukoyanov@mail</t>
  </si>
  <si>
    <t>01.10.2039</t>
  </si>
  <si>
    <t xml:space="preserve">Толмачева Ольга Павловна</t>
  </si>
  <si>
    <t>25.10.1989</t>
  </si>
  <si>
    <t>tolmacheva@yandex</t>
  </si>
  <si>
    <t>2039-10-10</t>
  </si>
  <si>
    <t xml:space="preserve">Зайцев Илья Алексеевич</t>
  </si>
  <si>
    <t>16.08.1976</t>
  </si>
  <si>
    <t>zaytsev@gmail</t>
  </si>
  <si>
    <t>10.10.2039</t>
  </si>
  <si>
    <t xml:space="preserve">Сидорова Екатерина Сергеевна</t>
  </si>
  <si>
    <t>12.05.1986</t>
  </si>
  <si>
    <t>sidorova@mail</t>
  </si>
  <si>
    <t>01.11.2039</t>
  </si>
  <si>
    <t xml:space="preserve">Соловьев Андрей Олегович</t>
  </si>
  <si>
    <t>20.02.1981</t>
  </si>
  <si>
    <t>soloviev@yandex</t>
  </si>
  <si>
    <t>2039-11-15</t>
  </si>
  <si>
    <t xml:space="preserve">Голубева Мария Владимировна</t>
  </si>
  <si>
    <t>31.07.1972</t>
  </si>
  <si>
    <t>golubeva@gmail</t>
  </si>
  <si>
    <t>15.11.2039</t>
  </si>
  <si>
    <t xml:space="preserve">Харитонов Денис Павлович</t>
  </si>
  <si>
    <t>13.10.1988</t>
  </si>
  <si>
    <t>01.12.2039</t>
  </si>
  <si>
    <t xml:space="preserve">Чернова Ольга Сергеевна</t>
  </si>
  <si>
    <t>28.12.1993</t>
  </si>
  <si>
    <t>2039-12-10</t>
  </si>
  <si>
    <t xml:space="preserve">Щербаков Илья Александрович</t>
  </si>
  <si>
    <t>16.04.1979</t>
  </si>
  <si>
    <t>scherbakov@gmail</t>
  </si>
  <si>
    <t>10.12.2039</t>
  </si>
  <si>
    <t xml:space="preserve">Колесникова Екатерина Алексеевна</t>
  </si>
  <si>
    <t>09.09.1984</t>
  </si>
  <si>
    <t>01.01.2040</t>
  </si>
  <si>
    <t xml:space="preserve">Тихонов Андрей Олегович</t>
  </si>
  <si>
    <t>21.11.1987</t>
  </si>
  <si>
    <t>2040-01-15</t>
  </si>
  <si>
    <t xml:space="preserve">Дубровина Мария Павловна</t>
  </si>
  <si>
    <t>02.07.1975</t>
  </si>
  <si>
    <t>dubrovina@gmail</t>
  </si>
  <si>
    <t>15.01.2040</t>
  </si>
  <si>
    <t xml:space="preserve">Ткаченко Денис Викторович</t>
  </si>
  <si>
    <t>11.03.1982</t>
  </si>
  <si>
    <t>01.02.2040</t>
  </si>
  <si>
    <t xml:space="preserve">Калинина Ольга Сергеевна</t>
  </si>
  <si>
    <t>2040-02-10</t>
  </si>
  <si>
    <t xml:space="preserve">Макаров Илья Алексеевич</t>
  </si>
  <si>
    <t>05.09.1973</t>
  </si>
  <si>
    <t>makarov@gmail</t>
  </si>
  <si>
    <t>10.02.2040</t>
  </si>
  <si>
    <t xml:space="preserve">Володина Екатерина Владимировна</t>
  </si>
  <si>
    <t>29.05.1986</t>
  </si>
  <si>
    <t>volodina@mail</t>
  </si>
  <si>
    <t>01.03.2040</t>
  </si>
  <si>
    <t xml:space="preserve">Понкратов Андрей Павлович</t>
  </si>
  <si>
    <t>17.01.1981</t>
  </si>
  <si>
    <t>ponkratov@yandex</t>
  </si>
  <si>
    <t>2040-03-15</t>
  </si>
  <si>
    <t xml:space="preserve">Маркина Мария Олеговна</t>
  </si>
  <si>
    <t>15.12.1978</t>
  </si>
  <si>
    <t>markina@gmail</t>
  </si>
  <si>
    <t>15.03.2040</t>
  </si>
  <si>
    <t xml:space="preserve">Гончаров Денис Сергеевич</t>
  </si>
  <si>
    <t>09.10.1985</t>
  </si>
  <si>
    <t>goncharov@mail</t>
  </si>
  <si>
    <t>01.04.2040</t>
  </si>
  <si>
    <t xml:space="preserve">Логинова Ольга Павловна</t>
  </si>
  <si>
    <t>03.06.1992</t>
  </si>
  <si>
    <t>loginova@yandex</t>
  </si>
  <si>
    <t>2040-04-10</t>
  </si>
  <si>
    <t xml:space="preserve">Ульянов Илья Викторович</t>
  </si>
  <si>
    <t>18.03.1974</t>
  </si>
  <si>
    <t>ulyanov@gmail</t>
  </si>
  <si>
    <t>10.04.2040</t>
  </si>
  <si>
    <t xml:space="preserve">Пушкарева Екатерина Сергеевна</t>
  </si>
  <si>
    <t>23.11.1982</t>
  </si>
  <si>
    <t>pushkareva@mail</t>
  </si>
  <si>
    <t>01.05.2040</t>
  </si>
  <si>
    <t xml:space="preserve">Никитин Андрей Олегович</t>
  </si>
  <si>
    <t>06.07.1989</t>
  </si>
  <si>
    <t>nikitin@yandex</t>
  </si>
  <si>
    <t>2040-05-15</t>
  </si>
  <si>
    <t xml:space="preserve">Старцева Мария Владимировна</t>
  </si>
  <si>
    <t>14.01.1976</t>
  </si>
  <si>
    <t>startseva@gmail</t>
  </si>
  <si>
    <t>15.05.2040</t>
  </si>
  <si>
    <t xml:space="preserve">Моргунов Денис Павлович</t>
  </si>
  <si>
    <t>27.09.1983</t>
  </si>
  <si>
    <t>morgunov@mail</t>
  </si>
  <si>
    <t>01.06.2040</t>
  </si>
  <si>
    <t xml:space="preserve">Астахова Ольга Сергеевна</t>
  </si>
  <si>
    <t>09.04.1988</t>
  </si>
  <si>
    <t>astahova@yandex</t>
  </si>
  <si>
    <t>2040-06-10</t>
  </si>
  <si>
    <t xml:space="preserve">Кириченко Илья Александрович</t>
  </si>
  <si>
    <t>19.08.1975</t>
  </si>
  <si>
    <t>kirichenko@gmail</t>
  </si>
  <si>
    <t>10.06.2040</t>
  </si>
  <si>
    <t xml:space="preserve">Борисова Екатерина Алексеевна</t>
  </si>
  <si>
    <t>03.11.1984</t>
  </si>
  <si>
    <t>borisova@mail</t>
  </si>
  <si>
    <t>01.07.2040</t>
  </si>
  <si>
    <t xml:space="preserve">Гусев Андрей Олегович</t>
  </si>
  <si>
    <t>16.02.1991</t>
  </si>
  <si>
    <t>gusev@yandex</t>
  </si>
  <si>
    <t>2040-07-15</t>
  </si>
  <si>
    <t xml:space="preserve">Серова Мария Павловна</t>
  </si>
  <si>
    <t>24.05.1977</t>
  </si>
  <si>
    <t>15.07.2040</t>
  </si>
  <si>
    <t xml:space="preserve">Чернов Денис Викторович</t>
  </si>
  <si>
    <t>10.08.1986</t>
  </si>
  <si>
    <t>chernov@mail</t>
  </si>
  <si>
    <t>01.08.2040</t>
  </si>
  <si>
    <t xml:space="preserve">Козлова Ольга Владимировна</t>
  </si>
  <si>
    <t>29.03.1980</t>
  </si>
  <si>
    <t>kozlova@yandex</t>
  </si>
  <si>
    <t>2040-08-10</t>
  </si>
  <si>
    <t xml:space="preserve">Орлов Илья Алексеевич</t>
  </si>
  <si>
    <t>16.12.1972</t>
  </si>
  <si>
    <t>orlov@gmail</t>
  </si>
  <si>
    <t>10.08.2040</t>
  </si>
  <si>
    <t xml:space="preserve">Панфилова Екатерина Сергеевна</t>
  </si>
  <si>
    <t>12.07.1985</t>
  </si>
  <si>
    <t>panfilova@mail</t>
  </si>
  <si>
    <t>01.09.2040</t>
  </si>
  <si>
    <t xml:space="preserve">Крутов Андрей Павлович</t>
  </si>
  <si>
    <t>21.10.1990</t>
  </si>
  <si>
    <t>krutov@yandex</t>
  </si>
  <si>
    <t>2040-09-15</t>
  </si>
  <si>
    <t xml:space="preserve">Силина Мария Олеговна</t>
  </si>
  <si>
    <t>08.06.1978</t>
  </si>
  <si>
    <t>silina@gmail</t>
  </si>
  <si>
    <t>15.09.2040</t>
  </si>
  <si>
    <t xml:space="preserve">Дорохов Денис Сергеевич</t>
  </si>
  <si>
    <t>17.01.1983</t>
  </si>
  <si>
    <t>dorohov@mail</t>
  </si>
  <si>
    <t>01.10.2040</t>
  </si>
  <si>
    <t xml:space="preserve">Семенова Ольга Павловна</t>
  </si>
  <si>
    <t>05.04.1987</t>
  </si>
  <si>
    <t>semenova@yandex</t>
  </si>
  <si>
    <t>2040-10-10</t>
  </si>
  <si>
    <t xml:space="preserve">Потапов Илья Викторович</t>
  </si>
  <si>
    <t>22.07.1974</t>
  </si>
  <si>
    <t>potapov@gmail</t>
  </si>
  <si>
    <t>10.10.2040</t>
  </si>
  <si>
    <t xml:space="preserve">Кудряшова Екатерина Алексеевна</t>
  </si>
  <si>
    <t>14.10.1982</t>
  </si>
  <si>
    <t>kudryashova@mail</t>
  </si>
  <si>
    <t>01.11.2040</t>
  </si>
  <si>
    <t xml:space="preserve">Семенюк Андрей Олегович</t>
  </si>
  <si>
    <t>08.02.1989</t>
  </si>
  <si>
    <t>semenyuk@yandex</t>
  </si>
  <si>
    <t>2040-11-15</t>
  </si>
  <si>
    <t xml:space="preserve">Устинова Мария Владимировна</t>
  </si>
  <si>
    <t>27.05.1979</t>
  </si>
  <si>
    <t>ustinova@gmail</t>
  </si>
  <si>
    <t>15.11.2040</t>
  </si>
  <si>
    <t xml:space="preserve">Баев Денис Павлович</t>
  </si>
  <si>
    <t>18.12.1985</t>
  </si>
  <si>
    <t>baev@mail</t>
  </si>
  <si>
    <t>01.12.2040</t>
  </si>
  <si>
    <t xml:space="preserve">Хрусталева Ольга Сергеевна</t>
  </si>
  <si>
    <t>01.08.1992</t>
  </si>
  <si>
    <t>hrustaleva@yandex</t>
  </si>
  <si>
    <t>2040-12-10</t>
  </si>
  <si>
    <t xml:space="preserve">Романов Илья Александрович</t>
  </si>
  <si>
    <t>23.03.1976</t>
  </si>
  <si>
    <t>romanov@gmail</t>
  </si>
  <si>
    <t>10.12.2040</t>
  </si>
  <si>
    <t xml:space="preserve">Добрынина Екатерина Владимировна</t>
  </si>
  <si>
    <t>07.11.1981</t>
  </si>
  <si>
    <t>dobrynina@mail</t>
  </si>
  <si>
    <t>01.01.2041</t>
  </si>
  <si>
    <t xml:space="preserve">Некрасов Андрей Олегович</t>
  </si>
  <si>
    <t>15.09.1988</t>
  </si>
  <si>
    <t>nekrasov@yandex</t>
  </si>
  <si>
    <t>2041-01-15</t>
  </si>
  <si>
    <t xml:space="preserve">Круглова Мария Павловна</t>
  </si>
  <si>
    <t>28.02.1973</t>
  </si>
  <si>
    <t>kruglova@gmail</t>
  </si>
  <si>
    <t>15.01.2041</t>
  </si>
  <si>
    <t xml:space="preserve">Артамонов Денис Викторович</t>
  </si>
  <si>
    <t>20.06.1985</t>
  </si>
  <si>
    <t>artamonov@mail</t>
  </si>
  <si>
    <t>01.02.2041</t>
  </si>
  <si>
    <t xml:space="preserve">Горюнова Ольга Сергеевна</t>
  </si>
  <si>
    <t>09.12.1990</t>
  </si>
  <si>
    <t>2041-02-10</t>
  </si>
  <si>
    <t xml:space="preserve">Мерзляков Илья Алексеевич</t>
  </si>
  <si>
    <t>25.04.1974</t>
  </si>
  <si>
    <t>merzlyakov@gmail</t>
  </si>
  <si>
    <t>10.02.2041</t>
  </si>
  <si>
    <t xml:space="preserve">Андрианова Екатерина Сергеевна</t>
  </si>
  <si>
    <t>16.07.1982</t>
  </si>
  <si>
    <t>andrianova@mail</t>
  </si>
  <si>
    <t>01.03.2041</t>
  </si>
  <si>
    <t xml:space="preserve">Рябов Андрей Павлович</t>
  </si>
  <si>
    <t>11.10.1989</t>
  </si>
  <si>
    <t>ryabov@yandex</t>
  </si>
  <si>
    <t>2041-03-15</t>
  </si>
  <si>
    <t xml:space="preserve">Саввина Мария Олеговна</t>
  </si>
  <si>
    <t>03.05.1975</t>
  </si>
  <si>
    <t>savvina@gmail</t>
  </si>
  <si>
    <t>15.03.2041</t>
  </si>
  <si>
    <t xml:space="preserve">Степанов Денис Викторович</t>
  </si>
  <si>
    <t>26.08.1984</t>
  </si>
  <si>
    <t>stepanov@mail</t>
  </si>
  <si>
    <t>01.04.2041</t>
  </si>
  <si>
    <t xml:space="preserve">Гаврилова Ольга Павловна</t>
  </si>
  <si>
    <t>19.01.1991</t>
  </si>
  <si>
    <t>gavrilova@yandex</t>
  </si>
  <si>
    <t>2041-04-10</t>
  </si>
  <si>
    <t xml:space="preserve">Кулешова Екатерина Алексеевна</t>
  </si>
  <si>
    <t>22.11.1978</t>
  </si>
  <si>
    <t>kuleshova@gmail</t>
  </si>
  <si>
    <t>10.04.2041</t>
  </si>
  <si>
    <t xml:space="preserve">Молчанов Илья Александрович</t>
  </si>
  <si>
    <t>14.09.1986</t>
  </si>
  <si>
    <t>molchanov@mail</t>
  </si>
  <si>
    <t>01.05.2041</t>
  </si>
  <si>
    <t xml:space="preserve">Пестова Мария Владимировна</t>
  </si>
  <si>
    <t>08.06.1983</t>
  </si>
  <si>
    <t>pestova@yandex</t>
  </si>
  <si>
    <t>2041-05-15</t>
  </si>
  <si>
    <t xml:space="preserve">Дроздов Андрей Олегович</t>
  </si>
  <si>
    <t>30.12.1977</t>
  </si>
  <si>
    <t>drozdov@gmail</t>
  </si>
  <si>
    <t>15.05.2041</t>
  </si>
  <si>
    <t xml:space="preserve">Дубинина Ольга Сергеевна</t>
  </si>
  <si>
    <t>23.03.1988</t>
  </si>
  <si>
    <t>dubinina@mail</t>
  </si>
  <si>
    <t>01.06.2041</t>
  </si>
  <si>
    <t xml:space="preserve">Корнилов Денис Павлович</t>
  </si>
  <si>
    <t>17.07.1981</t>
  </si>
  <si>
    <t>kornilov@yandex</t>
  </si>
  <si>
    <t>2041-06-10</t>
  </si>
  <si>
    <t xml:space="preserve">Соколова Екатерина Владимировна</t>
  </si>
  <si>
    <t>06.10.1976</t>
  </si>
  <si>
    <t>sokolova@gmail</t>
  </si>
  <si>
    <t>10.06.2041</t>
  </si>
  <si>
    <t xml:space="preserve">Ушаков Илья Александрович</t>
  </si>
  <si>
    <t>02.12.1984</t>
  </si>
  <si>
    <t>ushakov@mail</t>
  </si>
  <si>
    <t>01.07.2041</t>
  </si>
  <si>
    <t xml:space="preserve">Минаева Мария Павловна</t>
  </si>
  <si>
    <t>21.08.1992</t>
  </si>
  <si>
    <t>minaeva@yandex</t>
  </si>
  <si>
    <t>2041-07-15</t>
  </si>
  <si>
    <t xml:space="preserve">Герасимова Ольга Сергеевна</t>
  </si>
  <si>
    <t>14.04.1979</t>
  </si>
  <si>
    <t>gerasimova@gmail</t>
  </si>
  <si>
    <t>15.07.2041</t>
  </si>
  <si>
    <t xml:space="preserve">Печерский Денис Викторович</t>
  </si>
  <si>
    <t>28.06.1985</t>
  </si>
  <si>
    <t>pechersky@mail</t>
  </si>
  <si>
    <t>01.08.2041</t>
  </si>
  <si>
    <t xml:space="preserve">Карасева Екатерина Алексеевна</t>
  </si>
  <si>
    <t>17.12.1990</t>
  </si>
  <si>
    <t>karaseva@yandex</t>
  </si>
  <si>
    <t>2041-08-10</t>
  </si>
  <si>
    <t xml:space="preserve">Лукин Андрей Олегович</t>
  </si>
  <si>
    <t>09.02.1977</t>
  </si>
  <si>
    <t>10.08.2041</t>
  </si>
  <si>
    <t xml:space="preserve">Седова Мария Владимировна</t>
  </si>
  <si>
    <t>24.07.1983</t>
  </si>
  <si>
    <t>sedova@mail</t>
  </si>
  <si>
    <t>01.09.2041</t>
  </si>
  <si>
    <t xml:space="preserve">Новожилов Илья Алексеевич</t>
  </si>
  <si>
    <t>15.03.1988</t>
  </si>
  <si>
    <t>novozhilov@yandex</t>
  </si>
  <si>
    <t>2041-09-15</t>
  </si>
  <si>
    <t xml:space="preserve">Терентьева Ольга Павловна</t>
  </si>
  <si>
    <t>01.11.1974</t>
  </si>
  <si>
    <t>terenteva@gmail</t>
  </si>
  <si>
    <t>15.09.2041</t>
  </si>
  <si>
    <t xml:space="preserve">Горбатов Денис Сергеевич</t>
  </si>
  <si>
    <t>22.10.1982</t>
  </si>
  <si>
    <t>gorbatov@mail</t>
  </si>
  <si>
    <t>01.10.2041</t>
  </si>
  <si>
    <t xml:space="preserve">Шелестова Екатерина Сергеевна</t>
  </si>
  <si>
    <t>12.05.1989</t>
  </si>
  <si>
    <t>shelyostova@yandex</t>
  </si>
  <si>
    <t>2041-10-10</t>
  </si>
  <si>
    <t xml:space="preserve">Костин Андрей Павлович</t>
  </si>
  <si>
    <t>27.01.1976</t>
  </si>
  <si>
    <t>kostin@gmail</t>
  </si>
  <si>
    <t>10.10.2041</t>
  </si>
  <si>
    <t xml:space="preserve">Маслова Мария Олеговна</t>
  </si>
  <si>
    <t>05.09.1984</t>
  </si>
  <si>
    <t>maslova@mail</t>
  </si>
  <si>
    <t>01.11.2041</t>
  </si>
  <si>
    <t xml:space="preserve">Стекольщиков Денис Викторович</t>
  </si>
  <si>
    <t>14.12.1991</t>
  </si>
  <si>
    <t>stekolschikov@yandex</t>
  </si>
  <si>
    <t>2041-11-15</t>
  </si>
  <si>
    <t xml:space="preserve">Орехова Ольга Владимировна</t>
  </si>
  <si>
    <t>08.04.1977</t>
  </si>
  <si>
    <t>orehova@gmail</t>
  </si>
  <si>
    <t>15.11.2041</t>
  </si>
  <si>
    <t xml:space="preserve">Рябцев Илья Александрович</t>
  </si>
  <si>
    <t>29.08.1983</t>
  </si>
  <si>
    <t>ryabtsev@mail</t>
  </si>
  <si>
    <t>01.12.2041</t>
  </si>
  <si>
    <t xml:space="preserve">Клокова Екатерина Сергеевна</t>
  </si>
  <si>
    <t>19.12.1990</t>
  </si>
  <si>
    <t>klokova@yandex</t>
  </si>
  <si>
    <t>2041-12-10</t>
  </si>
  <si>
    <t xml:space="preserve">Шульгин Андрей Олегович</t>
  </si>
  <si>
    <t>02.06.1978</t>
  </si>
  <si>
    <t>shulgin@gmail</t>
  </si>
  <si>
    <t>10.12.2041</t>
  </si>
  <si>
    <t xml:space="preserve">Короткова Мария Павловна</t>
  </si>
  <si>
    <t>16.11.1985</t>
  </si>
  <si>
    <t>korotkova@mail</t>
  </si>
  <si>
    <t>01.01.2042</t>
  </si>
  <si>
    <t xml:space="preserve">Литвиненко Денис Викторович</t>
  </si>
  <si>
    <t>25.10.1982</t>
  </si>
  <si>
    <t>litvinenko@yandex</t>
  </si>
  <si>
    <t>2042-01-15</t>
  </si>
  <si>
    <t xml:space="preserve">Старкова Ольга Сергеевна</t>
  </si>
  <si>
    <t>23.07.1989</t>
  </si>
  <si>
    <t>starkova@gmail</t>
  </si>
  <si>
    <t>15.01.2042</t>
  </si>
  <si>
    <t xml:space="preserve">Паршин Илья Александрович</t>
  </si>
  <si>
    <t>parshin@mail</t>
  </si>
  <si>
    <t>01.02.2042</t>
  </si>
  <si>
    <t xml:space="preserve">Яковлева Екатерина Владимировна</t>
  </si>
  <si>
    <t>04.09.1983</t>
  </si>
  <si>
    <t>yakovleva@yandex</t>
  </si>
  <si>
    <t>2042-02-10</t>
  </si>
  <si>
    <t xml:space="preserve">Козырев Андрей Олегович</t>
  </si>
  <si>
    <t>17.05.1992</t>
  </si>
  <si>
    <t>kozyrev@gmail</t>
  </si>
  <si>
    <t>10.02.2042</t>
  </si>
  <si>
    <t xml:space="preserve">Батина Мария Павловна</t>
  </si>
  <si>
    <t>06.12.1977</t>
  </si>
  <si>
    <t>batina@mail</t>
  </si>
  <si>
    <t>01.03.2042</t>
  </si>
  <si>
    <t xml:space="preserve">Коротков Денис Сергеевич</t>
  </si>
  <si>
    <t>28.04.1986</t>
  </si>
  <si>
    <t>korotkov@yandex</t>
  </si>
  <si>
    <t>2042-03-15</t>
  </si>
  <si>
    <t xml:space="preserve">Соловьева Ольга Сергеевна</t>
  </si>
  <si>
    <t>02.08.1991</t>
  </si>
  <si>
    <t>solovieva@gmail</t>
  </si>
  <si>
    <t>15.03.2042</t>
  </si>
  <si>
    <t xml:space="preserve">Лаврентьев Илья Алексеевич</t>
  </si>
  <si>
    <t>19.06.1974</t>
  </si>
  <si>
    <t>lavrentiev@mail</t>
  </si>
  <si>
    <t>01.04.2042</t>
  </si>
  <si>
    <t xml:space="preserve">Алексахина Екатерина Сергеевна</t>
  </si>
  <si>
    <t>11.10.1980</t>
  </si>
  <si>
    <t>aleksahina@yandex</t>
  </si>
  <si>
    <t>2042-04-10</t>
  </si>
  <si>
    <t xml:space="preserve">Каменев Андрей Павлович</t>
  </si>
  <si>
    <t>30.01.1987</t>
  </si>
  <si>
    <t>kamenev@gmail</t>
  </si>
  <si>
    <t>10.04.2042</t>
  </si>
  <si>
    <t xml:space="preserve">Захарова Мария Олеговна</t>
  </si>
  <si>
    <t>22.07.1975</t>
  </si>
  <si>
    <t>zaharova@mail</t>
  </si>
  <si>
    <t>01.05.2042</t>
  </si>
  <si>
    <t xml:space="preserve">Стеклов Денис Викторович</t>
  </si>
  <si>
    <t>steklov@yandex</t>
  </si>
  <si>
    <t>2042-05-15</t>
  </si>
  <si>
    <t xml:space="preserve">Мишина Ольга Павловна</t>
  </si>
  <si>
    <t>mishina@gmail</t>
  </si>
  <si>
    <t>15.05.2042</t>
  </si>
  <si>
    <t xml:space="preserve">Шатохин Илья Александрович</t>
  </si>
  <si>
    <t>26.09.1973</t>
  </si>
  <si>
    <t>shatohin@mail</t>
  </si>
  <si>
    <t>01.06.2042</t>
  </si>
  <si>
    <t xml:space="preserve">Черепанова Екатерина Сергеевна</t>
  </si>
  <si>
    <t>14.03.1982</t>
  </si>
  <si>
    <t>cherepanova@yandex</t>
  </si>
  <si>
    <t>2042-06-10</t>
  </si>
  <si>
    <t xml:space="preserve">Пантелеев Андрей Олегович</t>
  </si>
  <si>
    <t>05.11.1990</t>
  </si>
  <si>
    <t>panteleev@gmail</t>
  </si>
  <si>
    <t>10.06.2042</t>
  </si>
  <si>
    <t xml:space="preserve">Букина Мария Владимировна</t>
  </si>
  <si>
    <t>18.06.1977</t>
  </si>
  <si>
    <t>bukina@mail</t>
  </si>
  <si>
    <t>01.07.2042</t>
  </si>
  <si>
    <t xml:space="preserve">Суворов Денис Павлович</t>
  </si>
  <si>
    <t>07.01.1985</t>
  </si>
  <si>
    <t>suvorov@yandex</t>
  </si>
  <si>
    <t>2042-07-15</t>
  </si>
  <si>
    <t xml:space="preserve">Погодина Ольга Сергеевна</t>
  </si>
  <si>
    <t>pogodina@gmail</t>
  </si>
  <si>
    <t>15.07.2042</t>
  </si>
  <si>
    <t xml:space="preserve">Карпов Илья Александрович</t>
  </si>
  <si>
    <t>karpov@mail</t>
  </si>
  <si>
    <t>01.08.2042</t>
  </si>
  <si>
    <t xml:space="preserve">Бычкова Екатерина Алексеевна</t>
  </si>
  <si>
    <t>03.10.1986</t>
  </si>
  <si>
    <t>bychkova@yandex</t>
  </si>
  <si>
    <t>2042-08-10</t>
  </si>
  <si>
    <t xml:space="preserve">Кукушкин Андрей Олегович</t>
  </si>
  <si>
    <t>29.12.1981</t>
  </si>
  <si>
    <t>kukushkin@gmail</t>
  </si>
  <si>
    <t>10.08.2042</t>
  </si>
  <si>
    <t xml:space="preserve">Старшинова Мария Павловна</t>
  </si>
  <si>
    <t>12.07.1976</t>
  </si>
  <si>
    <t>starshinova@mail</t>
  </si>
  <si>
    <t>01.09.2042</t>
  </si>
  <si>
    <t xml:space="preserve">Стрельников Денис Викторович</t>
  </si>
  <si>
    <t>23.09.1988</t>
  </si>
  <si>
    <t>strelnikov@yandex</t>
  </si>
  <si>
    <t>2042-09-15</t>
  </si>
  <si>
    <t xml:space="preserve">Березина Ольга Сергеевна</t>
  </si>
  <si>
    <t>14.02.1984</t>
  </si>
  <si>
    <t>berezina@gmail</t>
  </si>
  <si>
    <t>15.09.2042</t>
  </si>
  <si>
    <t xml:space="preserve">Сысоев Илья Алексеевич</t>
  </si>
  <si>
    <t>01.05.1973</t>
  </si>
  <si>
    <t>01.10.2042</t>
  </si>
  <si>
    <t xml:space="preserve">Жижина Екатерина Владимировна</t>
  </si>
  <si>
    <t>20.08.1980</t>
  </si>
  <si>
    <t>zhizhina@yandex</t>
  </si>
  <si>
    <t>2042-10-10</t>
  </si>
  <si>
    <t xml:space="preserve">Кривошеев Андрей Павлович</t>
  </si>
  <si>
    <t>11.12.1986</t>
  </si>
  <si>
    <t>krivosheev@gmail</t>
  </si>
  <si>
    <t>10.10.2042</t>
  </si>
  <si>
    <t xml:space="preserve">Вьюнова Мария Олеговна</t>
  </si>
  <si>
    <t>07.04.1977</t>
  </si>
  <si>
    <t>vyunova@mail</t>
  </si>
  <si>
    <t>01.11.2042</t>
  </si>
  <si>
    <t xml:space="preserve">Гладких Денис Сергеевич</t>
  </si>
  <si>
    <t>gladkih@yandex</t>
  </si>
  <si>
    <t>2042-11-15</t>
  </si>
  <si>
    <t xml:space="preserve">Емельянова Ольга Павловна</t>
  </si>
  <si>
    <t>09.10.1982</t>
  </si>
  <si>
    <t>emelyanova@gmail</t>
  </si>
  <si>
    <t>15.11.2042</t>
  </si>
  <si>
    <t xml:space="preserve">Семенчук Илья Александрович</t>
  </si>
  <si>
    <t>22.03.1974</t>
  </si>
  <si>
    <t>semenchuk@mail</t>
  </si>
  <si>
    <t>01.12.2042</t>
  </si>
  <si>
    <t xml:space="preserve">Огородникова Екатерина Сергеевна</t>
  </si>
  <si>
    <t>15.07.1989</t>
  </si>
  <si>
    <t>ogorodnikova@yandex</t>
  </si>
  <si>
    <t>2042-12-10</t>
  </si>
  <si>
    <t xml:space="preserve">Бессонов Андрей Олегович</t>
  </si>
  <si>
    <t>13.08.1985</t>
  </si>
  <si>
    <t>bessonov@gmail</t>
  </si>
  <si>
    <t>10.12.2042</t>
  </si>
  <si>
    <t xml:space="preserve">Верещагина Мария Владимировна</t>
  </si>
  <si>
    <t>18.06.1972</t>
  </si>
  <si>
    <t>vereschagina@mail</t>
  </si>
  <si>
    <t>01.01.2043</t>
  </si>
  <si>
    <t xml:space="preserve">Малинин Денис Павлович</t>
  </si>
  <si>
    <t>28.09.1983</t>
  </si>
  <si>
    <t>malinin@yandex</t>
  </si>
  <si>
    <t>2043-01-15</t>
  </si>
  <si>
    <t xml:space="preserve">Дубова Ольга Сергеевна</t>
  </si>
  <si>
    <t>04.12.1990</t>
  </si>
  <si>
    <t>dubova@gmail</t>
  </si>
  <si>
    <t>15.01.2043</t>
  </si>
  <si>
    <t xml:space="preserve">Старцев Илья Алексеевич</t>
  </si>
  <si>
    <t>25.05.1976</t>
  </si>
  <si>
    <t>startsev@mail</t>
  </si>
  <si>
    <t>01.02.2043</t>
  </si>
  <si>
    <t xml:space="preserve">Антипова Екатерина Владимировна</t>
  </si>
  <si>
    <t>30.10.1988</t>
  </si>
  <si>
    <t>antipova@yandex</t>
  </si>
  <si>
    <t>2043-02-10</t>
  </si>
  <si>
    <t xml:space="preserve">Марчук Андрей Олегович</t>
  </si>
  <si>
    <t>08.02.1981</t>
  </si>
  <si>
    <t>marchuk@gmail</t>
  </si>
  <si>
    <t>10.02.2043</t>
  </si>
  <si>
    <t xml:space="preserve">Завьялова Мария Павловна</t>
  </si>
  <si>
    <t>16.07.1979</t>
  </si>
  <si>
    <t>zavyalova@mail</t>
  </si>
  <si>
    <t>01.03.2043</t>
  </si>
  <si>
    <t xml:space="preserve">Балашов Денис Викторович</t>
  </si>
  <si>
    <t>19.09.1986</t>
  </si>
  <si>
    <t>balashov@yandex</t>
  </si>
  <si>
    <t>2043-03-15</t>
  </si>
  <si>
    <t xml:space="preserve">Борисенко Ольга Сергеевна</t>
  </si>
  <si>
    <t>01.01.1984</t>
  </si>
  <si>
    <t>borisenko@gmail</t>
  </si>
  <si>
    <t>15.03.2043</t>
  </si>
  <si>
    <t xml:space="preserve">Золотарев Илья Александрович</t>
  </si>
  <si>
    <t>17.11.1977</t>
  </si>
  <si>
    <t>zolotarev@mail</t>
  </si>
  <si>
    <t>01.04.2043</t>
  </si>
  <si>
    <t xml:space="preserve">Никольская Екатерина Алексеевна</t>
  </si>
  <si>
    <t>24.06.1992</t>
  </si>
  <si>
    <t>nikolskaya@yandex</t>
  </si>
  <si>
    <t>2043-04-10</t>
  </si>
  <si>
    <t xml:space="preserve">Шишкин Андрей Павлович</t>
  </si>
  <si>
    <t>23.12.1985</t>
  </si>
  <si>
    <t>shishkin@gmail</t>
  </si>
  <si>
    <t>10.04.2043</t>
  </si>
  <si>
    <t xml:space="preserve">Гущина Мария Олеговна</t>
  </si>
  <si>
    <t>01.05.2043</t>
  </si>
  <si>
    <t xml:space="preserve">Трушин Денис Сергеевич</t>
  </si>
  <si>
    <t>27.10.1989</t>
  </si>
  <si>
    <t>trushin@yandex</t>
  </si>
  <si>
    <t>2043-05-15</t>
  </si>
  <si>
    <t xml:space="preserve">Лаврикова Ольга Владимировна</t>
  </si>
  <si>
    <t>05.03.1982</t>
  </si>
  <si>
    <t>lavrikova@gmail</t>
  </si>
  <si>
    <t>15.05.2043</t>
  </si>
  <si>
    <t xml:space="preserve">Сластников Илья Алексеевич</t>
  </si>
  <si>
    <t>12.08.1976</t>
  </si>
  <si>
    <t>slastnikov@mail</t>
  </si>
  <si>
    <t>01.06.2043</t>
  </si>
  <si>
    <t xml:space="preserve">Кузьменко Екатерина Сергеевна</t>
  </si>
  <si>
    <t>21.04.1987</t>
  </si>
  <si>
    <t>kuzmenko@yandex</t>
  </si>
  <si>
    <t>2043-06-10</t>
  </si>
  <si>
    <t xml:space="preserve">Токаренко Андрей Олегович</t>
  </si>
  <si>
    <t>14.09.1983</t>
  </si>
  <si>
    <t>tokarenko@gmail</t>
  </si>
  <si>
    <t>10.06.2043</t>
  </si>
  <si>
    <t xml:space="preserve">Симонова Мария Павловна</t>
  </si>
  <si>
    <t>29.11.1970</t>
  </si>
  <si>
    <t>01.07.2043</t>
  </si>
  <si>
    <t xml:space="preserve">Царев Денис Викторович</t>
  </si>
  <si>
    <t>08.06.1988</t>
  </si>
  <si>
    <t>tsarev@yandex</t>
  </si>
  <si>
    <t>2043-07-15</t>
  </si>
  <si>
    <t xml:space="preserve">Крупина Ольга Сергеевна</t>
  </si>
  <si>
    <t>03.08.1978</t>
  </si>
  <si>
    <t>krupina@gmail</t>
  </si>
  <si>
    <t>15.07.2043</t>
  </si>
  <si>
    <t xml:space="preserve">Бурцев Илья Александрович</t>
  </si>
  <si>
    <t>16.10.1984</t>
  </si>
  <si>
    <t>burtsev@mail</t>
  </si>
  <si>
    <t>01.08.2043</t>
  </si>
  <si>
    <t xml:space="preserve">Илюхина Екатерина Владимировна</t>
  </si>
  <si>
    <t>ilyuhina@yandex</t>
  </si>
  <si>
    <t>2043-08-10</t>
  </si>
  <si>
    <t xml:space="preserve">Груздев Андрей Олегович</t>
  </si>
  <si>
    <t>25.05.1973</t>
  </si>
  <si>
    <t>gruzdev@gmail</t>
  </si>
  <si>
    <t>10.08.2043</t>
  </si>
  <si>
    <t xml:space="preserve">Новикова Мария Павловна</t>
  </si>
  <si>
    <t>11.07.1982</t>
  </si>
  <si>
    <t>novikova@mail</t>
  </si>
  <si>
    <t>01.09.2043</t>
  </si>
  <si>
    <t xml:space="preserve">Куликов Денис Сергеевич</t>
  </si>
  <si>
    <t>03.12.1989</t>
  </si>
  <si>
    <t>2043-09-15</t>
  </si>
  <si>
    <t xml:space="preserve">Быкова Ольга Владимировна</t>
  </si>
  <si>
    <t>07.09.1977</t>
  </si>
  <si>
    <t>bykova@gmail</t>
  </si>
  <si>
    <t>15.09.2043</t>
  </si>
  <si>
    <t xml:space="preserve">Щеглов Илья Алексеевич</t>
  </si>
  <si>
    <t>22.01.1985</t>
  </si>
  <si>
    <t>scheglov@mail</t>
  </si>
  <si>
    <t>01.10.2043</t>
  </si>
  <si>
    <t xml:space="preserve">Коровина Екатерина Сергеевна</t>
  </si>
  <si>
    <t>24.11.1992</t>
  </si>
  <si>
    <t>korovina@yandex</t>
  </si>
  <si>
    <t>2043-10-10</t>
  </si>
  <si>
    <t xml:space="preserve">Денисов Андрей Олегович</t>
  </si>
  <si>
    <t>02.06.1976</t>
  </si>
  <si>
    <t>denisov@gmail</t>
  </si>
  <si>
    <t>10.10.2043</t>
  </si>
  <si>
    <t xml:space="preserve">Ковалева Мария Павловна</t>
  </si>
  <si>
    <t>18.10.1983</t>
  </si>
  <si>
    <t>kovaleva@mail</t>
  </si>
  <si>
    <t>01.11.2043</t>
  </si>
  <si>
    <t xml:space="preserve">Сердюков Денис Викторович</t>
  </si>
  <si>
    <t>09.03.1990</t>
  </si>
  <si>
    <t>serdyukov@yandex</t>
  </si>
  <si>
    <t>2043-11-15</t>
  </si>
  <si>
    <t xml:space="preserve">Долгова Ольга Сергеевна</t>
  </si>
  <si>
    <t>14.12.1979</t>
  </si>
  <si>
    <t>dolgova@gmail</t>
  </si>
  <si>
    <t>15.11.2043</t>
  </si>
  <si>
    <t xml:space="preserve">Пирогов Илья Александрович</t>
  </si>
  <si>
    <t>pirogov@mail</t>
  </si>
  <si>
    <t>01.12.2043</t>
  </si>
  <si>
    <t xml:space="preserve">Зубкова Екатерина Владимировна</t>
  </si>
  <si>
    <t>30.08.1981</t>
  </si>
  <si>
    <t>zubkova@yandex</t>
  </si>
  <si>
    <t>2043-12-10</t>
  </si>
  <si>
    <t xml:space="preserve">Суслов Андрей Олегович</t>
  </si>
  <si>
    <t>05.11.1972</t>
  </si>
  <si>
    <t>suslov@gmail</t>
  </si>
  <si>
    <t>10.12.2043</t>
  </si>
  <si>
    <t xml:space="preserve">Куракина Мария Олеговна</t>
  </si>
  <si>
    <t>16.07.1985</t>
  </si>
  <si>
    <t>kurakina@mail</t>
  </si>
  <si>
    <t>01.01.2044</t>
  </si>
  <si>
    <t xml:space="preserve">Калашников Денис Павлович</t>
  </si>
  <si>
    <t>kalashnikov@yandex</t>
  </si>
  <si>
    <t>2044-01-15</t>
  </si>
  <si>
    <t xml:space="preserve">Гриднева Ольга Сергеевна</t>
  </si>
  <si>
    <t>02.09.1974</t>
  </si>
  <si>
    <t>gridneva@gmail</t>
  </si>
  <si>
    <t>15.01.2044</t>
  </si>
  <si>
    <t xml:space="preserve">Маслов Илья Александрович</t>
  </si>
  <si>
    <t>23.03.1983</t>
  </si>
  <si>
    <t>maslov@mail</t>
  </si>
  <si>
    <t>01.02.2044</t>
  </si>
  <si>
    <t xml:space="preserve">Александрова Екатерина Сергеевна</t>
  </si>
  <si>
    <t>10.12.1991</t>
  </si>
  <si>
    <t>aleksandrova@yandex</t>
  </si>
  <si>
    <t>2044-02-10</t>
  </si>
  <si>
    <t xml:space="preserve">Косогоров Андрей Олегович</t>
  </si>
  <si>
    <t>15.08.1977</t>
  </si>
  <si>
    <t>kosogorov@gmail</t>
  </si>
  <si>
    <t>10.02.2044</t>
  </si>
  <si>
    <t xml:space="preserve">Свиридова Мария Павловна</t>
  </si>
  <si>
    <t>29.10.1984</t>
  </si>
  <si>
    <t>sviridova@mail</t>
  </si>
  <si>
    <t>01.03.2044</t>
  </si>
  <si>
    <t xml:space="preserve">Бондарь Денис Викторович</t>
  </si>
  <si>
    <t>07.06.1990</t>
  </si>
  <si>
    <t>bondar@yandex</t>
  </si>
  <si>
    <t>2044-03-15</t>
  </si>
  <si>
    <t xml:space="preserve">Кузьмина Ольга Сергеевна</t>
  </si>
  <si>
    <t>19.01.1976</t>
  </si>
  <si>
    <t>15.03.2044</t>
  </si>
  <si>
    <t xml:space="preserve">Федосов Илья Алексеевич</t>
  </si>
  <si>
    <t>fedosov@mail</t>
  </si>
  <si>
    <t>01.04.2044</t>
  </si>
  <si>
    <t xml:space="preserve">Иващенко Екатерина Владимировна</t>
  </si>
  <si>
    <t>14.11.1988</t>
  </si>
  <si>
    <t>ivaschenko@yandex</t>
  </si>
  <si>
    <t>2044-04-10</t>
  </si>
  <si>
    <t xml:space="preserve">Поляков Андрей Олегович</t>
  </si>
  <si>
    <t>03.07.1975</t>
  </si>
  <si>
    <t>polyakov@gmail</t>
  </si>
  <si>
    <t>10.04.2044</t>
  </si>
  <si>
    <t xml:space="preserve">Павлова Мария Павловна</t>
  </si>
  <si>
    <t>21.02.1981</t>
  </si>
  <si>
    <t>01.05.2044</t>
  </si>
  <si>
    <t xml:space="preserve">Трунов Денис Сергеевич</t>
  </si>
  <si>
    <t>24.12.1986</t>
  </si>
  <si>
    <t>trunov@yandex</t>
  </si>
  <si>
    <t>2044-05-15</t>
  </si>
  <si>
    <t xml:space="preserve">Байкова Ольга Владимировна</t>
  </si>
  <si>
    <t>08.04.1973</t>
  </si>
  <si>
    <t>baykova@gmail</t>
  </si>
  <si>
    <t>15.05.2044</t>
  </si>
  <si>
    <t xml:space="preserve">Клишин Илья Александрович</t>
  </si>
  <si>
    <t>13.09.1985</t>
  </si>
  <si>
    <t>klishin@mail</t>
  </si>
  <si>
    <t>01.06.2044</t>
  </si>
  <si>
    <t xml:space="preserve">Ярцева Екатерина Сергеевна</t>
  </si>
  <si>
    <t>31.05.1992</t>
  </si>
  <si>
    <t>yartseva@yandex</t>
  </si>
  <si>
    <t>2044-06-10</t>
  </si>
  <si>
    <t xml:space="preserve">Касаткин Андрей Павлович</t>
  </si>
  <si>
    <t>02.08.1978</t>
  </si>
  <si>
    <t>kasatkin@gmail</t>
  </si>
  <si>
    <t>10.06.2044</t>
  </si>
  <si>
    <t xml:space="preserve">Мещерякова Мария Олеговна</t>
  </si>
  <si>
    <t>10.11.1984</t>
  </si>
  <si>
    <t>mescheryakovа@mail</t>
  </si>
  <si>
    <t>01.07.2044</t>
  </si>
  <si>
    <t xml:space="preserve">Жданов Денис Викторович</t>
  </si>
  <si>
    <t>17.03.1990</t>
  </si>
  <si>
    <t>zhdanov@yandex</t>
  </si>
  <si>
    <t>2044-07-15</t>
  </si>
  <si>
    <t xml:space="preserve">Куликова Ольга Павловна</t>
  </si>
  <si>
    <t>05.07.1979</t>
  </si>
  <si>
    <t>kulikova@gmail</t>
  </si>
  <si>
    <t>15.07.2044</t>
  </si>
  <si>
    <t xml:space="preserve">Леднев Илья Алексеевич</t>
  </si>
  <si>
    <t>28.12.1983</t>
  </si>
  <si>
    <t>lednev@mail</t>
  </si>
  <si>
    <t>01.08.2044</t>
  </si>
  <si>
    <t xml:space="preserve">Соколовская Екатерина Сергеевна</t>
  </si>
  <si>
    <t>15.06.1987</t>
  </si>
  <si>
    <t>sokolovskaya@yandex</t>
  </si>
  <si>
    <t>2044-08-10</t>
  </si>
  <si>
    <t xml:space="preserve">Синельников Андрей Олегович</t>
  </si>
  <si>
    <t>20.02.1976</t>
  </si>
  <si>
    <t>sinelnikov@gmail</t>
  </si>
  <si>
    <t>10.08.2044</t>
  </si>
  <si>
    <t xml:space="preserve">Калинкина Мария Владимировна</t>
  </si>
  <si>
    <t>04.10.1982</t>
  </si>
  <si>
    <t>kalinkina@mail</t>
  </si>
  <si>
    <t>01.09.2044</t>
  </si>
  <si>
    <t xml:space="preserve">Загороднев Денис Павлович</t>
  </si>
  <si>
    <t>16.05.1991</t>
  </si>
  <si>
    <t>zagorodnev@yandex</t>
  </si>
  <si>
    <t>2044-09-15</t>
  </si>
  <si>
    <t xml:space="preserve">Басова Ольга Сергеевна</t>
  </si>
  <si>
    <t>22.09.1974</t>
  </si>
  <si>
    <t>basova@gmail</t>
  </si>
  <si>
    <t>15.09.2044</t>
  </si>
  <si>
    <t xml:space="preserve">Михайлов Илья Александрович</t>
  </si>
  <si>
    <t>03.02.1986</t>
  </si>
  <si>
    <t>mihaylov@mail</t>
  </si>
  <si>
    <t>01.10.2044</t>
  </si>
  <si>
    <t xml:space="preserve">Тарасюк Екатерина Владимировна</t>
  </si>
  <si>
    <t>14.10.1992</t>
  </si>
  <si>
    <t>tarasyuk@yandex</t>
  </si>
  <si>
    <t>2044-10-10</t>
  </si>
  <si>
    <t xml:space="preserve">Ожегов Андрей Олегович</t>
  </si>
  <si>
    <t>08.12.1977</t>
  </si>
  <si>
    <t>ozhegov@gmail</t>
  </si>
  <si>
    <t>10.10.2044</t>
  </si>
  <si>
    <t xml:space="preserve">Сидоренко Мария Павловна</t>
  </si>
  <si>
    <t>25.07.1985</t>
  </si>
  <si>
    <t>01.11.2044</t>
  </si>
  <si>
    <t xml:space="preserve">Черных Денис Сергеевич</t>
  </si>
  <si>
    <t>13.11.1980</t>
  </si>
  <si>
    <t>chernyh@yandex</t>
  </si>
  <si>
    <t>2044-11-15</t>
  </si>
  <si>
    <t xml:space="preserve">Зорина Ольга Владимировна</t>
  </si>
  <si>
    <t>19.04.1975</t>
  </si>
  <si>
    <t>15.11.2044</t>
  </si>
  <si>
    <t xml:space="preserve">Трошин Илья Александрович</t>
  </si>
  <si>
    <t>21.06.1987</t>
  </si>
  <si>
    <t>troshin@mail</t>
  </si>
  <si>
    <t>01.12.2044</t>
  </si>
  <si>
    <t xml:space="preserve">Леонова Екатерина Сергеевна</t>
  </si>
  <si>
    <t>09.12.1991</t>
  </si>
  <si>
    <t>leonova@yandex</t>
  </si>
  <si>
    <t>2044-12-10</t>
  </si>
  <si>
    <t xml:space="preserve">Зубков Андрей Олегович</t>
  </si>
  <si>
    <t>27.08.1976</t>
  </si>
  <si>
    <t>zubkov@gmail</t>
  </si>
  <si>
    <t>10.12.2044</t>
  </si>
  <si>
    <t xml:space="preserve">Красикова Мария Павловна</t>
  </si>
  <si>
    <t>18.01.1983</t>
  </si>
  <si>
    <t>krasikova@mail</t>
  </si>
  <si>
    <t>01.01.2045</t>
  </si>
  <si>
    <t xml:space="preserve">Мусин Денис Викторович</t>
  </si>
  <si>
    <t>07.10.1989</t>
  </si>
  <si>
    <t>musin@yandex</t>
  </si>
  <si>
    <t>2045-01-15</t>
  </si>
  <si>
    <t xml:space="preserve">Руднева Ольга Сергеевна</t>
  </si>
  <si>
    <t>23.09.1978</t>
  </si>
  <si>
    <t>rudneva@gmail</t>
  </si>
  <si>
    <t>15.01.2045</t>
  </si>
  <si>
    <t xml:space="preserve">Кузьмин Илья Алексеевич</t>
  </si>
  <si>
    <t>15.05.1985</t>
  </si>
  <si>
    <t>01.02.2045</t>
  </si>
  <si>
    <t xml:space="preserve">Шатилова Екатерина Владимировна</t>
  </si>
  <si>
    <t>04.11.1992</t>
  </si>
  <si>
    <t>shatilova@yandex</t>
  </si>
  <si>
    <t>2045-02-10</t>
  </si>
  <si>
    <t xml:space="preserve">Петрухин Андрей Олегович</t>
  </si>
  <si>
    <t>02.07.1973</t>
  </si>
  <si>
    <t>petruhin@gmail</t>
  </si>
  <si>
    <t>10.02.2045</t>
  </si>
  <si>
    <t xml:space="preserve">Стрекалова Мария Павловна</t>
  </si>
  <si>
    <t>strekalova@mail</t>
  </si>
  <si>
    <t>01.03.2045</t>
  </si>
  <si>
    <t xml:space="preserve">Назаров Денис Сергеевич</t>
  </si>
  <si>
    <t>18.03.1986</t>
  </si>
  <si>
    <t>2045-03-15</t>
  </si>
  <si>
    <t xml:space="preserve">Иванищева Ольга Владимировна</t>
  </si>
  <si>
    <t>10.08.1974</t>
  </si>
  <si>
    <t>ivanischeva@gmail</t>
  </si>
  <si>
    <t>15.03.2045</t>
  </si>
  <si>
    <t xml:space="preserve">Спирин Илья Александрович</t>
  </si>
  <si>
    <t>spirin@mail</t>
  </si>
  <si>
    <t>01.04.2045</t>
  </si>
  <si>
    <t xml:space="preserve">Гурьева Екатерина Сергеевна</t>
  </si>
  <si>
    <t>24.04.1991</t>
  </si>
  <si>
    <t>gurieva@yandex</t>
  </si>
  <si>
    <t>2045-04-10</t>
  </si>
  <si>
    <t xml:space="preserve">Митрохин Андрей Олегович</t>
  </si>
  <si>
    <t>17.06.1979</t>
  </si>
  <si>
    <t>mitrohin@gmail</t>
  </si>
  <si>
    <t>10.04.2045</t>
  </si>
  <si>
    <t xml:space="preserve">Скоробогатова Мария Павловна</t>
  </si>
  <si>
    <t>06.11.1988</t>
  </si>
  <si>
    <t>skorobogatova@mail</t>
  </si>
  <si>
    <t>01.05.2045</t>
  </si>
  <si>
    <t xml:space="preserve">Чижов Денис Викторович</t>
  </si>
  <si>
    <t>30.07.1983</t>
  </si>
  <si>
    <t>chizhov@yandex</t>
  </si>
  <si>
    <t>2045-05-15</t>
  </si>
  <si>
    <t xml:space="preserve">Лукина Ольга Сергеевна</t>
  </si>
  <si>
    <t>21.10.1975</t>
  </si>
  <si>
    <t>lukina@gmail</t>
  </si>
  <si>
    <t>15.05.2045</t>
  </si>
  <si>
    <t xml:space="preserve">Белоус Илья Алексеевич</t>
  </si>
  <si>
    <t>19.12.1980</t>
  </si>
  <si>
    <t>belous@mail</t>
  </si>
  <si>
    <t>01.06.2045</t>
  </si>
  <si>
    <t xml:space="preserve">Алексеева Екатерина Владимировна</t>
  </si>
  <si>
    <t>08.02.1987</t>
  </si>
  <si>
    <t>2045-06-10</t>
  </si>
  <si>
    <t xml:space="preserve">Постников Андрей Олегович</t>
  </si>
  <si>
    <t>postnikov@gmail</t>
  </si>
  <si>
    <t>10.06.2045</t>
  </si>
  <si>
    <t xml:space="preserve">Кравец Мария Павловна</t>
  </si>
  <si>
    <t>03.05.1976</t>
  </si>
  <si>
    <t>kravets@mail</t>
  </si>
  <si>
    <t>01.07.2045</t>
  </si>
  <si>
    <t xml:space="preserve">Кураев Денис Сергеевич</t>
  </si>
  <si>
    <t>14.08.1985</t>
  </si>
  <si>
    <t>kuraev@yandex</t>
  </si>
  <si>
    <t>2045-07-15</t>
  </si>
  <si>
    <t xml:space="preserve">Абрамова Ольга Владимировна</t>
  </si>
  <si>
    <t>abramova@gmail</t>
  </si>
  <si>
    <t>15.07.2045</t>
  </si>
  <si>
    <t xml:space="preserve">Зайцев Илья Александрович</t>
  </si>
  <si>
    <t>09.01.1974</t>
  </si>
  <si>
    <t>zaytsev@mail</t>
  </si>
  <si>
    <t>01.08.2045</t>
  </si>
  <si>
    <t xml:space="preserve">Горюнова Екатерина Сергеевна</t>
  </si>
  <si>
    <t>2045-08-10</t>
  </si>
  <si>
    <t xml:space="preserve">Пичугин Андрей Олегович</t>
  </si>
  <si>
    <t>05.12.1989</t>
  </si>
  <si>
    <t>pichugin@gmail</t>
  </si>
  <si>
    <t>10.08.2045</t>
  </si>
  <si>
    <t xml:space="preserve">Воронова Мария Павловна</t>
  </si>
  <si>
    <t>23.04.1977</t>
  </si>
  <si>
    <t>voronova@mail</t>
  </si>
  <si>
    <t>01.09.2045</t>
  </si>
  <si>
    <t xml:space="preserve">Балабанов Денис Викторович</t>
  </si>
  <si>
    <t>15.09.1984</t>
  </si>
  <si>
    <t>balabanov@yandex</t>
  </si>
  <si>
    <t>2045-09-15</t>
  </si>
  <si>
    <t xml:space="preserve">Скачкова Ольга Сергеевна</t>
  </si>
  <si>
    <t>28.10.1990</t>
  </si>
  <si>
    <t>15.09.2045</t>
  </si>
  <si>
    <t xml:space="preserve">Лобанов Илья Александрович</t>
  </si>
  <si>
    <t>19.02.1973</t>
  </si>
  <si>
    <t>lobanov@mail</t>
  </si>
  <si>
    <t>01.10.2045</t>
  </si>
  <si>
    <t xml:space="preserve">Хомякова Екатерина Владимировна</t>
  </si>
  <si>
    <t>06.06.1986</t>
  </si>
  <si>
    <t>homyakova@yandex</t>
  </si>
  <si>
    <t>2045-10-10</t>
  </si>
  <si>
    <t xml:space="preserve">Стукалов Андрей Олегович</t>
  </si>
  <si>
    <t>25.12.1981</t>
  </si>
  <si>
    <t>stukalov@gmail</t>
  </si>
  <si>
    <t>10.10.2045</t>
  </si>
  <si>
    <t xml:space="preserve">Морозова Мария Павловна</t>
  </si>
  <si>
    <t>16.08.1975</t>
  </si>
  <si>
    <t>morozova@mail</t>
  </si>
  <si>
    <t>01.11.2045</t>
  </si>
  <si>
    <t xml:space="preserve">Кутузов Денис Сергеевич</t>
  </si>
  <si>
    <t>07.03.1992</t>
  </si>
  <si>
    <t>kutuzov@yandex</t>
  </si>
  <si>
    <t>2045-11-15</t>
  </si>
  <si>
    <t xml:space="preserve">Федотова Ольга Владимировна</t>
  </si>
  <si>
    <t>19.10.1983</t>
  </si>
  <si>
    <t>fedotova@gmail</t>
  </si>
  <si>
    <t>15.11.2045</t>
  </si>
  <si>
    <t xml:space="preserve">Воробьев Илья Александрович</t>
  </si>
  <si>
    <t>22.07.1978</t>
  </si>
  <si>
    <t>vorobyev@mail</t>
  </si>
  <si>
    <t>01.12.2045</t>
  </si>
  <si>
    <t xml:space="preserve">Селиванова Екатерина Сергеевна</t>
  </si>
  <si>
    <t>11.09.1988</t>
  </si>
  <si>
    <t>selivanova@yandex</t>
  </si>
  <si>
    <t>2045-12-10</t>
  </si>
  <si>
    <t xml:space="preserve">Третьяков Андрей Олегович</t>
  </si>
  <si>
    <t>14.05.1971</t>
  </si>
  <si>
    <t>tretyakov@gmail</t>
  </si>
  <si>
    <t>10.12.2045</t>
  </si>
  <si>
    <t xml:space="preserve">Решетникова Мария Павловна</t>
  </si>
  <si>
    <t>reshetnikova@mail</t>
  </si>
  <si>
    <t>01.01.2046</t>
  </si>
  <si>
    <t xml:space="preserve">Попков Денис Викторович</t>
  </si>
  <si>
    <t>18.06.1990</t>
  </si>
  <si>
    <t>popkov@yandex</t>
  </si>
  <si>
    <t>2046-01-15</t>
  </si>
  <si>
    <t xml:space="preserve">Шевцова Ольга Сергеевна</t>
  </si>
  <si>
    <t>24.08.1977</t>
  </si>
  <si>
    <t>shevtsova@gmail</t>
  </si>
  <si>
    <t>15.01.2046</t>
  </si>
  <si>
    <t xml:space="preserve">Казаков Илья Александрович</t>
  </si>
  <si>
    <t>09.01.1983</t>
  </si>
  <si>
    <t>kazakov@mail</t>
  </si>
  <si>
    <t>01.02.2046</t>
  </si>
  <si>
    <t xml:space="preserve">Кречетова Екатерина Владимировна</t>
  </si>
  <si>
    <t>16.11.1991</t>
  </si>
  <si>
    <t>krechetova@yandex</t>
  </si>
  <si>
    <t>2046-02-10</t>
  </si>
  <si>
    <t xml:space="preserve">Алёшин Андрей Олегович</t>
  </si>
  <si>
    <t>03.12.1972</t>
  </si>
  <si>
    <t>aleshin@gmail</t>
  </si>
  <si>
    <t>10.02.2046</t>
  </si>
  <si>
    <t xml:space="preserve">Парфёнова Мария Павловна</t>
  </si>
  <si>
    <t>27.07.1986</t>
  </si>
  <si>
    <t>parfyonova@mail</t>
  </si>
  <si>
    <t>01.03.2046</t>
  </si>
  <si>
    <t xml:space="preserve">Гаврилов Денис Сергеевич</t>
  </si>
  <si>
    <t>gavrilov@yandex</t>
  </si>
  <si>
    <t>2046-03-15</t>
  </si>
  <si>
    <t xml:space="preserve">Корчагина Ольга Владимировна</t>
  </si>
  <si>
    <t>13.10.1984</t>
  </si>
  <si>
    <t>korchagina@gmail</t>
  </si>
  <si>
    <t>15.03.2046</t>
  </si>
  <si>
    <t xml:space="preserve">Гуляева Екатерина Александровна</t>
  </si>
  <si>
    <t>21.05.1974</t>
  </si>
  <si>
    <t>gulyaeva@mail</t>
  </si>
  <si>
    <t>01.04.2046</t>
  </si>
  <si>
    <t xml:space="preserve">Бережной Илья Викторович</t>
  </si>
  <si>
    <t>08.08.1982</t>
  </si>
  <si>
    <t>berezhnoy@yandex</t>
  </si>
  <si>
    <t>2046-04-10</t>
  </si>
  <si>
    <t xml:space="preserve">Булатова Мария Олеговна</t>
  </si>
  <si>
    <t>bulatova@gmail</t>
  </si>
  <si>
    <t>10.04.2046</t>
  </si>
  <si>
    <t xml:space="preserve">Капустин Андрей Павлович</t>
  </si>
  <si>
    <t>29.09.1975</t>
  </si>
  <si>
    <t>kapustin@mail</t>
  </si>
  <si>
    <t>01.05.2046</t>
  </si>
  <si>
    <t>03.12.1981</t>
  </si>
  <si>
    <t>2046-05-15</t>
  </si>
  <si>
    <t xml:space="preserve">Барсуков Денис Викторович</t>
  </si>
  <si>
    <t>19.01.1987</t>
  </si>
  <si>
    <t>barsukov@gmail</t>
  </si>
  <si>
    <t>15.05.2046</t>
  </si>
  <si>
    <t xml:space="preserve">Мосина Екатерина Владимировна</t>
  </si>
  <si>
    <t>01.06.2046</t>
  </si>
  <si>
    <t xml:space="preserve">Вершинин Илья Александрович</t>
  </si>
  <si>
    <t>24.06.1978</t>
  </si>
  <si>
    <t>vershinin@yandex</t>
  </si>
  <si>
    <t>2046-06-10</t>
  </si>
  <si>
    <t xml:space="preserve">Волова Мария Павловна</t>
  </si>
  <si>
    <t>15.04.1984</t>
  </si>
  <si>
    <t>volova@gmail</t>
  </si>
  <si>
    <t>10.06.2046</t>
  </si>
  <si>
    <t xml:space="preserve">Мезенцев Андрей Олегович</t>
  </si>
  <si>
    <t>mezencev@mail</t>
  </si>
  <si>
    <t>01.07.2046</t>
  </si>
  <si>
    <t xml:space="preserve">Аксенова Ольга Сергеевна</t>
  </si>
  <si>
    <t>07.12.1973</t>
  </si>
  <si>
    <t>aksenova@yandex</t>
  </si>
  <si>
    <t>2046-07-15</t>
  </si>
  <si>
    <t xml:space="preserve">Смолин Денис Павлович</t>
  </si>
  <si>
    <t>19.05.1986</t>
  </si>
  <si>
    <t>smolin@gmail</t>
  </si>
  <si>
    <t>15.07.2046</t>
  </si>
  <si>
    <t xml:space="preserve">Сергиенко Екатерина Владимировна</t>
  </si>
  <si>
    <t>04.11.1990</t>
  </si>
  <si>
    <t>sergienko@mail</t>
  </si>
  <si>
    <t>01.08.2046</t>
  </si>
  <si>
    <t xml:space="preserve">Брусницын Илья Александрович</t>
  </si>
  <si>
    <t>08.10.1981</t>
  </si>
  <si>
    <t>brusnitsyn@yandex</t>
  </si>
  <si>
    <t>2046-08-10</t>
  </si>
  <si>
    <t xml:space="preserve">Виноградова Мария Павловна</t>
  </si>
  <si>
    <t>17.03.1975</t>
  </si>
  <si>
    <t>vinogradova@gmail</t>
  </si>
  <si>
    <t>10.08.2046</t>
  </si>
  <si>
    <t xml:space="preserve">Грачев Андрей Олегович</t>
  </si>
  <si>
    <t>23.07.1988</t>
  </si>
  <si>
    <t>grachev@mail</t>
  </si>
  <si>
    <t>01.09.2046</t>
  </si>
  <si>
    <t xml:space="preserve">Тимофеева Ольга Сергеевна</t>
  </si>
  <si>
    <t>21.01.1983</t>
  </si>
  <si>
    <t>timofeeva@yandex</t>
  </si>
  <si>
    <t>2046-09-15</t>
  </si>
  <si>
    <t xml:space="preserve">Смирнов Денис Викторович</t>
  </si>
  <si>
    <t>14.12.1976</t>
  </si>
  <si>
    <t>smirnov@gmail</t>
  </si>
  <si>
    <t>15.09.2046</t>
  </si>
  <si>
    <t xml:space="preserve">Ерохина Екатерина Владимировна</t>
  </si>
  <si>
    <t>03.04.1984</t>
  </si>
  <si>
    <t>erohina@mail</t>
  </si>
  <si>
    <t>01.10.2046</t>
  </si>
  <si>
    <t xml:space="preserve">Пелевин Илья Александрович</t>
  </si>
  <si>
    <t>06.08.1991</t>
  </si>
  <si>
    <t>pelevin@yandex</t>
  </si>
  <si>
    <t>2046-10-10</t>
  </si>
  <si>
    <t xml:space="preserve">Кирсанова Мария Павловна</t>
  </si>
  <si>
    <t>kirsanova@gmail</t>
  </si>
  <si>
    <t>10.10.2046</t>
  </si>
  <si>
    <t xml:space="preserve">Белозеров Андрей Олегович</t>
  </si>
  <si>
    <t>16.09.1986</t>
  </si>
  <si>
    <t>belozerov@mail</t>
  </si>
  <si>
    <t>01.11.2046</t>
  </si>
  <si>
    <t xml:space="preserve">Пучкова Ольга Сергеевна</t>
  </si>
  <si>
    <t>29.11.1992</t>
  </si>
  <si>
    <t>puchkova@yandex</t>
  </si>
  <si>
    <t>2046-11-15</t>
  </si>
  <si>
    <t xml:space="preserve">Костин Денис Павлович</t>
  </si>
  <si>
    <t>12.10.1978</t>
  </si>
  <si>
    <t>15.11.2046</t>
  </si>
  <si>
    <t xml:space="preserve">Попова Екатерина Владимировна</t>
  </si>
  <si>
    <t>24.08.1982</t>
  </si>
  <si>
    <t>01.12.2046</t>
  </si>
  <si>
    <t xml:space="preserve">Сазонов Илья Александрович</t>
  </si>
  <si>
    <t>07.12.1989</t>
  </si>
  <si>
    <t>sazonov@yandex</t>
  </si>
  <si>
    <t>2046-12-10</t>
  </si>
  <si>
    <t xml:space="preserve">Кузьменко Андрей Олегович</t>
  </si>
  <si>
    <t>05.05.1977</t>
  </si>
  <si>
    <t>kuzmenko@gmail</t>
  </si>
  <si>
    <t>10.12.2046</t>
  </si>
  <si>
    <t xml:space="preserve">Герасимов Денис Викторович</t>
  </si>
  <si>
    <t>gerasimov@mail</t>
  </si>
  <si>
    <t>01.01.2047</t>
  </si>
  <si>
    <t xml:space="preserve">Михайлова Ольга Сергеевна</t>
  </si>
  <si>
    <t>27.03.1990</t>
  </si>
  <si>
    <t>mihaylova@yandex</t>
  </si>
  <si>
    <t>2047-01-15</t>
  </si>
  <si>
    <t xml:space="preserve">Чеботарева Мария Павловна</t>
  </si>
  <si>
    <t>03.08.1974</t>
  </si>
  <si>
    <t>chebotareva@gmail</t>
  </si>
  <si>
    <t>15.01.2047</t>
  </si>
  <si>
    <t xml:space="preserve">Стрелков Андрей Олегович</t>
  </si>
  <si>
    <t>12.06.1983</t>
  </si>
  <si>
    <t>01.02.2047</t>
  </si>
  <si>
    <t xml:space="preserve">Доброва Екатерина Владимировна</t>
  </si>
  <si>
    <t>19.10.1988</t>
  </si>
  <si>
    <t>dobrova@yandex</t>
  </si>
  <si>
    <t>2047-02-10</t>
  </si>
  <si>
    <t xml:space="preserve">Калачев Илья Александрович</t>
  </si>
  <si>
    <t>04.07.1973</t>
  </si>
  <si>
    <t>kalachev@gmail</t>
  </si>
  <si>
    <t>10.02.2047</t>
  </si>
  <si>
    <t xml:space="preserve">Пахомова Мария Павловна</t>
  </si>
  <si>
    <t>23.12.1980</t>
  </si>
  <si>
    <t>pahomova@mail</t>
  </si>
  <si>
    <t>01.03.2047</t>
  </si>
  <si>
    <t xml:space="preserve">Усков Денис Сергеевич</t>
  </si>
  <si>
    <t>09.05.1986</t>
  </si>
  <si>
    <t>uskov@yandex</t>
  </si>
  <si>
    <t>2047-03-15</t>
  </si>
  <si>
    <t xml:space="preserve">Кудрявцева Ольга Владимировна</t>
  </si>
  <si>
    <t>11.09.1991</t>
  </si>
  <si>
    <t>kudryavtseva@gmail</t>
  </si>
  <si>
    <t>15.03.2047</t>
  </si>
  <si>
    <t xml:space="preserve">Миллер Андрей Олегович</t>
  </si>
  <si>
    <t>18.01.1976</t>
  </si>
  <si>
    <t>miller@mail</t>
  </si>
  <si>
    <t>01.04.2047</t>
  </si>
  <si>
    <t xml:space="preserve">Степанова Екатерина Сергеевна</t>
  </si>
  <si>
    <t>06.07.1984</t>
  </si>
  <si>
    <t>2047-04-10</t>
  </si>
  <si>
    <t xml:space="preserve">Прокопьев Илья Александрович</t>
  </si>
  <si>
    <t>01.03.1982</t>
  </si>
  <si>
    <t>prokopyev@gmail</t>
  </si>
  <si>
    <t>10.04.2047</t>
  </si>
  <si>
    <t xml:space="preserve">Игнатьева Мария Павловна</t>
  </si>
  <si>
    <t>24.08.1978</t>
  </si>
  <si>
    <t>ignatieva@mail</t>
  </si>
  <si>
    <t>01.05.2047</t>
  </si>
  <si>
    <t xml:space="preserve">Сидоров Денис Викторович</t>
  </si>
  <si>
    <t>17.12.1987</t>
  </si>
  <si>
    <t>sidorov@yandex</t>
  </si>
  <si>
    <t>2047-05-15</t>
  </si>
  <si>
    <t xml:space="preserve">Петрова Ольга Сергеевна</t>
  </si>
  <si>
    <t>28.11.1972</t>
  </si>
  <si>
    <t>15.05.2047</t>
  </si>
  <si>
    <t xml:space="preserve">Ларионов Андрей Олегович</t>
  </si>
  <si>
    <t>22.05.1983</t>
  </si>
  <si>
    <t>larionov@mail</t>
  </si>
  <si>
    <t>01.06.2047</t>
  </si>
  <si>
    <t xml:space="preserve">Зубова Екатерина Владимировна</t>
  </si>
  <si>
    <t>14.07.1990</t>
  </si>
  <si>
    <t>zubova@yandex</t>
  </si>
  <si>
    <t>2047-06-10</t>
  </si>
  <si>
    <t xml:space="preserve">Киреев Денис Сергеевич</t>
  </si>
  <si>
    <t>08.09.1975</t>
  </si>
  <si>
    <t>kireev@gmail</t>
  </si>
  <si>
    <t>10.06.2047</t>
  </si>
  <si>
    <t xml:space="preserve">Крупнова Мария Павловна</t>
  </si>
  <si>
    <t>26.03.1981</t>
  </si>
  <si>
    <t>krupnova@mail</t>
  </si>
  <si>
    <t>01.07.2047</t>
  </si>
  <si>
    <t xml:space="preserve">Масленников Илья Александрович</t>
  </si>
  <si>
    <t>30.10.1986</t>
  </si>
  <si>
    <t>maslennikov@yandex</t>
  </si>
  <si>
    <t>2047-07-15</t>
  </si>
  <si>
    <t xml:space="preserve">Широкова Ольга Сергеевна</t>
  </si>
  <si>
    <t>17.12.1991</t>
  </si>
  <si>
    <t>15.07.2047</t>
  </si>
  <si>
    <t xml:space="preserve">Рубцов Андрей Олегович</t>
  </si>
  <si>
    <t>11.08.1976</t>
  </si>
  <si>
    <t>rubtsov@mail</t>
  </si>
  <si>
    <t>01.08.2047</t>
  </si>
  <si>
    <t xml:space="preserve">Ковалева Екатерина Владимировна</t>
  </si>
  <si>
    <t>02.06.1984</t>
  </si>
  <si>
    <t>kovaleva@yandex</t>
  </si>
  <si>
    <t>2047-08-10</t>
  </si>
  <si>
    <t xml:space="preserve">Чижиков Илья Александрович</t>
  </si>
  <si>
    <t>19.11.1988</t>
  </si>
  <si>
    <t>chizhikov@gmail</t>
  </si>
  <si>
    <t>10.08.2047</t>
  </si>
  <si>
    <t xml:space="preserve">Борзова Мария Павловна</t>
  </si>
  <si>
    <t>borzova@mail</t>
  </si>
  <si>
    <t>01.09.2047</t>
  </si>
  <si>
    <t xml:space="preserve">Трофимов Денис Викторович</t>
  </si>
  <si>
    <t>27.03.1985</t>
  </si>
  <si>
    <t>trofimov@yandex</t>
  </si>
  <si>
    <t>2047-09-15</t>
  </si>
  <si>
    <t xml:space="preserve">Кузьмичева Ольга Сергеевна</t>
  </si>
  <si>
    <t>05.07.1992</t>
  </si>
  <si>
    <t>kuzmicheva@gmail</t>
  </si>
  <si>
    <t>15.09.2047</t>
  </si>
  <si>
    <t xml:space="preserve">Голованов Андрей Олегович</t>
  </si>
  <si>
    <t>24.02.1973</t>
  </si>
  <si>
    <t>golovanov@mail</t>
  </si>
  <si>
    <t>01.10.2047</t>
  </si>
  <si>
    <t xml:space="preserve">Гущин Илья Александрович</t>
  </si>
  <si>
    <t>15.12.1981</t>
  </si>
  <si>
    <t>guschin@yandex</t>
  </si>
  <si>
    <t>2047-10-10</t>
  </si>
  <si>
    <t xml:space="preserve">Кашкаева Екатерина Владимировна</t>
  </si>
  <si>
    <t>21.08.1987</t>
  </si>
  <si>
    <t>kashkaeva@gmail</t>
  </si>
  <si>
    <t>10.10.2047</t>
  </si>
  <si>
    <t xml:space="preserve">Лобачева Мария Павловна</t>
  </si>
  <si>
    <t>07.10.1977</t>
  </si>
  <si>
    <t>lobacheva@mail</t>
  </si>
  <si>
    <t>01.11.2047</t>
  </si>
  <si>
    <t xml:space="preserve">Ершов Денис Сергеевич</t>
  </si>
  <si>
    <t>30.11.1990</t>
  </si>
  <si>
    <t>ershov@yandex</t>
  </si>
  <si>
    <t>2047-11-15</t>
  </si>
  <si>
    <t xml:space="preserve">Петухова Ольга Сергеевна</t>
  </si>
  <si>
    <t>16.05.1983</t>
  </si>
  <si>
    <t>petuhova@gmail</t>
  </si>
  <si>
    <t>15.11.2047</t>
  </si>
  <si>
    <t xml:space="preserve">Козлов Андрей Олегович</t>
  </si>
  <si>
    <t>09.01.1978</t>
  </si>
  <si>
    <t>kozlov@mail</t>
  </si>
  <si>
    <t>01.12.2047</t>
  </si>
  <si>
    <t xml:space="preserve">Волкова Екатерина Владимировна</t>
  </si>
  <si>
    <t>24.07.1985</t>
  </si>
  <si>
    <t>2047-12-10</t>
  </si>
  <si>
    <t xml:space="preserve">Коробков Илья Александрович</t>
  </si>
  <si>
    <t>12.09.1992</t>
  </si>
  <si>
    <t>korobkov@gmail</t>
  </si>
  <si>
    <t>10.12.2047</t>
  </si>
  <si>
    <t xml:space="preserve">Родионова Мария Павловна</t>
  </si>
  <si>
    <t>18.12.1976</t>
  </si>
  <si>
    <t>rodionova@mail</t>
  </si>
  <si>
    <t>01.01.2048</t>
  </si>
  <si>
    <t xml:space="preserve">Кириллов Денис Викторович</t>
  </si>
  <si>
    <t>03.11.1981</t>
  </si>
  <si>
    <t>kirillov@yandex</t>
  </si>
  <si>
    <t>2048-01-15</t>
  </si>
  <si>
    <t xml:space="preserve">Жукова Ольга Сергеевна</t>
  </si>
  <si>
    <t>25.06.1989</t>
  </si>
  <si>
    <t>zhukova@gmail</t>
  </si>
  <si>
    <t>15.01.2048</t>
  </si>
  <si>
    <t xml:space="preserve">Чесноков Андрей Олегович</t>
  </si>
  <si>
    <t>15.03.1975</t>
  </si>
  <si>
    <t>chesnokov@mail</t>
  </si>
  <si>
    <t>01.02.2048</t>
  </si>
  <si>
    <t xml:space="preserve">Дьякова Екатерина Владимировна</t>
  </si>
  <si>
    <t>05.07.1982</t>
  </si>
  <si>
    <t>dyakova@yandex</t>
  </si>
  <si>
    <t>2048-02-10</t>
  </si>
  <si>
    <t xml:space="preserve">Лесин Илья Александрович</t>
  </si>
  <si>
    <t>27.10.1990</t>
  </si>
  <si>
    <t>lesin@gmail</t>
  </si>
  <si>
    <t>10.02.2048</t>
  </si>
  <si>
    <t xml:space="preserve">Матвеева Мария Павловна</t>
  </si>
  <si>
    <t>matveeva@mail</t>
  </si>
  <si>
    <t>01.03.2048</t>
  </si>
  <si>
    <t xml:space="preserve">Смирнова Ольга Сергеевна</t>
  </si>
  <si>
    <t>22.04.1973</t>
  </si>
  <si>
    <t>smirnova@yandex</t>
  </si>
  <si>
    <t>2048-03-15</t>
  </si>
  <si>
    <t xml:space="preserve">Букин Денис Викторович</t>
  </si>
  <si>
    <t>bukin@gmail</t>
  </si>
  <si>
    <t>15.03.2048</t>
  </si>
  <si>
    <t xml:space="preserve">Стрельцова Екатерина Владимировна</t>
  </si>
  <si>
    <t>02.02.1991</t>
  </si>
  <si>
    <t>streltsova@mail</t>
  </si>
  <si>
    <t>01.04.2048</t>
  </si>
  <si>
    <t xml:space="preserve">Марков Андрей Олегович</t>
  </si>
  <si>
    <t>28.05.1987</t>
  </si>
  <si>
    <t>markov@yandex</t>
  </si>
  <si>
    <t>2048-04-10</t>
  </si>
  <si>
    <t xml:space="preserve">Позднякова Мария Павловна</t>
  </si>
  <si>
    <t>19.06.1975</t>
  </si>
  <si>
    <t>pozdnyakova@gmail</t>
  </si>
  <si>
    <t>10.04.2048</t>
  </si>
  <si>
    <t xml:space="preserve">Левченко Денис Сергеевич</t>
  </si>
  <si>
    <t>levchenko@mail</t>
  </si>
  <si>
    <t>01.05.2048</t>
  </si>
  <si>
    <t>15.11.1989</t>
  </si>
  <si>
    <t>2048-05-15</t>
  </si>
  <si>
    <t xml:space="preserve">Севастьянов Илья Александрович</t>
  </si>
  <si>
    <t>22.03.1976</t>
  </si>
  <si>
    <t>sevastyanov@gmail</t>
  </si>
  <si>
    <t>15.05.2048</t>
  </si>
  <si>
    <t xml:space="preserve">Кузьмина Екатерина Сергеевна</t>
  </si>
  <si>
    <t>12.09.1984</t>
  </si>
  <si>
    <t>kuzmina@mail</t>
  </si>
  <si>
    <t>01.06.2048</t>
  </si>
  <si>
    <t xml:space="preserve">Матвеев Андрей Олегович</t>
  </si>
  <si>
    <t>27.06.1991</t>
  </si>
  <si>
    <t>matveev@yandex</t>
  </si>
  <si>
    <t>2048-06-10</t>
  </si>
  <si>
    <t xml:space="preserve">Удальцова Мария Павловна</t>
  </si>
  <si>
    <t>20.01.1977</t>
  </si>
  <si>
    <t>udaltsova@gmail</t>
  </si>
  <si>
    <t>10.06.2048</t>
  </si>
  <si>
    <t xml:space="preserve">Хабаров Денис Викторович</t>
  </si>
  <si>
    <t>16.12.1985</t>
  </si>
  <si>
    <t>01.07.2048</t>
  </si>
  <si>
    <t xml:space="preserve">Гуренкова Ольга Сергеевна</t>
  </si>
  <si>
    <t>28.05.1980</t>
  </si>
  <si>
    <t>gurenkova@yandex</t>
  </si>
  <si>
    <t>2048-07-15</t>
  </si>
  <si>
    <t xml:space="preserve">Щепин Илья Александрович</t>
  </si>
  <si>
    <t>02.10.1974</t>
  </si>
  <si>
    <t>schepin@gmail</t>
  </si>
  <si>
    <t>15.07.2048</t>
  </si>
  <si>
    <t xml:space="preserve">Ахметова Екатерина Владимировна</t>
  </si>
  <si>
    <t>11.07.1986</t>
  </si>
  <si>
    <t>ahmetova@mail</t>
  </si>
  <si>
    <t>01.08.2048</t>
  </si>
  <si>
    <t xml:space="preserve">Кузьмин Денис Павлович</t>
  </si>
  <si>
    <t>18.08.1992</t>
  </si>
  <si>
    <t>kuzmin@yandex</t>
  </si>
  <si>
    <t>2048-08-10</t>
  </si>
  <si>
    <t xml:space="preserve">Кирпичева Ольга Сергеевна</t>
  </si>
  <si>
    <t>04.03.1978</t>
  </si>
  <si>
    <t>kirpicheva@gmail</t>
  </si>
  <si>
    <t>10.08.2048</t>
  </si>
  <si>
    <t xml:space="preserve">Ефимов Андрей Олегович</t>
  </si>
  <si>
    <t>24.11.1983</t>
  </si>
  <si>
    <t>efimov@mail</t>
  </si>
  <si>
    <t>01.09.2048</t>
  </si>
  <si>
    <t xml:space="preserve">Светлова Мария Павловна</t>
  </si>
  <si>
    <t>08.12.1989</t>
  </si>
  <si>
    <t>svetlova@yandex</t>
  </si>
  <si>
    <t>2048-09-15</t>
  </si>
  <si>
    <t xml:space="preserve">Тихомиров Денис Сергеевич</t>
  </si>
  <si>
    <t>17.09.1975</t>
  </si>
  <si>
    <t>tihomirov@gmail</t>
  </si>
  <si>
    <t>15.09.2048</t>
  </si>
  <si>
    <t xml:space="preserve">Козыренко Ольга Владимировна</t>
  </si>
  <si>
    <t>28.04.1984</t>
  </si>
  <si>
    <t>kozyrenko@mail</t>
  </si>
  <si>
    <t>01.10.2048</t>
  </si>
  <si>
    <t xml:space="preserve">Чистякова Екатерина Сергеевна</t>
  </si>
  <si>
    <t>14.10.1991</t>
  </si>
  <si>
    <t>chistyakova@yandex</t>
  </si>
  <si>
    <t>2048-10-10</t>
  </si>
  <si>
    <t xml:space="preserve">Караваев Илья Александрович</t>
  </si>
  <si>
    <t>03.02.1976</t>
  </si>
  <si>
    <t>karavaev@gmail</t>
  </si>
  <si>
    <t>10.10.2048</t>
  </si>
  <si>
    <t xml:space="preserve">Бородина Мария Павловна</t>
  </si>
  <si>
    <t>25.07.1982</t>
  </si>
  <si>
    <t>borodina@mail</t>
  </si>
  <si>
    <t>01.11.2048</t>
  </si>
  <si>
    <t xml:space="preserve">Стрелков Денис Викторович</t>
  </si>
  <si>
    <t>05.01.1987</t>
  </si>
  <si>
    <t>strelkov@yandex</t>
  </si>
  <si>
    <t>2048-11-15</t>
  </si>
  <si>
    <t xml:space="preserve">Киселева Ольга Сергеевна</t>
  </si>
  <si>
    <t>12.08.1972</t>
  </si>
  <si>
    <t>15.11.2048</t>
  </si>
  <si>
    <t>09.12.1985</t>
  </si>
  <si>
    <t>gusev@mail</t>
  </si>
  <si>
    <t>01.12.2048</t>
  </si>
  <si>
    <t xml:space="preserve">Федосеева Екатерина Владимировна</t>
  </si>
  <si>
    <t>16.04.1990</t>
  </si>
  <si>
    <t>fedoseeva@yandex</t>
  </si>
  <si>
    <t>2048-12-10</t>
  </si>
  <si>
    <t xml:space="preserve">Балашов Илья Александрович</t>
  </si>
  <si>
    <t>06.06.1974</t>
  </si>
  <si>
    <t>balashov@gmail</t>
  </si>
  <si>
    <t>10.12.2048</t>
  </si>
  <si>
    <t xml:space="preserve">Панова Мария Павловна</t>
  </si>
  <si>
    <t>30.10.1981</t>
  </si>
  <si>
    <t>panova@mail</t>
  </si>
  <si>
    <t>01.01.2049</t>
  </si>
  <si>
    <t xml:space="preserve">Сафонов Денис Сергеевич</t>
  </si>
  <si>
    <t>21.09.1988</t>
  </si>
  <si>
    <t>safonov@yandex</t>
  </si>
  <si>
    <t>2049-01-15</t>
  </si>
  <si>
    <t xml:space="preserve">Кузьмина Ольга Владимировна</t>
  </si>
  <si>
    <t>15.01.2049</t>
  </si>
  <si>
    <t xml:space="preserve">Мандрыка Андрей Олегович</t>
  </si>
  <si>
    <t>09.02.1985</t>
  </si>
  <si>
    <t>mandryka@mail</t>
  </si>
  <si>
    <t>01.02.2049</t>
  </si>
  <si>
    <t xml:space="preserve">Варламова Екатерина Сергеевна</t>
  </si>
  <si>
    <t>01.05.1992</t>
  </si>
  <si>
    <t>varlamova@yandex</t>
  </si>
  <si>
    <t>2049-02-10</t>
  </si>
  <si>
    <t xml:space="preserve">Просвирнин Илья Александрович</t>
  </si>
  <si>
    <t>19.11.1973</t>
  </si>
  <si>
    <t>prosvirnin@gmail</t>
  </si>
  <si>
    <t>10.02.2049</t>
  </si>
  <si>
    <t xml:space="preserve">Анищенко Мария Павловна</t>
  </si>
  <si>
    <t>01.03.2049</t>
  </si>
  <si>
    <t xml:space="preserve">Романенко Денис Викторович</t>
  </si>
  <si>
    <t>07.03.1983</t>
  </si>
  <si>
    <t>romanenko@yandex</t>
  </si>
  <si>
    <t>2049-03-15</t>
  </si>
  <si>
    <t xml:space="preserve">Сергеева Ольга Сергеевна</t>
  </si>
  <si>
    <t>11.12.1991</t>
  </si>
  <si>
    <t>sergeeva@gmail</t>
  </si>
  <si>
    <t>15.03.2049</t>
  </si>
  <si>
    <t xml:space="preserve">Долгов Андрей Олегович</t>
  </si>
  <si>
    <t>29.04.1976</t>
  </si>
  <si>
    <t>dolgov@mail</t>
  </si>
  <si>
    <t>01.04.2049</t>
  </si>
  <si>
    <t xml:space="preserve">Костина Екатерина Владимировна</t>
  </si>
  <si>
    <t>2049-04-10</t>
  </si>
  <si>
    <t xml:space="preserve">Скворцов Илья Александрович</t>
  </si>
  <si>
    <t>08.08.1989</t>
  </si>
  <si>
    <t>skvortsov@gmail</t>
  </si>
  <si>
    <t>10.04.2049</t>
  </si>
  <si>
    <t xml:space="preserve">Копылова Мария Павловна</t>
  </si>
  <si>
    <t>24.06.1975</t>
  </si>
  <si>
    <t>kopylova@mail</t>
  </si>
  <si>
    <t>01.05.2049</t>
  </si>
  <si>
    <t xml:space="preserve">Харитонов Денис Сергеевич</t>
  </si>
  <si>
    <t>13.01.1986</t>
  </si>
  <si>
    <t>haritonov@yandex</t>
  </si>
  <si>
    <t>2049-05-15</t>
  </si>
  <si>
    <t xml:space="preserve">Александрова Ольга Владимировна</t>
  </si>
  <si>
    <t>27.05.1990</t>
  </si>
  <si>
    <t>15.05.2049</t>
  </si>
  <si>
    <t xml:space="preserve">Стрельцов Андрей Олегович</t>
  </si>
  <si>
    <t>19.09.1981</t>
  </si>
  <si>
    <t>streltsov@mail</t>
  </si>
  <si>
    <t>01.06.2049</t>
  </si>
  <si>
    <t xml:space="preserve">Бугрова Екатерина Сергеевна</t>
  </si>
  <si>
    <t>04.07.1987</t>
  </si>
  <si>
    <t>bugrova@yandex</t>
  </si>
  <si>
    <t>2049-06-10</t>
  </si>
  <si>
    <t xml:space="preserve">Чумак Илья Александрович</t>
  </si>
  <si>
    <t>12.11.1972</t>
  </si>
  <si>
    <t>chumak@gmail</t>
  </si>
  <si>
    <t>10.06.2049</t>
  </si>
  <si>
    <t>21.03.1984</t>
  </si>
  <si>
    <t>mayorova@mail</t>
  </si>
  <si>
    <t>01.07.2049</t>
  </si>
  <si>
    <t xml:space="preserve">Крылов Денис Викторович</t>
  </si>
  <si>
    <t>20.12.1992</t>
  </si>
  <si>
    <t>krylov@yandex</t>
  </si>
  <si>
    <t>2049-07-15</t>
  </si>
  <si>
    <t xml:space="preserve">Королева Ольга Сергеевна</t>
  </si>
  <si>
    <t>28.08.1978</t>
  </si>
  <si>
    <t>koroleva@gmail</t>
  </si>
  <si>
    <t>15.07.2049</t>
  </si>
  <si>
    <t xml:space="preserve">Кузьмин Андрей Олегович</t>
  </si>
  <si>
    <t>17.10.1985</t>
  </si>
  <si>
    <t>01.08.2049</t>
  </si>
  <si>
    <t xml:space="preserve">Егорова Екатерина Владимировна</t>
  </si>
  <si>
    <t>06.12.1991</t>
  </si>
  <si>
    <t>egorova@yandex</t>
  </si>
  <si>
    <t>2049-08-10</t>
  </si>
  <si>
    <t xml:space="preserve">Пешехонов Илья Александрович</t>
  </si>
  <si>
    <t>15.07.1973</t>
  </si>
  <si>
    <t>peshehonov@gmail</t>
  </si>
  <si>
    <t>10.08.2049</t>
  </si>
  <si>
    <t xml:space="preserve">Терёхина Мария Павловна</t>
  </si>
  <si>
    <t>23.04.1980</t>
  </si>
  <si>
    <t>teryohina@mail</t>
  </si>
  <si>
    <t>01.09.2049</t>
  </si>
  <si>
    <t xml:space="preserve">Белоусов Денис Сергеевич</t>
  </si>
  <si>
    <t>14.09.1989</t>
  </si>
  <si>
    <t>belousov@yandex</t>
  </si>
  <si>
    <t>2049-09-15</t>
  </si>
  <si>
    <t xml:space="preserve">Бабушкина Ольга Владимировна</t>
  </si>
  <si>
    <t>31.05.1976</t>
  </si>
  <si>
    <t>babushkina@gmail</t>
  </si>
  <si>
    <t>15.09.2049</t>
  </si>
  <si>
    <t xml:space="preserve">Толстых Андрей Олегович</t>
  </si>
  <si>
    <t>10.08.1984</t>
  </si>
  <si>
    <t>tolstyh@mail</t>
  </si>
  <si>
    <t>01.10.2049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</si>
</sst>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1">
    <numFmt numFmtId="160" formatCode="dd\.mm\.yyyy"/>
  </numFmts>
  <fonts count="16">
    <font>
      <sz val="11.000000"/>
      <color theme="1"/>
      <name val="Calibri"/>
    </font>
    <font>
      <sz val="10.000000"/>
      <name val="Arial"/>
    </font>
    <font>
      <b/>
      <sz val="16.000000"/>
      <color rgb="FF1F4E78"/>
      <name val="Arial"/>
    </font>
    <font>
      <i/>
      <sz val="9.000000"/>
      <color rgb="FF7F7F7F"/>
      <name val="Arial"/>
    </font>
    <font>
      <b/>
      <sz val="12.000000"/>
      <color rgb="FF1F4E78"/>
      <name val="Arial"/>
    </font>
    <font>
      <b/>
      <sz val="10.000000"/>
      <name val="Arial"/>
    </font>
    <font>
      <b/>
      <sz val="13.000000"/>
      <color rgb="FF1F4E78"/>
      <name val="Arial"/>
    </font>
    <font>
      <b/>
      <sz val="9.000000"/>
      <color indexed="65"/>
      <name val="Arial"/>
    </font>
    <font>
      <sz val="9.000000"/>
      <name val="Arial"/>
    </font>
    <font>
      <b/>
      <sz val="9.000000"/>
      <name val="Arial"/>
    </font>
    <font>
      <b/>
      <sz val="9.000000"/>
      <color rgb="FF9C0006"/>
      <name val="Arial"/>
    </font>
    <font>
      <sz val="9.000000"/>
      <color rgb="FF9C0006"/>
      <name val="Arial"/>
    </font>
    <font>
      <b/>
      <sz val="14.000000"/>
      <color rgb="FF1F4E78"/>
      <name val="Arial"/>
    </font>
    <font>
      <b/>
      <sz val="11.000000"/>
      <color rgb="FF1F4E78"/>
      <name val="Arial"/>
    </font>
    <font>
      <b/>
      <sz val="10.000000"/>
      <color indexed="65"/>
      <name val="Arial"/>
    </font>
    <font>
      <sz val="9.000000"/>
      <name val="Consolas"/>
    </font>
  </fonts>
  <fills count="8">
    <fill>
      <patternFill patternType="none"/>
    </fill>
    <fill>
      <patternFill patternType="gray125"/>
    </fill>
    <fill>
      <patternFill patternType="solid">
        <fgColor rgb="FF1F4E78"/>
        <bgColor indexed="56"/>
      </patternFill>
    </fill>
    <fill>
      <patternFill patternType="solid">
        <fgColor rgb="FFF2F2F2"/>
        <bgColor rgb="FFE2EFDA"/>
      </patternFill>
    </fill>
    <fill>
      <patternFill patternType="solid">
        <fgColor rgb="FFFFF2CC"/>
        <bgColor rgb="FFF2F2F2"/>
      </patternFill>
    </fill>
    <fill>
      <patternFill patternType="solid">
        <fgColor rgb="FFE2EFDA"/>
        <bgColor rgb="FFDDEBF7"/>
      </patternFill>
    </fill>
    <fill>
      <patternFill patternType="solid">
        <fgColor rgb="FFFFC7CE"/>
        <bgColor rgb="FFFFC7CE"/>
      </patternFill>
    </fill>
    <fill>
      <patternFill patternType="solid">
        <fgColor rgb="FFDDEBF7"/>
        <bgColor rgb="FFE2EFDA"/>
      </patternFill>
    </fill>
  </fills>
  <borders count="5">
    <border>
      <left style="none"/>
      <right style="none"/>
      <top style="none"/>
      <bottom style="none"/>
      <diagonal style="none"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 style="none"/>
    </border>
    <border>
      <left style="thin">
        <color rgb="FFB7B7B7"/>
      </left>
      <right style="thin">
        <color rgb="FFB7B7B7"/>
      </right>
      <top style="thin">
        <color rgb="FFB7B7B7"/>
      </top>
      <bottom style="none"/>
      <diagonal style="none"/>
    </border>
    <border>
      <left style="thin">
        <color rgb="FFB7B7B7"/>
      </left>
      <right style="thin">
        <color rgb="FFB7B7B7"/>
      </right>
      <top style="none"/>
      <bottom style="none"/>
      <diagonal style="none"/>
    </border>
    <border>
      <left style="thin">
        <color rgb="FFB7B7B7"/>
      </left>
      <right style="thin">
        <color rgb="FFB7B7B7"/>
      </right>
      <top style="none"/>
      <bottom style="thin">
        <color rgb="FFB7B7B7"/>
      </bottom>
      <diagonal style="none"/>
    </border>
  </borders>
  <cellStyleXfs count="6">
    <xf fontId="0" fillId="0" borderId="0" numFmtId="0" applyNumberFormat="1" applyFont="1" applyFill="1" applyBorder="1" applyProtection="1">
      <protection hidden="0" locked="1"/>
    </xf>
    <xf fontId="1" fillId="0" borderId="0" numFmtId="43" applyNumberFormat="1" applyFont="1" applyFill="1" applyBorder="0" applyProtection="0"/>
    <xf fontId="1" fillId="0" borderId="0" numFmtId="41" applyNumberFormat="1" applyFont="1" applyFill="1" applyBorder="0" applyProtection="0"/>
    <xf fontId="1" fillId="0" borderId="0" numFmtId="44" applyNumberFormat="1" applyFont="1" applyFill="1" applyBorder="0" applyProtection="0"/>
    <xf fontId="1" fillId="0" borderId="0" numFmtId="42" applyNumberFormat="1" applyFont="1" applyFill="1" applyBorder="0" applyProtection="0"/>
    <xf fontId="1" fillId="0" borderId="0" numFmtId="9" applyNumberFormat="1" applyFont="1" applyFill="1" applyBorder="0" applyProtection="0"/>
  </cellStyleXfs>
  <cellXfs count="36">
    <xf fontId="0" fillId="0" borderId="0" numFmtId="0" xfId="0" applyProtection="0">
      <protection hidden="0" locked="1"/>
    </xf>
    <xf fontId="0" fillId="0" borderId="0" numFmtId="0" xfId="0" applyProtection="0">
      <protection hidden="0" locked="1"/>
    </xf>
    <xf fontId="2" fillId="0" borderId="0" numFmtId="0" xfId="0" applyFont="1" applyProtection="0">
      <protection hidden="0" locked="1"/>
    </xf>
    <xf fontId="3" fillId="0" borderId="0" numFmtId="0" xfId="0" applyFont="1" applyAlignment="1" applyProtection="0">
      <alignment vertical="top" wrapText="1"/>
      <protection hidden="0" locked="1"/>
    </xf>
    <xf fontId="4" fillId="0" borderId="0" numFmtId="0" xfId="0" applyFont="1" applyProtection="0">
      <protection hidden="0" locked="1"/>
    </xf>
    <xf fontId="5" fillId="0" borderId="0" numFmtId="0" xfId="0" applyFont="1" applyAlignment="1" applyProtection="0">
      <alignment vertical="top" wrapText="1"/>
      <protection hidden="0" locked="1"/>
    </xf>
    <xf fontId="1" fillId="0" borderId="0" numFmtId="0" xfId="0" applyFont="1" applyAlignment="1" applyProtection="0">
      <alignment vertical="top" wrapText="1"/>
      <protection hidden="0" locked="1"/>
    </xf>
    <xf fontId="5" fillId="0" borderId="0" numFmtId="0" xfId="0" applyFont="1" applyProtection="0">
      <protection hidden="0" locked="1"/>
    </xf>
    <xf fontId="6" fillId="0" borderId="0" numFmtId="0" xfId="0" applyFont="1" applyProtection="0">
      <protection hidden="0" locked="1"/>
    </xf>
    <xf fontId="7" fillId="2" borderId="1" numFmtId="0" xfId="0" applyFont="1" applyFill="1" applyBorder="1" applyAlignment="1" applyProtection="0">
      <alignment horizontal="center" vertical="center" wrapText="1"/>
      <protection hidden="0" locked="1"/>
    </xf>
    <xf fontId="8" fillId="0" borderId="1" numFmtId="0" xfId="0" applyFont="1" applyBorder="1" applyProtection="0">
      <protection hidden="0" locked="1"/>
    </xf>
    <xf fontId="8" fillId="3" borderId="1" numFmtId="0" xfId="0" applyFont="1" applyFill="1" applyBorder="1" applyProtection="0">
      <protection hidden="0" locked="1"/>
    </xf>
    <xf fontId="8" fillId="4" borderId="1" numFmtId="0" xfId="0" applyFont="1" applyFill="1" applyBorder="1" applyProtection="0">
      <protection hidden="0" locked="1"/>
    </xf>
    <xf fontId="8" fillId="5" borderId="1" numFmtId="0" xfId="0" applyFont="1" applyFill="1" applyBorder="1" applyProtection="0">
      <protection hidden="0" locked="1"/>
    </xf>
    <xf fontId="8" fillId="5" borderId="1" numFmtId="4" xfId="0" applyNumberFormat="1" applyFont="1" applyFill="1" applyBorder="1" applyProtection="0">
      <protection hidden="0" locked="1"/>
    </xf>
    <xf fontId="9" fillId="0" borderId="0" numFmtId="0" xfId="0" applyFont="1" applyProtection="0">
      <protection hidden="0" locked="1"/>
    </xf>
    <xf fontId="3" fillId="0" borderId="0" numFmtId="0" xfId="0" applyFont="1" applyProtection="0">
      <protection hidden="0" locked="1"/>
    </xf>
    <xf fontId="10" fillId="6" borderId="1" numFmtId="0" xfId="0" applyFont="1" applyFill="1" applyBorder="1" applyAlignment="1" applyProtection="0">
      <alignment horizontal="center" vertical="center" wrapText="1"/>
      <protection hidden="0" locked="1"/>
    </xf>
    <xf fontId="11" fillId="6" borderId="1" numFmtId="0" xfId="0" applyFont="1" applyFill="1" applyBorder="1" applyProtection="0">
      <protection hidden="0" locked="1"/>
    </xf>
    <xf fontId="8" fillId="5" borderId="1" numFmtId="160" xfId="0" applyNumberFormat="1" applyFont="1" applyFill="1" applyBorder="1" applyProtection="0">
      <protection hidden="0" locked="1"/>
    </xf>
    <xf fontId="8" fillId="7" borderId="1" numFmtId="4" xfId="0" applyNumberFormat="1" applyFont="1" applyFill="1" applyBorder="1" applyProtection="0">
      <protection hidden="0" locked="1"/>
    </xf>
    <xf fontId="8" fillId="7" borderId="1" numFmtId="0" xfId="0" applyFont="1" applyFill="1" applyBorder="1" applyProtection="0">
      <protection hidden="0" locked="1"/>
    </xf>
    <xf fontId="12" fillId="0" borderId="0" numFmtId="0" xfId="0" applyFont="1" applyProtection="0">
      <protection hidden="0" locked="1"/>
    </xf>
    <xf fontId="13" fillId="0" borderId="0" numFmtId="0" xfId="0" applyFont="1" applyProtection="0">
      <protection hidden="0" locked="1"/>
    </xf>
    <xf fontId="14" fillId="2" borderId="1" numFmtId="0" xfId="0" applyFont="1" applyFill="1" applyBorder="1" applyAlignment="1" applyProtection="0">
      <alignment horizontal="center" vertical="center" wrapText="1"/>
      <protection hidden="0" locked="1"/>
    </xf>
    <xf fontId="1" fillId="0" borderId="1" numFmtId="0" xfId="0" applyFont="1" applyBorder="1" applyProtection="0">
      <protection hidden="0" locked="1"/>
    </xf>
    <xf fontId="1" fillId="7" borderId="1" numFmtId="0" xfId="0" applyFont="1" applyFill="1" applyBorder="1" applyProtection="0">
      <protection hidden="0" locked="1"/>
    </xf>
    <xf fontId="1" fillId="0" borderId="1" numFmtId="0" xfId="0" applyFont="1" applyBorder="1" applyAlignment="1" applyProtection="0">
      <alignment horizontal="center" vertical="center" wrapText="1"/>
      <protection hidden="0" locked="1"/>
    </xf>
    <xf fontId="1" fillId="4" borderId="1" numFmtId="0" xfId="0" applyFont="1" applyFill="1" applyBorder="1" applyProtection="0">
      <protection hidden="0" locked="1"/>
    </xf>
    <xf fontId="5" fillId="0" borderId="1" numFmtId="0" xfId="0" applyFont="1" applyBorder="1" applyAlignment="1" applyProtection="0">
      <alignment horizontal="center" vertical="center" wrapText="1"/>
      <protection hidden="0" locked="1"/>
    </xf>
    <xf fontId="1" fillId="5" borderId="1" numFmtId="0" xfId="0" applyFont="1" applyFill="1" applyBorder="1" applyProtection="0">
      <protection hidden="0" locked="1"/>
    </xf>
    <xf fontId="1" fillId="0" borderId="1" numFmtId="3" xfId="0" applyNumberFormat="1" applyFont="1" applyBorder="1" applyAlignment="1" applyProtection="0">
      <alignment horizontal="center" vertical="center" wrapText="1"/>
      <protection hidden="0" locked="1"/>
    </xf>
    <xf fontId="1" fillId="0" borderId="0" numFmtId="0" xfId="0" applyFont="1" applyProtection="0">
      <protection hidden="0" locked="1"/>
    </xf>
    <xf fontId="15" fillId="3" borderId="2" numFmtId="0" xfId="0" applyFont="1" applyFill="1" applyBorder="1" applyProtection="0">
      <protection hidden="0" locked="1"/>
    </xf>
    <xf fontId="15" fillId="3" borderId="3" numFmtId="0" xfId="0" applyFont="1" applyFill="1" applyBorder="1" applyProtection="0">
      <protection hidden="0" locked="1"/>
    </xf>
    <xf fontId="15" fillId="3" borderId="4" numFmtId="0" xfId="0" applyFont="1" applyFill="1" applyBorder="1" applyProtection="0">
      <protection hidden="0" locked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7" Type="http://schemas.openxmlformats.org/officeDocument/2006/relationships/styles" Target="styles.xml"/><Relationship  Id="rId15" Type="http://schemas.openxmlformats.org/officeDocument/2006/relationships/theme" Target="theme/theme1.xml"/><Relationship  Id="rId11" Type="http://schemas.openxmlformats.org/officeDocument/2006/relationships/worksheet" Target="worksheets/sheet9.xml"/><Relationship  Id="rId16" Type="http://schemas.openxmlformats.org/officeDocument/2006/relationships/sharedStrings" Target="sharedStrings.xml"/><Relationship  Id="rId10" Type="http://schemas.openxmlformats.org/officeDocument/2006/relationships/worksheet" Target="worksheets/sheet8.xml"/><Relationship  Id="rId7" Type="http://schemas.openxmlformats.org/officeDocument/2006/relationships/worksheet" Target="worksheets/sheet5.xml"/><Relationship  Id="rId14" Type="http://schemas.openxmlformats.org/officeDocument/2006/relationships/worksheet" Target="worksheets/sheet12.xml"/><Relationship  Id="rId6" Type="http://schemas.openxmlformats.org/officeDocument/2006/relationships/worksheet" Target="worksheets/sheet4.xml"/><Relationship  Id="rId13" Type="http://schemas.openxmlformats.org/officeDocument/2006/relationships/worksheet" Target="worksheets/sheet11.xml"/><Relationship  Id="rId5" Type="http://schemas.openxmlformats.org/officeDocument/2006/relationships/worksheet" Target="worksheets/sheet3.xml"/><Relationship  Id="rId9" Type="http://schemas.openxmlformats.org/officeDocument/2006/relationships/worksheet" Target="worksheets/sheet7.xml"/><Relationship  Id="rId4" Type="http://schemas.openxmlformats.org/officeDocument/2006/relationships/worksheet" Target="worksheets/sheet2.xml"/><Relationship  Id="rId8" Type="http://schemas.openxmlformats.org/officeDocument/2006/relationships/worksheet" Target="worksheets/sheet6.xml"/><Relationship  Id="rId3" Type="http://schemas.openxmlformats.org/officeDocument/2006/relationships/worksheet" Target="worksheets/sheet1.xml"/><Relationship  Id="rId12" Type="http://schemas.openxmlformats.org/officeDocument/2006/relationships/worksheet" Target="worksheets/sheet10.xml"/><Relationship  Id="rId2" Type="http://schemas.microsoft.com/office/2017/10/relationships/person" Target="persons/person.xml"/><Relationship  Id="rId1" Type="http://schemas.onlyoffice.com/jsaProject" Target="jsaProject.bin"/></Relationships>
</file>

<file path=xl/charts/_rels/chart1.xml.rels><?xml version="1.0" encoding="UTF-8" standalone="yes"?><Relationships xmlns="http://schemas.openxmlformats.org/package/2006/relationships"></Relationships>
</file>

<file path=xl/charts/_rels/chart2.xml.rels><?xml version="1.0" encoding="UTF-8" standalone="yes"?><Relationships xmlns="http://schemas.openxmlformats.org/package/2006/relationships"></Relationships>
</file>

<file path=xl/charts/_rels/chart3.xml.rels><?xml version="1.0" encoding="UTF-8" standalone="yes"?><Relationships xmlns="http://schemas.openxmlformats.org/package/2006/relationships"></Relationships>
</file>

<file path=xl/charts/_rels/chart4.xml.rels><?xml version="1.0" encoding="UTF-8" standalone="yes"?><Relationships xmlns="http://schemas.openxmlformats.org/package/2006/relationships"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mc="http://schemas.openxmlformats.org/markup-compatibility/2006" xmlns:c15="http://schemas.microsoft.com/office/drawing/2012/chart" xmlns:c14="http://schemas.microsoft.com/office/drawing/2007/8/2/chart" xmlns:c16r2="http://schemas.microsoft.com/office/drawing/2015/06/chart">
  <c:date1904 val="0"/>
  <c:lang val="en-US"/>
  <c:roundedCorners val="0"/>
  <mc:AlternateContent>
    <mc:Choice Requires="c14">
      <c14:style val="102"/>
    </mc:Choice>
    <mc:Fallback>
      <c:style val="2"/>
    </mc:Fallback>
  </mc:AlternateContent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Строки до и после очистки</a:t>
            </a:r>
            <a:endParaRPr/>
          </a:p>
        </c:rich>
      </c:tx>
      <c:layout/>
      <c:overlay val="0"/>
      <c:spPr bwMode="auto">
        <a:prstGeom prst="rect">
          <a:avLst/>
        </a:prstGeom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Итоговый_отчёт!B5</c:f>
              <c:strCache>
                <c:ptCount val="1"/>
                <c:pt idx="0">
                  <c:v xml:space="preserve">Строк до очистки</c:v>
                </c:pt>
              </c:strCache>
            </c:strRef>
          </c:tx>
          <c:spPr bwMode="auto">
            <a:prstGeom prst="rect">
              <a:avLst/>
            </a:prstGeom>
            <a:solidFill>
              <a:srgbClr val="4F81BD"/>
            </a:solidFill>
            <a:ln w="0">
              <a:noFill/>
            </a:ln>
          </c:spPr>
          <c:invertIfNegative val="0"/>
          <c:dLbls>
            <c:dLblPos val="outEnd"/>
            <c:separator xml:space="preserve">; </c:separator>
            <c:showBubbleSize val="0"/>
            <c:showCatName val="0"/>
            <c:showLeaderLines val="1"/>
            <c:showLegendKey val="0"/>
            <c:showPercent val="0"/>
            <c:showSerName val="0"/>
            <c:showVal val="0"/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/>
              </a:p>
            </c:txPr>
          </c:dLbls>
          <c:cat>
            <c:strRef>
              <c:f>Итоговый_отчёт!$A$6:$A$9</c:f>
              <c:strCache>
                <c:ptCount val="4"/>
                <c:pt idx="0">
                  <c:v>Товары</c:v>
                </c:pt>
                <c:pt idx="1">
                  <c:v>Поставщики</c:v>
                </c:pt>
                <c:pt idx="2">
                  <c:v>Продажи</c:v>
                </c:pt>
                <c:pt idx="3">
                  <c:v>Клиенты</c:v>
                </c:pt>
              </c:strCache>
            </c:strRef>
          </c:cat>
          <c:val>
            <c:numRef>
              <c:f>Итоговый_отчёт!$B$6:$B$9</c:f>
              <c:numCache>
                <c:formatCode>General</c:formatCode>
                <c:ptCount val="4"/>
                <c:pt idx="0">
                  <c:v>501</c:v>
                </c:pt>
                <c:pt idx="1">
                  <c:v>50</c:v>
                </c:pt>
                <c:pt idx="2">
                  <c:v>1000</c:v>
                </c:pt>
                <c:pt idx="3">
                  <c:v>1000</c:v>
                </c:pt>
              </c:numCache>
            </c:numRef>
          </c:val>
        </c:ser>
        <c:ser>
          <c:idx val="1"/>
          <c:order val="1"/>
          <c:tx>
            <c:strRef>
              <c:f>Итоговый_отчёт!C5</c:f>
              <c:strCache>
                <c:ptCount val="1"/>
                <c:pt idx="0">
                  <c:v xml:space="preserve">Строк после очистки</c:v>
                </c:pt>
              </c:strCache>
            </c:strRef>
          </c:tx>
          <c:spPr bwMode="auto">
            <a:prstGeom prst="rect">
              <a:avLst/>
            </a:prstGeom>
            <a:solidFill>
              <a:srgbClr val="C0504D"/>
            </a:solidFill>
            <a:ln w="0">
              <a:noFill/>
            </a:ln>
          </c:spPr>
          <c:invertIfNegative val="0"/>
          <c:dLbls>
            <c:dLblPos val="outEnd"/>
            <c:separator xml:space="preserve">; </c:separator>
            <c:showBubbleSize val="0"/>
            <c:showCatName val="0"/>
            <c:showLeaderLines val="1"/>
            <c:showLegendKey val="0"/>
            <c:showPercent val="0"/>
            <c:showSerName val="0"/>
            <c:showVal val="0"/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/>
              </a:p>
            </c:txPr>
          </c:dLbls>
          <c:cat>
            <c:strRef>
              <c:f>Итоговый_отчёт!$A$6:$A$9</c:f>
              <c:strCache>
                <c:ptCount val="4"/>
                <c:pt idx="0">
                  <c:v>Товары</c:v>
                </c:pt>
                <c:pt idx="1">
                  <c:v>Поставщики</c:v>
                </c:pt>
                <c:pt idx="2">
                  <c:v>Продажи</c:v>
                </c:pt>
                <c:pt idx="3">
                  <c:v>Клиенты</c:v>
                </c:pt>
              </c:strCache>
            </c:strRef>
          </c:cat>
          <c:val>
            <c:numRef>
              <c:f>Итоговый_отчёт!$C$6:$C$9</c:f>
              <c:numCache>
                <c:formatCode>General</c:formatCode>
                <c:ptCount val="4"/>
                <c:pt idx="0">
                  <c:v>501</c:v>
                </c:pt>
                <c:pt idx="1">
                  <c:v>50</c:v>
                </c:pt>
                <c:pt idx="2">
                  <c:v>1000</c:v>
                </c:pt>
                <c:pt idx="3">
                  <c:v>1000</c:v>
                </c:pt>
              </c:numCache>
            </c:numRef>
          </c:val>
        </c:ser>
        <c:dLbls>
          <c:showBubbleSize val="0"/>
          <c:showCatName val="0"/>
          <c:showLeaderLines val="0"/>
          <c:showLegendKey val="0"/>
          <c:showPercent val="0"/>
          <c:showSerName val="0"/>
          <c:showVal val="0"/>
        </c:dLbls>
        <c:gapWidth val="150"/>
        <c:overlap val="0"/>
        <c:axId val="69492325"/>
        <c:axId val="97414635"/>
      </c:barChart>
      <c:catAx>
        <c:axId val="69492325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Файл</a:t>
                </a:r>
                <a:endParaRPr/>
              </a:p>
            </c:rich>
          </c:tx>
          <c:layout/>
          <c:overlay val="0"/>
          <c:spPr bwMode="auto">
            <a:prstGeom prst="rect">
              <a:avLst/>
            </a:prstGeom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 bwMode="auto">
          <a:prstGeom prst="rect">
            <a:avLst/>
          </a:prstGeom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/>
          </a:p>
        </c:txPr>
        <c:crossAx val="97414635"/>
        <c:crosses val="autoZero"/>
        <c:auto val="1"/>
        <c:lblAlgn val="ctr"/>
        <c:lblOffset val="100"/>
        <c:noMultiLvlLbl val="0"/>
      </c:catAx>
      <c:valAx>
        <c:axId val="97414635"/>
        <c:scaling>
          <c:orientation val="minMax"/>
        </c:scaling>
        <c:delete val="0"/>
        <c:axPos val="l"/>
        <c:majorGridlines>
          <c:spPr bwMode="auto">
            <a:prstGeom prst="rect">
              <a:avLst/>
            </a:prstGeom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Кол-во строк</a:t>
                </a:r>
                <a:endParaRPr/>
              </a:p>
            </c:rich>
          </c:tx>
          <c:layout/>
          <c:overlay val="0"/>
          <c:spPr bwMode="auto">
            <a:prstGeom prst="rect">
              <a:avLst/>
            </a:prstGeom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 bwMode="auto">
          <a:prstGeom prst="rect">
            <a:avLst/>
          </a:prstGeom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/>
          </a:p>
        </c:txPr>
        <c:crossAx val="69492325"/>
        <c:crosses val="autoZero"/>
        <c:crossBetween val="between"/>
      </c:valAx>
      <c:spPr bwMode="auto">
        <a:prstGeom prst="rect">
          <a:avLst/>
        </a:prstGeom>
        <a:noFill/>
        <a:ln w="0">
          <a:noFill/>
        </a:ln>
      </c:spPr>
    </c:plotArea>
    <c:legend>
      <c:legendPos val="r"/>
      <c:layout/>
      <c:overlay val="0"/>
      <c:spPr bwMode="auto">
        <a:prstGeom prst="rect">
          <a:avLst/>
        </a:prstGeom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/>
        </a:p>
      </c:txPr>
    </c:legend>
    <c:plotVisOnly val="1"/>
    <c:dispBlanksAs val="gap"/>
    <c:showDLblsOverMax val="0"/>
  </c:chart>
  <c:spPr bwMode="auto">
    <a:xfrm>
      <a:off x="7237080" y="569160"/>
      <a:ext cx="5759280" cy="2879280"/>
    </a:xfrm>
    <a:prstGeom prst="rect">
      <a:avLst/>
    </a:prstGeom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mc="http://schemas.openxmlformats.org/markup-compatibility/2006" xmlns:c15="http://schemas.microsoft.com/office/drawing/2012/chart" xmlns:c14="http://schemas.microsoft.com/office/drawing/2007/8/2/chart" xmlns:c16r2="http://schemas.microsoft.com/office/drawing/2015/06/chart">
  <c:date1904 val="0"/>
  <c:lang val="en-US"/>
  <c:roundedCorners val="0"/>
  <mc:AlternateContent>
    <mc:Choice Requires="c14">
      <c14:style val="102"/>
    </mc:Choice>
    <mc:Fallback>
      <c:style val="2"/>
    </mc:Fallback>
  </mc:AlternateContent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Ошибки по типам</a:t>
            </a:r>
            <a:endParaRPr/>
          </a:p>
        </c:rich>
      </c:tx>
      <c:layout/>
      <c:overlay val="0"/>
      <c:spPr bwMode="auto">
        <a:prstGeom prst="rect">
          <a:avLst/>
        </a:prstGeom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 bwMode="auto">
            <a:prstGeom prst="rect">
              <a:avLst/>
            </a:prstGeom>
            <a:solidFill>
              <a:srgbClr val="4F81BD"/>
            </a:solidFill>
            <a:ln w="0">
              <a:noFill/>
            </a:ln>
          </c:spPr>
          <c:invertIfNegative val="0"/>
          <c:dLbls>
            <c:dLblPos val="outEnd"/>
            <c:separator xml:space="preserve">; </c:separator>
            <c:showBubbleSize val="0"/>
            <c:showCatName val="0"/>
            <c:showLeaderLines val="1"/>
            <c:showLegendKey val="0"/>
            <c:showPercent val="0"/>
            <c:showSerName val="0"/>
            <c:showVal val="0"/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/>
              </a:p>
            </c:txPr>
          </c:dLbls>
          <c:cat>
            <c:strRef>
              <c:f>Итоговый_отчёт!$A$13:$A$19</c:f>
              <c:strCache>
                <c:ptCount val="7"/>
                <c:pt idx="0">
                  <c:v xml:space="preserve">Некорректный ИНН</c:v>
                </c:pt>
                <c:pt idx="1">
                  <c:v xml:space="preserve">Некорректный Email</c:v>
                </c:pt>
                <c:pt idx="2">
                  <c:v xml:space="preserve">Некорректный Email</c:v>
                </c:pt>
                <c:pt idx="3">
                  <c:v xml:space="preserve">Ошибка даты рождения (возраст)</c:v>
                </c:pt>
                <c:pt idx="4">
                  <c:v xml:space="preserve">Ошибка телефона</c:v>
                </c:pt>
                <c:pt idx="5">
                  <c:v xml:space="preserve">Ошибка цены (розница&lt;закупки)</c:v>
                </c:pt>
                <c:pt idx="6">
                  <c:v xml:space="preserve">Неизвестный статус</c:v>
                </c:pt>
              </c:strCache>
            </c:strRef>
          </c:cat>
          <c:val>
            <c:numRef>
              <c:f>Итоговый_отчёт!$C$13:$C$19</c:f>
              <c:numCache>
                <c:formatCode>General</c:formatCode>
                <c:ptCount val="7"/>
                <c:pt idx="0">
                  <c:v>16</c:v>
                </c:pt>
                <c:pt idx="1">
                  <c:v>46</c:v>
                </c:pt>
                <c:pt idx="2">
                  <c:v>998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</c:ser>
        <c:dLbls>
          <c:showBubbleSize val="0"/>
          <c:showCatName val="0"/>
          <c:showLeaderLines val="0"/>
          <c:showLegendKey val="0"/>
          <c:showPercent val="0"/>
          <c:showSerName val="0"/>
          <c:showVal val="0"/>
        </c:dLbls>
        <c:gapWidth val="150"/>
        <c:overlap val="0"/>
        <c:axId val="98354675"/>
        <c:axId val="90047844"/>
      </c:barChart>
      <c:catAx>
        <c:axId val="98354675"/>
        <c:scaling>
          <c:orientation val="minMax"/>
        </c:scaling>
        <c:delete val="0"/>
        <c:axPos val="l"/>
        <c:numFmt formatCode="General" sourceLinked="0"/>
        <c:majorTickMark val="none"/>
        <c:minorTickMark val="none"/>
        <c:tickLblPos val="nextTo"/>
        <c:spPr bwMode="auto">
          <a:prstGeom prst="rect">
            <a:avLst/>
          </a:prstGeom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/>
          </a:p>
        </c:txPr>
        <c:crossAx val="90047844"/>
        <c:crosses val="autoZero"/>
        <c:auto val="1"/>
        <c:lblAlgn val="ctr"/>
        <c:lblOffset val="100"/>
        <c:noMultiLvlLbl val="0"/>
      </c:catAx>
      <c:valAx>
        <c:axId val="90047844"/>
        <c:scaling>
          <c:orientation val="minMax"/>
        </c:scaling>
        <c:delete val="0"/>
        <c:axPos val="b"/>
        <c:majorGridlines>
          <c:spPr bwMode="auto">
            <a:prstGeom prst="rect">
              <a:avLst/>
            </a:prstGeom>
            <a:ln w="9360">
              <a:solidFill>
                <a:srgbClr val="878787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 bwMode="auto">
          <a:prstGeom prst="rect">
            <a:avLst/>
          </a:prstGeom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/>
          </a:p>
        </c:txPr>
        <c:crossAx val="98354675"/>
        <c:crosses val="autoZero"/>
        <c:crossBetween val="between"/>
      </c:valAx>
      <c:spPr bwMode="auto">
        <a:prstGeom prst="rect">
          <a:avLst/>
        </a:prstGeom>
        <a:noFill/>
        <a:ln w="0">
          <a:noFill/>
        </a:ln>
      </c:spPr>
    </c:plotArea>
    <c:plotVisOnly val="1"/>
    <c:dispBlanksAs val="gap"/>
    <c:showDLblsOverMax val="0"/>
  </c:chart>
  <c:spPr bwMode="auto">
    <a:xfrm>
      <a:off x="7237080" y="3998160"/>
      <a:ext cx="5759280" cy="3239280"/>
    </a:xfrm>
    <a:prstGeom prst="rect">
      <a:avLst/>
    </a:prstGeom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mc="http://schemas.openxmlformats.org/markup-compatibility/2006" xmlns:c15="http://schemas.microsoft.com/office/drawing/2012/chart" xmlns:c14="http://schemas.microsoft.com/office/drawing/2007/8/2/chart" xmlns:c16r2="http://schemas.microsoft.com/office/drawing/2015/06/chart">
  <c:date1904 val="0"/>
  <c:lang val="en-US"/>
  <c:roundedCorners val="0"/>
  <mc:AlternateContent>
    <mc:Choice Requires="c14">
      <c14:style val="102"/>
    </mc:Choice>
    <mc:Fallback>
      <c:style val="2"/>
    </mc:Fallback>
  </mc:AlternateContent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Распределение статусов</a:t>
            </a:r>
            <a:endParaRPr/>
          </a:p>
        </c:rich>
      </c:tx>
      <c:layout/>
      <c:overlay val="0"/>
      <c:spPr bwMode="auto">
        <a:prstGeom prst="rect">
          <a:avLst/>
        </a:prstGeom>
        <a:noFill/>
        <a:ln w="0">
          <a:noFill/>
        </a:ln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Итоговый_отчёт!B26</c:f>
              <c:strCache>
                <c:ptCount val="1"/>
                <c:pt idx="0">
                  <c:v>Количество</c:v>
                </c:pt>
              </c:strCache>
            </c:strRef>
          </c:tx>
          <c:spPr bwMode="auto">
            <a:prstGeom prst="rect">
              <a:avLst/>
            </a:prstGeom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 bwMode="auto">
              <a:prstGeom prst="rect">
                <a:avLst/>
              </a:prstGeom>
              <a:solidFill>
                <a:srgbClr val="4F81BD"/>
              </a:solidFill>
              <a:ln w="0">
                <a:noFill/>
              </a:ln>
            </c:spPr>
          </c:dPt>
          <c:dPt>
            <c:idx val="1"/>
            <c:spPr bwMode="auto">
              <a:prstGeom prst="rect">
                <a:avLst/>
              </a:prstGeom>
              <a:solidFill>
                <a:srgbClr val="C0504D"/>
              </a:solidFill>
              <a:ln w="0">
                <a:noFill/>
              </a:ln>
            </c:spPr>
          </c:dPt>
          <c:dPt>
            <c:idx val="2"/>
            <c:spPr bwMode="auto">
              <a:prstGeom prst="rect">
                <a:avLst/>
              </a:prstGeom>
              <a:solidFill>
                <a:srgbClr val="9BBB59"/>
              </a:solidFill>
              <a:ln w="0">
                <a:noFill/>
              </a:ln>
            </c:spPr>
          </c:dPt>
          <c:dLbls>
            <c:dLbl>
              <c:idx val="0"/>
              <c:dLblPos val="bestFit"/>
              <c:layout/>
              <c:separator xml:space="preserve">; </c:separator>
              <c:showBubbleSize val="0"/>
              <c:showCatName val="0"/>
              <c:showLegendKey val="0"/>
              <c:showPercent val="0"/>
              <c:showSerName val="0"/>
              <c:showVal val="0"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/>
                </a:p>
              </c:txPr>
            </c:dLbl>
            <c:dLbl>
              <c:idx val="1"/>
              <c:dLblPos val="bestFit"/>
              <c:layout/>
              <c:separator xml:space="preserve">; </c:separator>
              <c:showBubbleSize val="0"/>
              <c:showCatName val="0"/>
              <c:showLegendKey val="0"/>
              <c:showPercent val="0"/>
              <c:showSerName val="0"/>
              <c:showVal val="0"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/>
                </a:p>
              </c:txPr>
            </c:dLbl>
            <c:dLbl>
              <c:idx val="2"/>
              <c:dLblPos val="bestFit"/>
              <c:layout/>
              <c:separator xml:space="preserve">; </c:separator>
              <c:showBubbleSize val="0"/>
              <c:showCatName val="0"/>
              <c:showLegendKey val="0"/>
              <c:showPercent val="0"/>
              <c:showSerName val="0"/>
              <c:showVal val="0"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/>
                </a:p>
              </c:txPr>
            </c:dLbl>
            <c:dLblPos val="bestFit"/>
            <c:separator xml:space="preserve">; </c:separator>
            <c:showBubbleSize val="0"/>
            <c:showCatName val="0"/>
            <c:showLeaderLines val="1"/>
            <c:showLegendKey val="0"/>
            <c:showPercent val="0"/>
            <c:showSerName val="0"/>
            <c:showVal val="0"/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/>
              </a:p>
            </c:txPr>
          </c:dLbls>
          <c:cat>
            <c:strRef>
              <c:f>Итоговый_отчёт!$A$27:$A$29</c:f>
              <c:strCache>
                <c:ptCount val="3"/>
                <c:pt idx="0">
                  <c:v>Завершен</c:v>
                </c:pt>
                <c:pt idx="1">
                  <c:v>Отменен</c:v>
                </c:pt>
                <c:pt idx="2">
                  <c:v>Возврат</c:v>
                </c:pt>
              </c:strCache>
            </c:strRef>
          </c:cat>
          <c:val>
            <c:numRef>
              <c:f>Итоговый_отчёт!$B$27:$B$29</c:f>
              <c:numCache>
                <c:formatCode>General</c:formatCode>
                <c:ptCount val="3"/>
                <c:pt idx="0">
                  <c:v>539</c:v>
                </c:pt>
                <c:pt idx="1">
                  <c:v>307</c:v>
                </c:pt>
                <c:pt idx="2">
                  <c:v>154</c:v>
                </c:pt>
              </c:numCache>
            </c:numRef>
          </c:val>
        </c:ser>
        <c:dLbls>
          <c:showBubbleSize val="0"/>
          <c:showCatName val="0"/>
          <c:showLeaderLines val="0"/>
          <c:showLegendKey val="0"/>
          <c:showPercent val="0"/>
          <c:showSerName val="0"/>
          <c:showVal val="0"/>
        </c:dLbls>
        <c:firstSliceAng val="0"/>
      </c:pieChart>
      <c:spPr bwMode="auto">
        <a:prstGeom prst="rect">
          <a:avLst/>
        </a:prstGeom>
        <a:noFill/>
        <a:ln w="0">
          <a:noFill/>
        </a:ln>
      </c:spPr>
    </c:plotArea>
    <c:legend>
      <c:legendPos val="r"/>
      <c:layout/>
      <c:overlay val="0"/>
      <c:spPr bwMode="auto">
        <a:prstGeom prst="rect">
          <a:avLst/>
        </a:prstGeom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/>
        </a:p>
      </c:txPr>
    </c:legend>
    <c:plotVisOnly val="1"/>
    <c:dispBlanksAs val="gap"/>
    <c:showDLblsOverMax val="0"/>
  </c:chart>
  <c:spPr bwMode="auto">
    <a:xfrm>
      <a:off x="7237080" y="7808039"/>
      <a:ext cx="4319280" cy="2879280"/>
    </a:xfrm>
    <a:prstGeom prst="rect">
      <a:avLst/>
    </a:prstGeom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mc="http://schemas.openxmlformats.org/markup-compatibility/2006" xmlns:c15="http://schemas.microsoft.com/office/drawing/2012/chart" xmlns:c14="http://schemas.microsoft.com/office/drawing/2007/8/2/chart" xmlns:c16r2="http://schemas.microsoft.com/office/drawing/2015/06/chart">
  <c:date1904 val="0"/>
  <c:lang val="en-US"/>
  <c:roundedCorners val="0"/>
  <mc:AlternateContent>
    <mc:Choice Requires="c14">
      <c14:style val="102"/>
    </mc:Choice>
    <mc:Fallback>
      <c:style val="2"/>
    </mc:Fallback>
  </mc:AlternateContent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Выручка по категориям (завершённые), руб.</a:t>
            </a:r>
            <a:endParaRPr/>
          </a:p>
        </c:rich>
      </c:tx>
      <c:layout/>
      <c:overlay val="0"/>
      <c:spPr bwMode="auto">
        <a:prstGeom prst="rect">
          <a:avLst/>
        </a:prstGeom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Итоговый_отчёт!B32</c:f>
              <c:strCache>
                <c:ptCount val="1"/>
                <c:pt idx="0">
                  <c:v xml:space="preserve">Выручка, руб.</c:v>
                </c:pt>
              </c:strCache>
            </c:strRef>
          </c:tx>
          <c:spPr bwMode="auto">
            <a:prstGeom prst="rect">
              <a:avLst/>
            </a:prstGeom>
            <a:solidFill>
              <a:srgbClr val="4F81BD"/>
            </a:solidFill>
            <a:ln w="0">
              <a:noFill/>
            </a:ln>
          </c:spPr>
          <c:invertIfNegative val="0"/>
          <c:dLbls>
            <c:dLblPos val="outEnd"/>
            <c:separator xml:space="preserve">; </c:separator>
            <c:showBubbleSize val="0"/>
            <c:showCatName val="0"/>
            <c:showLeaderLines val="1"/>
            <c:showLegendKey val="0"/>
            <c:showPercent val="0"/>
            <c:showSerName val="0"/>
            <c:showVal val="0"/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/>
              </a:p>
            </c:txPr>
          </c:dLbls>
          <c:cat>
            <c:strRef>
              <c:f>Итоговый_отчёт!$A$33:$A$40</c:f>
              <c:strCache>
                <c:ptCount val="8"/>
                <c:pt idx="0">
                  <c:v>Смартфоны</c:v>
                </c:pt>
                <c:pt idx="1">
                  <c:v>Ноутбуки</c:v>
                </c:pt>
                <c:pt idx="2">
                  <c:v>Планшеты</c:v>
                </c:pt>
                <c:pt idx="3">
                  <c:v>Телевизоры</c:v>
                </c:pt>
                <c:pt idx="4">
                  <c:v>Наушники</c:v>
                </c:pt>
                <c:pt idx="5">
                  <c:v>Мониторы</c:v>
                </c:pt>
                <c:pt idx="6">
                  <c:v>Аксессуары</c:v>
                </c:pt>
                <c:pt idx="7">
                  <c:v>Часы</c:v>
                </c:pt>
              </c:strCache>
            </c:strRef>
          </c:cat>
          <c:val>
            <c:numRef>
              <c:f>Итоговый_отчёт!$B$33:$B$40</c:f>
              <c:numCache>
                <c:formatCode>#,##0</c:formatCode>
                <c:ptCount val="8"/>
                <c:pt idx="0">
                  <c:v>706450</c:v>
                </c:pt>
                <c:pt idx="1">
                  <c:v>523750</c:v>
                </c:pt>
                <c:pt idx="2">
                  <c:v>468000</c:v>
                </c:pt>
                <c:pt idx="3">
                  <c:v>674300</c:v>
                </c:pt>
                <c:pt idx="4">
                  <c:v>711025</c:v>
                </c:pt>
                <c:pt idx="5">
                  <c:v>683475</c:v>
                </c:pt>
                <c:pt idx="6">
                  <c:v>609475</c:v>
                </c:pt>
                <c:pt idx="7">
                  <c:v>375100</c:v>
                </c:pt>
              </c:numCache>
            </c:numRef>
          </c:val>
        </c:ser>
        <c:dLbls>
          <c:showBubbleSize val="0"/>
          <c:showCatName val="0"/>
          <c:showLeaderLines val="0"/>
          <c:showLegendKey val="0"/>
          <c:showPercent val="0"/>
          <c:showSerName val="0"/>
          <c:showVal val="0"/>
        </c:dLbls>
        <c:gapWidth val="150"/>
        <c:overlap val="0"/>
        <c:axId val="25954114"/>
        <c:axId val="7313100"/>
      </c:barChart>
      <c:catAx>
        <c:axId val="25954114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 bwMode="auto">
          <a:prstGeom prst="rect">
            <a:avLst/>
          </a:prstGeom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/>
          </a:p>
        </c:txPr>
        <c:crossAx val="7313100"/>
        <c:crosses val="autoZero"/>
        <c:auto val="1"/>
        <c:lblAlgn val="ctr"/>
        <c:lblOffset val="100"/>
        <c:noMultiLvlLbl val="0"/>
      </c:catAx>
      <c:valAx>
        <c:axId val="7313100"/>
        <c:scaling>
          <c:orientation val="minMax"/>
        </c:scaling>
        <c:delete val="0"/>
        <c:axPos val="l"/>
        <c:majorGridlines>
          <c:spPr bwMode="auto">
            <a:prstGeom prst="rect">
              <a:avLst/>
            </a:prstGeom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Выручка, руб.</a:t>
                </a:r>
                <a:endParaRPr/>
              </a:p>
            </c:rich>
          </c:tx>
          <c:layout/>
          <c:overlay val="0"/>
          <c:spPr bwMode="auto">
            <a:prstGeom prst="rect">
              <a:avLst/>
            </a:prstGeom>
            <a:noFill/>
            <a:ln w="0">
              <a:noFill/>
            </a:ln>
          </c:spPr>
        </c:title>
        <c:numFmt formatCode="#,##0" sourceLinked="0"/>
        <c:majorTickMark val="none"/>
        <c:minorTickMark val="none"/>
        <c:tickLblPos val="nextTo"/>
        <c:spPr bwMode="auto">
          <a:prstGeom prst="rect">
            <a:avLst/>
          </a:prstGeom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/>
          </a:p>
        </c:txPr>
        <c:crossAx val="25954114"/>
        <c:crosses val="autoZero"/>
        <c:crossBetween val="between"/>
      </c:valAx>
      <c:spPr bwMode="auto">
        <a:prstGeom prst="rect">
          <a:avLst/>
        </a:prstGeom>
        <a:noFill/>
        <a:ln w="0">
          <a:noFill/>
        </a:ln>
      </c:spPr>
    </c:plotArea>
    <c:plotVisOnly val="1"/>
    <c:dispBlanksAs val="gap"/>
    <c:showDLblsOverMax val="0"/>
  </c:chart>
  <c:spPr bwMode="auto">
    <a:xfrm>
      <a:off x="7237080" y="11237040"/>
      <a:ext cx="6479280" cy="3239280"/>
    </a:xfrm>
    <a:prstGeom prst="rect">
      <a:avLst/>
    </a:prstGeom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chart" Target="../charts/chart1.xml" /><Relationship Id="rId2" Type="http://schemas.openxmlformats.org/officeDocument/2006/relationships/chart" Target="../charts/chart2.xml" /><Relationship Id="rId3" Type="http://schemas.openxmlformats.org/officeDocument/2006/relationships/chart" Target="../charts/chart3.xml" /><Relationship Id="rId4" Type="http://schemas.openxmlformats.org/officeDocument/2006/relationships/chart" Target="../charts/chart4.xml" 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twoCellAnchor editAs="oneCell">
    <xdr:from>
      <xdr:col>5</xdr:col>
      <xdr:colOff>0</xdr:colOff>
      <xdr:row>2</xdr:row>
      <xdr:rowOff>131040</xdr:rowOff>
    </xdr:from>
    <xdr:to>
      <xdr:col>14</xdr:col>
      <xdr:colOff>255600</xdr:colOff>
      <xdr:row>17</xdr:row>
      <xdr:rowOff>152640</xdr:rowOff>
    </xdr:to>
    <xdr:graphicFrame>
      <xdr:nvGraphicFramePr>
        <xdr:cNvPr id="0" name="Chart 1"/>
        <xdr:cNvGraphicFramePr>
          <a:graphicFrameLocks xmlns:a="http://schemas.openxmlformats.org/drawingml/2006/main"/>
        </xdr:cNvGraphicFramePr>
      </xdr:nvGraphicFramePr>
      <xdr:xfrm>
        <a:off x="7237080" y="569160"/>
        <a:ext cx="5759280" cy="287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5</xdr:col>
      <xdr:colOff>0</xdr:colOff>
      <xdr:row>20</xdr:row>
      <xdr:rowOff>131040</xdr:rowOff>
    </xdr:from>
    <xdr:to>
      <xdr:col>14</xdr:col>
      <xdr:colOff>255600</xdr:colOff>
      <xdr:row>37</xdr:row>
      <xdr:rowOff>131759</xdr:rowOff>
    </xdr:to>
    <xdr:graphicFrame>
      <xdr:nvGraphicFramePr>
        <xdr:cNvPr id="1" name="Chart 2"/>
        <xdr:cNvGraphicFramePr>
          <a:graphicFrameLocks xmlns:a="http://schemas.openxmlformats.org/drawingml/2006/main"/>
        </xdr:cNvGraphicFramePr>
      </xdr:nvGraphicFramePr>
      <xdr:xfrm>
        <a:off x="7237080" y="3998160"/>
        <a:ext cx="5759280" cy="323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5</xdr:col>
      <xdr:colOff>0</xdr:colOff>
      <xdr:row>40</xdr:row>
      <xdr:rowOff>131040</xdr:rowOff>
    </xdr:from>
    <xdr:to>
      <xdr:col>12</xdr:col>
      <xdr:colOff>38880</xdr:colOff>
      <xdr:row>55</xdr:row>
      <xdr:rowOff>152640</xdr:rowOff>
    </xdr:to>
    <xdr:graphicFrame>
      <xdr:nvGraphicFramePr>
        <xdr:cNvPr id="2" name="Chart 3"/>
        <xdr:cNvGraphicFramePr>
          <a:graphicFrameLocks xmlns:a="http://schemas.openxmlformats.org/drawingml/2006/main"/>
        </xdr:cNvGraphicFramePr>
      </xdr:nvGraphicFramePr>
      <xdr:xfrm>
        <a:off x="7237080" y="7808039"/>
        <a:ext cx="4319280" cy="287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5</xdr:col>
      <xdr:colOff>0</xdr:colOff>
      <xdr:row>58</xdr:row>
      <xdr:rowOff>131040</xdr:rowOff>
    </xdr:from>
    <xdr:to>
      <xdr:col>15</xdr:col>
      <xdr:colOff>364320</xdr:colOff>
      <xdr:row>75</xdr:row>
      <xdr:rowOff>131759</xdr:rowOff>
    </xdr:to>
    <xdr:graphicFrame>
      <xdr:nvGraphicFramePr>
        <xdr:cNvPr id="3" name="Chart 4"/>
        <xdr:cNvGraphicFramePr>
          <a:graphicFrameLocks xmlns:a="http://schemas.openxmlformats.org/drawingml/2006/main"/>
        </xdr:cNvGraphicFramePr>
      </xdr:nvGraphicFramePr>
      <xdr:xfrm>
        <a:off x="7237080" y="11237040"/>
        <a:ext cx="6479280" cy="323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Unknown Author" id="{CF828287-B5E0-61A4-9F9B-8BC1FC440E7F}"/>
</personList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Liberation Sans"/>
        <a:cs typeface="Liberation Sans"/>
      </a:majorFont>
      <a:minorFont>
        <a:latin typeface="Calibri"/>
        <a:ea typeface="Liberation Sans"/>
        <a:cs typeface="Liberation Sans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/>
        </a:gradFill>
      </a:bgFillStyleLst>
    </a:fmtScheme>
  </a:themeElements>
  <a:objectDefaults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L3" personId="{CF828287-B5E0-61A4-9F9B-8BC1FC440E7F}" id="{00920041-005F-412B-83EA-00990014002C}" done="0">
    <text xml:space="preserve">"АРТ-"&amp;ЛЕВСИМВ(...;3): первые 3 цифры = номер товара. Формат приведён к АРТ-XXX.
</text>
  </threadedComment>
  <threadedComment ref="M3" personId="{CF828287-B5E0-61A4-9F9B-8BC1FC440E7F}" id="{00D800A3-00BC-4621-8244-009800DA0057}" done="0">
    <text xml:space="preserve">ПРОПНАЧ(СЖПРОБЕЛЫ(...)): убираем лишние пробелы и делаем каждое слово с заглавной. Скобки уже удалены в промежуточном столбце.
</text>
  </threadedComment>
  <threadedComment ref="N3" personId="{CF828287-B5E0-61A4-9F9B-8BC1FC440E7F}" id="{00E8006E-0063-44C9-AE18-008900BA00F9}" done="0">
    <text xml:space="preserve">ВПР по листу Справочники: приводит Смартфоны/Телефоны/Мобильные телефоны к одному эталону.
</text>
  </threadedComment>
  <threadedComment ref="P3" personId="{CF828287-B5E0-61A4-9F9B-8BC1FC440E7F}" id="{0000008F-0068-40A2-B9B0-004E00D000ED}" done="0">
    <text xml:space="preserve">ЗНАЧЕН(ПОДСТАВИТЬ(...)): удаляем пробелы-разделители тысяч и меняем запятую на точку, затем округляем до 2 знаков.
</text>
  </threadedComment>
  <threadedComment ref="I3" personId="{CF828287-B5E0-61A4-9F9B-8BC1FC440E7F}" id="{0075003C-00F6-4D11-8FC8-00B4006D0022}" done="0">
    <text xml:space="preserve">ПОДСТАВИТЬ(ПОДСТАВИТЬ(...)): снимаем буквенные префиксы №АРТ- и АРТ_, оставляя номер.
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P3" personId="{CF828287-B5E0-61A4-9F9B-8BC1FC440E7F}" id="{00BC009C-00A9-4FA5-807F-007C00380020}" done="0">
    <text xml:space="preserve">ЕСЛИ длина не 10 и не 12 — помечаем «Ошибка ИНН».
</text>
  </threadedComment>
  <threadedComment ref="R3" personId="{CF828287-B5E0-61A4-9F9B-8BC1FC440E7F}" id="{002E0093-003F-4B34-A382-000700300020}" done="0">
    <text xml:space="preserve">Берём последние 10 цифр и собираем формат +7 (XXX) XXX-XX-XX.
</text>
  </threadedComment>
  <threadedComment ref="T3" personId="{CF828287-B5E0-61A4-9F9B-8BC1FC440E7F}" id="{00B30061-0053-4970-B3E0-002B00D100C7}" done="0">
    <text xml:space="preserve">Проверяем наличие @ и точки в доменной части (после @).
</text>
  </threadedComment>
  <threadedComment ref="U3" personId="{CF828287-B5E0-61A4-9F9B-8BC1FC440E7F}" id="{005E0074-007B-448E-8CA0-001D00B600CA}" done="0">
    <text xml:space="preserve">Индекс = первые 6 символов адреса (6 цифр).
</text>
  </threadedComment>
  <threadedComment ref="I3" personId="{CF828287-B5E0-61A4-9F9B-8BC1FC440E7F}" id="{00ED006D-00B5-4B25-837B-00BC009F0024}" done="0">
    <text xml:space="preserve">Оставляем только цифры (убираем пробелы/неразрывные пробелы). Длину проверяем в соседнем столбце.
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L3" personId="{CF828287-B5E0-61A4-9F9B-8BC1FC440E7F}" id="{002D002C-0028-485F-BD24-006300A90045}" done="0">
    <text xml:space="preserve">ДАТА(год;месяц;день) из строки MM/DD/YYYY. Формат ячейки — ДД.ММ.ГГГГ.
</text>
  </threadedComment>
  <threadedComment ref="N3" personId="{CF828287-B5E0-61A4-9F9B-8BC1FC440E7F}" id="{0086004F-0012-40BB-9998-0007004300FD}" done="0">
    <text xml:space="preserve">ЗНАЧЕН(ЛЕВСИМВ(...)): число до первого пробела. Отрицательные (возвраты) сохраняются.
</text>
  </threadedComment>
  <threadedComment ref="P3" personId="{CF828287-B5E0-61A4-9F9B-8BC1FC440E7F}" id="{00ED003D-00F7-4846-91A0-00D100D500C7}" done="0">
    <text xml:space="preserve">Число цены * курс из справочника (по символу валюты). ₽ =&gt; курс 1.
</text>
  </threadedComment>
  <threadedComment ref="Q3" personId="{CF828287-B5E0-61A4-9F9B-8BC1FC440E7F}" id="{00780091-0006-4345-93ED-00BF009F00CC}" done="0">
    <text xml:space="preserve">ВПР по справочнику статусов: completed/завершен/Завершен -&gt; Завершен и т.д.
</text>
  </threadedComment>
  <threadedComment ref="R3" personId="{CF828287-B5E0-61A4-9F9B-8BC1FC440E7F}" id="{00F500BE-009F-4A4E-8515-0087005D00BA}" done="0">
    <text xml:space="preserve">ИНДЕКС/ПОИСКПОЗ по листу Товары_очищенные — подставляем розничную цену по чистому артикулу.
</text>
  </threadedComment>
  <threadedComment ref="V3" personId="{CF828287-B5E0-61A4-9F9B-8BC1FC440E7F}" id="{00DF0050-00A5-4E6F-9A78-004F00330076}" done="0">
    <text xml:space="preserve">СЧЁТЕСЛИ по нарастающему диапазону ключа: первое вхождение — «оригинал», повтор — «ДУБЛЬ».
</text>
  </threadedComment>
</ThreadedComments>
</file>

<file path=xl/threadedComments/threadedComment4.xml><?xml version="1.0" encoding="utf-8"?>
<ThreadedComments xmlns="http://schemas.microsoft.com/office/spreadsheetml/2018/threadedcomments" xmlns:x="http://schemas.openxmlformats.org/spreadsheetml/2006/main">
  <threadedComment ref="M3" personId="{CF828287-B5E0-61A4-9F9B-8BC1FC440E7F}" id="{00550006-007D-4B03-8641-00090068006F}" done="0">
    <text xml:space="preserve">ПРОПНАЧ(СЖПРОБЕЛЫ(...)): единый формат «Фамилия Имя Отчество» с заглавных.
</text>
  </threadedComment>
  <threadedComment ref="N3" personId="{CF828287-B5E0-61A4-9F9B-8BC1FC440E7F}" id="{00EF0021-005B-45C6-9E3B-00AB005F00A2}" done="0">
    <text xml:space="preserve">Отмечаем записи с инициалами (точка) или латиницей — их нужно расшифровать/транслитерировать. На текущих данных все «OK».
</text>
  </threadedComment>
  <threadedComment ref="O3" personId="{CF828287-B5E0-61A4-9F9B-8BC1FC440E7F}" id="{003800A5-0025-41A5-B262-007200530026}" done="0">
    <text xml:space="preserve">Распознаём оба формата: ГГГГ-ММ-ДД и ДД.ММ.ГГГГ, приводим к дате.
</text>
  </threadedComment>
  <threadedComment ref="Q3" personId="{CF828287-B5E0-61A4-9F9B-8BC1FC440E7F}" id="{00EF0069-003F-4FB4-90DA-008E00EA0084}" done="0">
    <text xml:space="preserve">ДАТАРАЗН(дата_рожд; СЕГОДНЯ(); "Y") — полных лет.
</text>
  </threadedComment>
  <threadedComment ref="R3" personId="{CF828287-B5E0-61A4-9F9B-8BC1FC440E7F}" id="{004B0077-004B-4510-B12D-008D0098005C}" done="0">
    <text xml:space="preserve">Возраст вне диапазона 18–120 =&gt; «Ошибка даты рождения».
</text>
  </threadedComment>
</ThreadedComments>
</file>

<file path=xl/threadedComments/threadedComment5.xml><?xml version="1.0" encoding="utf-8"?>
<ThreadedComments xmlns="http://schemas.microsoft.com/office/spreadsheetml/2018/threadedcomments" xmlns:x="http://schemas.openxmlformats.org/spreadsheetml/2006/main">
  <threadedComment ref="I6" personId="{CF828287-B5E0-61A4-9F9B-8BC1FC440E7F}" id="{00DE00E2-0030-473A-8D39-00DD0071000C}" done="0">
    <text xml:space="preserve">Курс задан условием задачи: 1$=95₽, 1€=100₽.
</text>
  </threadedComment>
</ThreadedComments>
</file>

<file path=xl/worksheets/_rels/sheet2.xml.rels><?xml version="1.0" encoding="UTF-8" standalone="yes"?><Relationships xmlns="http://schemas.openxmlformats.org/package/2006/relationships"><Relationship  Id="rId3" Type="http://schemas.openxmlformats.org/officeDocument/2006/relationships/vmlDrawing" Target="../drawings/vmlDrawing1.vml"/><Relationship  Id="rId2" Type="http://schemas.openxmlformats.org/officeDocument/2006/relationships/comments" Target="../comments1.xml"/><Relationship  Id="rId1" Type="http://schemas.microsoft.com/office/2017/10/relationships/threadedComment" Target="../threadedComments/threadedComment1.xml"/></Relationships>
</file>

<file path=xl/worksheets/_rels/sheet3.xml.rels><?xml version="1.0" encoding="UTF-8" standalone="yes"?><Relationships xmlns="http://schemas.openxmlformats.org/package/2006/relationships"><Relationship  Id="rId3" Type="http://schemas.openxmlformats.org/officeDocument/2006/relationships/vmlDrawing" Target="../drawings/vmlDrawing2.vml"/><Relationship  Id="rId2" Type="http://schemas.openxmlformats.org/officeDocument/2006/relationships/comments" Target="../comments2.xml"/><Relationship  Id="rId1" Type="http://schemas.microsoft.com/office/2017/10/relationships/threadedComment" Target="../threadedComments/threadedComment2.xml"/></Relationships>
</file>

<file path=xl/worksheets/_rels/sheet4.xml.rels><?xml version="1.0" encoding="UTF-8" standalone="yes"?><Relationships xmlns="http://schemas.openxmlformats.org/package/2006/relationships"><Relationship  Id="rId3" Type="http://schemas.openxmlformats.org/officeDocument/2006/relationships/vmlDrawing" Target="../drawings/vmlDrawing3.vml"/><Relationship  Id="rId2" Type="http://schemas.openxmlformats.org/officeDocument/2006/relationships/comments" Target="../comments3.xml"/><Relationship  Id="rId1" Type="http://schemas.microsoft.com/office/2017/10/relationships/threadedComment" Target="../threadedComments/threadedComment3.xml"/></Relationships>
</file>

<file path=xl/worksheets/_rels/sheet5.xml.rels><?xml version="1.0" encoding="UTF-8" standalone="yes"?><Relationships xmlns="http://schemas.openxmlformats.org/package/2006/relationships"><Relationship  Id="rId3" Type="http://schemas.openxmlformats.org/officeDocument/2006/relationships/vmlDrawing" Target="../drawings/vmlDrawing4.vml"/><Relationship  Id="rId2" Type="http://schemas.openxmlformats.org/officeDocument/2006/relationships/comments" Target="../comments4.xml"/><Relationship  Id="rId1" Type="http://schemas.microsoft.com/office/2017/10/relationships/threadedComment" Target="../threadedComments/threadedComment4.xml"/></Relationships>
</file>

<file path=xl/worksheets/_rels/sheet6.xml.rels><?xml version="1.0" encoding="UTF-8" standalone="yes"?><Relationships xmlns="http://schemas.openxmlformats.org/package/2006/relationships"><Relationship  Id="rId3" Type="http://schemas.openxmlformats.org/officeDocument/2006/relationships/vmlDrawing" Target="../drawings/vmlDrawing5.vml"/><Relationship  Id="rId2" Type="http://schemas.openxmlformats.org/officeDocument/2006/relationships/comments" Target="../comments5.xml"/><Relationship  Id="rId1" Type="http://schemas.microsoft.com/office/2017/10/relationships/threadedComment" Target="../threadedComments/threadedComment5.xml"/></Relationships>
</file>

<file path=xl/worksheets/_rels/sheet7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filterMode="0">
    <outlinePr applyStyles="0" summaryBelow="1" summaryRight="1" showOutlineSymbols="1"/>
    <pageSetUpPr autoPageBreaks="1" fitToPage="0"/>
  </sheetPr>
  <sheetViews>
    <sheetView showFormulas="0" showGridLines="0" showRowColHeaders="1" showZeros="1" showRuler="1" view="normal" topLeftCell="A25" zoomScale="100" workbookViewId="0">
      <selection activeCell="A1" activeCellId="0" sqref="A1"/>
    </sheetView>
  </sheetViews>
  <sheetFormatPr defaultColWidth="8.6796875" defaultRowHeight="14.25"/>
  <cols>
    <col customWidth="1" min="1" max="1" style="1" width="4"/>
    <col customWidth="1" min="2" max="2" style="1" width="32"/>
    <col customWidth="1" min="3" max="3" style="1" width="95"/>
  </cols>
  <sheetData>
    <row r="1" ht="19.5" customHeight="1">
      <c r="B1" s="2" t="s">
        <v>0</v>
      </c>
    </row>
    <row r="2" ht="21.75" customHeight="1">
      <c r="B2" s="3" t="s">
        <v>1</v>
      </c>
      <c r="C2" s="3"/>
    </row>
    <row r="4" ht="15" customHeight="1">
      <c r="B4" s="4" t="s">
        <v>2</v>
      </c>
      <c r="C4" s="4"/>
    </row>
    <row r="5" ht="23.25" customHeight="1">
      <c r="B5" s="5" t="s">
        <v>3</v>
      </c>
      <c r="C5" s="6" t="s">
        <v>4</v>
      </c>
    </row>
    <row r="6" ht="23.25" customHeight="1">
      <c r="B6" s="5" t="s">
        <v>5</v>
      </c>
      <c r="C6" s="6" t="s">
        <v>6</v>
      </c>
    </row>
    <row r="7" ht="15" customHeight="1">
      <c r="B7" s="5" t="s">
        <v>7</v>
      </c>
      <c r="C7" s="6" t="s">
        <v>8</v>
      </c>
    </row>
    <row r="8" ht="15" customHeight="1">
      <c r="B8" s="5" t="s">
        <v>9</v>
      </c>
      <c r="C8" s="6" t="s">
        <v>10</v>
      </c>
    </row>
    <row r="9" ht="15" customHeight="1">
      <c r="B9" s="5" t="s">
        <v>11</v>
      </c>
      <c r="C9" s="6" t="s">
        <v>12</v>
      </c>
    </row>
    <row r="11" ht="15" customHeight="1">
      <c r="B11" s="4" t="s">
        <v>13</v>
      </c>
      <c r="C11" s="4"/>
    </row>
    <row r="12" ht="23.25" customHeight="1">
      <c r="B12" s="5" t="s">
        <v>14</v>
      </c>
      <c r="C12" s="6" t="s">
        <v>15</v>
      </c>
    </row>
    <row r="13" ht="23.25" customHeight="1">
      <c r="B13" s="5" t="s">
        <v>16</v>
      </c>
      <c r="C13" s="6" t="s">
        <v>17</v>
      </c>
    </row>
    <row r="14" ht="23.25" customHeight="1">
      <c r="B14" s="5" t="s">
        <v>18</v>
      </c>
      <c r="C14" s="6" t="s">
        <v>19</v>
      </c>
    </row>
    <row r="15" ht="23.25" customHeight="1">
      <c r="B15" s="5" t="s">
        <v>20</v>
      </c>
      <c r="C15" s="6" t="s">
        <v>21</v>
      </c>
    </row>
    <row r="16" ht="15" customHeight="1">
      <c r="B16" s="5" t="s">
        <v>22</v>
      </c>
      <c r="C16" s="6" t="s">
        <v>23</v>
      </c>
    </row>
    <row r="17" ht="15" customHeight="1">
      <c r="B17" s="5" t="s">
        <v>24</v>
      </c>
      <c r="C17" s="6" t="s">
        <v>25</v>
      </c>
    </row>
    <row r="19" ht="15" customHeight="1">
      <c r="B19" s="4" t="s">
        <v>26</v>
      </c>
      <c r="C19" s="4"/>
    </row>
    <row r="20" ht="23.25" customHeight="1">
      <c r="B20" s="5" t="s">
        <v>27</v>
      </c>
      <c r="C20" s="6" t="s">
        <v>28</v>
      </c>
    </row>
    <row r="21" ht="23.25" customHeight="1">
      <c r="B21" s="5" t="s">
        <v>29</v>
      </c>
      <c r="C21" s="6" t="s">
        <v>30</v>
      </c>
    </row>
    <row r="22" ht="23.25" customHeight="1">
      <c r="B22" s="5" t="s">
        <v>31</v>
      </c>
      <c r="C22" s="6" t="s">
        <v>32</v>
      </c>
    </row>
    <row r="23" ht="15" customHeight="1">
      <c r="B23" s="5" t="s">
        <v>33</v>
      </c>
      <c r="C23" s="6" t="s">
        <v>34</v>
      </c>
    </row>
    <row r="25" ht="15" customHeight="1">
      <c r="B25" s="4" t="s">
        <v>35</v>
      </c>
      <c r="C25" s="4"/>
    </row>
    <row r="26" ht="15" customHeight="1">
      <c r="B26" s="5" t="s">
        <v>36</v>
      </c>
      <c r="C26" s="6" t="s">
        <v>37</v>
      </c>
    </row>
    <row r="27" ht="15" customHeight="1">
      <c r="B27" s="5" t="s">
        <v>38</v>
      </c>
      <c r="C27" s="6" t="s">
        <v>39</v>
      </c>
    </row>
    <row r="28" ht="15" customHeight="1">
      <c r="B28" s="5" t="s">
        <v>40</v>
      </c>
      <c r="C28" s="6" t="s">
        <v>41</v>
      </c>
    </row>
    <row r="29" ht="15" customHeight="1">
      <c r="B29" s="5" t="s">
        <v>42</v>
      </c>
      <c r="C29" s="6" t="s">
        <v>43</v>
      </c>
    </row>
    <row r="30" ht="23.25" customHeight="1">
      <c r="B30" s="5" t="s">
        <v>44</v>
      </c>
      <c r="C30" s="6" t="s">
        <v>45</v>
      </c>
    </row>
    <row r="31" ht="23.25" customHeight="1">
      <c r="B31" s="5" t="s">
        <v>46</v>
      </c>
      <c r="C31" s="6" t="s">
        <v>47</v>
      </c>
    </row>
    <row r="33" ht="15" customHeight="1">
      <c r="B33" s="4" t="s">
        <v>48</v>
      </c>
      <c r="C33" s="4"/>
    </row>
    <row r="34" ht="23.25" customHeight="1">
      <c r="B34" s="5" t="s">
        <v>49</v>
      </c>
      <c r="C34" s="6" t="s">
        <v>50</v>
      </c>
    </row>
    <row r="35" ht="15" customHeight="1">
      <c r="B35" s="5" t="s">
        <v>51</v>
      </c>
      <c r="C35" s="6" t="s">
        <v>52</v>
      </c>
    </row>
    <row r="36" ht="15" customHeight="1">
      <c r="B36" s="5" t="s">
        <v>53</v>
      </c>
      <c r="C36" s="6" t="s">
        <v>54</v>
      </c>
    </row>
    <row r="37" ht="15" customHeight="1">
      <c r="B37" s="5" t="s">
        <v>55</v>
      </c>
      <c r="C37" s="6" t="s">
        <v>56</v>
      </c>
    </row>
    <row r="38" ht="23.25" customHeight="1">
      <c r="B38" s="5" t="s">
        <v>57</v>
      </c>
      <c r="C38" s="6" t="s">
        <v>58</v>
      </c>
    </row>
    <row r="40" ht="15" customHeight="1">
      <c r="B40" s="4" t="s">
        <v>59</v>
      </c>
      <c r="C40" s="4"/>
    </row>
    <row r="41" ht="15" customHeight="1">
      <c r="B41" s="5" t="s">
        <v>60</v>
      </c>
      <c r="C41" s="6" t="s">
        <v>61</v>
      </c>
    </row>
    <row r="42" ht="23.25" customHeight="1">
      <c r="B42" s="5" t="s">
        <v>62</v>
      </c>
      <c r="C42" s="6" t="s">
        <v>63</v>
      </c>
    </row>
    <row r="43" ht="15" customHeight="1">
      <c r="B43" s="5" t="s">
        <v>64</v>
      </c>
      <c r="C43" s="6" t="s">
        <v>65</v>
      </c>
    </row>
    <row r="45" ht="15" customHeight="1">
      <c r="B45" s="4" t="s">
        <v>66</v>
      </c>
      <c r="C45" s="4"/>
    </row>
    <row r="46" ht="23.25" customHeight="1">
      <c r="B46" s="5" t="s">
        <v>67</v>
      </c>
      <c r="C46" s="6" t="s">
        <v>68</v>
      </c>
    </row>
    <row r="47" ht="15" customHeight="1">
      <c r="B47" s="5" t="s">
        <v>69</v>
      </c>
      <c r="C47" s="6" t="s">
        <v>70</v>
      </c>
    </row>
    <row r="48" ht="23.25" customHeight="1">
      <c r="B48" s="5" t="s">
        <v>71</v>
      </c>
      <c r="C48" s="6" t="s">
        <v>72</v>
      </c>
    </row>
    <row r="49" ht="15" customHeight="1">
      <c r="B49" s="5" t="s">
        <v>73</v>
      </c>
      <c r="C49" s="6" t="s">
        <v>74</v>
      </c>
    </row>
    <row r="51" ht="23.25" customHeight="1">
      <c r="B51" s="7"/>
      <c r="C51" s="6"/>
    </row>
  </sheetData>
  <mergeCells count="8">
    <mergeCell ref="B2:C2"/>
    <mergeCell ref="B4:C4"/>
    <mergeCell ref="B11:C11"/>
    <mergeCell ref="B19:C19"/>
    <mergeCell ref="B25:C25"/>
    <mergeCell ref="B33:C33"/>
    <mergeCell ref="B40:C40"/>
    <mergeCell ref="B45:C45"/>
  </mergeCells>
  <printOptions headings="0" gridLines="0"/>
  <pageMargins left="0.75" right="0.75" top="1" bottom="1" header="0.51181102362204689" footer="0.51181102362204689"/>
  <pageSetup paperSize="9" scale="100" fitToWidth="1" fitToHeight="1" pageOrder="downThenOver" orientation="portrait" usePrinterDefaults="1" blackAndWhite="0" draft="0" cellComments="none" useFirstPageNumber="0" errors="displayed" horizontalDpi="300" verticalDpi="300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filterMode="0">
    <outlinePr applyStyles="0" summaryBelow="1" summaryRight="1" showOutlineSymbols="1"/>
    <pageSetUpPr autoPageBreaks="1" fitToPage="0"/>
  </sheetPr>
  <sheetViews>
    <sheetView showFormulas="0" showGridLines="0" showRowColHeaders="1" showZeros="1" showRuler="1" view="normal" topLeftCell="A1" zoomScale="100" workbookViewId="0">
      <pane ySplit="2" topLeftCell="A3" activePane="bottomLeft" state="frozen"/>
      <selection activeCell="A1" activeCellId="0" sqref="A1"/>
    </sheetView>
  </sheetViews>
  <sheetFormatPr defaultColWidth="8.6796875" defaultRowHeight="14.25"/>
  <cols>
    <col customWidth="1" min="1" max="1" style="1" width="5"/>
    <col customWidth="1" min="2" max="2" style="1" width="16"/>
    <col customWidth="1" min="3" max="3" style="1" width="34"/>
    <col customWidth="1" min="4" max="5" style="1" width="18"/>
    <col customWidth="1" min="6" max="7" style="1" width="16"/>
    <col customWidth="1" min="8" max="8" style="1" width="12"/>
    <col customWidth="1" min="9" max="9" style="1" width="16"/>
    <col customWidth="1" min="10" max="10" style="1" width="30"/>
    <col customWidth="1" min="11" max="11" style="1" width="18"/>
    <col customWidth="1" min="12" max="12" style="1" width="12"/>
    <col customWidth="1" min="13" max="13" style="1" width="30"/>
    <col customWidth="1" min="14" max="14" style="1" width="16"/>
    <col customWidth="1" min="15" max="15" style="1" width="18"/>
    <col customWidth="1" min="16" max="17" style="1" width="16"/>
    <col customWidth="1" min="18" max="18" style="1" width="10"/>
    <col customWidth="1" min="19" max="19" style="1" width="22"/>
    <col customWidth="1" min="20" max="20" style="1" width="18"/>
  </cols>
  <sheetData>
    <row r="1" ht="15.75" customHeight="1">
      <c r="A1" s="8" t="s">
        <v>75</v>
      </c>
    </row>
    <row r="2" ht="21.75" customHeight="1">
      <c r="A2" s="9" t="s">
        <v>76</v>
      </c>
      <c r="B2" s="9" t="s">
        <v>77</v>
      </c>
      <c r="C2" s="9" t="s">
        <v>78</v>
      </c>
      <c r="D2" s="9" t="s">
        <v>79</v>
      </c>
      <c r="E2" s="9" t="s">
        <v>80</v>
      </c>
      <c r="F2" s="9" t="s">
        <v>81</v>
      </c>
      <c r="G2" s="9" t="s">
        <v>82</v>
      </c>
      <c r="H2" s="9" t="s">
        <v>83</v>
      </c>
      <c r="I2" s="9" t="s">
        <v>84</v>
      </c>
      <c r="J2" s="9" t="s">
        <v>85</v>
      </c>
      <c r="K2" s="9" t="s">
        <v>86</v>
      </c>
      <c r="L2" s="9" t="s">
        <v>87</v>
      </c>
      <c r="M2" s="9" t="s">
        <v>88</v>
      </c>
      <c r="N2" s="9" t="s">
        <v>89</v>
      </c>
      <c r="O2" s="9" t="s">
        <v>90</v>
      </c>
      <c r="P2" s="9" t="s">
        <v>91</v>
      </c>
      <c r="Q2" s="9" t="s">
        <v>92</v>
      </c>
      <c r="R2" s="9" t="s">
        <v>93</v>
      </c>
      <c r="S2" s="9" t="s">
        <v>94</v>
      </c>
      <c r="T2" s="9" t="s">
        <v>95</v>
      </c>
    </row>
    <row r="3" ht="15" customHeight="1">
      <c r="A3" s="10">
        <v>1</v>
      </c>
      <c r="B3" s="11" t="str">
        <f>RAW_Товары!A2</f>
        <v>№АРТ-001/24</v>
      </c>
      <c r="C3" s="11" t="str">
        <f>RAW_Товары!B2</f>
        <v xml:space="preserve">Смартфон Apple iPhone 15</v>
      </c>
      <c r="D3" s="11" t="str">
        <f>RAW_Товары!C2</f>
        <v>Смартфоны</v>
      </c>
      <c r="E3" s="11" t="str">
        <f>RAW_Товары!D2</f>
        <v>Apple</v>
      </c>
      <c r="F3" s="11" t="str">
        <f>RAW_Товары!E2</f>
        <v xml:space="preserve">45 000,50</v>
      </c>
      <c r="G3" s="11" t="str">
        <f>RAW_Товары!F2</f>
        <v xml:space="preserve">79 990,00</v>
      </c>
      <c r="H3" s="11" t="str">
        <f>RAW_Товары!G2</f>
        <v>шт</v>
      </c>
      <c r="I3" s="12" t="str">
        <f t="shared" ref="I3:I9" si="0">SUBSTITUTE(SUBSTITUTE(B3,"№АРТ-",""),"АРТ_","")</f>
        <v>001/24</v>
      </c>
      <c r="J3" s="12" t="str">
        <f t="shared" ref="J3:J9" si="1">TRIM(LEFT(C3,IFERROR(FIND("(",C3)-1,LEN(C3))))</f>
        <v xml:space="preserve">Смартфон Apple iPhone 15</v>
      </c>
      <c r="K3" s="12" t="str">
        <f t="shared" ref="K3:K9" si="2">TRIM(D3)</f>
        <v>Смартфоны</v>
      </c>
      <c r="L3" s="13" t="str">
        <f t="shared" ref="L3:L9" si="3">"АРТ-"&amp;LEFT(I3,3)</f>
        <v>АРТ-001</v>
      </c>
      <c r="M3" s="13" t="str">
        <f t="shared" ref="M3:M9" si="4">PROPER(TRIM(J3))</f>
        <v xml:space="preserve">Смартфон Apple Iphone 15</v>
      </c>
      <c r="N3" s="13" t="str">
        <f>IFERROR(VLOOKUP(K3,Справочники!$A$6:$B$16,2,0),"НЕТ В СПРАВОЧНИКЕ")</f>
        <v>Смартфоны</v>
      </c>
      <c r="O3" s="13" t="str">
        <f t="shared" ref="O3:O9" si="5">PROPER(TRIM(E3))</f>
        <v>Apple</v>
      </c>
      <c r="P3" s="14">
        <f t="shared" ref="P3:P9" si="6">ROUND(VALUE(SUBSTITUTE(SUBSTITUTE(F3," ",""),",",".")),2)</f>
        <v>45000.5</v>
      </c>
      <c r="Q3" s="14">
        <f t="shared" ref="Q3:Q9" si="7">ROUND(VALUE(SUBSTITUTE(SUBSTITUTE(G3," ",""),",",".")),2)</f>
        <v>79990</v>
      </c>
      <c r="R3" s="13" t="str">
        <f t="shared" ref="R3:R66" si="8">"шт"</f>
        <v>шт</v>
      </c>
      <c r="S3" s="10" t="str">
        <f t="shared" ref="S3:S9" si="9">IF(Q3&gt;=P3,"OK","ОШИБКА: розница &lt; закупки")</f>
        <v>OK</v>
      </c>
      <c r="T3" s="10" t="str">
        <f t="shared" ref="T3:T9" si="10">IF(COUNTIF($L$3:$L$503,L3)=1,"уникален","ДУБЛЬ")</f>
        <v>уникален</v>
      </c>
    </row>
    <row r="4" ht="15" customHeight="1">
      <c r="A4" s="10">
        <v>2</v>
      </c>
      <c r="B4" s="11" t="str">
        <f>RAW_Товары!A3</f>
        <v>АРТ_002</v>
      </c>
      <c r="C4" s="11" t="str">
        <f>RAW_Товары!B3</f>
        <v xml:space="preserve">смартфон APPLE IPHONE 15</v>
      </c>
      <c r="D4" s="11" t="str">
        <f>RAW_Товары!C3</f>
        <v>Телефоны</v>
      </c>
      <c r="E4" s="11" t="str">
        <f>RAW_Товары!D3</f>
        <v>Apple</v>
      </c>
      <c r="F4" s="11" t="str">
        <f>RAW_Товары!E3</f>
        <v xml:space="preserve">44 500,00</v>
      </c>
      <c r="G4" s="11" t="str">
        <f>RAW_Товары!F3</f>
        <v xml:space="preserve">78 500,00</v>
      </c>
      <c r="H4" s="11" t="str">
        <f>RAW_Товары!G3</f>
        <v>штука</v>
      </c>
      <c r="I4" s="12" t="str">
        <f t="shared" si="0"/>
        <v>002</v>
      </c>
      <c r="J4" s="12" t="str">
        <f t="shared" si="1"/>
        <v xml:space="preserve">смартфон APPLE IPHONE 15</v>
      </c>
      <c r="K4" s="12" t="str">
        <f t="shared" si="2"/>
        <v>Телефоны</v>
      </c>
      <c r="L4" s="13" t="str">
        <f t="shared" si="3"/>
        <v>АРТ-002</v>
      </c>
      <c r="M4" s="13" t="str">
        <f t="shared" si="4"/>
        <v xml:space="preserve">Смартфон Apple Iphone 15</v>
      </c>
      <c r="N4" s="13" t="str">
        <f>IFERROR(VLOOKUP(K4,Справочники!$A$6:$B$16,2,0),"НЕТ В СПРАВОЧНИКЕ")</f>
        <v>Смартфоны</v>
      </c>
      <c r="O4" s="13" t="str">
        <f t="shared" si="5"/>
        <v>Apple</v>
      </c>
      <c r="P4" s="14">
        <f t="shared" si="6"/>
        <v>44500</v>
      </c>
      <c r="Q4" s="14">
        <f t="shared" si="7"/>
        <v>78500</v>
      </c>
      <c r="R4" s="13" t="str">
        <f t="shared" si="8"/>
        <v>шт</v>
      </c>
      <c r="S4" s="10" t="str">
        <f t="shared" si="9"/>
        <v>OK</v>
      </c>
      <c r="T4" s="10" t="str">
        <f t="shared" si="10"/>
        <v>уникален</v>
      </c>
    </row>
    <row r="5" ht="15" customHeight="1">
      <c r="A5" s="10">
        <v>3</v>
      </c>
      <c r="B5" s="11" t="str">
        <f>RAW_Товары!A4</f>
        <v>003/24</v>
      </c>
      <c r="C5" s="11" t="str">
        <f>RAW_Товары!B4</f>
        <v xml:space="preserve">Смартфон Apple iPhone 15 (Черный)</v>
      </c>
      <c r="D5" s="11" t="str">
        <f>RAW_Товары!C4</f>
        <v xml:space="preserve">Мобильные телефоны</v>
      </c>
      <c r="E5" s="11" t="str">
        <f>RAW_Товары!D4</f>
        <v>APPLE</v>
      </c>
      <c r="F5" s="11" t="str">
        <f>RAW_Товары!E4</f>
        <v xml:space="preserve">43 800,00</v>
      </c>
      <c r="G5" s="11" t="str">
        <f>RAW_Товары!F4</f>
        <v xml:space="preserve">77 700</v>
      </c>
      <c r="H5" s="11" t="str">
        <f>RAW_Товары!G4</f>
        <v>штуки</v>
      </c>
      <c r="I5" s="12" t="str">
        <f t="shared" si="0"/>
        <v>003/24</v>
      </c>
      <c r="J5" s="12" t="str">
        <f t="shared" si="1"/>
        <v xml:space="preserve">Смартфон Apple iPhone 15</v>
      </c>
      <c r="K5" s="12" t="str">
        <f t="shared" si="2"/>
        <v xml:space="preserve">Мобильные телефоны</v>
      </c>
      <c r="L5" s="13" t="str">
        <f t="shared" si="3"/>
        <v>АРТ-003</v>
      </c>
      <c r="M5" s="13" t="str">
        <f t="shared" si="4"/>
        <v xml:space="preserve">Смартфон Apple Iphone 15</v>
      </c>
      <c r="N5" s="13" t="str">
        <f>IFERROR(VLOOKUP(K5,Справочники!$A$6:$B$16,2,0),"НЕТ В СПРАВОЧНИКЕ")</f>
        <v>Смартфоны</v>
      </c>
      <c r="O5" s="13" t="str">
        <f t="shared" si="5"/>
        <v>Apple</v>
      </c>
      <c r="P5" s="14">
        <f t="shared" si="6"/>
        <v>43800</v>
      </c>
      <c r="Q5" s="14">
        <f t="shared" si="7"/>
        <v>77700</v>
      </c>
      <c r="R5" s="13" t="str">
        <f t="shared" si="8"/>
        <v>шт</v>
      </c>
      <c r="S5" s="10" t="str">
        <f t="shared" si="9"/>
        <v>OK</v>
      </c>
      <c r="T5" s="10" t="str">
        <f t="shared" si="10"/>
        <v>уникален</v>
      </c>
    </row>
    <row r="6" ht="15" customHeight="1">
      <c r="A6" s="10">
        <v>4</v>
      </c>
      <c r="B6" s="11" t="str">
        <f>RAW_Товары!A5</f>
        <v>№АРТ-004</v>
      </c>
      <c r="C6" s="11" t="str">
        <f>RAW_Товары!B5</f>
        <v xml:space="preserve">Ноутбук ASUS ROG Zephyrus</v>
      </c>
      <c r="D6" s="11" t="str">
        <f>RAW_Товары!C5</f>
        <v>Ноутбуки</v>
      </c>
      <c r="E6" s="11" t="str">
        <f>RAW_Товары!D5</f>
        <v>ASUS</v>
      </c>
      <c r="F6" s="11" t="str">
        <f>RAW_Товары!E5</f>
        <v xml:space="preserve">85 000</v>
      </c>
      <c r="G6" s="11" t="str">
        <f>RAW_Товары!F5</f>
        <v xml:space="preserve">129 999.99</v>
      </c>
      <c r="H6" s="11" t="str">
        <f>RAW_Товары!G5</f>
        <v>шт.</v>
      </c>
      <c r="I6" s="12" t="str">
        <f t="shared" si="0"/>
        <v>004</v>
      </c>
      <c r="J6" s="12" t="str">
        <f t="shared" si="1"/>
        <v xml:space="preserve">Ноутбук ASUS ROG Zephyrus</v>
      </c>
      <c r="K6" s="12" t="str">
        <f t="shared" si="2"/>
        <v>Ноутбуки</v>
      </c>
      <c r="L6" s="13" t="str">
        <f t="shared" si="3"/>
        <v>АРТ-004</v>
      </c>
      <c r="M6" s="13" t="str">
        <f t="shared" si="4"/>
        <v xml:space="preserve">Ноутбук Asus Rog Zephyrus</v>
      </c>
      <c r="N6" s="13" t="str">
        <f>IFERROR(VLOOKUP(K6,Справочники!$A$6:$B$16,2,0),"НЕТ В СПРАВОЧНИКЕ")</f>
        <v>Ноутбуки</v>
      </c>
      <c r="O6" s="13" t="str">
        <f t="shared" si="5"/>
        <v>Asus</v>
      </c>
      <c r="P6" s="14">
        <f t="shared" si="6"/>
        <v>85000</v>
      </c>
      <c r="Q6" s="14">
        <f t="shared" si="7"/>
        <v>129999.99000000001</v>
      </c>
      <c r="R6" s="13" t="str">
        <f t="shared" si="8"/>
        <v>шт</v>
      </c>
      <c r="S6" s="10" t="str">
        <f t="shared" si="9"/>
        <v>OK</v>
      </c>
      <c r="T6" s="10" t="str">
        <f t="shared" si="10"/>
        <v>уникален</v>
      </c>
    </row>
    <row r="7" ht="15" customHeight="1">
      <c r="A7" s="10">
        <v>5</v>
      </c>
      <c r="B7" s="11" t="str">
        <f>RAW_Товары!A6</f>
        <v>АРТ_005</v>
      </c>
      <c r="C7" s="11" t="str">
        <f>RAW_Товары!B6</f>
        <v xml:space="preserve">ноутбук ASUS ROG Zephyrus</v>
      </c>
      <c r="D7" s="11" t="str">
        <f>RAW_Товары!C6</f>
        <v>Лэптопы</v>
      </c>
      <c r="E7" s="11" t="str">
        <f>RAW_Товары!D6</f>
        <v>asus</v>
      </c>
      <c r="F7" s="11" t="str">
        <f>RAW_Товары!E6</f>
        <v xml:space="preserve">84 500,50</v>
      </c>
      <c r="G7" s="11" t="str">
        <f>RAW_Товары!F6</f>
        <v xml:space="preserve">128 500,00</v>
      </c>
      <c r="H7" s="11" t="str">
        <f>RAW_Товары!G6</f>
        <v>шт</v>
      </c>
      <c r="I7" s="12" t="str">
        <f t="shared" si="0"/>
        <v>005</v>
      </c>
      <c r="J7" s="12" t="str">
        <f t="shared" si="1"/>
        <v xml:space="preserve">ноутбук ASUS ROG Zephyrus</v>
      </c>
      <c r="K7" s="12" t="str">
        <f t="shared" si="2"/>
        <v>Лэптопы</v>
      </c>
      <c r="L7" s="13" t="str">
        <f t="shared" si="3"/>
        <v>АРТ-005</v>
      </c>
      <c r="M7" s="13" t="str">
        <f t="shared" si="4"/>
        <v xml:space="preserve">Ноутбук Asus Rog Zephyrus</v>
      </c>
      <c r="N7" s="13" t="str">
        <f>IFERROR(VLOOKUP(K7,Справочники!$A$6:$B$16,2,0),"НЕТ В СПРАВОЧНИКЕ")</f>
        <v>Ноутбуки</v>
      </c>
      <c r="O7" s="13" t="str">
        <f t="shared" si="5"/>
        <v>Asus</v>
      </c>
      <c r="P7" s="14">
        <f t="shared" si="6"/>
        <v>84500.5</v>
      </c>
      <c r="Q7" s="14">
        <f t="shared" si="7"/>
        <v>128500</v>
      </c>
      <c r="R7" s="13" t="str">
        <f t="shared" si="8"/>
        <v>шт</v>
      </c>
      <c r="S7" s="10" t="str">
        <f t="shared" si="9"/>
        <v>OK</v>
      </c>
      <c r="T7" s="10" t="str">
        <f t="shared" si="10"/>
        <v>уникален</v>
      </c>
    </row>
    <row r="8" ht="15" customHeight="1">
      <c r="A8" s="10">
        <v>6</v>
      </c>
      <c r="B8" s="11" t="str">
        <f>RAW_Товары!A7</f>
        <v>006-24</v>
      </c>
      <c r="C8" s="11" t="str">
        <f>RAW_Товары!B7</f>
        <v xml:space="preserve">Ноутбук ASUS ROG Zephyrus (G14)</v>
      </c>
      <c r="D8" s="11" t="str">
        <f>RAW_Товары!C7</f>
        <v>Ноутбуки</v>
      </c>
      <c r="E8" s="11" t="str">
        <f>RAW_Товары!D7</f>
        <v>ASUS</v>
      </c>
      <c r="F8" s="11" t="str">
        <f>RAW_Товары!E7</f>
        <v xml:space="preserve">86 000</v>
      </c>
      <c r="G8" s="11" t="str">
        <f>RAW_Товары!F7</f>
        <v xml:space="preserve">131 000</v>
      </c>
      <c r="H8" s="11" t="str">
        <f>RAW_Товары!G7</f>
        <v>штука</v>
      </c>
      <c r="I8" s="12" t="str">
        <f t="shared" si="0"/>
        <v>006-24</v>
      </c>
      <c r="J8" s="12" t="str">
        <f t="shared" si="1"/>
        <v xml:space="preserve">Ноутбук ASUS ROG Zephyrus</v>
      </c>
      <c r="K8" s="12" t="str">
        <f t="shared" si="2"/>
        <v>Ноутбуки</v>
      </c>
      <c r="L8" s="13" t="str">
        <f t="shared" si="3"/>
        <v>АРТ-006</v>
      </c>
      <c r="M8" s="13" t="str">
        <f t="shared" si="4"/>
        <v xml:space="preserve">Ноутбук Asus Rog Zephyrus</v>
      </c>
      <c r="N8" s="13" t="str">
        <f>IFERROR(VLOOKUP(K8,Справочники!$A$6:$B$16,2,0),"НЕТ В СПРАВОЧНИКЕ")</f>
        <v>Ноутбуки</v>
      </c>
      <c r="O8" s="13" t="str">
        <f t="shared" si="5"/>
        <v>Asus</v>
      </c>
      <c r="P8" s="14">
        <f t="shared" si="6"/>
        <v>86000</v>
      </c>
      <c r="Q8" s="14">
        <f t="shared" si="7"/>
        <v>131000</v>
      </c>
      <c r="R8" s="13" t="str">
        <f t="shared" si="8"/>
        <v>шт</v>
      </c>
      <c r="S8" s="10" t="str">
        <f t="shared" si="9"/>
        <v>OK</v>
      </c>
      <c r="T8" s="10" t="str">
        <f t="shared" si="10"/>
        <v>уникален</v>
      </c>
    </row>
    <row r="9" ht="15" customHeight="1">
      <c r="A9" s="10">
        <v>7</v>
      </c>
      <c r="B9" s="11" t="str">
        <f>RAW_Товары!A8</f>
        <v>№АРТ-007</v>
      </c>
      <c r="C9" s="11" t="str">
        <f>RAW_Товары!B8</f>
        <v xml:space="preserve">Смартфон Samsung Galaxy S24</v>
      </c>
      <c r="D9" s="11" t="str">
        <f>RAW_Товары!C8</f>
        <v>Смартфоны</v>
      </c>
      <c r="E9" s="11" t="str">
        <f>RAW_Товары!D8</f>
        <v>Samsung</v>
      </c>
      <c r="F9" s="11" t="str">
        <f>RAW_Товары!E8</f>
        <v xml:space="preserve">39 999,99</v>
      </c>
      <c r="G9" s="11" t="str">
        <f>RAW_Товары!F8</f>
        <v xml:space="preserve">69 999,00</v>
      </c>
      <c r="H9" s="11" t="str">
        <f>RAW_Товары!G8</f>
        <v>шт.</v>
      </c>
      <c r="I9" s="12" t="str">
        <f t="shared" si="0"/>
        <v>007</v>
      </c>
      <c r="J9" s="12" t="str">
        <f t="shared" si="1"/>
        <v xml:space="preserve">Смартфон Samsung Galaxy S24</v>
      </c>
      <c r="K9" s="12" t="str">
        <f t="shared" si="2"/>
        <v>Смартфоны</v>
      </c>
      <c r="L9" s="13" t="str">
        <f t="shared" si="3"/>
        <v>АРТ-007</v>
      </c>
      <c r="M9" s="13" t="str">
        <f t="shared" si="4"/>
        <v xml:space="preserve">Смартфон Samsung Galaxy S24</v>
      </c>
      <c r="N9" s="13" t="str">
        <f>IFERROR(VLOOKUP(K9,Справочники!$A$6:$B$16,2,0),"НЕТ В СПРАВОЧНИКЕ")</f>
        <v>Смартфоны</v>
      </c>
      <c r="O9" s="13" t="str">
        <f t="shared" si="5"/>
        <v>Samsung</v>
      </c>
      <c r="P9" s="14">
        <f t="shared" si="6"/>
        <v>39999.989999999998</v>
      </c>
      <c r="Q9" s="14">
        <f t="shared" si="7"/>
        <v>69999</v>
      </c>
      <c r="R9" s="13" t="str">
        <f t="shared" si="8"/>
        <v>шт</v>
      </c>
      <c r="S9" s="10" t="str">
        <f t="shared" si="9"/>
        <v>OK</v>
      </c>
      <c r="T9" s="10" t="str">
        <f t="shared" si="10"/>
        <v>уникален</v>
      </c>
    </row>
    <row r="10" ht="15" customHeight="1">
      <c r="A10" s="10">
        <v>8</v>
      </c>
      <c r="B10" s="11" t="str">
        <f>RAW_Товары!A9</f>
        <v>АРТ_008</v>
      </c>
      <c r="C10" s="11" t="str">
        <f>RAW_Товары!B9</f>
        <v xml:space="preserve">смартфон SAMSUNG GALAXY S24</v>
      </c>
      <c r="D10" s="11" t="str">
        <f>RAW_Товары!C9</f>
        <v>Телефоны</v>
      </c>
      <c r="E10" s="11" t="str">
        <f>RAW_Товары!D9</f>
        <v>SAMSUNG</v>
      </c>
      <c r="F10" s="11" t="str">
        <f>RAW_Товары!E9</f>
        <v xml:space="preserve">39 500</v>
      </c>
      <c r="G10" s="11" t="str">
        <f>RAW_Товары!F9</f>
        <v xml:space="preserve">68 900</v>
      </c>
      <c r="H10" s="11" t="str">
        <f>RAW_Товары!G9</f>
        <v>штуки</v>
      </c>
      <c r="I10" s="12" t="str">
        <f t="shared" ref="I10:I73" si="11">SUBSTITUTE(SUBSTITUTE(B10,"№АРТ-",""),"АРТ_","")</f>
        <v>008</v>
      </c>
      <c r="J10" s="12" t="str">
        <f t="shared" ref="J10:J73" si="12">TRIM(LEFT(C10,IFERROR(FIND("(",C10)-1,LEN(C10))))</f>
        <v xml:space="preserve">смартфон SAMSUNG GALAXY S24</v>
      </c>
      <c r="K10" s="12" t="str">
        <f t="shared" ref="K10:K73" si="13">TRIM(D10)</f>
        <v>Телефоны</v>
      </c>
      <c r="L10" s="13" t="str">
        <f t="shared" ref="L10:L73" si="14">"АРТ-"&amp;LEFT(I10,3)</f>
        <v>АРТ-008</v>
      </c>
      <c r="M10" s="13" t="str">
        <f t="shared" ref="M10:M73" si="15">PROPER(TRIM(J10))</f>
        <v xml:space="preserve">Смартфон Samsung Galaxy S24</v>
      </c>
      <c r="N10" s="13" t="str">
        <f>IFERROR(VLOOKUP(K10,Справочники!$A$6:$B$16,2,0),"НЕТ В СПРАВОЧНИКЕ")</f>
        <v>Смартфоны</v>
      </c>
      <c r="O10" s="13" t="str">
        <f t="shared" ref="O10:O73" si="16">PROPER(TRIM(E10))</f>
        <v>Samsung</v>
      </c>
      <c r="P10" s="14">
        <f t="shared" ref="P10:P73" si="17">ROUND(VALUE(SUBSTITUTE(SUBSTITUTE(F10," ",""),",",".")),2)</f>
        <v>39500</v>
      </c>
      <c r="Q10" s="14">
        <f t="shared" ref="Q10:Q73" si="18">ROUND(VALUE(SUBSTITUTE(SUBSTITUTE(G10," ",""),",",".")),2)</f>
        <v>68900</v>
      </c>
      <c r="R10" s="13" t="str">
        <f t="shared" si="8"/>
        <v>шт</v>
      </c>
      <c r="S10" s="10" t="str">
        <f t="shared" ref="S10:S73" si="19">IF(Q10&gt;=P10,"OK","ОШИБКА: розница &lt; закупки")</f>
        <v>OK</v>
      </c>
      <c r="T10" s="10" t="str">
        <f t="shared" ref="T10:T73" si="20">IF(COUNTIF($L$3:$L$503,L10)=1,"уникален","ДУБЛЬ")</f>
        <v>уникален</v>
      </c>
    </row>
    <row r="11" ht="15" customHeight="1">
      <c r="A11" s="10">
        <v>9</v>
      </c>
      <c r="B11" s="11" t="str">
        <f>RAW_Товары!A10</f>
        <v>009/24</v>
      </c>
      <c r="C11" s="11" t="str">
        <f>RAW_Товары!B10</f>
        <v xml:space="preserve">Смартфон Samsung Galaxy S24 (Синий)</v>
      </c>
      <c r="D11" s="11" t="str">
        <f>RAW_Товары!C10</f>
        <v xml:space="preserve">Мобильные телефоны</v>
      </c>
      <c r="E11" s="11" t="str">
        <f>RAW_Товары!D10</f>
        <v>Samsung</v>
      </c>
      <c r="F11" s="11" t="str">
        <f>RAW_Товары!E10</f>
        <v xml:space="preserve">40 200</v>
      </c>
      <c r="G11" s="11" t="str">
        <f>RAW_Товары!F10</f>
        <v xml:space="preserve">70 500</v>
      </c>
      <c r="H11" s="11" t="str">
        <f>RAW_Товары!G10</f>
        <v>шт</v>
      </c>
      <c r="I11" s="12" t="str">
        <f t="shared" si="11"/>
        <v>009/24</v>
      </c>
      <c r="J11" s="12" t="str">
        <f t="shared" si="12"/>
        <v xml:space="preserve">Смартфон Samsung Galaxy S24</v>
      </c>
      <c r="K11" s="12" t="str">
        <f t="shared" si="13"/>
        <v xml:space="preserve">Мобильные телефоны</v>
      </c>
      <c r="L11" s="13" t="str">
        <f t="shared" si="14"/>
        <v>АРТ-009</v>
      </c>
      <c r="M11" s="13" t="str">
        <f t="shared" si="15"/>
        <v xml:space="preserve">Смартфон Samsung Galaxy S24</v>
      </c>
      <c r="N11" s="13" t="str">
        <f>IFERROR(VLOOKUP(K11,Справочники!$A$6:$B$16,2,0),"НЕТ В СПРАВОЧНИКЕ")</f>
        <v>Смартфоны</v>
      </c>
      <c r="O11" s="13" t="str">
        <f t="shared" si="16"/>
        <v>Samsung</v>
      </c>
      <c r="P11" s="14">
        <f t="shared" si="17"/>
        <v>40200</v>
      </c>
      <c r="Q11" s="14">
        <f t="shared" si="18"/>
        <v>70500</v>
      </c>
      <c r="R11" s="13" t="str">
        <f t="shared" si="8"/>
        <v>шт</v>
      </c>
      <c r="S11" s="10" t="str">
        <f t="shared" si="19"/>
        <v>OK</v>
      </c>
      <c r="T11" s="10" t="str">
        <f t="shared" si="20"/>
        <v>уникален</v>
      </c>
    </row>
    <row r="12" ht="15" customHeight="1">
      <c r="A12" s="10">
        <v>10</v>
      </c>
      <c r="B12" s="11" t="str">
        <f>RAW_Товары!A11</f>
        <v>№АРТ-010</v>
      </c>
      <c r="C12" s="11" t="str">
        <f>RAW_Товары!B11</f>
        <v xml:space="preserve">Планшет iPad Pro 12.9</v>
      </c>
      <c r="D12" s="11" t="str">
        <f>RAW_Товары!C11</f>
        <v>Планшеты</v>
      </c>
      <c r="E12" s="11" t="str">
        <f>RAW_Товары!D11</f>
        <v>Apple</v>
      </c>
      <c r="F12" s="11" t="str">
        <f>RAW_Товары!E11</f>
        <v xml:space="preserve">55 000</v>
      </c>
      <c r="G12" s="11" t="str">
        <f>RAW_Товары!F11</f>
        <v xml:space="preserve">89 900</v>
      </c>
      <c r="H12" s="11" t="str">
        <f>RAW_Товары!G11</f>
        <v>шт.</v>
      </c>
      <c r="I12" s="12" t="str">
        <f t="shared" si="11"/>
        <v>010</v>
      </c>
      <c r="J12" s="12" t="str">
        <f t="shared" si="12"/>
        <v xml:space="preserve">Планшет iPad Pro 12.9</v>
      </c>
      <c r="K12" s="12" t="str">
        <f t="shared" si="13"/>
        <v>Планшеты</v>
      </c>
      <c r="L12" s="13" t="str">
        <f t="shared" si="14"/>
        <v>АРТ-010</v>
      </c>
      <c r="M12" s="13" t="str">
        <f t="shared" si="15"/>
        <v xml:space="preserve">Планшет Ipad Pro 12.9</v>
      </c>
      <c r="N12" s="13" t="str">
        <f>IFERROR(VLOOKUP(K12,Справочники!$A$6:$B$16,2,0),"НЕТ В СПРАВОЧНИКЕ")</f>
        <v>Планшеты</v>
      </c>
      <c r="O12" s="13" t="str">
        <f t="shared" si="16"/>
        <v>Apple</v>
      </c>
      <c r="P12" s="14">
        <f t="shared" si="17"/>
        <v>55000</v>
      </c>
      <c r="Q12" s="14">
        <f t="shared" si="18"/>
        <v>89900</v>
      </c>
      <c r="R12" s="13" t="str">
        <f t="shared" si="8"/>
        <v>шт</v>
      </c>
      <c r="S12" s="10" t="str">
        <f t="shared" si="19"/>
        <v>OK</v>
      </c>
      <c r="T12" s="10" t="str">
        <f t="shared" si="20"/>
        <v>уникален</v>
      </c>
    </row>
    <row r="13" ht="15" customHeight="1">
      <c r="A13" s="10">
        <v>11</v>
      </c>
      <c r="B13" s="11" t="str">
        <f>RAW_Товары!A12</f>
        <v>АРТ_011</v>
      </c>
      <c r="C13" s="11" t="str">
        <f>RAW_Товары!B12</f>
        <v xml:space="preserve">планшет APPLE IPAD PRO 12.9</v>
      </c>
      <c r="D13" s="11" t="str">
        <f>RAW_Товары!C12</f>
        <v>Планшеты</v>
      </c>
      <c r="E13" s="11" t="str">
        <f>RAW_Товары!D12</f>
        <v>apple</v>
      </c>
      <c r="F13" s="11" t="str">
        <f>RAW_Товары!E12</f>
        <v xml:space="preserve">54 500</v>
      </c>
      <c r="G13" s="11" t="str">
        <f>RAW_Товары!F12</f>
        <v xml:space="preserve">88 500</v>
      </c>
      <c r="H13" s="11" t="str">
        <f>RAW_Товары!G12</f>
        <v>штука</v>
      </c>
      <c r="I13" s="12" t="str">
        <f t="shared" si="11"/>
        <v>011</v>
      </c>
      <c r="J13" s="12" t="str">
        <f t="shared" si="12"/>
        <v xml:space="preserve">планшет APPLE IPAD PRO 12.9</v>
      </c>
      <c r="K13" s="12" t="str">
        <f t="shared" si="13"/>
        <v>Планшеты</v>
      </c>
      <c r="L13" s="13" t="str">
        <f t="shared" si="14"/>
        <v>АРТ-011</v>
      </c>
      <c r="M13" s="13" t="str">
        <f t="shared" si="15"/>
        <v xml:space="preserve">Планшет Apple Ipad Pro 12.9</v>
      </c>
      <c r="N13" s="13" t="str">
        <f>IFERROR(VLOOKUP(K13,Справочники!$A$6:$B$16,2,0),"НЕТ В СПРАВОЧНИКЕ")</f>
        <v>Планшеты</v>
      </c>
      <c r="O13" s="13" t="str">
        <f t="shared" si="16"/>
        <v>Apple</v>
      </c>
      <c r="P13" s="14">
        <f t="shared" si="17"/>
        <v>54500</v>
      </c>
      <c r="Q13" s="14">
        <f t="shared" si="18"/>
        <v>88500</v>
      </c>
      <c r="R13" s="13" t="str">
        <f t="shared" si="8"/>
        <v>шт</v>
      </c>
      <c r="S13" s="10" t="str">
        <f t="shared" si="19"/>
        <v>OK</v>
      </c>
      <c r="T13" s="10" t="str">
        <f t="shared" si="20"/>
        <v>уникален</v>
      </c>
    </row>
    <row r="14" ht="15" customHeight="1">
      <c r="A14" s="10">
        <v>12</v>
      </c>
      <c r="B14" s="11" t="str">
        <f>RAW_Товары!A13</f>
        <v>012-24</v>
      </c>
      <c r="C14" s="11" t="str">
        <f>RAW_Товары!B13</f>
        <v xml:space="preserve">Планшет Apple iPad Pro 12.9 (Wi-Fi)</v>
      </c>
      <c r="D14" s="11" t="str">
        <f>RAW_Товары!C13</f>
        <v>Планшеты</v>
      </c>
      <c r="E14" s="11" t="str">
        <f>RAW_Товары!D13</f>
        <v>Apple</v>
      </c>
      <c r="F14" s="11" t="str">
        <f>RAW_Товары!E13</f>
        <v xml:space="preserve">56 000</v>
      </c>
      <c r="G14" s="11" t="str">
        <f>RAW_Товары!F13</f>
        <v xml:space="preserve">91 000</v>
      </c>
      <c r="H14" s="11" t="str">
        <f>RAW_Товары!G13</f>
        <v>шт</v>
      </c>
      <c r="I14" s="12" t="str">
        <f t="shared" si="11"/>
        <v>012-24</v>
      </c>
      <c r="J14" s="12" t="str">
        <f t="shared" si="12"/>
        <v xml:space="preserve">Планшет Apple iPad Pro 12.9</v>
      </c>
      <c r="K14" s="12" t="str">
        <f t="shared" si="13"/>
        <v>Планшеты</v>
      </c>
      <c r="L14" s="13" t="str">
        <f t="shared" si="14"/>
        <v>АРТ-012</v>
      </c>
      <c r="M14" s="13" t="str">
        <f t="shared" si="15"/>
        <v xml:space="preserve">Планшет Apple Ipad Pro 12.9</v>
      </c>
      <c r="N14" s="13" t="str">
        <f>IFERROR(VLOOKUP(K14,Справочники!$A$6:$B$16,2,0),"НЕТ В СПРАВОЧНИКЕ")</f>
        <v>Планшеты</v>
      </c>
      <c r="O14" s="13" t="str">
        <f t="shared" si="16"/>
        <v>Apple</v>
      </c>
      <c r="P14" s="14">
        <f t="shared" si="17"/>
        <v>56000</v>
      </c>
      <c r="Q14" s="14">
        <f t="shared" si="18"/>
        <v>91000</v>
      </c>
      <c r="R14" s="13" t="str">
        <f t="shared" si="8"/>
        <v>шт</v>
      </c>
      <c r="S14" s="10" t="str">
        <f t="shared" si="19"/>
        <v>OK</v>
      </c>
      <c r="T14" s="10" t="str">
        <f t="shared" si="20"/>
        <v>уникален</v>
      </c>
    </row>
    <row r="15" ht="15" customHeight="1">
      <c r="A15" s="10">
        <v>13</v>
      </c>
      <c r="B15" s="11" t="str">
        <f>RAW_Товары!A14</f>
        <v>№АРТ-013</v>
      </c>
      <c r="C15" s="11" t="str">
        <f>RAW_Товары!B14</f>
        <v xml:space="preserve">Телевизор LG OLED65C3</v>
      </c>
      <c r="D15" s="11" t="str">
        <f>RAW_Товары!C14</f>
        <v>Телевизоры</v>
      </c>
      <c r="E15" s="11" t="str">
        <f>RAW_Товары!D14</f>
        <v>LG</v>
      </c>
      <c r="F15" s="11" t="str">
        <f>RAW_Товары!E14</f>
        <v xml:space="preserve">95 000</v>
      </c>
      <c r="G15" s="11" t="str">
        <f>RAW_Товары!F14</f>
        <v xml:space="preserve">149 999</v>
      </c>
      <c r="H15" s="11" t="str">
        <f>RAW_Товары!G14</f>
        <v>шт.</v>
      </c>
      <c r="I15" s="12" t="str">
        <f t="shared" si="11"/>
        <v>013</v>
      </c>
      <c r="J15" s="12" t="str">
        <f t="shared" si="12"/>
        <v xml:space="preserve">Телевизор LG OLED65C3</v>
      </c>
      <c r="K15" s="12" t="str">
        <f t="shared" si="13"/>
        <v>Телевизоры</v>
      </c>
      <c r="L15" s="13" t="str">
        <f t="shared" si="14"/>
        <v>АРТ-013</v>
      </c>
      <c r="M15" s="13" t="str">
        <f t="shared" si="15"/>
        <v xml:space="preserve">Телевизор Lg Oled65C3</v>
      </c>
      <c r="N15" s="13" t="str">
        <f>IFERROR(VLOOKUP(K15,Справочники!$A$6:$B$16,2,0),"НЕТ В СПРАВОЧНИКЕ")</f>
        <v>Телевизоры</v>
      </c>
      <c r="O15" s="13" t="str">
        <f t="shared" si="16"/>
        <v>Lg</v>
      </c>
      <c r="P15" s="14">
        <f t="shared" si="17"/>
        <v>95000</v>
      </c>
      <c r="Q15" s="14">
        <f t="shared" si="18"/>
        <v>149999</v>
      </c>
      <c r="R15" s="13" t="str">
        <f t="shared" si="8"/>
        <v>шт</v>
      </c>
      <c r="S15" s="10" t="str">
        <f t="shared" si="19"/>
        <v>OK</v>
      </c>
      <c r="T15" s="10" t="str">
        <f t="shared" si="20"/>
        <v>уникален</v>
      </c>
    </row>
    <row r="16" ht="15" customHeight="1">
      <c r="A16" s="10">
        <v>14</v>
      </c>
      <c r="B16" s="11" t="str">
        <f>RAW_Товары!A15</f>
        <v>АРТ_014</v>
      </c>
      <c r="C16" s="11" t="str">
        <f>RAW_Товары!B15</f>
        <v xml:space="preserve">телевизор LG OLED65C3</v>
      </c>
      <c r="D16" s="11" t="str">
        <f>RAW_Товары!C15</f>
        <v>Телевизоры</v>
      </c>
      <c r="E16" s="11" t="str">
        <f>RAW_Товары!D15</f>
        <v>lg</v>
      </c>
      <c r="F16" s="11" t="str">
        <f>RAW_Товары!E15</f>
        <v xml:space="preserve">93 500</v>
      </c>
      <c r="G16" s="11" t="str">
        <f>RAW_Товары!F15</f>
        <v xml:space="preserve">147 500</v>
      </c>
      <c r="H16" s="11" t="str">
        <f>RAW_Товары!G15</f>
        <v>штуки</v>
      </c>
      <c r="I16" s="12" t="str">
        <f t="shared" si="11"/>
        <v>014</v>
      </c>
      <c r="J16" s="12" t="str">
        <f t="shared" si="12"/>
        <v xml:space="preserve">телевизор LG OLED65C3</v>
      </c>
      <c r="K16" s="12" t="str">
        <f t="shared" si="13"/>
        <v>Телевизоры</v>
      </c>
      <c r="L16" s="13" t="str">
        <f t="shared" si="14"/>
        <v>АРТ-014</v>
      </c>
      <c r="M16" s="13" t="str">
        <f t="shared" si="15"/>
        <v xml:space="preserve">Телевизор Lg Oled65C3</v>
      </c>
      <c r="N16" s="13" t="str">
        <f>IFERROR(VLOOKUP(K16,Справочники!$A$6:$B$16,2,0),"НЕТ В СПРАВОЧНИКЕ")</f>
        <v>Телевизоры</v>
      </c>
      <c r="O16" s="13" t="str">
        <f t="shared" si="16"/>
        <v>Lg</v>
      </c>
      <c r="P16" s="14">
        <f t="shared" si="17"/>
        <v>93500</v>
      </c>
      <c r="Q16" s="14">
        <f t="shared" si="18"/>
        <v>147500</v>
      </c>
      <c r="R16" s="13" t="str">
        <f t="shared" si="8"/>
        <v>шт</v>
      </c>
      <c r="S16" s="10" t="str">
        <f t="shared" si="19"/>
        <v>OK</v>
      </c>
      <c r="T16" s="10" t="str">
        <f t="shared" si="20"/>
        <v>уникален</v>
      </c>
    </row>
    <row r="17" ht="15" customHeight="1">
      <c r="A17" s="10">
        <v>15</v>
      </c>
      <c r="B17" s="11" t="str">
        <f>RAW_Товары!A16</f>
        <v>015/24</v>
      </c>
      <c r="C17" s="11" t="str">
        <f>RAW_Товары!B16</f>
        <v xml:space="preserve">Телевизор LG OLED65C3 (4K)</v>
      </c>
      <c r="D17" s="11" t="str">
        <f>RAW_Товары!C16</f>
        <v>Телевизоры</v>
      </c>
      <c r="E17" s="11" t="str">
        <f>RAW_Товары!D16</f>
        <v>LG</v>
      </c>
      <c r="F17" s="11" t="str">
        <f>RAW_Товары!E16</f>
        <v xml:space="preserve">96 500</v>
      </c>
      <c r="G17" s="11" t="str">
        <f>RAW_Товары!F16</f>
        <v xml:space="preserve">151 000</v>
      </c>
      <c r="H17" s="11" t="str">
        <f>RAW_Товары!G16</f>
        <v>шт</v>
      </c>
      <c r="I17" s="12" t="str">
        <f t="shared" si="11"/>
        <v>015/24</v>
      </c>
      <c r="J17" s="12" t="str">
        <f t="shared" si="12"/>
        <v xml:space="preserve">Телевизор LG OLED65C3</v>
      </c>
      <c r="K17" s="12" t="str">
        <f t="shared" si="13"/>
        <v>Телевизоры</v>
      </c>
      <c r="L17" s="13" t="str">
        <f t="shared" si="14"/>
        <v>АРТ-015</v>
      </c>
      <c r="M17" s="13" t="str">
        <f t="shared" si="15"/>
        <v xml:space="preserve">Телевизор Lg Oled65C3</v>
      </c>
      <c r="N17" s="13" t="str">
        <f>IFERROR(VLOOKUP(K17,Справочники!$A$6:$B$16,2,0),"НЕТ В СПРАВОЧНИКЕ")</f>
        <v>Телевизоры</v>
      </c>
      <c r="O17" s="13" t="str">
        <f t="shared" si="16"/>
        <v>Lg</v>
      </c>
      <c r="P17" s="14">
        <f t="shared" si="17"/>
        <v>96500</v>
      </c>
      <c r="Q17" s="14">
        <f t="shared" si="18"/>
        <v>151000</v>
      </c>
      <c r="R17" s="13" t="str">
        <f t="shared" si="8"/>
        <v>шт</v>
      </c>
      <c r="S17" s="10" t="str">
        <f t="shared" si="19"/>
        <v>OK</v>
      </c>
      <c r="T17" s="10" t="str">
        <f t="shared" si="20"/>
        <v>уникален</v>
      </c>
    </row>
    <row r="18" ht="15" customHeight="1">
      <c r="A18" s="10">
        <v>16</v>
      </c>
      <c r="B18" s="11" t="str">
        <f>RAW_Товары!A17</f>
        <v>№АРТ-016</v>
      </c>
      <c r="C18" s="11" t="str">
        <f>RAW_Товары!B17</f>
        <v xml:space="preserve">Наушники Sony WH-1000XM5</v>
      </c>
      <c r="D18" s="11" t="str">
        <f>RAW_Товары!C17</f>
        <v>Наушники</v>
      </c>
      <c r="E18" s="11" t="str">
        <f>RAW_Товары!D17</f>
        <v>SONY</v>
      </c>
      <c r="F18" s="11" t="str">
        <f>RAW_Товары!E17</f>
        <v xml:space="preserve">18 000</v>
      </c>
      <c r="G18" s="11" t="str">
        <f>RAW_Товары!F17</f>
        <v xml:space="preserve">29 990,00</v>
      </c>
      <c r="H18" s="11" t="str">
        <f>RAW_Товары!G17</f>
        <v>шт.</v>
      </c>
      <c r="I18" s="12" t="str">
        <f t="shared" si="11"/>
        <v>016</v>
      </c>
      <c r="J18" s="12" t="str">
        <f t="shared" si="12"/>
        <v xml:space="preserve">Наушники Sony WH-1000XM5</v>
      </c>
      <c r="K18" s="12" t="str">
        <f t="shared" si="13"/>
        <v>Наушники</v>
      </c>
      <c r="L18" s="13" t="str">
        <f t="shared" si="14"/>
        <v>АРТ-016</v>
      </c>
      <c r="M18" s="13" t="str">
        <f t="shared" si="15"/>
        <v xml:space="preserve">Наушники Sony Wh-1000Xm5</v>
      </c>
      <c r="N18" s="13" t="str">
        <f>IFERROR(VLOOKUP(K18,Справочники!$A$6:$B$16,2,0),"НЕТ В СПРАВОЧНИКЕ")</f>
        <v>Наушники</v>
      </c>
      <c r="O18" s="13" t="str">
        <f t="shared" si="16"/>
        <v>Sony</v>
      </c>
      <c r="P18" s="14">
        <f t="shared" si="17"/>
        <v>18000</v>
      </c>
      <c r="Q18" s="14">
        <f t="shared" si="18"/>
        <v>29990</v>
      </c>
      <c r="R18" s="13" t="str">
        <f t="shared" si="8"/>
        <v>шт</v>
      </c>
      <c r="S18" s="10" t="str">
        <f t="shared" si="19"/>
        <v>OK</v>
      </c>
      <c r="T18" s="10" t="str">
        <f t="shared" si="20"/>
        <v>уникален</v>
      </c>
    </row>
    <row r="19" ht="15" customHeight="1">
      <c r="A19" s="10">
        <v>17</v>
      </c>
      <c r="B19" s="11" t="str">
        <f>RAW_Товары!A18</f>
        <v>АРТ_017</v>
      </c>
      <c r="C19" s="11" t="str">
        <f>RAW_Товары!B18</f>
        <v xml:space="preserve">наушники SONY WH-1000XM5</v>
      </c>
      <c r="D19" s="11" t="str">
        <f>RAW_Товары!C18</f>
        <v>Наушники</v>
      </c>
      <c r="E19" s="11" t="str">
        <f>RAW_Товары!D18</f>
        <v>sony</v>
      </c>
      <c r="F19" s="11" t="str">
        <f>RAW_Товары!E18</f>
        <v xml:space="preserve">17 500</v>
      </c>
      <c r="G19" s="11" t="str">
        <f>RAW_Товары!F18</f>
        <v xml:space="preserve">28 900</v>
      </c>
      <c r="H19" s="11" t="str">
        <f>RAW_Товары!G18</f>
        <v>штука</v>
      </c>
      <c r="I19" s="12" t="str">
        <f t="shared" si="11"/>
        <v>017</v>
      </c>
      <c r="J19" s="12" t="str">
        <f t="shared" si="12"/>
        <v xml:space="preserve">наушники SONY WH-1000XM5</v>
      </c>
      <c r="K19" s="12" t="str">
        <f t="shared" si="13"/>
        <v>Наушники</v>
      </c>
      <c r="L19" s="13" t="str">
        <f t="shared" si="14"/>
        <v>АРТ-017</v>
      </c>
      <c r="M19" s="13" t="str">
        <f t="shared" si="15"/>
        <v xml:space="preserve">Наушники Sony Wh-1000Xm5</v>
      </c>
      <c r="N19" s="13" t="str">
        <f>IFERROR(VLOOKUP(K19,Справочники!$A$6:$B$16,2,0),"НЕТ В СПРАВОЧНИКЕ")</f>
        <v>Наушники</v>
      </c>
      <c r="O19" s="13" t="str">
        <f t="shared" si="16"/>
        <v>Sony</v>
      </c>
      <c r="P19" s="14">
        <f t="shared" si="17"/>
        <v>17500</v>
      </c>
      <c r="Q19" s="14">
        <f t="shared" si="18"/>
        <v>28900</v>
      </c>
      <c r="R19" s="13" t="str">
        <f t="shared" si="8"/>
        <v>шт</v>
      </c>
      <c r="S19" s="10" t="str">
        <f t="shared" si="19"/>
        <v>OK</v>
      </c>
      <c r="T19" s="10" t="str">
        <f t="shared" si="20"/>
        <v>уникален</v>
      </c>
    </row>
    <row r="20" ht="15" customHeight="1">
      <c r="A20" s="10">
        <v>18</v>
      </c>
      <c r="B20" s="11" t="str">
        <f>RAW_Товары!A19</f>
        <v>018-24</v>
      </c>
      <c r="C20" s="11" t="str">
        <f>RAW_Товары!B19</f>
        <v xml:space="preserve">Наушники Sony WH-1000XM5 (Беспроводные)</v>
      </c>
      <c r="D20" s="11" t="str">
        <f>RAW_Товары!C19</f>
        <v>Наушники</v>
      </c>
      <c r="E20" s="11" t="str">
        <f>RAW_Товары!D19</f>
        <v>SONY</v>
      </c>
      <c r="F20" s="11" t="str">
        <f>RAW_Товары!E19</f>
        <v xml:space="preserve">18 500</v>
      </c>
      <c r="G20" s="11" t="str">
        <f>RAW_Товары!F19</f>
        <v xml:space="preserve">30 500</v>
      </c>
      <c r="H20" s="11" t="str">
        <f>RAW_Товары!G19</f>
        <v>шт</v>
      </c>
      <c r="I20" s="12" t="str">
        <f t="shared" si="11"/>
        <v>018-24</v>
      </c>
      <c r="J20" s="12" t="str">
        <f t="shared" si="12"/>
        <v xml:space="preserve">Наушники Sony WH-1000XM5</v>
      </c>
      <c r="K20" s="12" t="str">
        <f t="shared" si="13"/>
        <v>Наушники</v>
      </c>
      <c r="L20" s="13" t="str">
        <f t="shared" si="14"/>
        <v>АРТ-018</v>
      </c>
      <c r="M20" s="13" t="str">
        <f t="shared" si="15"/>
        <v xml:space="preserve">Наушники Sony Wh-1000Xm5</v>
      </c>
      <c r="N20" s="13" t="str">
        <f>IFERROR(VLOOKUP(K20,Справочники!$A$6:$B$16,2,0),"НЕТ В СПРАВОЧНИКЕ")</f>
        <v>Наушники</v>
      </c>
      <c r="O20" s="13" t="str">
        <f t="shared" si="16"/>
        <v>Sony</v>
      </c>
      <c r="P20" s="14">
        <f t="shared" si="17"/>
        <v>18500</v>
      </c>
      <c r="Q20" s="14">
        <f t="shared" si="18"/>
        <v>30500</v>
      </c>
      <c r="R20" s="13" t="str">
        <f t="shared" si="8"/>
        <v>шт</v>
      </c>
      <c r="S20" s="10" t="str">
        <f t="shared" si="19"/>
        <v>OK</v>
      </c>
      <c r="T20" s="10" t="str">
        <f t="shared" si="20"/>
        <v>уникален</v>
      </c>
    </row>
    <row r="21" ht="15" customHeight="1">
      <c r="A21" s="10">
        <v>19</v>
      </c>
      <c r="B21" s="11" t="str">
        <f>RAW_Товары!A20</f>
        <v>№АРТ-019</v>
      </c>
      <c r="C21" s="11" t="str">
        <f>RAW_Товары!B20</f>
        <v xml:space="preserve">Ноутбук Lenovo ThinkPad X1</v>
      </c>
      <c r="D21" s="11" t="str">
        <f>RAW_Товары!C20</f>
        <v>Ноутбуки</v>
      </c>
      <c r="E21" s="11" t="str">
        <f>RAW_Товары!D20</f>
        <v>Lenovo</v>
      </c>
      <c r="F21" s="11" t="str">
        <f>RAW_Товары!E20</f>
        <v xml:space="preserve">90 000</v>
      </c>
      <c r="G21" s="11" t="str">
        <f>RAW_Товары!F20</f>
        <v xml:space="preserve">135 000</v>
      </c>
      <c r="H21" s="11" t="str">
        <f>RAW_Товары!G20</f>
        <v>шт.</v>
      </c>
      <c r="I21" s="12" t="str">
        <f t="shared" si="11"/>
        <v>019</v>
      </c>
      <c r="J21" s="12" t="str">
        <f t="shared" si="12"/>
        <v xml:space="preserve">Ноутбук Lenovo ThinkPad X1</v>
      </c>
      <c r="K21" s="12" t="str">
        <f t="shared" si="13"/>
        <v>Ноутбуки</v>
      </c>
      <c r="L21" s="13" t="str">
        <f t="shared" si="14"/>
        <v>АРТ-019</v>
      </c>
      <c r="M21" s="13" t="str">
        <f t="shared" si="15"/>
        <v xml:space="preserve">Ноутбук Lenovo Thinkpad X1</v>
      </c>
      <c r="N21" s="13" t="str">
        <f>IFERROR(VLOOKUP(K21,Справочники!$A$6:$B$16,2,0),"НЕТ В СПРАВОЧНИКЕ")</f>
        <v>Ноутбуки</v>
      </c>
      <c r="O21" s="13" t="str">
        <f t="shared" si="16"/>
        <v>Lenovo</v>
      </c>
      <c r="P21" s="14">
        <f t="shared" si="17"/>
        <v>90000</v>
      </c>
      <c r="Q21" s="14">
        <f t="shared" si="18"/>
        <v>135000</v>
      </c>
      <c r="R21" s="13" t="str">
        <f t="shared" si="8"/>
        <v>шт</v>
      </c>
      <c r="S21" s="10" t="str">
        <f t="shared" si="19"/>
        <v>OK</v>
      </c>
      <c r="T21" s="10" t="str">
        <f t="shared" si="20"/>
        <v>уникален</v>
      </c>
    </row>
    <row r="22" ht="15" customHeight="1">
      <c r="A22" s="10">
        <v>20</v>
      </c>
      <c r="B22" s="11" t="str">
        <f>RAW_Товары!A21</f>
        <v>АРТ_020</v>
      </c>
      <c r="C22" s="11" t="str">
        <f>RAW_Товары!B21</f>
        <v xml:space="preserve">ноутбук LENOVO THINKPAD X1</v>
      </c>
      <c r="D22" s="11" t="str">
        <f>RAW_Товары!C21</f>
        <v>Лэптопы</v>
      </c>
      <c r="E22" s="11" t="str">
        <f>RAW_Товары!D21</f>
        <v>lenovo</v>
      </c>
      <c r="F22" s="11" t="str">
        <f>RAW_Товары!E21</f>
        <v xml:space="preserve">89 000</v>
      </c>
      <c r="G22" s="11" t="str">
        <f>RAW_Товары!F21</f>
        <v xml:space="preserve">133 500</v>
      </c>
      <c r="H22" s="11" t="str">
        <f>RAW_Товары!G21</f>
        <v>штуки</v>
      </c>
      <c r="I22" s="12" t="str">
        <f t="shared" si="11"/>
        <v>020</v>
      </c>
      <c r="J22" s="12" t="str">
        <f t="shared" si="12"/>
        <v xml:space="preserve">ноутбук LENOVO THINKPAD X1</v>
      </c>
      <c r="K22" s="12" t="str">
        <f t="shared" si="13"/>
        <v>Лэптопы</v>
      </c>
      <c r="L22" s="13" t="str">
        <f t="shared" si="14"/>
        <v>АРТ-020</v>
      </c>
      <c r="M22" s="13" t="str">
        <f t="shared" si="15"/>
        <v xml:space="preserve">Ноутбук Lenovo Thinkpad X1</v>
      </c>
      <c r="N22" s="13" t="str">
        <f>IFERROR(VLOOKUP(K22,Справочники!$A$6:$B$16,2,0),"НЕТ В СПРАВОЧНИКЕ")</f>
        <v>Ноутбуки</v>
      </c>
      <c r="O22" s="13" t="str">
        <f t="shared" si="16"/>
        <v>Lenovo</v>
      </c>
      <c r="P22" s="14">
        <f t="shared" si="17"/>
        <v>89000</v>
      </c>
      <c r="Q22" s="14">
        <f t="shared" si="18"/>
        <v>133500</v>
      </c>
      <c r="R22" s="13" t="str">
        <f t="shared" si="8"/>
        <v>шт</v>
      </c>
      <c r="S22" s="10" t="str">
        <f t="shared" si="19"/>
        <v>OK</v>
      </c>
      <c r="T22" s="10" t="str">
        <f t="shared" si="20"/>
        <v>уникален</v>
      </c>
    </row>
    <row r="23" ht="15" customHeight="1">
      <c r="A23" s="10">
        <v>21</v>
      </c>
      <c r="B23" s="11" t="str">
        <f>RAW_Товары!A22</f>
        <v>021/24</v>
      </c>
      <c r="C23" s="11" t="str">
        <f>RAW_Товары!B22</f>
        <v xml:space="preserve">Ноутбук Lenovo ThinkPad X1 (Carbon)</v>
      </c>
      <c r="D23" s="11" t="str">
        <f>RAW_Товары!C22</f>
        <v>Ноутбуки</v>
      </c>
      <c r="E23" s="11" t="str">
        <f>RAW_Товары!D22</f>
        <v>LENOVO</v>
      </c>
      <c r="F23" s="11" t="str">
        <f>RAW_Товары!E22</f>
        <v xml:space="preserve">91 500</v>
      </c>
      <c r="G23" s="11" t="str">
        <f>RAW_Товары!F22</f>
        <v xml:space="preserve">137 000</v>
      </c>
      <c r="H23" s="11" t="str">
        <f>RAW_Товары!G22</f>
        <v>шт</v>
      </c>
      <c r="I23" s="12" t="str">
        <f t="shared" si="11"/>
        <v>021/24</v>
      </c>
      <c r="J23" s="12" t="str">
        <f t="shared" si="12"/>
        <v xml:space="preserve">Ноутбук Lenovo ThinkPad X1</v>
      </c>
      <c r="K23" s="12" t="str">
        <f t="shared" si="13"/>
        <v>Ноутбуки</v>
      </c>
      <c r="L23" s="13" t="str">
        <f t="shared" si="14"/>
        <v>АРТ-021</v>
      </c>
      <c r="M23" s="13" t="str">
        <f t="shared" si="15"/>
        <v xml:space="preserve">Ноутбук Lenovo Thinkpad X1</v>
      </c>
      <c r="N23" s="13" t="str">
        <f>IFERROR(VLOOKUP(K23,Справочники!$A$6:$B$16,2,0),"НЕТ В СПРАВОЧНИКЕ")</f>
        <v>Ноутбуки</v>
      </c>
      <c r="O23" s="13" t="str">
        <f t="shared" si="16"/>
        <v>Lenovo</v>
      </c>
      <c r="P23" s="14">
        <f t="shared" si="17"/>
        <v>91500</v>
      </c>
      <c r="Q23" s="14">
        <f t="shared" si="18"/>
        <v>137000</v>
      </c>
      <c r="R23" s="13" t="str">
        <f t="shared" si="8"/>
        <v>шт</v>
      </c>
      <c r="S23" s="10" t="str">
        <f t="shared" si="19"/>
        <v>OK</v>
      </c>
      <c r="T23" s="10" t="str">
        <f t="shared" si="20"/>
        <v>уникален</v>
      </c>
    </row>
    <row r="24" ht="15" customHeight="1">
      <c r="A24" s="10">
        <v>22</v>
      </c>
      <c r="B24" s="11" t="str">
        <f>RAW_Товары!A23</f>
        <v>№АРТ-022</v>
      </c>
      <c r="C24" s="11" t="str">
        <f>RAW_Товары!B23</f>
        <v xml:space="preserve">Смартфон Xiaomi 14 Pro</v>
      </c>
      <c r="D24" s="11" t="str">
        <f>RAW_Товары!C23</f>
        <v>Смартфоны</v>
      </c>
      <c r="E24" s="11" t="str">
        <f>RAW_Товары!D23</f>
        <v>Xiaomi</v>
      </c>
      <c r="F24" s="11" t="str">
        <f>RAW_Товары!E23</f>
        <v xml:space="preserve">35 000</v>
      </c>
      <c r="G24" s="11" t="str">
        <f>RAW_Товары!F23</f>
        <v xml:space="preserve">59 999,00</v>
      </c>
      <c r="H24" s="11" t="str">
        <f>RAW_Товары!G23</f>
        <v>шт.</v>
      </c>
      <c r="I24" s="12" t="str">
        <f t="shared" si="11"/>
        <v>022</v>
      </c>
      <c r="J24" s="12" t="str">
        <f t="shared" si="12"/>
        <v xml:space="preserve">Смартфон Xiaomi 14 Pro</v>
      </c>
      <c r="K24" s="12" t="str">
        <f t="shared" si="13"/>
        <v>Смартфоны</v>
      </c>
      <c r="L24" s="13" t="str">
        <f t="shared" si="14"/>
        <v>АРТ-022</v>
      </c>
      <c r="M24" s="13" t="str">
        <f t="shared" si="15"/>
        <v xml:space="preserve">Смартфон Xiaomi 14 Pro</v>
      </c>
      <c r="N24" s="13" t="str">
        <f>IFERROR(VLOOKUP(K24,Справочники!$A$6:$B$16,2,0),"НЕТ В СПРАВОЧНИКЕ")</f>
        <v>Смартфоны</v>
      </c>
      <c r="O24" s="13" t="str">
        <f t="shared" si="16"/>
        <v>Xiaomi</v>
      </c>
      <c r="P24" s="14">
        <f t="shared" si="17"/>
        <v>35000</v>
      </c>
      <c r="Q24" s="14">
        <f t="shared" si="18"/>
        <v>59999</v>
      </c>
      <c r="R24" s="13" t="str">
        <f t="shared" si="8"/>
        <v>шт</v>
      </c>
      <c r="S24" s="10" t="str">
        <f t="shared" si="19"/>
        <v>OK</v>
      </c>
      <c r="T24" s="10" t="str">
        <f t="shared" si="20"/>
        <v>уникален</v>
      </c>
    </row>
    <row r="25" ht="15" customHeight="1">
      <c r="A25" s="10">
        <v>23</v>
      </c>
      <c r="B25" s="11" t="str">
        <f>RAW_Товары!A24</f>
        <v>АРТ_023</v>
      </c>
      <c r="C25" s="11" t="str">
        <f>RAW_Товары!B24</f>
        <v xml:space="preserve">смартфон XIAOMI 14 PRO</v>
      </c>
      <c r="D25" s="11" t="str">
        <f>RAW_Товары!C24</f>
        <v>Телефоны</v>
      </c>
      <c r="E25" s="11" t="str">
        <f>RAW_Товары!D24</f>
        <v>xiaomi</v>
      </c>
      <c r="F25" s="11" t="str">
        <f>RAW_Товары!E24</f>
        <v xml:space="preserve">34 500</v>
      </c>
      <c r="G25" s="11" t="str">
        <f>RAW_Товары!F24</f>
        <v xml:space="preserve">58 500</v>
      </c>
      <c r="H25" s="11" t="str">
        <f>RAW_Товары!G24</f>
        <v>штука</v>
      </c>
      <c r="I25" s="12" t="str">
        <f t="shared" si="11"/>
        <v>023</v>
      </c>
      <c r="J25" s="12" t="str">
        <f t="shared" si="12"/>
        <v xml:space="preserve">смартфон XIAOMI 14 PRO</v>
      </c>
      <c r="K25" s="12" t="str">
        <f t="shared" si="13"/>
        <v>Телефоны</v>
      </c>
      <c r="L25" s="13" t="str">
        <f t="shared" si="14"/>
        <v>АРТ-023</v>
      </c>
      <c r="M25" s="13" t="str">
        <f t="shared" si="15"/>
        <v xml:space="preserve">Смартфон Xiaomi 14 Pro</v>
      </c>
      <c r="N25" s="13" t="str">
        <f>IFERROR(VLOOKUP(K25,Справочники!$A$6:$B$16,2,0),"НЕТ В СПРАВОЧНИКЕ")</f>
        <v>Смартфоны</v>
      </c>
      <c r="O25" s="13" t="str">
        <f t="shared" si="16"/>
        <v>Xiaomi</v>
      </c>
      <c r="P25" s="14">
        <f t="shared" si="17"/>
        <v>34500</v>
      </c>
      <c r="Q25" s="14">
        <f t="shared" si="18"/>
        <v>58500</v>
      </c>
      <c r="R25" s="13" t="str">
        <f t="shared" si="8"/>
        <v>шт</v>
      </c>
      <c r="S25" s="10" t="str">
        <f t="shared" si="19"/>
        <v>OK</v>
      </c>
      <c r="T25" s="10" t="str">
        <f t="shared" si="20"/>
        <v>уникален</v>
      </c>
    </row>
    <row r="26" ht="15" customHeight="1">
      <c r="A26" s="10">
        <v>24</v>
      </c>
      <c r="B26" s="11" t="str">
        <f>RAW_Товары!A25</f>
        <v>024-24</v>
      </c>
      <c r="C26" s="11" t="str">
        <f>RAW_Товары!B25</f>
        <v xml:space="preserve">Смартфон Xiaomi 14 Pro (Черный)</v>
      </c>
      <c r="D26" s="11" t="str">
        <f>RAW_Товары!C25</f>
        <v xml:space="preserve">Мобильные телефоны</v>
      </c>
      <c r="E26" s="11" t="str">
        <f>RAW_Товары!D25</f>
        <v>XIAOMI</v>
      </c>
      <c r="F26" s="11" t="str">
        <f>RAW_Товары!E25</f>
        <v xml:space="preserve">35 800</v>
      </c>
      <c r="G26" s="11" t="str">
        <f>RAW_Товары!F25</f>
        <v xml:space="preserve">60 800</v>
      </c>
      <c r="H26" s="11" t="str">
        <f>RAW_Товары!G25</f>
        <v>шт</v>
      </c>
      <c r="I26" s="12" t="str">
        <f t="shared" si="11"/>
        <v>024-24</v>
      </c>
      <c r="J26" s="12" t="str">
        <f t="shared" si="12"/>
        <v xml:space="preserve">Смартфон Xiaomi 14 Pro</v>
      </c>
      <c r="K26" s="12" t="str">
        <f t="shared" si="13"/>
        <v xml:space="preserve">Мобильные телефоны</v>
      </c>
      <c r="L26" s="13" t="str">
        <f t="shared" si="14"/>
        <v>АРТ-024</v>
      </c>
      <c r="M26" s="13" t="str">
        <f t="shared" si="15"/>
        <v xml:space="preserve">Смартфон Xiaomi 14 Pro</v>
      </c>
      <c r="N26" s="13" t="str">
        <f>IFERROR(VLOOKUP(K26,Справочники!$A$6:$B$16,2,0),"НЕТ В СПРАВОЧНИКЕ")</f>
        <v>Смартфоны</v>
      </c>
      <c r="O26" s="13" t="str">
        <f t="shared" si="16"/>
        <v>Xiaomi</v>
      </c>
      <c r="P26" s="14">
        <f t="shared" si="17"/>
        <v>35800</v>
      </c>
      <c r="Q26" s="14">
        <f t="shared" si="18"/>
        <v>60800</v>
      </c>
      <c r="R26" s="13" t="str">
        <f t="shared" si="8"/>
        <v>шт</v>
      </c>
      <c r="S26" s="10" t="str">
        <f t="shared" si="19"/>
        <v>OK</v>
      </c>
      <c r="T26" s="10" t="str">
        <f t="shared" si="20"/>
        <v>уникален</v>
      </c>
    </row>
    <row r="27" ht="15" customHeight="1">
      <c r="A27" s="10">
        <v>25</v>
      </c>
      <c r="B27" s="11" t="str">
        <f>RAW_Товары!A26</f>
        <v>№АРТ-025</v>
      </c>
      <c r="C27" s="11" t="str">
        <f>RAW_Товары!B26</f>
        <v xml:space="preserve">Монитор Samsung Odyssey G9</v>
      </c>
      <c r="D27" s="11" t="str">
        <f>RAW_Товары!C26</f>
        <v>Мониторы</v>
      </c>
      <c r="E27" s="11" t="str">
        <f>RAW_Товары!D26</f>
        <v>Samsung</v>
      </c>
      <c r="F27" s="11" t="str">
        <f>RAW_Товары!E26</f>
        <v xml:space="preserve">65 000</v>
      </c>
      <c r="G27" s="11" t="str">
        <f>RAW_Товары!F26</f>
        <v xml:space="preserve">99 900</v>
      </c>
      <c r="H27" s="11" t="str">
        <f>RAW_Товары!G26</f>
        <v>шт.</v>
      </c>
      <c r="I27" s="12" t="str">
        <f t="shared" si="11"/>
        <v>025</v>
      </c>
      <c r="J27" s="12" t="str">
        <f t="shared" si="12"/>
        <v xml:space="preserve">Монитор Samsung Odyssey G9</v>
      </c>
      <c r="K27" s="12" t="str">
        <f t="shared" si="13"/>
        <v>Мониторы</v>
      </c>
      <c r="L27" s="13" t="str">
        <f t="shared" si="14"/>
        <v>АРТ-025</v>
      </c>
      <c r="M27" s="13" t="str">
        <f t="shared" si="15"/>
        <v xml:space="preserve">Монитор Samsung Odyssey G9</v>
      </c>
      <c r="N27" s="13" t="str">
        <f>IFERROR(VLOOKUP(K27,Справочники!$A$6:$B$16,2,0),"НЕТ В СПРАВОЧНИКЕ")</f>
        <v>Мониторы</v>
      </c>
      <c r="O27" s="13" t="str">
        <f t="shared" si="16"/>
        <v>Samsung</v>
      </c>
      <c r="P27" s="14">
        <f t="shared" si="17"/>
        <v>65000</v>
      </c>
      <c r="Q27" s="14">
        <f t="shared" si="18"/>
        <v>99900</v>
      </c>
      <c r="R27" s="13" t="str">
        <f t="shared" si="8"/>
        <v>шт</v>
      </c>
      <c r="S27" s="10" t="str">
        <f t="shared" si="19"/>
        <v>OK</v>
      </c>
      <c r="T27" s="10" t="str">
        <f t="shared" si="20"/>
        <v>уникален</v>
      </c>
    </row>
    <row r="28" ht="15" customHeight="1">
      <c r="A28" s="10">
        <v>26</v>
      </c>
      <c r="B28" s="11" t="str">
        <f>RAW_Товары!A27</f>
        <v>АРТ_026</v>
      </c>
      <c r="C28" s="11" t="str">
        <f>RAW_Товары!B27</f>
        <v xml:space="preserve">монитор SAMSUNG ODYSSEY G9</v>
      </c>
      <c r="D28" s="11" t="str">
        <f>RAW_Товары!C27</f>
        <v>Мониторы</v>
      </c>
      <c r="E28" s="11" t="str">
        <f>RAW_Товары!D27</f>
        <v>samsung</v>
      </c>
      <c r="F28" s="11" t="str">
        <f>RAW_Товары!E27</f>
        <v xml:space="preserve">64 000</v>
      </c>
      <c r="G28" s="11" t="str">
        <f>RAW_Товары!F27</f>
        <v xml:space="preserve">98 000</v>
      </c>
      <c r="H28" s="11" t="str">
        <f>RAW_Товары!G27</f>
        <v>штуки</v>
      </c>
      <c r="I28" s="12" t="str">
        <f t="shared" si="11"/>
        <v>026</v>
      </c>
      <c r="J28" s="12" t="str">
        <f t="shared" si="12"/>
        <v xml:space="preserve">монитор SAMSUNG ODYSSEY G9</v>
      </c>
      <c r="K28" s="12" t="str">
        <f t="shared" si="13"/>
        <v>Мониторы</v>
      </c>
      <c r="L28" s="13" t="str">
        <f t="shared" si="14"/>
        <v>АРТ-026</v>
      </c>
      <c r="M28" s="13" t="str">
        <f t="shared" si="15"/>
        <v xml:space="preserve">Монитор Samsung Odyssey G9</v>
      </c>
      <c r="N28" s="13" t="str">
        <f>IFERROR(VLOOKUP(K28,Справочники!$A$6:$B$16,2,0),"НЕТ В СПРАВОЧНИКЕ")</f>
        <v>Мониторы</v>
      </c>
      <c r="O28" s="13" t="str">
        <f t="shared" si="16"/>
        <v>Samsung</v>
      </c>
      <c r="P28" s="14">
        <f t="shared" si="17"/>
        <v>64000</v>
      </c>
      <c r="Q28" s="14">
        <f t="shared" si="18"/>
        <v>98000</v>
      </c>
      <c r="R28" s="13" t="str">
        <f t="shared" si="8"/>
        <v>шт</v>
      </c>
      <c r="S28" s="10" t="str">
        <f t="shared" si="19"/>
        <v>OK</v>
      </c>
      <c r="T28" s="10" t="str">
        <f t="shared" si="20"/>
        <v>уникален</v>
      </c>
    </row>
    <row r="29" ht="15" customHeight="1">
      <c r="A29" s="10">
        <v>27</v>
      </c>
      <c r="B29" s="11" t="str">
        <f>RAW_Товары!A28</f>
        <v>027/24</v>
      </c>
      <c r="C29" s="11" t="str">
        <f>RAW_Товары!B28</f>
        <v xml:space="preserve">Монитор Samsung Odyssey G9 (Curved)</v>
      </c>
      <c r="D29" s="11" t="str">
        <f>RAW_Товары!C28</f>
        <v>Мониторы</v>
      </c>
      <c r="E29" s="11" t="str">
        <f>RAW_Товары!D28</f>
        <v>Samsung</v>
      </c>
      <c r="F29" s="11" t="str">
        <f>RAW_Товары!E28</f>
        <v xml:space="preserve">66 500</v>
      </c>
      <c r="G29" s="11" t="str">
        <f>RAW_Товары!F28</f>
        <v xml:space="preserve">101 500</v>
      </c>
      <c r="H29" s="11" t="str">
        <f>RAW_Товары!G28</f>
        <v>шт</v>
      </c>
      <c r="I29" s="12" t="str">
        <f t="shared" si="11"/>
        <v>027/24</v>
      </c>
      <c r="J29" s="12" t="str">
        <f t="shared" si="12"/>
        <v xml:space="preserve">Монитор Samsung Odyssey G9</v>
      </c>
      <c r="K29" s="12" t="str">
        <f t="shared" si="13"/>
        <v>Мониторы</v>
      </c>
      <c r="L29" s="13" t="str">
        <f t="shared" si="14"/>
        <v>АРТ-027</v>
      </c>
      <c r="M29" s="13" t="str">
        <f t="shared" si="15"/>
        <v xml:space="preserve">Монитор Samsung Odyssey G9</v>
      </c>
      <c r="N29" s="13" t="str">
        <f>IFERROR(VLOOKUP(K29,Справочники!$A$6:$B$16,2,0),"НЕТ В СПРАВОЧНИКЕ")</f>
        <v>Мониторы</v>
      </c>
      <c r="O29" s="13" t="str">
        <f t="shared" si="16"/>
        <v>Samsung</v>
      </c>
      <c r="P29" s="14">
        <f t="shared" si="17"/>
        <v>66500</v>
      </c>
      <c r="Q29" s="14">
        <f t="shared" si="18"/>
        <v>101500</v>
      </c>
      <c r="R29" s="13" t="str">
        <f t="shared" si="8"/>
        <v>шт</v>
      </c>
      <c r="S29" s="10" t="str">
        <f t="shared" si="19"/>
        <v>OK</v>
      </c>
      <c r="T29" s="10" t="str">
        <f t="shared" si="20"/>
        <v>уникален</v>
      </c>
    </row>
    <row r="30" ht="15" customHeight="1">
      <c r="A30" s="10">
        <v>28</v>
      </c>
      <c r="B30" s="11" t="str">
        <f>RAW_Товары!A29</f>
        <v>№АРТ-028</v>
      </c>
      <c r="C30" s="11" t="str">
        <f>RAW_Товары!B29</f>
        <v xml:space="preserve">Клавиатура Logitech MX Keys</v>
      </c>
      <c r="D30" s="11" t="str">
        <f>RAW_Товары!C29</f>
        <v>Аксессуары</v>
      </c>
      <c r="E30" s="11" t="str">
        <f>RAW_Товары!D29</f>
        <v>Logitech</v>
      </c>
      <c r="F30" s="11" t="str">
        <f>RAW_Товары!E29</f>
        <v xml:space="preserve">5 500</v>
      </c>
      <c r="G30" s="11" t="str">
        <f>RAW_Товары!F29</f>
        <v xml:space="preserve">9 990</v>
      </c>
      <c r="H30" s="11" t="str">
        <f>RAW_Товары!G29</f>
        <v>шт.</v>
      </c>
      <c r="I30" s="12" t="str">
        <f t="shared" si="11"/>
        <v>028</v>
      </c>
      <c r="J30" s="12" t="str">
        <f t="shared" si="12"/>
        <v xml:space="preserve">Клавиатура Logitech MX Keys</v>
      </c>
      <c r="K30" s="12" t="str">
        <f t="shared" si="13"/>
        <v>Аксессуары</v>
      </c>
      <c r="L30" s="13" t="str">
        <f t="shared" si="14"/>
        <v>АРТ-028</v>
      </c>
      <c r="M30" s="13" t="str">
        <f t="shared" si="15"/>
        <v xml:space="preserve">Клавиатура Logitech Mx Keys</v>
      </c>
      <c r="N30" s="13" t="str">
        <f>IFERROR(VLOOKUP(K30,Справочники!$A$6:$B$16,2,0),"НЕТ В СПРАВОЧНИКЕ")</f>
        <v>Аксессуары</v>
      </c>
      <c r="O30" s="13" t="str">
        <f t="shared" si="16"/>
        <v>Logitech</v>
      </c>
      <c r="P30" s="14">
        <f t="shared" si="17"/>
        <v>5500</v>
      </c>
      <c r="Q30" s="14">
        <f t="shared" si="18"/>
        <v>9990</v>
      </c>
      <c r="R30" s="13" t="str">
        <f t="shared" si="8"/>
        <v>шт</v>
      </c>
      <c r="S30" s="10" t="str">
        <f t="shared" si="19"/>
        <v>OK</v>
      </c>
      <c r="T30" s="10" t="str">
        <f t="shared" si="20"/>
        <v>уникален</v>
      </c>
    </row>
    <row r="31" ht="15" customHeight="1">
      <c r="A31" s="10">
        <v>29</v>
      </c>
      <c r="B31" s="11" t="str">
        <f>RAW_Товары!A30</f>
        <v>АРТ_029</v>
      </c>
      <c r="C31" s="11" t="str">
        <f>RAW_Товары!B30</f>
        <v xml:space="preserve">клавиатура LOGITECH MX KEYS</v>
      </c>
      <c r="D31" s="11" t="str">
        <f>RAW_Товары!C30</f>
        <v>Аксессуары</v>
      </c>
      <c r="E31" s="11" t="str">
        <f>RAW_Товары!D30</f>
        <v>logitech</v>
      </c>
      <c r="F31" s="11" t="str">
        <f>RAW_Товары!E30</f>
        <v xml:space="preserve">5 200</v>
      </c>
      <c r="G31" s="11" t="str">
        <f>RAW_Товары!F30</f>
        <v xml:space="preserve">9 500</v>
      </c>
      <c r="H31" s="11" t="str">
        <f>RAW_Товары!G30</f>
        <v>штука</v>
      </c>
      <c r="I31" s="12" t="str">
        <f t="shared" si="11"/>
        <v>029</v>
      </c>
      <c r="J31" s="12" t="str">
        <f t="shared" si="12"/>
        <v xml:space="preserve">клавиатура LOGITECH MX KEYS</v>
      </c>
      <c r="K31" s="12" t="str">
        <f t="shared" si="13"/>
        <v>Аксессуары</v>
      </c>
      <c r="L31" s="13" t="str">
        <f t="shared" si="14"/>
        <v>АРТ-029</v>
      </c>
      <c r="M31" s="13" t="str">
        <f t="shared" si="15"/>
        <v xml:space="preserve">Клавиатура Logitech Mx Keys</v>
      </c>
      <c r="N31" s="13" t="str">
        <f>IFERROR(VLOOKUP(K31,Справочники!$A$6:$B$16,2,0),"НЕТ В СПРАВОЧНИКЕ")</f>
        <v>Аксессуары</v>
      </c>
      <c r="O31" s="13" t="str">
        <f t="shared" si="16"/>
        <v>Logitech</v>
      </c>
      <c r="P31" s="14">
        <f t="shared" si="17"/>
        <v>5200</v>
      </c>
      <c r="Q31" s="14">
        <f t="shared" si="18"/>
        <v>9500</v>
      </c>
      <c r="R31" s="13" t="str">
        <f t="shared" si="8"/>
        <v>шт</v>
      </c>
      <c r="S31" s="10" t="str">
        <f t="shared" si="19"/>
        <v>OK</v>
      </c>
      <c r="T31" s="10" t="str">
        <f t="shared" si="20"/>
        <v>уникален</v>
      </c>
    </row>
    <row r="32" ht="15" customHeight="1">
      <c r="A32" s="10">
        <v>30</v>
      </c>
      <c r="B32" s="11" t="str">
        <f>RAW_Товары!A31</f>
        <v>030-24</v>
      </c>
      <c r="C32" s="11" t="str">
        <f>RAW_Товары!B31</f>
        <v xml:space="preserve">Клавиатура Logitech MX Keys (Беспроводная)</v>
      </c>
      <c r="D32" s="11" t="str">
        <f>RAW_Товары!C31</f>
        <v>Аксессуары</v>
      </c>
      <c r="E32" s="11" t="str">
        <f>RAW_Товары!D31</f>
        <v>LOGITECH</v>
      </c>
      <c r="F32" s="11" t="str">
        <f>RAW_Товары!E31</f>
        <v xml:space="preserve">5 800</v>
      </c>
      <c r="G32" s="11" t="str">
        <f>RAW_Товары!F31</f>
        <v xml:space="preserve">10 500</v>
      </c>
      <c r="H32" s="11" t="str">
        <f>RAW_Товары!G31</f>
        <v>шт</v>
      </c>
      <c r="I32" s="12" t="str">
        <f t="shared" si="11"/>
        <v>030-24</v>
      </c>
      <c r="J32" s="12" t="str">
        <f t="shared" si="12"/>
        <v xml:space="preserve">Клавиатура Logitech MX Keys</v>
      </c>
      <c r="K32" s="12" t="str">
        <f t="shared" si="13"/>
        <v>Аксессуары</v>
      </c>
      <c r="L32" s="13" t="str">
        <f t="shared" si="14"/>
        <v>АРТ-030</v>
      </c>
      <c r="M32" s="13" t="str">
        <f t="shared" si="15"/>
        <v xml:space="preserve">Клавиатура Logitech Mx Keys</v>
      </c>
      <c r="N32" s="13" t="str">
        <f>IFERROR(VLOOKUP(K32,Справочники!$A$6:$B$16,2,0),"НЕТ В СПРАВОЧНИКЕ")</f>
        <v>Аксессуары</v>
      </c>
      <c r="O32" s="13" t="str">
        <f t="shared" si="16"/>
        <v>Logitech</v>
      </c>
      <c r="P32" s="14">
        <f t="shared" si="17"/>
        <v>5800</v>
      </c>
      <c r="Q32" s="14">
        <f t="shared" si="18"/>
        <v>10500</v>
      </c>
      <c r="R32" s="13" t="str">
        <f t="shared" si="8"/>
        <v>шт</v>
      </c>
      <c r="S32" s="10" t="str">
        <f t="shared" si="19"/>
        <v>OK</v>
      </c>
      <c r="T32" s="10" t="str">
        <f t="shared" si="20"/>
        <v>уникален</v>
      </c>
    </row>
    <row r="33" ht="15" customHeight="1">
      <c r="A33" s="10">
        <v>31</v>
      </c>
      <c r="B33" s="11" t="str">
        <f>RAW_Товары!A32</f>
        <v>№АРТ-031</v>
      </c>
      <c r="C33" s="11" t="str">
        <f>RAW_Товары!B32</f>
        <v xml:space="preserve">Мышь Logitech MX Master 3S</v>
      </c>
      <c r="D33" s="11" t="str">
        <f>RAW_Товары!C32</f>
        <v>Аксессуары</v>
      </c>
      <c r="E33" s="11" t="str">
        <f>RAW_Товары!D32</f>
        <v>Logitech</v>
      </c>
      <c r="F33" s="11" t="str">
        <f>RAW_Товары!E32</f>
        <v xml:space="preserve">4 500</v>
      </c>
      <c r="G33" s="11" t="str">
        <f>RAW_Товары!F32</f>
        <v xml:space="preserve">8 990</v>
      </c>
      <c r="H33" s="11" t="str">
        <f>RAW_Товары!G32</f>
        <v>шт.</v>
      </c>
      <c r="I33" s="12" t="str">
        <f t="shared" si="11"/>
        <v>031</v>
      </c>
      <c r="J33" s="12" t="str">
        <f t="shared" si="12"/>
        <v xml:space="preserve">Мышь Logitech MX Master 3S</v>
      </c>
      <c r="K33" s="12" t="str">
        <f t="shared" si="13"/>
        <v>Аксессуары</v>
      </c>
      <c r="L33" s="13" t="str">
        <f t="shared" si="14"/>
        <v>АРТ-031</v>
      </c>
      <c r="M33" s="13" t="str">
        <f t="shared" si="15"/>
        <v xml:space="preserve">Мышь Logitech Mx Master 3S</v>
      </c>
      <c r="N33" s="13" t="str">
        <f>IFERROR(VLOOKUP(K33,Справочники!$A$6:$B$16,2,0),"НЕТ В СПРАВОЧНИКЕ")</f>
        <v>Аксессуары</v>
      </c>
      <c r="O33" s="13" t="str">
        <f t="shared" si="16"/>
        <v>Logitech</v>
      </c>
      <c r="P33" s="14">
        <f t="shared" si="17"/>
        <v>4500</v>
      </c>
      <c r="Q33" s="14">
        <f t="shared" si="18"/>
        <v>8990</v>
      </c>
      <c r="R33" s="13" t="str">
        <f t="shared" si="8"/>
        <v>шт</v>
      </c>
      <c r="S33" s="10" t="str">
        <f t="shared" si="19"/>
        <v>OK</v>
      </c>
      <c r="T33" s="10" t="str">
        <f t="shared" si="20"/>
        <v>уникален</v>
      </c>
    </row>
    <row r="34" ht="15" customHeight="1">
      <c r="A34" s="10">
        <v>32</v>
      </c>
      <c r="B34" s="11" t="str">
        <f>RAW_Товары!A33</f>
        <v>АРТ_032</v>
      </c>
      <c r="C34" s="11" t="str">
        <f>RAW_Товары!B33</f>
        <v xml:space="preserve">мышь LOGITECH MX MASTER 3S</v>
      </c>
      <c r="D34" s="11" t="str">
        <f>RAW_Товары!C33</f>
        <v>Аксессуары</v>
      </c>
      <c r="E34" s="11" t="str">
        <f>RAW_Товары!D33</f>
        <v>logitech</v>
      </c>
      <c r="F34" s="11" t="str">
        <f>RAW_Товары!E33</f>
        <v xml:space="preserve">4 200</v>
      </c>
      <c r="G34" s="11" t="str">
        <f>RAW_Товары!F33</f>
        <v xml:space="preserve">8 500</v>
      </c>
      <c r="H34" s="11" t="str">
        <f>RAW_Товары!G33</f>
        <v>штуки</v>
      </c>
      <c r="I34" s="12" t="str">
        <f t="shared" si="11"/>
        <v>032</v>
      </c>
      <c r="J34" s="12" t="str">
        <f t="shared" si="12"/>
        <v xml:space="preserve">мышь LOGITECH MX MASTER 3S</v>
      </c>
      <c r="K34" s="12" t="str">
        <f t="shared" si="13"/>
        <v>Аксессуары</v>
      </c>
      <c r="L34" s="13" t="str">
        <f t="shared" si="14"/>
        <v>АРТ-032</v>
      </c>
      <c r="M34" s="13" t="str">
        <f t="shared" si="15"/>
        <v xml:space="preserve">Мышь Logitech Mx Master 3S</v>
      </c>
      <c r="N34" s="13" t="str">
        <f>IFERROR(VLOOKUP(K34,Справочники!$A$6:$B$16,2,0),"НЕТ В СПРАВОЧНИКЕ")</f>
        <v>Аксессуары</v>
      </c>
      <c r="O34" s="13" t="str">
        <f t="shared" si="16"/>
        <v>Logitech</v>
      </c>
      <c r="P34" s="14">
        <f t="shared" si="17"/>
        <v>4200</v>
      </c>
      <c r="Q34" s="14">
        <f t="shared" si="18"/>
        <v>8500</v>
      </c>
      <c r="R34" s="13" t="str">
        <f t="shared" si="8"/>
        <v>шт</v>
      </c>
      <c r="S34" s="10" t="str">
        <f t="shared" si="19"/>
        <v>OK</v>
      </c>
      <c r="T34" s="10" t="str">
        <f t="shared" si="20"/>
        <v>уникален</v>
      </c>
    </row>
    <row r="35" ht="15" customHeight="1">
      <c r="A35" s="10">
        <v>33</v>
      </c>
      <c r="B35" s="11" t="str">
        <f>RAW_Товары!A34</f>
        <v>033/24</v>
      </c>
      <c r="C35" s="11" t="str">
        <f>RAW_Товары!B34</f>
        <v xml:space="preserve">Мышь Logitech MX Master 3S (Графит)</v>
      </c>
      <c r="D35" s="11" t="str">
        <f>RAW_Товары!C34</f>
        <v>Аксессуары</v>
      </c>
      <c r="E35" s="11" t="str">
        <f>RAW_Товары!D34</f>
        <v>LOGITECH</v>
      </c>
      <c r="F35" s="11" t="str">
        <f>RAW_Товары!E34</f>
        <v xml:space="preserve">4 800</v>
      </c>
      <c r="G35" s="11" t="str">
        <f>RAW_Товары!F34</f>
        <v xml:space="preserve">9 200</v>
      </c>
      <c r="H35" s="11" t="str">
        <f>RAW_Товары!G34</f>
        <v>шт</v>
      </c>
      <c r="I35" s="12" t="str">
        <f t="shared" si="11"/>
        <v>033/24</v>
      </c>
      <c r="J35" s="12" t="str">
        <f t="shared" si="12"/>
        <v xml:space="preserve">Мышь Logitech MX Master 3S</v>
      </c>
      <c r="K35" s="12" t="str">
        <f t="shared" si="13"/>
        <v>Аксессуары</v>
      </c>
      <c r="L35" s="13" t="str">
        <f t="shared" si="14"/>
        <v>АРТ-033</v>
      </c>
      <c r="M35" s="13" t="str">
        <f t="shared" si="15"/>
        <v xml:space="preserve">Мышь Logitech Mx Master 3S</v>
      </c>
      <c r="N35" s="13" t="str">
        <f>IFERROR(VLOOKUP(K35,Справочники!$A$6:$B$16,2,0),"НЕТ В СПРАВОЧНИКЕ")</f>
        <v>Аксессуары</v>
      </c>
      <c r="O35" s="13" t="str">
        <f t="shared" si="16"/>
        <v>Logitech</v>
      </c>
      <c r="P35" s="14">
        <f t="shared" si="17"/>
        <v>4800</v>
      </c>
      <c r="Q35" s="14">
        <f t="shared" si="18"/>
        <v>9200</v>
      </c>
      <c r="R35" s="13" t="str">
        <f t="shared" si="8"/>
        <v>шт</v>
      </c>
      <c r="S35" s="10" t="str">
        <f t="shared" si="19"/>
        <v>OK</v>
      </c>
      <c r="T35" s="10" t="str">
        <f t="shared" si="20"/>
        <v>уникален</v>
      </c>
    </row>
    <row r="36" ht="15" customHeight="1">
      <c r="A36" s="10">
        <v>34</v>
      </c>
      <c r="B36" s="11" t="str">
        <f>RAW_Товары!A35</f>
        <v>№АРТ-034</v>
      </c>
      <c r="C36" s="11" t="str">
        <f>RAW_Товары!B35</f>
        <v xml:space="preserve">Планшет Huawei MatePad Pro</v>
      </c>
      <c r="D36" s="11" t="str">
        <f>RAW_Товары!C35</f>
        <v>Планшеты</v>
      </c>
      <c r="E36" s="11" t="str">
        <f>RAW_Товары!D35</f>
        <v>Huawei</v>
      </c>
      <c r="F36" s="11" t="str">
        <f>RAW_Товары!E35</f>
        <v xml:space="preserve">40 000</v>
      </c>
      <c r="G36" s="11" t="str">
        <f>RAW_Товары!F35</f>
        <v xml:space="preserve">64 999</v>
      </c>
      <c r="H36" s="11" t="str">
        <f>RAW_Товары!G35</f>
        <v>шт.</v>
      </c>
      <c r="I36" s="12" t="str">
        <f t="shared" si="11"/>
        <v>034</v>
      </c>
      <c r="J36" s="12" t="str">
        <f t="shared" si="12"/>
        <v xml:space="preserve">Планшет Huawei MatePad Pro</v>
      </c>
      <c r="K36" s="12" t="str">
        <f t="shared" si="13"/>
        <v>Планшеты</v>
      </c>
      <c r="L36" s="13" t="str">
        <f t="shared" si="14"/>
        <v>АРТ-034</v>
      </c>
      <c r="M36" s="13" t="str">
        <f t="shared" si="15"/>
        <v xml:space="preserve">Планшет Huawei Matepad Pro</v>
      </c>
      <c r="N36" s="13" t="str">
        <f>IFERROR(VLOOKUP(K36,Справочники!$A$6:$B$16,2,0),"НЕТ В СПРАВОЧНИКЕ")</f>
        <v>Планшеты</v>
      </c>
      <c r="O36" s="13" t="str">
        <f t="shared" si="16"/>
        <v>Huawei</v>
      </c>
      <c r="P36" s="14">
        <f t="shared" si="17"/>
        <v>40000</v>
      </c>
      <c r="Q36" s="14">
        <f t="shared" si="18"/>
        <v>64999</v>
      </c>
      <c r="R36" s="13" t="str">
        <f t="shared" si="8"/>
        <v>шт</v>
      </c>
      <c r="S36" s="10" t="str">
        <f t="shared" si="19"/>
        <v>OK</v>
      </c>
      <c r="T36" s="10" t="str">
        <f t="shared" si="20"/>
        <v>уникален</v>
      </c>
    </row>
    <row r="37" ht="15" customHeight="1">
      <c r="A37" s="10">
        <v>35</v>
      </c>
      <c r="B37" s="11" t="str">
        <f>RAW_Товары!A36</f>
        <v>АРТ_035</v>
      </c>
      <c r="C37" s="11" t="str">
        <f>RAW_Товары!B36</f>
        <v xml:space="preserve">планшет HUAWEI MATEPAD PRO</v>
      </c>
      <c r="D37" s="11" t="str">
        <f>RAW_Товары!C36</f>
        <v>Планшеты</v>
      </c>
      <c r="E37" s="11" t="str">
        <f>RAW_Товары!D36</f>
        <v>huawei</v>
      </c>
      <c r="F37" s="11" t="str">
        <f>RAW_Товары!E36</f>
        <v xml:space="preserve">39 000</v>
      </c>
      <c r="G37" s="11" t="str">
        <f>RAW_Товары!F36</f>
        <v xml:space="preserve">63 500</v>
      </c>
      <c r="H37" s="11" t="str">
        <f>RAW_Товары!G36</f>
        <v>штука</v>
      </c>
      <c r="I37" s="12" t="str">
        <f t="shared" si="11"/>
        <v>035</v>
      </c>
      <c r="J37" s="12" t="str">
        <f t="shared" si="12"/>
        <v xml:space="preserve">планшет HUAWEI MATEPAD PRO</v>
      </c>
      <c r="K37" s="12" t="str">
        <f t="shared" si="13"/>
        <v>Планшеты</v>
      </c>
      <c r="L37" s="13" t="str">
        <f t="shared" si="14"/>
        <v>АРТ-035</v>
      </c>
      <c r="M37" s="13" t="str">
        <f t="shared" si="15"/>
        <v xml:space="preserve">Планшет Huawei Matepad Pro</v>
      </c>
      <c r="N37" s="13" t="str">
        <f>IFERROR(VLOOKUP(K37,Справочники!$A$6:$B$16,2,0),"НЕТ В СПРАВОЧНИКЕ")</f>
        <v>Планшеты</v>
      </c>
      <c r="O37" s="13" t="str">
        <f t="shared" si="16"/>
        <v>Huawei</v>
      </c>
      <c r="P37" s="14">
        <f t="shared" si="17"/>
        <v>39000</v>
      </c>
      <c r="Q37" s="14">
        <f t="shared" si="18"/>
        <v>63500</v>
      </c>
      <c r="R37" s="13" t="str">
        <f t="shared" si="8"/>
        <v>шт</v>
      </c>
      <c r="S37" s="10" t="str">
        <f t="shared" si="19"/>
        <v>OK</v>
      </c>
      <c r="T37" s="10" t="str">
        <f t="shared" si="20"/>
        <v>уникален</v>
      </c>
    </row>
    <row r="38" ht="15" customHeight="1">
      <c r="A38" s="10">
        <v>36</v>
      </c>
      <c r="B38" s="11" t="str">
        <f>RAW_Товары!A37</f>
        <v>036-24</v>
      </c>
      <c r="C38" s="11" t="str">
        <f>RAW_Товары!B37</f>
        <v xml:space="preserve">Планшет Huawei MatePad Pro (12.6")</v>
      </c>
      <c r="D38" s="11" t="str">
        <f>RAW_Товары!C37</f>
        <v>Планшеты</v>
      </c>
      <c r="E38" s="11" t="str">
        <f>RAW_Товары!D37</f>
        <v>HUAWEI</v>
      </c>
      <c r="F38" s="11" t="str">
        <f>RAW_Товары!E37</f>
        <v xml:space="preserve">41 000</v>
      </c>
      <c r="G38" s="11" t="str">
        <f>RAW_Товары!F37</f>
        <v xml:space="preserve">66 500</v>
      </c>
      <c r="H38" s="11" t="str">
        <f>RAW_Товары!G37</f>
        <v>шт</v>
      </c>
      <c r="I38" s="12" t="str">
        <f t="shared" si="11"/>
        <v>036-24</v>
      </c>
      <c r="J38" s="12" t="str">
        <f t="shared" si="12"/>
        <v xml:space="preserve">Планшет Huawei MatePad Pro</v>
      </c>
      <c r="K38" s="12" t="str">
        <f t="shared" si="13"/>
        <v>Планшеты</v>
      </c>
      <c r="L38" s="13" t="str">
        <f t="shared" si="14"/>
        <v>АРТ-036</v>
      </c>
      <c r="M38" s="13" t="str">
        <f t="shared" si="15"/>
        <v xml:space="preserve">Планшет Huawei Matepad Pro</v>
      </c>
      <c r="N38" s="13" t="str">
        <f>IFERROR(VLOOKUP(K38,Справочники!$A$6:$B$16,2,0),"НЕТ В СПРАВОЧНИКЕ")</f>
        <v>Планшеты</v>
      </c>
      <c r="O38" s="13" t="str">
        <f t="shared" si="16"/>
        <v>Huawei</v>
      </c>
      <c r="P38" s="14">
        <f t="shared" si="17"/>
        <v>41000</v>
      </c>
      <c r="Q38" s="14">
        <f t="shared" si="18"/>
        <v>66500</v>
      </c>
      <c r="R38" s="13" t="str">
        <f t="shared" si="8"/>
        <v>шт</v>
      </c>
      <c r="S38" s="10" t="str">
        <f t="shared" si="19"/>
        <v>OK</v>
      </c>
      <c r="T38" s="10" t="str">
        <f t="shared" si="20"/>
        <v>уникален</v>
      </c>
    </row>
    <row r="39" ht="15" customHeight="1">
      <c r="A39" s="10">
        <v>37</v>
      </c>
      <c r="B39" s="11" t="str">
        <f>RAW_Товары!A38</f>
        <v>№АРТ-037</v>
      </c>
      <c r="C39" s="11" t="str">
        <f>RAW_Товары!B38</f>
        <v xml:space="preserve">Смарт-часы Apple Watch Ultra</v>
      </c>
      <c r="D39" s="11" t="str">
        <f>RAW_Товары!C38</f>
        <v>Часы</v>
      </c>
      <c r="E39" s="11" t="str">
        <f>RAW_Товары!D38</f>
        <v>Apple</v>
      </c>
      <c r="F39" s="11" t="str">
        <f>RAW_Товары!E38</f>
        <v xml:space="preserve">45 000</v>
      </c>
      <c r="G39" s="11" t="str">
        <f>RAW_Товары!F38</f>
        <v xml:space="preserve">69 990</v>
      </c>
      <c r="H39" s="11" t="str">
        <f>RAW_Товары!G38</f>
        <v>шт.</v>
      </c>
      <c r="I39" s="12" t="str">
        <f t="shared" si="11"/>
        <v>037</v>
      </c>
      <c r="J39" s="12" t="str">
        <f t="shared" si="12"/>
        <v xml:space="preserve">Смарт-часы Apple Watch Ultra</v>
      </c>
      <c r="K39" s="12" t="str">
        <f t="shared" si="13"/>
        <v>Часы</v>
      </c>
      <c r="L39" s="13" t="str">
        <f t="shared" si="14"/>
        <v>АРТ-037</v>
      </c>
      <c r="M39" s="13" t="str">
        <f t="shared" si="15"/>
        <v xml:space="preserve">Смарт-Часы Apple Watch Ultra</v>
      </c>
      <c r="N39" s="13" t="str">
        <f>IFERROR(VLOOKUP(K39,Справочники!$A$6:$B$16,2,0),"НЕТ В СПРАВОЧНИКЕ")</f>
        <v>Часы</v>
      </c>
      <c r="O39" s="13" t="str">
        <f t="shared" si="16"/>
        <v>Apple</v>
      </c>
      <c r="P39" s="14">
        <f t="shared" si="17"/>
        <v>45000</v>
      </c>
      <c r="Q39" s="14">
        <f t="shared" si="18"/>
        <v>69990</v>
      </c>
      <c r="R39" s="13" t="str">
        <f t="shared" si="8"/>
        <v>шт</v>
      </c>
      <c r="S39" s="10" t="str">
        <f t="shared" si="19"/>
        <v>OK</v>
      </c>
      <c r="T39" s="10" t="str">
        <f t="shared" si="20"/>
        <v>уникален</v>
      </c>
    </row>
    <row r="40" ht="15" customHeight="1">
      <c r="A40" s="10">
        <v>38</v>
      </c>
      <c r="B40" s="11" t="str">
        <f>RAW_Товары!A39</f>
        <v>АРТ_038</v>
      </c>
      <c r="C40" s="11" t="str">
        <f>RAW_Товары!B39</f>
        <v xml:space="preserve">смарт-часы APPLE WATCH ULTRA</v>
      </c>
      <c r="D40" s="11" t="str">
        <f>RAW_Товары!C39</f>
        <v>Часы</v>
      </c>
      <c r="E40" s="11" t="str">
        <f>RAW_Товары!D39</f>
        <v>apple</v>
      </c>
      <c r="F40" s="11" t="str">
        <f>RAW_Товары!E39</f>
        <v xml:space="preserve">44 000</v>
      </c>
      <c r="G40" s="11" t="str">
        <f>RAW_Товары!F39</f>
        <v xml:space="preserve">68 500</v>
      </c>
      <c r="H40" s="11" t="str">
        <f>RAW_Товары!G39</f>
        <v>штуки</v>
      </c>
      <c r="I40" s="12" t="str">
        <f t="shared" si="11"/>
        <v>038</v>
      </c>
      <c r="J40" s="12" t="str">
        <f t="shared" si="12"/>
        <v xml:space="preserve">смарт-часы APPLE WATCH ULTRA</v>
      </c>
      <c r="K40" s="12" t="str">
        <f t="shared" si="13"/>
        <v>Часы</v>
      </c>
      <c r="L40" s="13" t="str">
        <f t="shared" si="14"/>
        <v>АРТ-038</v>
      </c>
      <c r="M40" s="13" t="str">
        <f t="shared" si="15"/>
        <v xml:space="preserve">Смарт-Часы Apple Watch Ultra</v>
      </c>
      <c r="N40" s="13" t="str">
        <f>IFERROR(VLOOKUP(K40,Справочники!$A$6:$B$16,2,0),"НЕТ В СПРАВОЧНИКЕ")</f>
        <v>Часы</v>
      </c>
      <c r="O40" s="13" t="str">
        <f t="shared" si="16"/>
        <v>Apple</v>
      </c>
      <c r="P40" s="14">
        <f t="shared" si="17"/>
        <v>44000</v>
      </c>
      <c r="Q40" s="14">
        <f t="shared" si="18"/>
        <v>68500</v>
      </c>
      <c r="R40" s="13" t="str">
        <f t="shared" si="8"/>
        <v>шт</v>
      </c>
      <c r="S40" s="10" t="str">
        <f t="shared" si="19"/>
        <v>OK</v>
      </c>
      <c r="T40" s="10" t="str">
        <f t="shared" si="20"/>
        <v>уникален</v>
      </c>
    </row>
    <row r="41" ht="15" customHeight="1">
      <c r="A41" s="10">
        <v>39</v>
      </c>
      <c r="B41" s="11" t="str">
        <f>RAW_Товары!A40</f>
        <v>039/24</v>
      </c>
      <c r="C41" s="11" t="str">
        <f>RAW_Товары!B40</f>
        <v xml:space="preserve">Смарт-часы Apple Watch Ultra (Титан)</v>
      </c>
      <c r="D41" s="11" t="str">
        <f>RAW_Товары!C40</f>
        <v>Часы</v>
      </c>
      <c r="E41" s="11" t="str">
        <f>RAW_Товары!D40</f>
        <v>APPLE</v>
      </c>
      <c r="F41" s="11" t="str">
        <f>RAW_Товары!E40</f>
        <v xml:space="preserve">46 000</v>
      </c>
      <c r="G41" s="11" t="str">
        <f>RAW_Товары!F40</f>
        <v xml:space="preserve">71 000</v>
      </c>
      <c r="H41" s="11" t="str">
        <f>RAW_Товары!G40</f>
        <v>шт</v>
      </c>
      <c r="I41" s="12" t="str">
        <f t="shared" si="11"/>
        <v>039/24</v>
      </c>
      <c r="J41" s="12" t="str">
        <f t="shared" si="12"/>
        <v xml:space="preserve">Смарт-часы Apple Watch Ultra</v>
      </c>
      <c r="K41" s="12" t="str">
        <f t="shared" si="13"/>
        <v>Часы</v>
      </c>
      <c r="L41" s="13" t="str">
        <f t="shared" si="14"/>
        <v>АРТ-039</v>
      </c>
      <c r="M41" s="13" t="str">
        <f t="shared" si="15"/>
        <v xml:space="preserve">Смарт-Часы Apple Watch Ultra</v>
      </c>
      <c r="N41" s="13" t="str">
        <f>IFERROR(VLOOKUP(K41,Справочники!$A$6:$B$16,2,0),"НЕТ В СПРАВОЧНИКЕ")</f>
        <v>Часы</v>
      </c>
      <c r="O41" s="13" t="str">
        <f t="shared" si="16"/>
        <v>Apple</v>
      </c>
      <c r="P41" s="14">
        <f t="shared" si="17"/>
        <v>46000</v>
      </c>
      <c r="Q41" s="14">
        <f t="shared" si="18"/>
        <v>71000</v>
      </c>
      <c r="R41" s="13" t="str">
        <f t="shared" si="8"/>
        <v>шт</v>
      </c>
      <c r="S41" s="10" t="str">
        <f t="shared" si="19"/>
        <v>OK</v>
      </c>
      <c r="T41" s="10" t="str">
        <f t="shared" si="20"/>
        <v>уникален</v>
      </c>
    </row>
    <row r="42" ht="15" customHeight="1">
      <c r="A42" s="10">
        <v>40</v>
      </c>
      <c r="B42" s="11" t="str">
        <f>RAW_Товары!A41</f>
        <v>№АРТ-040</v>
      </c>
      <c r="C42" s="11" t="str">
        <f>RAW_Товары!B41</f>
        <v xml:space="preserve">Ноутбук Dell XPS 15</v>
      </c>
      <c r="D42" s="11" t="str">
        <f>RAW_Товары!C41</f>
        <v>Ноутбуки</v>
      </c>
      <c r="E42" s="11" t="str">
        <f>RAW_Товары!D41</f>
        <v>Dell</v>
      </c>
      <c r="F42" s="11" t="str">
        <f>RAW_Товары!E41</f>
        <v xml:space="preserve">95 000</v>
      </c>
      <c r="G42" s="11" t="str">
        <f>RAW_Товары!F41</f>
        <v xml:space="preserve">142 000</v>
      </c>
      <c r="H42" s="11" t="str">
        <f>RAW_Товары!G41</f>
        <v>шт.</v>
      </c>
      <c r="I42" s="12" t="str">
        <f t="shared" si="11"/>
        <v>040</v>
      </c>
      <c r="J42" s="12" t="str">
        <f t="shared" si="12"/>
        <v xml:space="preserve">Ноутбук Dell XPS 15</v>
      </c>
      <c r="K42" s="12" t="str">
        <f t="shared" si="13"/>
        <v>Ноутбуки</v>
      </c>
      <c r="L42" s="13" t="str">
        <f t="shared" si="14"/>
        <v>АРТ-040</v>
      </c>
      <c r="M42" s="13" t="str">
        <f t="shared" si="15"/>
        <v xml:space="preserve">Ноутбук Dell Xps 15</v>
      </c>
      <c r="N42" s="13" t="str">
        <f>IFERROR(VLOOKUP(K42,Справочники!$A$6:$B$16,2,0),"НЕТ В СПРАВОЧНИКЕ")</f>
        <v>Ноутбуки</v>
      </c>
      <c r="O42" s="13" t="str">
        <f t="shared" si="16"/>
        <v>Dell</v>
      </c>
      <c r="P42" s="14">
        <f t="shared" si="17"/>
        <v>95000</v>
      </c>
      <c r="Q42" s="14">
        <f t="shared" si="18"/>
        <v>142000</v>
      </c>
      <c r="R42" s="13" t="str">
        <f t="shared" si="8"/>
        <v>шт</v>
      </c>
      <c r="S42" s="10" t="str">
        <f t="shared" si="19"/>
        <v>OK</v>
      </c>
      <c r="T42" s="10" t="str">
        <f t="shared" si="20"/>
        <v>уникален</v>
      </c>
    </row>
    <row r="43" ht="15" customHeight="1">
      <c r="A43" s="10">
        <v>41</v>
      </c>
      <c r="B43" s="11" t="str">
        <f>RAW_Товары!A42</f>
        <v>АРТ_041</v>
      </c>
      <c r="C43" s="11" t="str">
        <f>RAW_Товары!B42</f>
        <v xml:space="preserve">ноутбук DELL XPS 15</v>
      </c>
      <c r="D43" s="11" t="str">
        <f>RAW_Товары!C42</f>
        <v>Лэптопы</v>
      </c>
      <c r="E43" s="11" t="str">
        <f>RAW_Товары!D42</f>
        <v>dell</v>
      </c>
      <c r="F43" s="11" t="str">
        <f>RAW_Товары!E42</f>
        <v xml:space="preserve">93 500</v>
      </c>
      <c r="G43" s="11" t="str">
        <f>RAW_Товары!F42</f>
        <v xml:space="preserve">140 500</v>
      </c>
      <c r="H43" s="11" t="str">
        <f>RAW_Товары!G42</f>
        <v>штука</v>
      </c>
      <c r="I43" s="12" t="str">
        <f t="shared" si="11"/>
        <v>041</v>
      </c>
      <c r="J43" s="12" t="str">
        <f t="shared" si="12"/>
        <v xml:space="preserve">ноутбук DELL XPS 15</v>
      </c>
      <c r="K43" s="12" t="str">
        <f t="shared" si="13"/>
        <v>Лэптопы</v>
      </c>
      <c r="L43" s="13" t="str">
        <f t="shared" si="14"/>
        <v>АРТ-041</v>
      </c>
      <c r="M43" s="13" t="str">
        <f t="shared" si="15"/>
        <v xml:space="preserve">Ноутбук Dell Xps 15</v>
      </c>
      <c r="N43" s="13" t="str">
        <f>IFERROR(VLOOKUP(K43,Справочники!$A$6:$B$16,2,0),"НЕТ В СПРАВОЧНИКЕ")</f>
        <v>Ноутбуки</v>
      </c>
      <c r="O43" s="13" t="str">
        <f t="shared" si="16"/>
        <v>Dell</v>
      </c>
      <c r="P43" s="14">
        <f t="shared" si="17"/>
        <v>93500</v>
      </c>
      <c r="Q43" s="14">
        <f t="shared" si="18"/>
        <v>140500</v>
      </c>
      <c r="R43" s="13" t="str">
        <f t="shared" si="8"/>
        <v>шт</v>
      </c>
      <c r="S43" s="10" t="str">
        <f t="shared" si="19"/>
        <v>OK</v>
      </c>
      <c r="T43" s="10" t="str">
        <f t="shared" si="20"/>
        <v>уникален</v>
      </c>
    </row>
    <row r="44" ht="15" customHeight="1">
      <c r="A44" s="10">
        <v>42</v>
      </c>
      <c r="B44" s="11" t="str">
        <f>RAW_Товары!A43</f>
        <v>042-24</v>
      </c>
      <c r="C44" s="11" t="str">
        <f>RAW_Товары!B43</f>
        <v xml:space="preserve">Ноутбук Dell XPS 15 (9530)</v>
      </c>
      <c r="D44" s="11" t="str">
        <f>RAW_Товары!C43</f>
        <v>Ноутбуки</v>
      </c>
      <c r="E44" s="11" t="str">
        <f>RAW_Товары!D43</f>
        <v>DELL</v>
      </c>
      <c r="F44" s="11" t="str">
        <f>RAW_Товары!E43</f>
        <v xml:space="preserve">96 500</v>
      </c>
      <c r="G44" s="11" t="str">
        <f>RAW_Товары!F43</f>
        <v xml:space="preserve">144 000</v>
      </c>
      <c r="H44" s="11" t="str">
        <f>RAW_Товары!G43</f>
        <v>шт</v>
      </c>
      <c r="I44" s="12" t="str">
        <f t="shared" si="11"/>
        <v>042-24</v>
      </c>
      <c r="J44" s="12" t="str">
        <f t="shared" si="12"/>
        <v xml:space="preserve">Ноутбук Dell XPS 15</v>
      </c>
      <c r="K44" s="12" t="str">
        <f t="shared" si="13"/>
        <v>Ноутбуки</v>
      </c>
      <c r="L44" s="13" t="str">
        <f t="shared" si="14"/>
        <v>АРТ-042</v>
      </c>
      <c r="M44" s="13" t="str">
        <f t="shared" si="15"/>
        <v xml:space="preserve">Ноутбук Dell Xps 15</v>
      </c>
      <c r="N44" s="13" t="str">
        <f>IFERROR(VLOOKUP(K44,Справочники!$A$6:$B$16,2,0),"НЕТ В СПРАВОЧНИКЕ")</f>
        <v>Ноутбуки</v>
      </c>
      <c r="O44" s="13" t="str">
        <f t="shared" si="16"/>
        <v>Dell</v>
      </c>
      <c r="P44" s="14">
        <f t="shared" si="17"/>
        <v>96500</v>
      </c>
      <c r="Q44" s="14">
        <f t="shared" si="18"/>
        <v>144000</v>
      </c>
      <c r="R44" s="13" t="str">
        <f t="shared" si="8"/>
        <v>шт</v>
      </c>
      <c r="S44" s="10" t="str">
        <f t="shared" si="19"/>
        <v>OK</v>
      </c>
      <c r="T44" s="10" t="str">
        <f t="shared" si="20"/>
        <v>уникален</v>
      </c>
    </row>
    <row r="45" ht="15" customHeight="1">
      <c r="A45" s="10">
        <v>43</v>
      </c>
      <c r="B45" s="11" t="str">
        <f>RAW_Товары!A44</f>
        <v>№АРТ-043</v>
      </c>
      <c r="C45" s="11" t="str">
        <f>RAW_Товары!B44</f>
        <v xml:space="preserve">Телевизор Sony Bravia XR</v>
      </c>
      <c r="D45" s="11" t="str">
        <f>RAW_Товары!C44</f>
        <v>Телевизоры</v>
      </c>
      <c r="E45" s="11" t="str">
        <f>RAW_Товары!D44</f>
        <v>Sony</v>
      </c>
      <c r="F45" s="11" t="str">
        <f>RAW_Товары!E44</f>
        <v xml:space="preserve">88 000</v>
      </c>
      <c r="G45" s="11" t="str">
        <f>RAW_Товары!F44</f>
        <v xml:space="preserve">134 990</v>
      </c>
      <c r="H45" s="11" t="str">
        <f>RAW_Товары!G44</f>
        <v>шт.</v>
      </c>
      <c r="I45" s="12" t="str">
        <f t="shared" si="11"/>
        <v>043</v>
      </c>
      <c r="J45" s="12" t="str">
        <f t="shared" si="12"/>
        <v xml:space="preserve">Телевизор Sony Bravia XR</v>
      </c>
      <c r="K45" s="12" t="str">
        <f t="shared" si="13"/>
        <v>Телевизоры</v>
      </c>
      <c r="L45" s="13" t="str">
        <f t="shared" si="14"/>
        <v>АРТ-043</v>
      </c>
      <c r="M45" s="13" t="str">
        <f t="shared" si="15"/>
        <v xml:space="preserve">Телевизор Sony Bravia Xr</v>
      </c>
      <c r="N45" s="13" t="str">
        <f>IFERROR(VLOOKUP(K45,Справочники!$A$6:$B$16,2,0),"НЕТ В СПРАВОЧНИКЕ")</f>
        <v>Телевизоры</v>
      </c>
      <c r="O45" s="13" t="str">
        <f t="shared" si="16"/>
        <v>Sony</v>
      </c>
      <c r="P45" s="14">
        <f t="shared" si="17"/>
        <v>88000</v>
      </c>
      <c r="Q45" s="14">
        <f t="shared" si="18"/>
        <v>134990</v>
      </c>
      <c r="R45" s="13" t="str">
        <f t="shared" si="8"/>
        <v>шт</v>
      </c>
      <c r="S45" s="10" t="str">
        <f t="shared" si="19"/>
        <v>OK</v>
      </c>
      <c r="T45" s="10" t="str">
        <f t="shared" si="20"/>
        <v>уникален</v>
      </c>
    </row>
    <row r="46" ht="15" customHeight="1">
      <c r="A46" s="10">
        <v>44</v>
      </c>
      <c r="B46" s="11" t="str">
        <f>RAW_Товары!A45</f>
        <v>АРТ_044</v>
      </c>
      <c r="C46" s="11" t="str">
        <f>RAW_Товары!B45</f>
        <v xml:space="preserve">телевизор SONY BRAVIA XR</v>
      </c>
      <c r="D46" s="11" t="str">
        <f>RAW_Товары!C45</f>
        <v>Телевизоры</v>
      </c>
      <c r="E46" s="11" t="str">
        <f>RAW_Товары!D45</f>
        <v>sony</v>
      </c>
      <c r="F46" s="11" t="str">
        <f>RAW_Товары!E45</f>
        <v xml:space="preserve">86 500</v>
      </c>
      <c r="G46" s="11" t="str">
        <f>RAW_Товары!F45</f>
        <v xml:space="preserve">132 000</v>
      </c>
      <c r="H46" s="11" t="str">
        <f>RAW_Товары!G45</f>
        <v>штуки</v>
      </c>
      <c r="I46" s="12" t="str">
        <f t="shared" si="11"/>
        <v>044</v>
      </c>
      <c r="J46" s="12" t="str">
        <f t="shared" si="12"/>
        <v xml:space="preserve">телевизор SONY BRAVIA XR</v>
      </c>
      <c r="K46" s="12" t="str">
        <f t="shared" si="13"/>
        <v>Телевизоры</v>
      </c>
      <c r="L46" s="13" t="str">
        <f t="shared" si="14"/>
        <v>АРТ-044</v>
      </c>
      <c r="M46" s="13" t="str">
        <f t="shared" si="15"/>
        <v xml:space="preserve">Телевизор Sony Bravia Xr</v>
      </c>
      <c r="N46" s="13" t="str">
        <f>IFERROR(VLOOKUP(K46,Справочники!$A$6:$B$16,2,0),"НЕТ В СПРАВОЧНИКЕ")</f>
        <v>Телевизоры</v>
      </c>
      <c r="O46" s="13" t="str">
        <f t="shared" si="16"/>
        <v>Sony</v>
      </c>
      <c r="P46" s="14">
        <f t="shared" si="17"/>
        <v>86500</v>
      </c>
      <c r="Q46" s="14">
        <f t="shared" si="18"/>
        <v>132000</v>
      </c>
      <c r="R46" s="13" t="str">
        <f t="shared" si="8"/>
        <v>шт</v>
      </c>
      <c r="S46" s="10" t="str">
        <f t="shared" si="19"/>
        <v>OK</v>
      </c>
      <c r="T46" s="10" t="str">
        <f t="shared" si="20"/>
        <v>уникален</v>
      </c>
    </row>
    <row r="47" ht="15" customHeight="1">
      <c r="A47" s="10">
        <v>45</v>
      </c>
      <c r="B47" s="11" t="str">
        <f>RAW_Товары!A46</f>
        <v>045/24</v>
      </c>
      <c r="C47" s="11" t="str">
        <f>RAW_Товары!B46</f>
        <v xml:space="preserve">Телевизор Sony Bravia XR (55")</v>
      </c>
      <c r="D47" s="11" t="str">
        <f>RAW_Товары!C46</f>
        <v>Телевизоры</v>
      </c>
      <c r="E47" s="11" t="str">
        <f>RAW_Товары!D46</f>
        <v>SONY</v>
      </c>
      <c r="F47" s="11" t="str">
        <f>RAW_Товары!E46</f>
        <v xml:space="preserve">89 500</v>
      </c>
      <c r="G47" s="11" t="str">
        <f>RAW_Товары!F46</f>
        <v xml:space="preserve">137 000</v>
      </c>
      <c r="H47" s="11" t="str">
        <f>RAW_Товары!G46</f>
        <v>шт</v>
      </c>
      <c r="I47" s="12" t="str">
        <f t="shared" si="11"/>
        <v>045/24</v>
      </c>
      <c r="J47" s="12" t="str">
        <f t="shared" si="12"/>
        <v xml:space="preserve">Телевизор Sony Bravia XR</v>
      </c>
      <c r="K47" s="12" t="str">
        <f t="shared" si="13"/>
        <v>Телевизоры</v>
      </c>
      <c r="L47" s="13" t="str">
        <f t="shared" si="14"/>
        <v>АРТ-045</v>
      </c>
      <c r="M47" s="13" t="str">
        <f t="shared" si="15"/>
        <v xml:space="preserve">Телевизор Sony Bravia Xr</v>
      </c>
      <c r="N47" s="13" t="str">
        <f>IFERROR(VLOOKUP(K47,Справочники!$A$6:$B$16,2,0),"НЕТ В СПРАВОЧНИКЕ")</f>
        <v>Телевизоры</v>
      </c>
      <c r="O47" s="13" t="str">
        <f t="shared" si="16"/>
        <v>Sony</v>
      </c>
      <c r="P47" s="14">
        <f t="shared" si="17"/>
        <v>89500</v>
      </c>
      <c r="Q47" s="14">
        <f t="shared" si="18"/>
        <v>137000</v>
      </c>
      <c r="R47" s="13" t="str">
        <f t="shared" si="8"/>
        <v>шт</v>
      </c>
      <c r="S47" s="10" t="str">
        <f t="shared" si="19"/>
        <v>OK</v>
      </c>
      <c r="T47" s="10" t="str">
        <f t="shared" si="20"/>
        <v>уникален</v>
      </c>
    </row>
    <row r="48" ht="15" customHeight="1">
      <c r="A48" s="10">
        <v>46</v>
      </c>
      <c r="B48" s="11" t="str">
        <f>RAW_Товары!A47</f>
        <v>№АРТ-046</v>
      </c>
      <c r="C48" s="11" t="str">
        <f>RAW_Товары!B47</f>
        <v xml:space="preserve">Наушники Apple AirPods Pro</v>
      </c>
      <c r="D48" s="11" t="str">
        <f>RAW_Товары!C47</f>
        <v>Наушники</v>
      </c>
      <c r="E48" s="11" t="str">
        <f>RAW_Товары!D47</f>
        <v>Apple</v>
      </c>
      <c r="F48" s="11" t="str">
        <f>RAW_Товары!E47</f>
        <v xml:space="preserve">15 000</v>
      </c>
      <c r="G48" s="11" t="str">
        <f>RAW_Товары!F47</f>
        <v xml:space="preserve">24 990</v>
      </c>
      <c r="H48" s="11" t="str">
        <f>RAW_Товары!G47</f>
        <v>шт.</v>
      </c>
      <c r="I48" s="12" t="str">
        <f t="shared" si="11"/>
        <v>046</v>
      </c>
      <c r="J48" s="12" t="str">
        <f t="shared" si="12"/>
        <v xml:space="preserve">Наушники Apple AirPods Pro</v>
      </c>
      <c r="K48" s="12" t="str">
        <f t="shared" si="13"/>
        <v>Наушники</v>
      </c>
      <c r="L48" s="13" t="str">
        <f t="shared" si="14"/>
        <v>АРТ-046</v>
      </c>
      <c r="M48" s="13" t="str">
        <f t="shared" si="15"/>
        <v xml:space="preserve">Наушники Apple Airpods Pro</v>
      </c>
      <c r="N48" s="13" t="str">
        <f>IFERROR(VLOOKUP(K48,Справочники!$A$6:$B$16,2,0),"НЕТ В СПРАВОЧНИКЕ")</f>
        <v>Наушники</v>
      </c>
      <c r="O48" s="13" t="str">
        <f t="shared" si="16"/>
        <v>Apple</v>
      </c>
      <c r="P48" s="14">
        <f t="shared" si="17"/>
        <v>15000</v>
      </c>
      <c r="Q48" s="14">
        <f t="shared" si="18"/>
        <v>24990</v>
      </c>
      <c r="R48" s="13" t="str">
        <f t="shared" si="8"/>
        <v>шт</v>
      </c>
      <c r="S48" s="10" t="str">
        <f t="shared" si="19"/>
        <v>OK</v>
      </c>
      <c r="T48" s="10" t="str">
        <f t="shared" si="20"/>
        <v>уникален</v>
      </c>
    </row>
    <row r="49" ht="15" customHeight="1">
      <c r="A49" s="10">
        <v>47</v>
      </c>
      <c r="B49" s="11" t="str">
        <f>RAW_Товары!A48</f>
        <v>АРТ_047</v>
      </c>
      <c r="C49" s="11" t="str">
        <f>RAW_Товары!B48</f>
        <v xml:space="preserve">наушники APPLE AIRPODS PRO</v>
      </c>
      <c r="D49" s="11" t="str">
        <f>RAW_Товары!C48</f>
        <v>Наушники</v>
      </c>
      <c r="E49" s="11" t="str">
        <f>RAW_Товары!D48</f>
        <v>apple</v>
      </c>
      <c r="F49" s="11" t="str">
        <f>RAW_Товары!E48</f>
        <v xml:space="preserve">14 500</v>
      </c>
      <c r="G49" s="11" t="str">
        <f>RAW_Товары!F48</f>
        <v xml:space="preserve">23 900</v>
      </c>
      <c r="H49" s="11" t="str">
        <f>RAW_Товары!G48</f>
        <v>штука</v>
      </c>
      <c r="I49" s="12" t="str">
        <f t="shared" si="11"/>
        <v>047</v>
      </c>
      <c r="J49" s="12" t="str">
        <f t="shared" si="12"/>
        <v xml:space="preserve">наушники APPLE AIRPODS PRO</v>
      </c>
      <c r="K49" s="12" t="str">
        <f t="shared" si="13"/>
        <v>Наушники</v>
      </c>
      <c r="L49" s="13" t="str">
        <f t="shared" si="14"/>
        <v>АРТ-047</v>
      </c>
      <c r="M49" s="13" t="str">
        <f t="shared" si="15"/>
        <v xml:space="preserve">Наушники Apple Airpods Pro</v>
      </c>
      <c r="N49" s="13" t="str">
        <f>IFERROR(VLOOKUP(K49,Справочники!$A$6:$B$16,2,0),"НЕТ В СПРАВОЧНИКЕ")</f>
        <v>Наушники</v>
      </c>
      <c r="O49" s="13" t="str">
        <f t="shared" si="16"/>
        <v>Apple</v>
      </c>
      <c r="P49" s="14">
        <f t="shared" si="17"/>
        <v>14500</v>
      </c>
      <c r="Q49" s="14">
        <f t="shared" si="18"/>
        <v>23900</v>
      </c>
      <c r="R49" s="13" t="str">
        <f t="shared" si="8"/>
        <v>шт</v>
      </c>
      <c r="S49" s="10" t="str">
        <f t="shared" si="19"/>
        <v>OK</v>
      </c>
      <c r="T49" s="10" t="str">
        <f t="shared" si="20"/>
        <v>уникален</v>
      </c>
    </row>
    <row r="50" ht="15" customHeight="1">
      <c r="A50" s="10">
        <v>48</v>
      </c>
      <c r="B50" s="11" t="str">
        <f>RAW_Товары!A49</f>
        <v>048-24</v>
      </c>
      <c r="C50" s="11" t="str">
        <f>RAW_Товары!B49</f>
        <v xml:space="preserve">Наушники Apple AirPods Pro (2-е поколение)</v>
      </c>
      <c r="D50" s="11" t="str">
        <f>RAW_Товары!C49</f>
        <v>Наушники</v>
      </c>
      <c r="E50" s="11" t="str">
        <f>RAW_Товары!D49</f>
        <v>APPLE</v>
      </c>
      <c r="F50" s="11" t="str">
        <f>RAW_Товары!E49</f>
        <v xml:space="preserve">15 800</v>
      </c>
      <c r="G50" s="11" t="str">
        <f>RAW_Товары!F49</f>
        <v xml:space="preserve">25 800</v>
      </c>
      <c r="H50" s="11" t="str">
        <f>RAW_Товары!G49</f>
        <v>шт</v>
      </c>
      <c r="I50" s="12" t="str">
        <f t="shared" si="11"/>
        <v>048-24</v>
      </c>
      <c r="J50" s="12" t="str">
        <f t="shared" si="12"/>
        <v xml:space="preserve">Наушники Apple AirPods Pro</v>
      </c>
      <c r="K50" s="12" t="str">
        <f t="shared" si="13"/>
        <v>Наушники</v>
      </c>
      <c r="L50" s="13" t="str">
        <f t="shared" si="14"/>
        <v>АРТ-048</v>
      </c>
      <c r="M50" s="13" t="str">
        <f t="shared" si="15"/>
        <v xml:space="preserve">Наушники Apple Airpods Pro</v>
      </c>
      <c r="N50" s="13" t="str">
        <f>IFERROR(VLOOKUP(K50,Справочники!$A$6:$B$16,2,0),"НЕТ В СПРАВОЧНИКЕ")</f>
        <v>Наушники</v>
      </c>
      <c r="O50" s="13" t="str">
        <f t="shared" si="16"/>
        <v>Apple</v>
      </c>
      <c r="P50" s="14">
        <f t="shared" si="17"/>
        <v>15800</v>
      </c>
      <c r="Q50" s="14">
        <f t="shared" si="18"/>
        <v>25800</v>
      </c>
      <c r="R50" s="13" t="str">
        <f t="shared" si="8"/>
        <v>шт</v>
      </c>
      <c r="S50" s="10" t="str">
        <f t="shared" si="19"/>
        <v>OK</v>
      </c>
      <c r="T50" s="10" t="str">
        <f t="shared" si="20"/>
        <v>уникален</v>
      </c>
    </row>
    <row r="51" ht="15" customHeight="1">
      <c r="A51" s="10">
        <v>49</v>
      </c>
      <c r="B51" s="11" t="str">
        <f>RAW_Товары!A50</f>
        <v>№АРТ-049</v>
      </c>
      <c r="C51" s="11" t="str">
        <f>RAW_Товары!B50</f>
        <v xml:space="preserve">Смартфон Google Pixel 8</v>
      </c>
      <c r="D51" s="11" t="str">
        <f>RAW_Товары!C50</f>
        <v>Смартфоны</v>
      </c>
      <c r="E51" s="11" t="str">
        <f>RAW_Товары!D50</f>
        <v>Google</v>
      </c>
      <c r="F51" s="11" t="str">
        <f>RAW_Товары!E50</f>
        <v xml:space="preserve">32 000</v>
      </c>
      <c r="G51" s="11" t="str">
        <f>RAW_Товары!F50</f>
        <v xml:space="preserve">54 999</v>
      </c>
      <c r="H51" s="11" t="str">
        <f>RAW_Товары!G50</f>
        <v>шт.</v>
      </c>
      <c r="I51" s="12" t="str">
        <f t="shared" si="11"/>
        <v>049</v>
      </c>
      <c r="J51" s="12" t="str">
        <f t="shared" si="12"/>
        <v xml:space="preserve">Смартфон Google Pixel 8</v>
      </c>
      <c r="K51" s="12" t="str">
        <f t="shared" si="13"/>
        <v>Смартфоны</v>
      </c>
      <c r="L51" s="13" t="str">
        <f t="shared" si="14"/>
        <v>АРТ-049</v>
      </c>
      <c r="M51" s="13" t="str">
        <f t="shared" si="15"/>
        <v xml:space="preserve">Смартфон Google Pixel 8</v>
      </c>
      <c r="N51" s="13" t="str">
        <f>IFERROR(VLOOKUP(K51,Справочники!$A$6:$B$16,2,0),"НЕТ В СПРАВОЧНИКЕ")</f>
        <v>Смартфоны</v>
      </c>
      <c r="O51" s="13" t="str">
        <f t="shared" si="16"/>
        <v>Google</v>
      </c>
      <c r="P51" s="14">
        <f t="shared" si="17"/>
        <v>32000</v>
      </c>
      <c r="Q51" s="14">
        <f t="shared" si="18"/>
        <v>54999</v>
      </c>
      <c r="R51" s="13" t="str">
        <f t="shared" si="8"/>
        <v>шт</v>
      </c>
      <c r="S51" s="10" t="str">
        <f t="shared" si="19"/>
        <v>OK</v>
      </c>
      <c r="T51" s="10" t="str">
        <f t="shared" si="20"/>
        <v>уникален</v>
      </c>
    </row>
    <row r="52" ht="15" customHeight="1">
      <c r="A52" s="10">
        <v>50</v>
      </c>
      <c r="B52" s="11" t="str">
        <f>RAW_Товары!A51</f>
        <v>АРТ_050</v>
      </c>
      <c r="C52" s="11" t="str">
        <f>RAW_Товары!B51</f>
        <v xml:space="preserve">смартфон GOOGLE PIXEL 8</v>
      </c>
      <c r="D52" s="11" t="str">
        <f>RAW_Товары!C51</f>
        <v>Телефоны</v>
      </c>
      <c r="E52" s="11" t="str">
        <f>RAW_Товары!D51</f>
        <v>google</v>
      </c>
      <c r="F52" s="11" t="str">
        <f>RAW_Товары!E51</f>
        <v xml:space="preserve">31 500</v>
      </c>
      <c r="G52" s="11" t="str">
        <f>RAW_Товары!F51</f>
        <v xml:space="preserve">53 500</v>
      </c>
      <c r="H52" s="11" t="str">
        <f>RAW_Товары!G51</f>
        <v>штуки</v>
      </c>
      <c r="I52" s="12" t="str">
        <f t="shared" si="11"/>
        <v>050</v>
      </c>
      <c r="J52" s="12" t="str">
        <f t="shared" si="12"/>
        <v xml:space="preserve">смартфон GOOGLE PIXEL 8</v>
      </c>
      <c r="K52" s="12" t="str">
        <f t="shared" si="13"/>
        <v>Телефоны</v>
      </c>
      <c r="L52" s="13" t="str">
        <f t="shared" si="14"/>
        <v>АРТ-050</v>
      </c>
      <c r="M52" s="13" t="str">
        <f t="shared" si="15"/>
        <v xml:space="preserve">Смартфон Google Pixel 8</v>
      </c>
      <c r="N52" s="13" t="str">
        <f>IFERROR(VLOOKUP(K52,Справочники!$A$6:$B$16,2,0),"НЕТ В СПРАВОЧНИКЕ")</f>
        <v>Смартфоны</v>
      </c>
      <c r="O52" s="13" t="str">
        <f t="shared" si="16"/>
        <v>Google</v>
      </c>
      <c r="P52" s="14">
        <f t="shared" si="17"/>
        <v>31500</v>
      </c>
      <c r="Q52" s="14">
        <f t="shared" si="18"/>
        <v>53500</v>
      </c>
      <c r="R52" s="13" t="str">
        <f t="shared" si="8"/>
        <v>шт</v>
      </c>
      <c r="S52" s="10" t="str">
        <f t="shared" si="19"/>
        <v>OK</v>
      </c>
      <c r="T52" s="10" t="str">
        <f t="shared" si="20"/>
        <v>уникален</v>
      </c>
    </row>
    <row r="53" ht="15" customHeight="1">
      <c r="A53" s="10">
        <v>51</v>
      </c>
      <c r="B53" s="11" t="str">
        <f>RAW_Товары!A52</f>
        <v>051/24</v>
      </c>
      <c r="C53" s="11" t="str">
        <f>RAW_Товары!B52</f>
        <v xml:space="preserve">Смартфон Google Pixel 8 (Обсидиан)</v>
      </c>
      <c r="D53" s="11" t="str">
        <f>RAW_Товары!C52</f>
        <v xml:space="preserve">Мобильные телефоны</v>
      </c>
      <c r="E53" s="11" t="str">
        <f>RAW_Товары!D52</f>
        <v>GOOGLE</v>
      </c>
      <c r="F53" s="11" t="str">
        <f>RAW_Товары!E52</f>
        <v xml:space="preserve">32 800</v>
      </c>
      <c r="G53" s="11" t="str">
        <f>RAW_Товары!F52</f>
        <v xml:space="preserve">56 000</v>
      </c>
      <c r="H53" s="11" t="str">
        <f>RAW_Товары!G52</f>
        <v>шт</v>
      </c>
      <c r="I53" s="12" t="str">
        <f t="shared" si="11"/>
        <v>051/24</v>
      </c>
      <c r="J53" s="12" t="str">
        <f t="shared" si="12"/>
        <v xml:space="preserve">Смартфон Google Pixel 8</v>
      </c>
      <c r="K53" s="12" t="str">
        <f t="shared" si="13"/>
        <v xml:space="preserve">Мобильные телефоны</v>
      </c>
      <c r="L53" s="13" t="str">
        <f t="shared" si="14"/>
        <v>АРТ-051</v>
      </c>
      <c r="M53" s="13" t="str">
        <f t="shared" si="15"/>
        <v xml:space="preserve">Смартфон Google Pixel 8</v>
      </c>
      <c r="N53" s="13" t="str">
        <f>IFERROR(VLOOKUP(K53,Справочники!$A$6:$B$16,2,0),"НЕТ В СПРАВОЧНИКЕ")</f>
        <v>Смартфоны</v>
      </c>
      <c r="O53" s="13" t="str">
        <f t="shared" si="16"/>
        <v>Google</v>
      </c>
      <c r="P53" s="14">
        <f t="shared" si="17"/>
        <v>32800</v>
      </c>
      <c r="Q53" s="14">
        <f t="shared" si="18"/>
        <v>56000</v>
      </c>
      <c r="R53" s="13" t="str">
        <f t="shared" si="8"/>
        <v>шт</v>
      </c>
      <c r="S53" s="10" t="str">
        <f t="shared" si="19"/>
        <v>OK</v>
      </c>
      <c r="T53" s="10" t="str">
        <f t="shared" si="20"/>
        <v>уникален</v>
      </c>
    </row>
    <row r="54" ht="15" customHeight="1">
      <c r="A54" s="10">
        <v>52</v>
      </c>
      <c r="B54" s="11" t="str">
        <f>RAW_Товары!A53</f>
        <v>№АРТ-052</v>
      </c>
      <c r="C54" s="11" t="str">
        <f>RAW_Товары!B53</f>
        <v xml:space="preserve">Монитор LG UltraGear 27GP950</v>
      </c>
      <c r="D54" s="11" t="str">
        <f>RAW_Товары!C53</f>
        <v>Мониторы</v>
      </c>
      <c r="E54" s="11" t="str">
        <f>RAW_Товары!D53</f>
        <v>LG</v>
      </c>
      <c r="F54" s="11" t="str">
        <f>RAW_Товары!E53</f>
        <v xml:space="preserve">45 000</v>
      </c>
      <c r="G54" s="11" t="str">
        <f>RAW_Товары!F53</f>
        <v xml:space="preserve">69 900</v>
      </c>
      <c r="H54" s="11" t="str">
        <f>RAW_Товары!G53</f>
        <v>шт.</v>
      </c>
      <c r="I54" s="12" t="str">
        <f t="shared" si="11"/>
        <v>052</v>
      </c>
      <c r="J54" s="12" t="str">
        <f t="shared" si="12"/>
        <v xml:space="preserve">Монитор LG UltraGear 27GP950</v>
      </c>
      <c r="K54" s="12" t="str">
        <f t="shared" si="13"/>
        <v>Мониторы</v>
      </c>
      <c r="L54" s="13" t="str">
        <f t="shared" si="14"/>
        <v>АРТ-052</v>
      </c>
      <c r="M54" s="13" t="str">
        <f t="shared" si="15"/>
        <v xml:space="preserve">Монитор Lg Ultragear 27Gp950</v>
      </c>
      <c r="N54" s="13" t="str">
        <f>IFERROR(VLOOKUP(K54,Справочники!$A$6:$B$16,2,0),"НЕТ В СПРАВОЧНИКЕ")</f>
        <v>Мониторы</v>
      </c>
      <c r="O54" s="13" t="str">
        <f t="shared" si="16"/>
        <v>Lg</v>
      </c>
      <c r="P54" s="14">
        <f t="shared" si="17"/>
        <v>45000</v>
      </c>
      <c r="Q54" s="14">
        <f t="shared" si="18"/>
        <v>69900</v>
      </c>
      <c r="R54" s="13" t="str">
        <f t="shared" si="8"/>
        <v>шт</v>
      </c>
      <c r="S54" s="10" t="str">
        <f t="shared" si="19"/>
        <v>OK</v>
      </c>
      <c r="T54" s="10" t="str">
        <f t="shared" si="20"/>
        <v>уникален</v>
      </c>
    </row>
    <row r="55" ht="15" customHeight="1">
      <c r="A55" s="10">
        <v>53</v>
      </c>
      <c r="B55" s="11" t="str">
        <f>RAW_Товары!A54</f>
        <v>АРТ_053</v>
      </c>
      <c r="C55" s="11" t="str">
        <f>RAW_Товары!B54</f>
        <v xml:space="preserve">монитор LG ULTRA GEAR 27GP950</v>
      </c>
      <c r="D55" s="11" t="str">
        <f>RAW_Товары!C54</f>
        <v>Мониторы</v>
      </c>
      <c r="E55" s="11" t="str">
        <f>RAW_Товары!D54</f>
        <v>lg</v>
      </c>
      <c r="F55" s="11" t="str">
        <f>RAW_Товары!E54</f>
        <v xml:space="preserve">44 000</v>
      </c>
      <c r="G55" s="11" t="str">
        <f>RAW_Товары!F54</f>
        <v xml:space="preserve">68 000</v>
      </c>
      <c r="H55" s="11" t="str">
        <f>RAW_Товары!G54</f>
        <v>штука</v>
      </c>
      <c r="I55" s="12" t="str">
        <f t="shared" si="11"/>
        <v>053</v>
      </c>
      <c r="J55" s="12" t="str">
        <f t="shared" si="12"/>
        <v xml:space="preserve">монитор LG ULTRA GEAR 27GP950</v>
      </c>
      <c r="K55" s="12" t="str">
        <f t="shared" si="13"/>
        <v>Мониторы</v>
      </c>
      <c r="L55" s="13" t="str">
        <f t="shared" si="14"/>
        <v>АРТ-053</v>
      </c>
      <c r="M55" s="13" t="str">
        <f t="shared" si="15"/>
        <v xml:space="preserve">Монитор Lg Ultra Gear 27Gp950</v>
      </c>
      <c r="N55" s="13" t="str">
        <f>IFERROR(VLOOKUP(K55,Справочники!$A$6:$B$16,2,0),"НЕТ В СПРАВОЧНИКЕ")</f>
        <v>Мониторы</v>
      </c>
      <c r="O55" s="13" t="str">
        <f t="shared" si="16"/>
        <v>Lg</v>
      </c>
      <c r="P55" s="14">
        <f t="shared" si="17"/>
        <v>44000</v>
      </c>
      <c r="Q55" s="14">
        <f t="shared" si="18"/>
        <v>68000</v>
      </c>
      <c r="R55" s="13" t="str">
        <f t="shared" si="8"/>
        <v>шт</v>
      </c>
      <c r="S55" s="10" t="str">
        <f t="shared" si="19"/>
        <v>OK</v>
      </c>
      <c r="T55" s="10" t="str">
        <f t="shared" si="20"/>
        <v>уникален</v>
      </c>
    </row>
    <row r="56" ht="15" customHeight="1">
      <c r="A56" s="10">
        <v>54</v>
      </c>
      <c r="B56" s="11" t="str">
        <f>RAW_Товары!A55</f>
        <v>054-24</v>
      </c>
      <c r="C56" s="11" t="str">
        <f>RAW_Товары!B55</f>
        <v xml:space="preserve">Монитор LG UltraGear 27GP950 (4K)</v>
      </c>
      <c r="D56" s="11" t="str">
        <f>RAW_Товары!C55</f>
        <v>Мониторы</v>
      </c>
      <c r="E56" s="11" t="str">
        <f>RAW_Товары!D55</f>
        <v>LG</v>
      </c>
      <c r="F56" s="11" t="str">
        <f>RAW_Товары!E55</f>
        <v xml:space="preserve">46 500</v>
      </c>
      <c r="G56" s="11" t="str">
        <f>RAW_Товары!F55</f>
        <v xml:space="preserve">71 500</v>
      </c>
      <c r="H56" s="11" t="str">
        <f>RAW_Товары!G55</f>
        <v>шт</v>
      </c>
      <c r="I56" s="12" t="str">
        <f t="shared" si="11"/>
        <v>054-24</v>
      </c>
      <c r="J56" s="12" t="str">
        <f t="shared" si="12"/>
        <v xml:space="preserve">Монитор LG UltraGear 27GP950</v>
      </c>
      <c r="K56" s="12" t="str">
        <f t="shared" si="13"/>
        <v>Мониторы</v>
      </c>
      <c r="L56" s="13" t="str">
        <f t="shared" si="14"/>
        <v>АРТ-054</v>
      </c>
      <c r="M56" s="13" t="str">
        <f t="shared" si="15"/>
        <v xml:space="preserve">Монитор Lg Ultragear 27Gp950</v>
      </c>
      <c r="N56" s="13" t="str">
        <f>IFERROR(VLOOKUP(K56,Справочники!$A$6:$B$16,2,0),"НЕТ В СПРАВОЧНИКЕ")</f>
        <v>Мониторы</v>
      </c>
      <c r="O56" s="13" t="str">
        <f t="shared" si="16"/>
        <v>Lg</v>
      </c>
      <c r="P56" s="14">
        <f t="shared" si="17"/>
        <v>46500</v>
      </c>
      <c r="Q56" s="14">
        <f t="shared" si="18"/>
        <v>71500</v>
      </c>
      <c r="R56" s="13" t="str">
        <f t="shared" si="8"/>
        <v>шт</v>
      </c>
      <c r="S56" s="10" t="str">
        <f t="shared" si="19"/>
        <v>OK</v>
      </c>
      <c r="T56" s="10" t="str">
        <f t="shared" si="20"/>
        <v>уникален</v>
      </c>
    </row>
    <row r="57" ht="15" customHeight="1">
      <c r="A57" s="10">
        <v>55</v>
      </c>
      <c r="B57" s="11" t="str">
        <f>RAW_Товары!A56</f>
        <v>№АРТ-055</v>
      </c>
      <c r="C57" s="11" t="str">
        <f>RAW_Товары!B56</f>
        <v xml:space="preserve">Колонка JBL Charge 5</v>
      </c>
      <c r="D57" s="11" t="str">
        <f>RAW_Товары!C56</f>
        <v>Аксессуары</v>
      </c>
      <c r="E57" s="11" t="str">
        <f>RAW_Товары!D56</f>
        <v>JBL</v>
      </c>
      <c r="F57" s="11" t="str">
        <f>RAW_Товары!E56</f>
        <v xml:space="preserve">6 500</v>
      </c>
      <c r="G57" s="11" t="str">
        <f>RAW_Товары!F56</f>
        <v xml:space="preserve">10 990</v>
      </c>
      <c r="H57" s="11" t="str">
        <f>RAW_Товары!G56</f>
        <v>шт.</v>
      </c>
      <c r="I57" s="12" t="str">
        <f t="shared" si="11"/>
        <v>055</v>
      </c>
      <c r="J57" s="12" t="str">
        <f t="shared" si="12"/>
        <v xml:space="preserve">Колонка JBL Charge 5</v>
      </c>
      <c r="K57" s="12" t="str">
        <f t="shared" si="13"/>
        <v>Аксессуары</v>
      </c>
      <c r="L57" s="13" t="str">
        <f t="shared" si="14"/>
        <v>АРТ-055</v>
      </c>
      <c r="M57" s="13" t="str">
        <f t="shared" si="15"/>
        <v xml:space="preserve">Колонка Jbl Charge 5</v>
      </c>
      <c r="N57" s="13" t="str">
        <f>IFERROR(VLOOKUP(K57,Справочники!$A$6:$B$16,2,0),"НЕТ В СПРАВОЧНИКЕ")</f>
        <v>Аксессуары</v>
      </c>
      <c r="O57" s="13" t="str">
        <f t="shared" si="16"/>
        <v>Jbl</v>
      </c>
      <c r="P57" s="14">
        <f t="shared" si="17"/>
        <v>6500</v>
      </c>
      <c r="Q57" s="14">
        <f t="shared" si="18"/>
        <v>10990</v>
      </c>
      <c r="R57" s="13" t="str">
        <f t="shared" si="8"/>
        <v>шт</v>
      </c>
      <c r="S57" s="10" t="str">
        <f t="shared" si="19"/>
        <v>OK</v>
      </c>
      <c r="T57" s="10" t="str">
        <f t="shared" si="20"/>
        <v>уникален</v>
      </c>
    </row>
    <row r="58" ht="15" customHeight="1">
      <c r="A58" s="10">
        <v>56</v>
      </c>
      <c r="B58" s="11" t="str">
        <f>RAW_Товары!A57</f>
        <v>АРТ_056</v>
      </c>
      <c r="C58" s="11" t="str">
        <f>RAW_Товары!B57</f>
        <v xml:space="preserve">колонка JBL CHARGE 5</v>
      </c>
      <c r="D58" s="11" t="str">
        <f>RAW_Товары!C57</f>
        <v>Аксессуары</v>
      </c>
      <c r="E58" s="11" t="str">
        <f>RAW_Товары!D57</f>
        <v>jbl</v>
      </c>
      <c r="F58" s="11" t="str">
        <f>RAW_Товары!E57</f>
        <v xml:space="preserve">6 200</v>
      </c>
      <c r="G58" s="11" t="str">
        <f>RAW_Товары!F57</f>
        <v xml:space="preserve">10 500</v>
      </c>
      <c r="H58" s="11" t="str">
        <f>RAW_Товары!G57</f>
        <v>штуки</v>
      </c>
      <c r="I58" s="12" t="str">
        <f t="shared" si="11"/>
        <v>056</v>
      </c>
      <c r="J58" s="12" t="str">
        <f t="shared" si="12"/>
        <v xml:space="preserve">колонка JBL CHARGE 5</v>
      </c>
      <c r="K58" s="12" t="str">
        <f t="shared" si="13"/>
        <v>Аксессуары</v>
      </c>
      <c r="L58" s="13" t="str">
        <f t="shared" si="14"/>
        <v>АРТ-056</v>
      </c>
      <c r="M58" s="13" t="str">
        <f t="shared" si="15"/>
        <v xml:space="preserve">Колонка Jbl Charge 5</v>
      </c>
      <c r="N58" s="13" t="str">
        <f>IFERROR(VLOOKUP(K58,Справочники!$A$6:$B$16,2,0),"НЕТ В СПРАВОЧНИКЕ")</f>
        <v>Аксессуары</v>
      </c>
      <c r="O58" s="13" t="str">
        <f t="shared" si="16"/>
        <v>Jbl</v>
      </c>
      <c r="P58" s="14">
        <f t="shared" si="17"/>
        <v>6200</v>
      </c>
      <c r="Q58" s="14">
        <f t="shared" si="18"/>
        <v>10500</v>
      </c>
      <c r="R58" s="13" t="str">
        <f t="shared" si="8"/>
        <v>шт</v>
      </c>
      <c r="S58" s="10" t="str">
        <f t="shared" si="19"/>
        <v>OK</v>
      </c>
      <c r="T58" s="10" t="str">
        <f t="shared" si="20"/>
        <v>уникален</v>
      </c>
    </row>
    <row r="59" ht="15" customHeight="1">
      <c r="A59" s="10">
        <v>57</v>
      </c>
      <c r="B59" s="11" t="str">
        <f>RAW_Товары!A58</f>
        <v>057/24</v>
      </c>
      <c r="C59" s="11" t="str">
        <f>RAW_Товары!B58</f>
        <v xml:space="preserve">Колонка JBL Charge 5 (Синяя)</v>
      </c>
      <c r="D59" s="11" t="str">
        <f>RAW_Товары!C58</f>
        <v>Аксессуары</v>
      </c>
      <c r="E59" s="11" t="str">
        <f>RAW_Товары!D58</f>
        <v>JBL</v>
      </c>
      <c r="F59" s="11" t="str">
        <f>RAW_Товары!E58</f>
        <v xml:space="preserve">6 800</v>
      </c>
      <c r="G59" s="11" t="str">
        <f>RAW_Товары!F58</f>
        <v xml:space="preserve">11 200</v>
      </c>
      <c r="H59" s="11" t="str">
        <f>RAW_Товары!G58</f>
        <v>шт</v>
      </c>
      <c r="I59" s="12" t="str">
        <f t="shared" si="11"/>
        <v>057/24</v>
      </c>
      <c r="J59" s="12" t="str">
        <f t="shared" si="12"/>
        <v xml:space="preserve">Колонка JBL Charge 5</v>
      </c>
      <c r="K59" s="12" t="str">
        <f t="shared" si="13"/>
        <v>Аксессуары</v>
      </c>
      <c r="L59" s="13" t="str">
        <f t="shared" si="14"/>
        <v>АРТ-057</v>
      </c>
      <c r="M59" s="13" t="str">
        <f t="shared" si="15"/>
        <v xml:space="preserve">Колонка Jbl Charge 5</v>
      </c>
      <c r="N59" s="13" t="str">
        <f>IFERROR(VLOOKUP(K59,Справочники!$A$6:$B$16,2,0),"НЕТ В СПРАВОЧНИКЕ")</f>
        <v>Аксессуары</v>
      </c>
      <c r="O59" s="13" t="str">
        <f t="shared" si="16"/>
        <v>Jbl</v>
      </c>
      <c r="P59" s="14">
        <f t="shared" si="17"/>
        <v>6800</v>
      </c>
      <c r="Q59" s="14">
        <f t="shared" si="18"/>
        <v>11200</v>
      </c>
      <c r="R59" s="13" t="str">
        <f t="shared" si="8"/>
        <v>шт</v>
      </c>
      <c r="S59" s="10" t="str">
        <f t="shared" si="19"/>
        <v>OK</v>
      </c>
      <c r="T59" s="10" t="str">
        <f t="shared" si="20"/>
        <v>уникален</v>
      </c>
    </row>
    <row r="60" ht="15" customHeight="1">
      <c r="A60" s="10">
        <v>58</v>
      </c>
      <c r="B60" s="11" t="str">
        <f>RAW_Товары!A59</f>
        <v>№АРТ-058</v>
      </c>
      <c r="C60" s="11" t="str">
        <f>RAW_Товары!B59</f>
        <v xml:space="preserve">Планшет Samsung Galaxy Tab S9</v>
      </c>
      <c r="D60" s="11" t="str">
        <f>RAW_Товары!C59</f>
        <v>Планшеты</v>
      </c>
      <c r="E60" s="11" t="str">
        <f>RAW_Товары!D59</f>
        <v>Samsung</v>
      </c>
      <c r="F60" s="11" t="str">
        <f>RAW_Товары!E59</f>
        <v xml:space="preserve">42 000</v>
      </c>
      <c r="G60" s="11" t="str">
        <f>RAW_Товары!F59</f>
        <v xml:space="preserve">67 900</v>
      </c>
      <c r="H60" s="11" t="str">
        <f>RAW_Товары!G59</f>
        <v>шт.</v>
      </c>
      <c r="I60" s="12" t="str">
        <f t="shared" si="11"/>
        <v>058</v>
      </c>
      <c r="J60" s="12" t="str">
        <f t="shared" si="12"/>
        <v xml:space="preserve">Планшет Samsung Galaxy Tab S9</v>
      </c>
      <c r="K60" s="12" t="str">
        <f t="shared" si="13"/>
        <v>Планшеты</v>
      </c>
      <c r="L60" s="13" t="str">
        <f t="shared" si="14"/>
        <v>АРТ-058</v>
      </c>
      <c r="M60" s="13" t="str">
        <f t="shared" si="15"/>
        <v xml:space="preserve">Планшет Samsung Galaxy Tab S9</v>
      </c>
      <c r="N60" s="13" t="str">
        <f>IFERROR(VLOOKUP(K60,Справочники!$A$6:$B$16,2,0),"НЕТ В СПРАВОЧНИКЕ")</f>
        <v>Планшеты</v>
      </c>
      <c r="O60" s="13" t="str">
        <f t="shared" si="16"/>
        <v>Samsung</v>
      </c>
      <c r="P60" s="14">
        <f t="shared" si="17"/>
        <v>42000</v>
      </c>
      <c r="Q60" s="14">
        <f t="shared" si="18"/>
        <v>67900</v>
      </c>
      <c r="R60" s="13" t="str">
        <f t="shared" si="8"/>
        <v>шт</v>
      </c>
      <c r="S60" s="10" t="str">
        <f t="shared" si="19"/>
        <v>OK</v>
      </c>
      <c r="T60" s="10" t="str">
        <f t="shared" si="20"/>
        <v>уникален</v>
      </c>
    </row>
    <row r="61" ht="15" customHeight="1">
      <c r="A61" s="10">
        <v>59</v>
      </c>
      <c r="B61" s="11" t="str">
        <f>RAW_Товары!A60</f>
        <v>АРТ_059</v>
      </c>
      <c r="C61" s="11" t="str">
        <f>RAW_Товары!B60</f>
        <v xml:space="preserve">планшет SAMSUNG GALAXY TAB S9</v>
      </c>
      <c r="D61" s="11" t="str">
        <f>RAW_Товары!C60</f>
        <v>Планшеты</v>
      </c>
      <c r="E61" s="11" t="str">
        <f>RAW_Товары!D60</f>
        <v>samsung</v>
      </c>
      <c r="F61" s="11" t="str">
        <f>RAW_Товары!E60</f>
        <v xml:space="preserve">41 000</v>
      </c>
      <c r="G61" s="11" t="str">
        <f>RAW_Товары!F60</f>
        <v xml:space="preserve">66 000</v>
      </c>
      <c r="H61" s="11" t="str">
        <f>RAW_Товары!G60</f>
        <v>штука</v>
      </c>
      <c r="I61" s="12" t="str">
        <f t="shared" si="11"/>
        <v>059</v>
      </c>
      <c r="J61" s="12" t="str">
        <f t="shared" si="12"/>
        <v xml:space="preserve">планшет SAMSUNG GALAXY TAB S9</v>
      </c>
      <c r="K61" s="12" t="str">
        <f t="shared" si="13"/>
        <v>Планшеты</v>
      </c>
      <c r="L61" s="13" t="str">
        <f t="shared" si="14"/>
        <v>АРТ-059</v>
      </c>
      <c r="M61" s="13" t="str">
        <f t="shared" si="15"/>
        <v xml:space="preserve">Планшет Samsung Galaxy Tab S9</v>
      </c>
      <c r="N61" s="13" t="str">
        <f>IFERROR(VLOOKUP(K61,Справочники!$A$6:$B$16,2,0),"НЕТ В СПРАВОЧНИКЕ")</f>
        <v>Планшеты</v>
      </c>
      <c r="O61" s="13" t="str">
        <f t="shared" si="16"/>
        <v>Samsung</v>
      </c>
      <c r="P61" s="14">
        <f t="shared" si="17"/>
        <v>41000</v>
      </c>
      <c r="Q61" s="14">
        <f t="shared" si="18"/>
        <v>66000</v>
      </c>
      <c r="R61" s="13" t="str">
        <f t="shared" si="8"/>
        <v>шт</v>
      </c>
      <c r="S61" s="10" t="str">
        <f t="shared" si="19"/>
        <v>OK</v>
      </c>
      <c r="T61" s="10" t="str">
        <f t="shared" si="20"/>
        <v>уникален</v>
      </c>
    </row>
    <row r="62" ht="15" customHeight="1">
      <c r="A62" s="10">
        <v>60</v>
      </c>
      <c r="B62" s="11" t="str">
        <f>RAW_Товары!A61</f>
        <v>060-24</v>
      </c>
      <c r="C62" s="11" t="str">
        <f>RAW_Товары!B61</f>
        <v xml:space="preserve">Планшет Samsung Galaxy Tab S9 (Ultra)</v>
      </c>
      <c r="D62" s="11" t="str">
        <f>RAW_Товары!C61</f>
        <v>Планшеты</v>
      </c>
      <c r="E62" s="11" t="str">
        <f>RAW_Товары!D61</f>
        <v>SAMSUNG</v>
      </c>
      <c r="F62" s="11" t="str">
        <f>RAW_Товары!E61</f>
        <v xml:space="preserve">43 500</v>
      </c>
      <c r="G62" s="11" t="str">
        <f>RAW_Товары!F61</f>
        <v xml:space="preserve">69 500</v>
      </c>
      <c r="H62" s="11" t="str">
        <f>RAW_Товары!G61</f>
        <v>шт</v>
      </c>
      <c r="I62" s="12" t="str">
        <f t="shared" si="11"/>
        <v>060-24</v>
      </c>
      <c r="J62" s="12" t="str">
        <f t="shared" si="12"/>
        <v xml:space="preserve">Планшет Samsung Galaxy Tab S9</v>
      </c>
      <c r="K62" s="12" t="str">
        <f t="shared" si="13"/>
        <v>Планшеты</v>
      </c>
      <c r="L62" s="13" t="str">
        <f t="shared" si="14"/>
        <v>АРТ-060</v>
      </c>
      <c r="M62" s="13" t="str">
        <f t="shared" si="15"/>
        <v xml:space="preserve">Планшет Samsung Galaxy Tab S9</v>
      </c>
      <c r="N62" s="13" t="str">
        <f>IFERROR(VLOOKUP(K62,Справочники!$A$6:$B$16,2,0),"НЕТ В СПРАВОЧНИКЕ")</f>
        <v>Планшеты</v>
      </c>
      <c r="O62" s="13" t="str">
        <f t="shared" si="16"/>
        <v>Samsung</v>
      </c>
      <c r="P62" s="14">
        <f t="shared" si="17"/>
        <v>43500</v>
      </c>
      <c r="Q62" s="14">
        <f t="shared" si="18"/>
        <v>69500</v>
      </c>
      <c r="R62" s="13" t="str">
        <f t="shared" si="8"/>
        <v>шт</v>
      </c>
      <c r="S62" s="10" t="str">
        <f t="shared" si="19"/>
        <v>OK</v>
      </c>
      <c r="T62" s="10" t="str">
        <f t="shared" si="20"/>
        <v>уникален</v>
      </c>
    </row>
    <row r="63" ht="15" customHeight="1">
      <c r="A63" s="10">
        <v>61</v>
      </c>
      <c r="B63" s="11" t="str">
        <f>RAW_Товары!A62</f>
        <v>№АРТ-061</v>
      </c>
      <c r="C63" s="11" t="str">
        <f>RAW_Товары!B62</f>
        <v xml:space="preserve">Ноутбук HP Spectre x360</v>
      </c>
      <c r="D63" s="11" t="str">
        <f>RAW_Товары!C62</f>
        <v>Ноутбуки</v>
      </c>
      <c r="E63" s="11" t="str">
        <f>RAW_Товары!D62</f>
        <v>HP</v>
      </c>
      <c r="F63" s="11" t="str">
        <f>RAW_Товары!E62</f>
        <v xml:space="preserve">82 000</v>
      </c>
      <c r="G63" s="11" t="str">
        <f>RAW_Товары!F62</f>
        <v xml:space="preserve">124 999</v>
      </c>
      <c r="H63" s="11" t="str">
        <f>RAW_Товары!G62</f>
        <v>шт.</v>
      </c>
      <c r="I63" s="12" t="str">
        <f t="shared" si="11"/>
        <v>061</v>
      </c>
      <c r="J63" s="12" t="str">
        <f t="shared" si="12"/>
        <v xml:space="preserve">Ноутбук HP Spectre x360</v>
      </c>
      <c r="K63" s="12" t="str">
        <f t="shared" si="13"/>
        <v>Ноутбуки</v>
      </c>
      <c r="L63" s="13" t="str">
        <f t="shared" si="14"/>
        <v>АРТ-061</v>
      </c>
      <c r="M63" s="13" t="str">
        <f t="shared" si="15"/>
        <v xml:space="preserve">Ноутбук Hp Spectre X360</v>
      </c>
      <c r="N63" s="13" t="str">
        <f>IFERROR(VLOOKUP(K63,Справочники!$A$6:$B$16,2,0),"НЕТ В СПРАВОЧНИКЕ")</f>
        <v>Ноутбуки</v>
      </c>
      <c r="O63" s="13" t="str">
        <f t="shared" si="16"/>
        <v>Hp</v>
      </c>
      <c r="P63" s="14">
        <f t="shared" si="17"/>
        <v>82000</v>
      </c>
      <c r="Q63" s="14">
        <f t="shared" si="18"/>
        <v>124999</v>
      </c>
      <c r="R63" s="13" t="str">
        <f t="shared" si="8"/>
        <v>шт</v>
      </c>
      <c r="S63" s="10" t="str">
        <f t="shared" si="19"/>
        <v>OK</v>
      </c>
      <c r="T63" s="10" t="str">
        <f t="shared" si="20"/>
        <v>уникален</v>
      </c>
    </row>
    <row r="64" ht="15" customHeight="1">
      <c r="A64" s="10">
        <v>62</v>
      </c>
      <c r="B64" s="11" t="str">
        <f>RAW_Товары!A63</f>
        <v>АРТ_062</v>
      </c>
      <c r="C64" s="11" t="str">
        <f>RAW_Товары!B63</f>
        <v xml:space="preserve">ноутбук HP SPECTRE X360</v>
      </c>
      <c r="D64" s="11" t="str">
        <f>RAW_Товары!C63</f>
        <v>Лэптопы</v>
      </c>
      <c r="E64" s="11" t="str">
        <f>RAW_Товары!D63</f>
        <v>hp</v>
      </c>
      <c r="F64" s="11" t="str">
        <f>RAW_Товары!E63</f>
        <v xml:space="preserve">80 500</v>
      </c>
      <c r="G64" s="11" t="str">
        <f>RAW_Товары!F63</f>
        <v xml:space="preserve">122 500</v>
      </c>
      <c r="H64" s="11" t="str">
        <f>RAW_Товары!G63</f>
        <v>штуки</v>
      </c>
      <c r="I64" s="12" t="str">
        <f t="shared" si="11"/>
        <v>062</v>
      </c>
      <c r="J64" s="12" t="str">
        <f t="shared" si="12"/>
        <v xml:space="preserve">ноутбук HP SPECTRE X360</v>
      </c>
      <c r="K64" s="12" t="str">
        <f t="shared" si="13"/>
        <v>Лэптопы</v>
      </c>
      <c r="L64" s="13" t="str">
        <f t="shared" si="14"/>
        <v>АРТ-062</v>
      </c>
      <c r="M64" s="13" t="str">
        <f t="shared" si="15"/>
        <v xml:space="preserve">Ноутбук Hp Spectre X360</v>
      </c>
      <c r="N64" s="13" t="str">
        <f>IFERROR(VLOOKUP(K64,Справочники!$A$6:$B$16,2,0),"НЕТ В СПРАВОЧНИКЕ")</f>
        <v>Ноутбуки</v>
      </c>
      <c r="O64" s="13" t="str">
        <f t="shared" si="16"/>
        <v>Hp</v>
      </c>
      <c r="P64" s="14">
        <f t="shared" si="17"/>
        <v>80500</v>
      </c>
      <c r="Q64" s="14">
        <f t="shared" si="18"/>
        <v>122500</v>
      </c>
      <c r="R64" s="13" t="str">
        <f t="shared" si="8"/>
        <v>шт</v>
      </c>
      <c r="S64" s="10" t="str">
        <f t="shared" si="19"/>
        <v>OK</v>
      </c>
      <c r="T64" s="10" t="str">
        <f t="shared" si="20"/>
        <v>уникален</v>
      </c>
    </row>
    <row r="65" ht="15" customHeight="1">
      <c r="A65" s="10">
        <v>63</v>
      </c>
      <c r="B65" s="11" t="str">
        <f>RAW_Товары!A64</f>
        <v>063/24</v>
      </c>
      <c r="C65" s="11" t="str">
        <f>RAW_Товары!B64</f>
        <v xml:space="preserve">Ноутбук HP Spectre x360 (14")</v>
      </c>
      <c r="D65" s="11" t="str">
        <f>RAW_Товары!C64</f>
        <v>Ноутбуки</v>
      </c>
      <c r="E65" s="11" t="str">
        <f>RAW_Товары!D64</f>
        <v>HP</v>
      </c>
      <c r="F65" s="11" t="str">
        <f>RAW_Товары!E64</f>
        <v xml:space="preserve">83 500</v>
      </c>
      <c r="G65" s="11" t="str">
        <f>RAW_Товары!F64</f>
        <v xml:space="preserve">127 000</v>
      </c>
      <c r="H65" s="11" t="str">
        <f>RAW_Товары!G64</f>
        <v>шт</v>
      </c>
      <c r="I65" s="12" t="str">
        <f t="shared" si="11"/>
        <v>063/24</v>
      </c>
      <c r="J65" s="12" t="str">
        <f t="shared" si="12"/>
        <v xml:space="preserve">Ноутбук HP Spectre x360</v>
      </c>
      <c r="K65" s="12" t="str">
        <f t="shared" si="13"/>
        <v>Ноутбуки</v>
      </c>
      <c r="L65" s="13" t="str">
        <f t="shared" si="14"/>
        <v>АРТ-063</v>
      </c>
      <c r="M65" s="13" t="str">
        <f t="shared" si="15"/>
        <v xml:space="preserve">Ноутбук Hp Spectre X360</v>
      </c>
      <c r="N65" s="13" t="str">
        <f>IFERROR(VLOOKUP(K65,Справочники!$A$6:$B$16,2,0),"НЕТ В СПРАВОЧНИКЕ")</f>
        <v>Ноутбуки</v>
      </c>
      <c r="O65" s="13" t="str">
        <f t="shared" si="16"/>
        <v>Hp</v>
      </c>
      <c r="P65" s="14">
        <f t="shared" si="17"/>
        <v>83500</v>
      </c>
      <c r="Q65" s="14">
        <f t="shared" si="18"/>
        <v>127000</v>
      </c>
      <c r="R65" s="13" t="str">
        <f t="shared" si="8"/>
        <v>шт</v>
      </c>
      <c r="S65" s="10" t="str">
        <f t="shared" si="19"/>
        <v>OK</v>
      </c>
      <c r="T65" s="10" t="str">
        <f t="shared" si="20"/>
        <v>уникален</v>
      </c>
    </row>
    <row r="66" ht="15" customHeight="1">
      <c r="A66" s="10">
        <v>64</v>
      </c>
      <c r="B66" s="11" t="str">
        <f>RAW_Товары!A65</f>
        <v>№АРТ-064</v>
      </c>
      <c r="C66" s="11" t="str">
        <f>RAW_Товары!B65</f>
        <v xml:space="preserve">Смартфон OnePlus 12</v>
      </c>
      <c r="D66" s="11" t="str">
        <f>RAW_Товары!C65</f>
        <v>Смартфоны</v>
      </c>
      <c r="E66" s="11" t="str">
        <f>RAW_Товары!D65</f>
        <v>OnePlus</v>
      </c>
      <c r="F66" s="11" t="str">
        <f>RAW_Товары!E65</f>
        <v xml:space="preserve">33 000</v>
      </c>
      <c r="G66" s="11" t="str">
        <f>RAW_Товары!F65</f>
        <v xml:space="preserve">56 990</v>
      </c>
      <c r="H66" s="11" t="str">
        <f>RAW_Товары!G65</f>
        <v>шт.</v>
      </c>
      <c r="I66" s="12" t="str">
        <f t="shared" si="11"/>
        <v>064</v>
      </c>
      <c r="J66" s="12" t="str">
        <f t="shared" si="12"/>
        <v xml:space="preserve">Смартфон OnePlus 12</v>
      </c>
      <c r="K66" s="12" t="str">
        <f t="shared" si="13"/>
        <v>Смартфоны</v>
      </c>
      <c r="L66" s="13" t="str">
        <f t="shared" si="14"/>
        <v>АРТ-064</v>
      </c>
      <c r="M66" s="13" t="str">
        <f t="shared" si="15"/>
        <v xml:space="preserve">Смартфон Oneplus 12</v>
      </c>
      <c r="N66" s="13" t="str">
        <f>IFERROR(VLOOKUP(K66,Справочники!$A$6:$B$16,2,0),"НЕТ В СПРАВОЧНИКЕ")</f>
        <v>Смартфоны</v>
      </c>
      <c r="O66" s="13" t="str">
        <f t="shared" si="16"/>
        <v>Oneplus</v>
      </c>
      <c r="P66" s="14">
        <f t="shared" si="17"/>
        <v>33000</v>
      </c>
      <c r="Q66" s="14">
        <f t="shared" si="18"/>
        <v>56990</v>
      </c>
      <c r="R66" s="13" t="str">
        <f t="shared" si="8"/>
        <v>шт</v>
      </c>
      <c r="S66" s="10" t="str">
        <f t="shared" si="19"/>
        <v>OK</v>
      </c>
      <c r="T66" s="10" t="str">
        <f t="shared" si="20"/>
        <v>уникален</v>
      </c>
    </row>
    <row r="67" ht="15" customHeight="1">
      <c r="A67" s="10">
        <v>65</v>
      </c>
      <c r="B67" s="11" t="str">
        <f>RAW_Товары!A66</f>
        <v>АРТ_065</v>
      </c>
      <c r="C67" s="11" t="str">
        <f>RAW_Товары!B66</f>
        <v xml:space="preserve">смартфон ONEPLUS 12</v>
      </c>
      <c r="D67" s="11" t="str">
        <f>RAW_Товары!C66</f>
        <v>Телефоны</v>
      </c>
      <c r="E67" s="11" t="str">
        <f>RAW_Товары!D66</f>
        <v>oneplus</v>
      </c>
      <c r="F67" s="11" t="str">
        <f>RAW_Товары!E66</f>
        <v xml:space="preserve">32 500</v>
      </c>
      <c r="G67" s="11" t="str">
        <f>RAW_Товары!F66</f>
        <v xml:space="preserve">55 500</v>
      </c>
      <c r="H67" s="11" t="str">
        <f>RAW_Товары!G66</f>
        <v>штука</v>
      </c>
      <c r="I67" s="12" t="str">
        <f t="shared" si="11"/>
        <v>065</v>
      </c>
      <c r="J67" s="12" t="str">
        <f t="shared" si="12"/>
        <v xml:space="preserve">смартфон ONEPLUS 12</v>
      </c>
      <c r="K67" s="12" t="str">
        <f t="shared" si="13"/>
        <v>Телефоны</v>
      </c>
      <c r="L67" s="13" t="str">
        <f t="shared" si="14"/>
        <v>АРТ-065</v>
      </c>
      <c r="M67" s="13" t="str">
        <f t="shared" si="15"/>
        <v xml:space="preserve">Смартфон Oneplus 12</v>
      </c>
      <c r="N67" s="13" t="str">
        <f>IFERROR(VLOOKUP(K67,Справочники!$A$6:$B$16,2,0),"НЕТ В СПРАВОЧНИКЕ")</f>
        <v>Смартфоны</v>
      </c>
      <c r="O67" s="13" t="str">
        <f t="shared" si="16"/>
        <v>Oneplus</v>
      </c>
      <c r="P67" s="14">
        <f t="shared" si="17"/>
        <v>32500</v>
      </c>
      <c r="Q67" s="14">
        <f t="shared" si="18"/>
        <v>55500</v>
      </c>
      <c r="R67" s="13" t="str">
        <f t="shared" ref="R67:R130" si="21">"шт"</f>
        <v>шт</v>
      </c>
      <c r="S67" s="10" t="str">
        <f t="shared" si="19"/>
        <v>OK</v>
      </c>
      <c r="T67" s="10" t="str">
        <f t="shared" si="20"/>
        <v>уникален</v>
      </c>
    </row>
    <row r="68" ht="15" customHeight="1">
      <c r="A68" s="10">
        <v>66</v>
      </c>
      <c r="B68" s="11" t="str">
        <f>RAW_Товары!A67</f>
        <v>066-24</v>
      </c>
      <c r="C68" s="11" t="str">
        <f>RAW_Товары!B67</f>
        <v xml:space="preserve">Смартфон OnePlus 12 (Зеленый)</v>
      </c>
      <c r="D68" s="11" t="str">
        <f>RAW_Товары!C67</f>
        <v xml:space="preserve">Мобильные телефоны</v>
      </c>
      <c r="E68" s="11" t="str">
        <f>RAW_Товары!D67</f>
        <v>ONEPLUS</v>
      </c>
      <c r="F68" s="11" t="str">
        <f>RAW_Товары!E67</f>
        <v xml:space="preserve">33 800</v>
      </c>
      <c r="G68" s="11" t="str">
        <f>RAW_Товары!F67</f>
        <v xml:space="preserve">57 800</v>
      </c>
      <c r="H68" s="11" t="str">
        <f>RAW_Товары!G67</f>
        <v>шт</v>
      </c>
      <c r="I68" s="12" t="str">
        <f t="shared" si="11"/>
        <v>066-24</v>
      </c>
      <c r="J68" s="12" t="str">
        <f t="shared" si="12"/>
        <v xml:space="preserve">Смартфон OnePlus 12</v>
      </c>
      <c r="K68" s="12" t="str">
        <f t="shared" si="13"/>
        <v xml:space="preserve">Мобильные телефоны</v>
      </c>
      <c r="L68" s="13" t="str">
        <f t="shared" si="14"/>
        <v>АРТ-066</v>
      </c>
      <c r="M68" s="13" t="str">
        <f t="shared" si="15"/>
        <v xml:space="preserve">Смартфон Oneplus 12</v>
      </c>
      <c r="N68" s="13" t="str">
        <f>IFERROR(VLOOKUP(K68,Справочники!$A$6:$B$16,2,0),"НЕТ В СПРАВОЧНИКЕ")</f>
        <v>Смартфоны</v>
      </c>
      <c r="O68" s="13" t="str">
        <f t="shared" si="16"/>
        <v>Oneplus</v>
      </c>
      <c r="P68" s="14">
        <f t="shared" si="17"/>
        <v>33800</v>
      </c>
      <c r="Q68" s="14">
        <f t="shared" si="18"/>
        <v>57800</v>
      </c>
      <c r="R68" s="13" t="str">
        <f t="shared" si="21"/>
        <v>шт</v>
      </c>
      <c r="S68" s="10" t="str">
        <f t="shared" si="19"/>
        <v>OK</v>
      </c>
      <c r="T68" s="10" t="str">
        <f t="shared" si="20"/>
        <v>уникален</v>
      </c>
    </row>
    <row r="69" ht="15" customHeight="1">
      <c r="A69" s="10">
        <v>67</v>
      </c>
      <c r="B69" s="11" t="str">
        <f>RAW_Товары!A68</f>
        <v>№АРТ-067</v>
      </c>
      <c r="C69" s="11" t="str">
        <f>RAW_Товары!B68</f>
        <v xml:space="preserve">Телевизор TCL 65C745</v>
      </c>
      <c r="D69" s="11" t="str">
        <f>RAW_Товары!C68</f>
        <v>Телевизоры</v>
      </c>
      <c r="E69" s="11" t="str">
        <f>RAW_Товары!D68</f>
        <v>TCL</v>
      </c>
      <c r="F69" s="11" t="str">
        <f>RAW_Товары!E68</f>
        <v xml:space="preserve">70 000</v>
      </c>
      <c r="G69" s="11" t="str">
        <f>RAW_Товары!F68</f>
        <v xml:space="preserve">109 999</v>
      </c>
      <c r="H69" s="11" t="str">
        <f>RAW_Товары!G68</f>
        <v>шт.</v>
      </c>
      <c r="I69" s="12" t="str">
        <f t="shared" si="11"/>
        <v>067</v>
      </c>
      <c r="J69" s="12" t="str">
        <f t="shared" si="12"/>
        <v xml:space="preserve">Телевизор TCL 65C745</v>
      </c>
      <c r="K69" s="12" t="str">
        <f t="shared" si="13"/>
        <v>Телевизоры</v>
      </c>
      <c r="L69" s="13" t="str">
        <f t="shared" si="14"/>
        <v>АРТ-067</v>
      </c>
      <c r="M69" s="13" t="str">
        <f t="shared" si="15"/>
        <v xml:space="preserve">Телевизор Tcl 65C745</v>
      </c>
      <c r="N69" s="13" t="str">
        <f>IFERROR(VLOOKUP(K69,Справочники!$A$6:$B$16,2,0),"НЕТ В СПРАВОЧНИКЕ")</f>
        <v>Телевизоры</v>
      </c>
      <c r="O69" s="13" t="str">
        <f t="shared" si="16"/>
        <v>Tcl</v>
      </c>
      <c r="P69" s="14">
        <f t="shared" si="17"/>
        <v>70000</v>
      </c>
      <c r="Q69" s="14">
        <f t="shared" si="18"/>
        <v>109999</v>
      </c>
      <c r="R69" s="13" t="str">
        <f t="shared" si="21"/>
        <v>шт</v>
      </c>
      <c r="S69" s="10" t="str">
        <f t="shared" si="19"/>
        <v>OK</v>
      </c>
      <c r="T69" s="10" t="str">
        <f t="shared" si="20"/>
        <v>уникален</v>
      </c>
    </row>
    <row r="70" ht="15" customHeight="1">
      <c r="A70" s="10">
        <v>68</v>
      </c>
      <c r="B70" s="11" t="str">
        <f>RAW_Товары!A69</f>
        <v>АРТ_068</v>
      </c>
      <c r="C70" s="11" t="str">
        <f>RAW_Товары!B69</f>
        <v xml:space="preserve">телевизор TCL 65C745</v>
      </c>
      <c r="D70" s="11" t="str">
        <f>RAW_Товары!C69</f>
        <v>Телевизоры</v>
      </c>
      <c r="E70" s="11" t="str">
        <f>RAW_Товары!D69</f>
        <v>tcl</v>
      </c>
      <c r="F70" s="11" t="str">
        <f>RAW_Товары!E69</f>
        <v xml:space="preserve">68 500</v>
      </c>
      <c r="G70" s="11" t="str">
        <f>RAW_Товары!F69</f>
        <v xml:space="preserve">107 000</v>
      </c>
      <c r="H70" s="11" t="str">
        <f>RAW_Товары!G69</f>
        <v>штуки</v>
      </c>
      <c r="I70" s="12" t="str">
        <f t="shared" si="11"/>
        <v>068</v>
      </c>
      <c r="J70" s="12" t="str">
        <f t="shared" si="12"/>
        <v xml:space="preserve">телевизор TCL 65C745</v>
      </c>
      <c r="K70" s="12" t="str">
        <f t="shared" si="13"/>
        <v>Телевизоры</v>
      </c>
      <c r="L70" s="13" t="str">
        <f t="shared" si="14"/>
        <v>АРТ-068</v>
      </c>
      <c r="M70" s="13" t="str">
        <f t="shared" si="15"/>
        <v xml:space="preserve">Телевизор Tcl 65C745</v>
      </c>
      <c r="N70" s="13" t="str">
        <f>IFERROR(VLOOKUP(K70,Справочники!$A$6:$B$16,2,0),"НЕТ В СПРАВОЧНИКЕ")</f>
        <v>Телевизоры</v>
      </c>
      <c r="O70" s="13" t="str">
        <f t="shared" si="16"/>
        <v>Tcl</v>
      </c>
      <c r="P70" s="14">
        <f t="shared" si="17"/>
        <v>68500</v>
      </c>
      <c r="Q70" s="14">
        <f t="shared" si="18"/>
        <v>107000</v>
      </c>
      <c r="R70" s="13" t="str">
        <f t="shared" si="21"/>
        <v>шт</v>
      </c>
      <c r="S70" s="10" t="str">
        <f t="shared" si="19"/>
        <v>OK</v>
      </c>
      <c r="T70" s="10" t="str">
        <f t="shared" si="20"/>
        <v>уникален</v>
      </c>
    </row>
    <row r="71" ht="15" customHeight="1">
      <c r="A71" s="10">
        <v>69</v>
      </c>
      <c r="B71" s="11" t="str">
        <f>RAW_Товары!A70</f>
        <v>069/24</v>
      </c>
      <c r="C71" s="11" t="str">
        <f>RAW_Товары!B70</f>
        <v xml:space="preserve">Телевизор TCL 65C745 (QLED)</v>
      </c>
      <c r="D71" s="11" t="str">
        <f>RAW_Товары!C70</f>
        <v>Телевизоры</v>
      </c>
      <c r="E71" s="11" t="str">
        <f>RAW_Товары!D70</f>
        <v>TCL</v>
      </c>
      <c r="F71" s="11" t="str">
        <f>RAW_Товары!E70</f>
        <v xml:space="preserve">71 500</v>
      </c>
      <c r="G71" s="11" t="str">
        <f>RAW_Товары!F70</f>
        <v xml:space="preserve">112 000</v>
      </c>
      <c r="H71" s="11" t="str">
        <f>RAW_Товары!G70</f>
        <v>шт</v>
      </c>
      <c r="I71" s="12" t="str">
        <f t="shared" si="11"/>
        <v>069/24</v>
      </c>
      <c r="J71" s="12" t="str">
        <f t="shared" si="12"/>
        <v xml:space="preserve">Телевизор TCL 65C745</v>
      </c>
      <c r="K71" s="12" t="str">
        <f t="shared" si="13"/>
        <v>Телевизоры</v>
      </c>
      <c r="L71" s="13" t="str">
        <f t="shared" si="14"/>
        <v>АРТ-069</v>
      </c>
      <c r="M71" s="13" t="str">
        <f t="shared" si="15"/>
        <v xml:space="preserve">Телевизор Tcl 65C745</v>
      </c>
      <c r="N71" s="13" t="str">
        <f>IFERROR(VLOOKUP(K71,Справочники!$A$6:$B$16,2,0),"НЕТ В СПРАВОЧНИКЕ")</f>
        <v>Телевизоры</v>
      </c>
      <c r="O71" s="13" t="str">
        <f t="shared" si="16"/>
        <v>Tcl</v>
      </c>
      <c r="P71" s="14">
        <f t="shared" si="17"/>
        <v>71500</v>
      </c>
      <c r="Q71" s="14">
        <f t="shared" si="18"/>
        <v>112000</v>
      </c>
      <c r="R71" s="13" t="str">
        <f t="shared" si="21"/>
        <v>шт</v>
      </c>
      <c r="S71" s="10" t="str">
        <f t="shared" si="19"/>
        <v>OK</v>
      </c>
      <c r="T71" s="10" t="str">
        <f t="shared" si="20"/>
        <v>уникален</v>
      </c>
    </row>
    <row r="72" ht="15" customHeight="1">
      <c r="A72" s="10">
        <v>70</v>
      </c>
      <c r="B72" s="11" t="str">
        <f>RAW_Товары!A71</f>
        <v>№АРТ-070</v>
      </c>
      <c r="C72" s="11" t="str">
        <f>RAW_Товары!B71</f>
        <v xml:space="preserve">Наушники Marshall Major IV</v>
      </c>
      <c r="D72" s="11" t="str">
        <f>RAW_Товары!C71</f>
        <v>Наушники</v>
      </c>
      <c r="E72" s="11" t="str">
        <f>RAW_Товары!D71</f>
        <v>Marshall</v>
      </c>
      <c r="F72" s="11" t="str">
        <f>RAW_Товары!E71</f>
        <v xml:space="preserve">12 000</v>
      </c>
      <c r="G72" s="11" t="str">
        <f>RAW_Товары!F71</f>
        <v xml:space="preserve">19 990</v>
      </c>
      <c r="H72" s="11" t="str">
        <f>RAW_Товары!G71</f>
        <v>шт.</v>
      </c>
      <c r="I72" s="12" t="str">
        <f t="shared" si="11"/>
        <v>070</v>
      </c>
      <c r="J72" s="12" t="str">
        <f t="shared" si="12"/>
        <v xml:space="preserve">Наушники Marshall Major IV</v>
      </c>
      <c r="K72" s="12" t="str">
        <f t="shared" si="13"/>
        <v>Наушники</v>
      </c>
      <c r="L72" s="13" t="str">
        <f t="shared" si="14"/>
        <v>АРТ-070</v>
      </c>
      <c r="M72" s="13" t="str">
        <f t="shared" si="15"/>
        <v xml:space="preserve">Наушники Marshall Major Iv</v>
      </c>
      <c r="N72" s="13" t="str">
        <f>IFERROR(VLOOKUP(K72,Справочники!$A$6:$B$16,2,0),"НЕТ В СПРАВОЧНИКЕ")</f>
        <v>Наушники</v>
      </c>
      <c r="O72" s="13" t="str">
        <f t="shared" si="16"/>
        <v>Marshall</v>
      </c>
      <c r="P72" s="14">
        <f t="shared" si="17"/>
        <v>12000</v>
      </c>
      <c r="Q72" s="14">
        <f t="shared" si="18"/>
        <v>19990</v>
      </c>
      <c r="R72" s="13" t="str">
        <f t="shared" si="21"/>
        <v>шт</v>
      </c>
      <c r="S72" s="10" t="str">
        <f t="shared" si="19"/>
        <v>OK</v>
      </c>
      <c r="T72" s="10" t="str">
        <f t="shared" si="20"/>
        <v>уникален</v>
      </c>
    </row>
    <row r="73" ht="15" customHeight="1">
      <c r="A73" s="10">
        <v>71</v>
      </c>
      <c r="B73" s="11" t="str">
        <f>RAW_Товары!A72</f>
        <v>АРТ_071</v>
      </c>
      <c r="C73" s="11" t="str">
        <f>RAW_Товары!B72</f>
        <v xml:space="preserve">наушники MARSHALL MAJOR IV</v>
      </c>
      <c r="D73" s="11" t="str">
        <f>RAW_Товары!C72</f>
        <v>Наушники</v>
      </c>
      <c r="E73" s="11" t="str">
        <f>RAW_Товары!D72</f>
        <v>marshall</v>
      </c>
      <c r="F73" s="11" t="str">
        <f>RAW_Товары!E72</f>
        <v xml:space="preserve">11 500</v>
      </c>
      <c r="G73" s="11" t="str">
        <f>RAW_Товары!F72</f>
        <v xml:space="preserve">19 000</v>
      </c>
      <c r="H73" s="11" t="str">
        <f>RAW_Товары!G72</f>
        <v>штука</v>
      </c>
      <c r="I73" s="12" t="str">
        <f t="shared" si="11"/>
        <v>071</v>
      </c>
      <c r="J73" s="12" t="str">
        <f t="shared" si="12"/>
        <v xml:space="preserve">наушники MARSHALL MAJOR IV</v>
      </c>
      <c r="K73" s="12" t="str">
        <f t="shared" si="13"/>
        <v>Наушники</v>
      </c>
      <c r="L73" s="13" t="str">
        <f t="shared" si="14"/>
        <v>АРТ-071</v>
      </c>
      <c r="M73" s="13" t="str">
        <f t="shared" si="15"/>
        <v xml:space="preserve">Наушники Marshall Major Iv</v>
      </c>
      <c r="N73" s="13" t="str">
        <f>IFERROR(VLOOKUP(K73,Справочники!$A$6:$B$16,2,0),"НЕТ В СПРАВОЧНИКЕ")</f>
        <v>Наушники</v>
      </c>
      <c r="O73" s="13" t="str">
        <f t="shared" si="16"/>
        <v>Marshall</v>
      </c>
      <c r="P73" s="14">
        <f t="shared" si="17"/>
        <v>11500</v>
      </c>
      <c r="Q73" s="14">
        <f t="shared" si="18"/>
        <v>19000</v>
      </c>
      <c r="R73" s="13" t="str">
        <f t="shared" si="21"/>
        <v>шт</v>
      </c>
      <c r="S73" s="10" t="str">
        <f t="shared" si="19"/>
        <v>OK</v>
      </c>
      <c r="T73" s="10" t="str">
        <f t="shared" si="20"/>
        <v>уникален</v>
      </c>
    </row>
    <row r="74" ht="15" customHeight="1">
      <c r="A74" s="10">
        <v>72</v>
      </c>
      <c r="B74" s="11" t="str">
        <f>RAW_Товары!A73</f>
        <v>072-24</v>
      </c>
      <c r="C74" s="11" t="str">
        <f>RAW_Товары!B73</f>
        <v xml:space="preserve">Наушники Marshall Major IV (Бежевые)</v>
      </c>
      <c r="D74" s="11" t="str">
        <f>RAW_Товары!C73</f>
        <v>Наушники</v>
      </c>
      <c r="E74" s="11" t="str">
        <f>RAW_Товары!D73</f>
        <v>MARSHALL</v>
      </c>
      <c r="F74" s="11" t="str">
        <f>RAW_Товары!E73</f>
        <v xml:space="preserve">12 500</v>
      </c>
      <c r="G74" s="11" t="str">
        <f>RAW_Товары!F73</f>
        <v xml:space="preserve">20 800</v>
      </c>
      <c r="H74" s="11" t="str">
        <f>RAW_Товары!G73</f>
        <v>шт</v>
      </c>
      <c r="I74" s="12" t="str">
        <f t="shared" ref="I74:I99" si="22">SUBSTITUTE(SUBSTITUTE(B74,"№АРТ-",""),"АРТ_","")</f>
        <v>072-24</v>
      </c>
      <c r="J74" s="12" t="str">
        <f t="shared" ref="J74:J99" si="23">TRIM(LEFT(C74,IFERROR(FIND("(",C74)-1,LEN(C74))))</f>
        <v xml:space="preserve">Наушники Marshall Major IV</v>
      </c>
      <c r="K74" s="12" t="str">
        <f t="shared" ref="K74:K99" si="24">TRIM(D74)</f>
        <v>Наушники</v>
      </c>
      <c r="L74" s="13" t="str">
        <f t="shared" ref="L74:L99" si="25">"АРТ-"&amp;LEFT(I74,3)</f>
        <v>АРТ-072</v>
      </c>
      <c r="M74" s="13" t="str">
        <f t="shared" ref="M74:M99" si="26">PROPER(TRIM(J74))</f>
        <v xml:space="preserve">Наушники Marshall Major Iv</v>
      </c>
      <c r="N74" s="13" t="str">
        <f>IFERROR(VLOOKUP(K74,Справочники!$A$6:$B$16,2,0),"НЕТ В СПРАВОЧНИКЕ")</f>
        <v>Наушники</v>
      </c>
      <c r="O74" s="13" t="str">
        <f t="shared" ref="O74:O99" si="27">PROPER(TRIM(E74))</f>
        <v>Marshall</v>
      </c>
      <c r="P74" s="14">
        <f t="shared" ref="P74:P99" si="28">ROUND(VALUE(SUBSTITUTE(SUBSTITUTE(F74," ",""),",",".")),2)</f>
        <v>12500</v>
      </c>
      <c r="Q74" s="14">
        <f t="shared" ref="Q74:Q99" si="29">ROUND(VALUE(SUBSTITUTE(SUBSTITUTE(G74," ",""),",",".")),2)</f>
        <v>20800</v>
      </c>
      <c r="R74" s="13" t="str">
        <f t="shared" si="21"/>
        <v>шт</v>
      </c>
      <c r="S74" s="10" t="str">
        <f t="shared" ref="S74:S99" si="30">IF(Q74&gt;=P74,"OK","ОШИБКА: розница &lt; закупки")</f>
        <v>OK</v>
      </c>
      <c r="T74" s="10" t="str">
        <f t="shared" ref="T74:T99" si="31">IF(COUNTIF($L$3:$L$503,L74)=1,"уникален","ДУБЛЬ")</f>
        <v>уникален</v>
      </c>
    </row>
    <row r="75" ht="15" customHeight="1">
      <c r="A75" s="10">
        <v>73</v>
      </c>
      <c r="B75" s="11" t="str">
        <f>RAW_Товары!A74</f>
        <v>№АРТ-073</v>
      </c>
      <c r="C75" s="11" t="str">
        <f>RAW_Товары!B74</f>
        <v xml:space="preserve">Монитор Acer Predator X27</v>
      </c>
      <c r="D75" s="11" t="str">
        <f>RAW_Товары!C74</f>
        <v>Мониторы</v>
      </c>
      <c r="E75" s="11" t="str">
        <f>RAW_Товары!D74</f>
        <v>Acer</v>
      </c>
      <c r="F75" s="11" t="str">
        <f>RAW_Товары!E74</f>
        <v xml:space="preserve">52 000</v>
      </c>
      <c r="G75" s="11" t="str">
        <f>RAW_Товары!F74</f>
        <v xml:space="preserve">79 900</v>
      </c>
      <c r="H75" s="11" t="str">
        <f>RAW_Товары!G74</f>
        <v>шт.</v>
      </c>
      <c r="I75" s="12" t="str">
        <f t="shared" si="22"/>
        <v>073</v>
      </c>
      <c r="J75" s="12" t="str">
        <f t="shared" si="23"/>
        <v xml:space="preserve">Монитор Acer Predator X27</v>
      </c>
      <c r="K75" s="12" t="str">
        <f t="shared" si="24"/>
        <v>Мониторы</v>
      </c>
      <c r="L75" s="13" t="str">
        <f t="shared" si="25"/>
        <v>АРТ-073</v>
      </c>
      <c r="M75" s="13" t="str">
        <f t="shared" si="26"/>
        <v xml:space="preserve">Монитор Acer Predator X27</v>
      </c>
      <c r="N75" s="13" t="str">
        <f>IFERROR(VLOOKUP(K75,Справочники!$A$6:$B$16,2,0),"НЕТ В СПРАВОЧНИКЕ")</f>
        <v>Мониторы</v>
      </c>
      <c r="O75" s="13" t="str">
        <f t="shared" si="27"/>
        <v>Acer</v>
      </c>
      <c r="P75" s="14">
        <f t="shared" si="28"/>
        <v>52000</v>
      </c>
      <c r="Q75" s="14">
        <f t="shared" si="29"/>
        <v>79900</v>
      </c>
      <c r="R75" s="13" t="str">
        <f t="shared" si="21"/>
        <v>шт</v>
      </c>
      <c r="S75" s="10" t="str">
        <f t="shared" si="30"/>
        <v>OK</v>
      </c>
      <c r="T75" s="10" t="str">
        <f t="shared" si="31"/>
        <v>уникален</v>
      </c>
    </row>
    <row r="76" ht="15" customHeight="1">
      <c r="A76" s="10">
        <v>74</v>
      </c>
      <c r="B76" s="11" t="str">
        <f>RAW_Товары!A75</f>
        <v>АРТ_074</v>
      </c>
      <c r="C76" s="11" t="str">
        <f>RAW_Товары!B75</f>
        <v xml:space="preserve">монитор ACER PREDATOR X27</v>
      </c>
      <c r="D76" s="11" t="str">
        <f>RAW_Товары!C75</f>
        <v>Мониторы</v>
      </c>
      <c r="E76" s="11" t="str">
        <f>RAW_Товары!D75</f>
        <v>acer</v>
      </c>
      <c r="F76" s="11" t="str">
        <f>RAW_Товары!E75</f>
        <v xml:space="preserve">50 500</v>
      </c>
      <c r="G76" s="11" t="str">
        <f>RAW_Товары!F75</f>
        <v xml:space="preserve">77 500</v>
      </c>
      <c r="H76" s="11" t="str">
        <f>RAW_Товары!G75</f>
        <v>штуки</v>
      </c>
      <c r="I76" s="12" t="str">
        <f t="shared" si="22"/>
        <v>074</v>
      </c>
      <c r="J76" s="12" t="str">
        <f t="shared" si="23"/>
        <v xml:space="preserve">монитор ACER PREDATOR X27</v>
      </c>
      <c r="K76" s="12" t="str">
        <f t="shared" si="24"/>
        <v>Мониторы</v>
      </c>
      <c r="L76" s="13" t="str">
        <f t="shared" si="25"/>
        <v>АРТ-074</v>
      </c>
      <c r="M76" s="13" t="str">
        <f t="shared" si="26"/>
        <v xml:space="preserve">Монитор Acer Predator X27</v>
      </c>
      <c r="N76" s="13" t="str">
        <f>IFERROR(VLOOKUP(K76,Справочники!$A$6:$B$16,2,0),"НЕТ В СПРАВОЧНИКЕ")</f>
        <v>Мониторы</v>
      </c>
      <c r="O76" s="13" t="str">
        <f t="shared" si="27"/>
        <v>Acer</v>
      </c>
      <c r="P76" s="14">
        <f t="shared" si="28"/>
        <v>50500</v>
      </c>
      <c r="Q76" s="14">
        <f t="shared" si="29"/>
        <v>77500</v>
      </c>
      <c r="R76" s="13" t="str">
        <f t="shared" si="21"/>
        <v>шт</v>
      </c>
      <c r="S76" s="10" t="str">
        <f t="shared" si="30"/>
        <v>OK</v>
      </c>
      <c r="T76" s="10" t="str">
        <f t="shared" si="31"/>
        <v>уникален</v>
      </c>
    </row>
    <row r="77" ht="15" customHeight="1">
      <c r="A77" s="10">
        <v>75</v>
      </c>
      <c r="B77" s="11" t="str">
        <f>RAW_Товары!A76</f>
        <v>075/24</v>
      </c>
      <c r="C77" s="11" t="str">
        <f>RAW_Товары!B76</f>
        <v xml:space="preserve">Монитор Acer Predator X27 (4K)</v>
      </c>
      <c r="D77" s="11" t="str">
        <f>RAW_Товары!C76</f>
        <v>Мониторы</v>
      </c>
      <c r="E77" s="11" t="str">
        <f>RAW_Товары!D76</f>
        <v>ACER</v>
      </c>
      <c r="F77" s="11" t="str">
        <f>RAW_Товары!E76</f>
        <v xml:space="preserve">53 500</v>
      </c>
      <c r="G77" s="11" t="str">
        <f>RAW_Товары!F76</f>
        <v xml:space="preserve">82 000</v>
      </c>
      <c r="H77" s="11" t="str">
        <f>RAW_Товары!G76</f>
        <v>шт</v>
      </c>
      <c r="I77" s="12" t="str">
        <f t="shared" si="22"/>
        <v>075/24</v>
      </c>
      <c r="J77" s="12" t="str">
        <f t="shared" si="23"/>
        <v xml:space="preserve">Монитор Acer Predator X27</v>
      </c>
      <c r="K77" s="12" t="str">
        <f t="shared" si="24"/>
        <v>Мониторы</v>
      </c>
      <c r="L77" s="13" t="str">
        <f t="shared" si="25"/>
        <v>АРТ-075</v>
      </c>
      <c r="M77" s="13" t="str">
        <f t="shared" si="26"/>
        <v xml:space="preserve">Монитор Acer Predator X27</v>
      </c>
      <c r="N77" s="13" t="str">
        <f>IFERROR(VLOOKUP(K77,Справочники!$A$6:$B$16,2,0),"НЕТ В СПРАВОЧНИКЕ")</f>
        <v>Мониторы</v>
      </c>
      <c r="O77" s="13" t="str">
        <f t="shared" si="27"/>
        <v>Acer</v>
      </c>
      <c r="P77" s="14">
        <f t="shared" si="28"/>
        <v>53500</v>
      </c>
      <c r="Q77" s="14">
        <f t="shared" si="29"/>
        <v>82000</v>
      </c>
      <c r="R77" s="13" t="str">
        <f t="shared" si="21"/>
        <v>шт</v>
      </c>
      <c r="S77" s="10" t="str">
        <f t="shared" si="30"/>
        <v>OK</v>
      </c>
      <c r="T77" s="10" t="str">
        <f t="shared" si="31"/>
        <v>уникален</v>
      </c>
    </row>
    <row r="78" ht="15" customHeight="1">
      <c r="A78" s="10">
        <v>76</v>
      </c>
      <c r="B78" s="11" t="str">
        <f>RAW_Товары!A77</f>
        <v>№АРТ-076</v>
      </c>
      <c r="C78" s="11" t="str">
        <f>RAW_Товары!B77</f>
        <v xml:space="preserve">Клавиатура Razer BlackWidow V4</v>
      </c>
      <c r="D78" s="11" t="str">
        <f>RAW_Товары!C77</f>
        <v>Аксессуары</v>
      </c>
      <c r="E78" s="11" t="str">
        <f>RAW_Товары!D77</f>
        <v>Razer</v>
      </c>
      <c r="F78" s="11" t="str">
        <f>RAW_Товары!E77</f>
        <v xml:space="preserve">7 500</v>
      </c>
      <c r="G78" s="11" t="str">
        <f>RAW_Товары!F77</f>
        <v xml:space="preserve">12 990</v>
      </c>
      <c r="H78" s="11" t="str">
        <f>RAW_Товары!G77</f>
        <v>шт.</v>
      </c>
      <c r="I78" s="12" t="str">
        <f t="shared" si="22"/>
        <v>076</v>
      </c>
      <c r="J78" s="12" t="str">
        <f t="shared" si="23"/>
        <v xml:space="preserve">Клавиатура Razer BlackWidow V4</v>
      </c>
      <c r="K78" s="12" t="str">
        <f t="shared" si="24"/>
        <v>Аксессуары</v>
      </c>
      <c r="L78" s="13" t="str">
        <f t="shared" si="25"/>
        <v>АРТ-076</v>
      </c>
      <c r="M78" s="13" t="str">
        <f t="shared" si="26"/>
        <v xml:space="preserve">Клавиатура Razer Blackwidow V4</v>
      </c>
      <c r="N78" s="13" t="str">
        <f>IFERROR(VLOOKUP(K78,Справочники!$A$6:$B$16,2,0),"НЕТ В СПРАВОЧНИКЕ")</f>
        <v>Аксессуары</v>
      </c>
      <c r="O78" s="13" t="str">
        <f t="shared" si="27"/>
        <v>Razer</v>
      </c>
      <c r="P78" s="14">
        <f t="shared" si="28"/>
        <v>7500</v>
      </c>
      <c r="Q78" s="14">
        <f t="shared" si="29"/>
        <v>12990</v>
      </c>
      <c r="R78" s="13" t="str">
        <f t="shared" si="21"/>
        <v>шт</v>
      </c>
      <c r="S78" s="10" t="str">
        <f t="shared" si="30"/>
        <v>OK</v>
      </c>
      <c r="T78" s="10" t="str">
        <f t="shared" si="31"/>
        <v>уникален</v>
      </c>
    </row>
    <row r="79" ht="15" customHeight="1">
      <c r="A79" s="10">
        <v>77</v>
      </c>
      <c r="B79" s="11" t="str">
        <f>RAW_Товары!A78</f>
        <v>АРТ_077</v>
      </c>
      <c r="C79" s="11" t="str">
        <f>RAW_Товары!B78</f>
        <v xml:space="preserve">клавиатура RAZER BLACKWIDOW V4</v>
      </c>
      <c r="D79" s="11" t="str">
        <f>RAW_Товары!C78</f>
        <v>Аксессуары</v>
      </c>
      <c r="E79" s="11" t="str">
        <f>RAW_Товары!D78</f>
        <v>razer</v>
      </c>
      <c r="F79" s="11" t="str">
        <f>RAW_Товары!E78</f>
        <v xml:space="preserve">7 200</v>
      </c>
      <c r="G79" s="11" t="str">
        <f>RAW_Товары!F78</f>
        <v xml:space="preserve">12 500</v>
      </c>
      <c r="H79" s="11" t="str">
        <f>RAW_Товары!G78</f>
        <v>штука</v>
      </c>
      <c r="I79" s="12" t="str">
        <f t="shared" si="22"/>
        <v>077</v>
      </c>
      <c r="J79" s="12" t="str">
        <f t="shared" si="23"/>
        <v xml:space="preserve">клавиатура RAZER BLACKWIDOW V4</v>
      </c>
      <c r="K79" s="12" t="str">
        <f t="shared" si="24"/>
        <v>Аксессуары</v>
      </c>
      <c r="L79" s="13" t="str">
        <f t="shared" si="25"/>
        <v>АРТ-077</v>
      </c>
      <c r="M79" s="13" t="str">
        <f t="shared" si="26"/>
        <v xml:space="preserve">Клавиатура Razer Blackwidow V4</v>
      </c>
      <c r="N79" s="13" t="str">
        <f>IFERROR(VLOOKUP(K79,Справочники!$A$6:$B$16,2,0),"НЕТ В СПРАВОЧНИКЕ")</f>
        <v>Аксессуары</v>
      </c>
      <c r="O79" s="13" t="str">
        <f t="shared" si="27"/>
        <v>Razer</v>
      </c>
      <c r="P79" s="14">
        <f t="shared" si="28"/>
        <v>7200</v>
      </c>
      <c r="Q79" s="14">
        <f t="shared" si="29"/>
        <v>12500</v>
      </c>
      <c r="R79" s="13" t="str">
        <f t="shared" si="21"/>
        <v>шт</v>
      </c>
      <c r="S79" s="10" t="str">
        <f t="shared" si="30"/>
        <v>OK</v>
      </c>
      <c r="T79" s="10" t="str">
        <f t="shared" si="31"/>
        <v>уникален</v>
      </c>
    </row>
    <row r="80" ht="15" customHeight="1">
      <c r="A80" s="10">
        <v>78</v>
      </c>
      <c r="B80" s="11" t="str">
        <f>RAW_Товары!A79</f>
        <v>078-24</v>
      </c>
      <c r="C80" s="11" t="str">
        <f>RAW_Товары!B79</f>
        <v xml:space="preserve">Клавиатура Razer BlackWidow V4 (Зеленая)</v>
      </c>
      <c r="D80" s="11" t="str">
        <f>RAW_Товары!C79</f>
        <v>Аксессуары</v>
      </c>
      <c r="E80" s="11" t="str">
        <f>RAW_Товары!D79</f>
        <v>RAZER</v>
      </c>
      <c r="F80" s="11" t="str">
        <f>RAW_Товары!E79</f>
        <v xml:space="preserve">7 800</v>
      </c>
      <c r="G80" s="11" t="str">
        <f>RAW_Товары!F79</f>
        <v xml:space="preserve">13 500</v>
      </c>
      <c r="H80" s="11" t="str">
        <f>RAW_Товары!G79</f>
        <v>шт</v>
      </c>
      <c r="I80" s="12" t="str">
        <f t="shared" si="22"/>
        <v>078-24</v>
      </c>
      <c r="J80" s="12" t="str">
        <f t="shared" si="23"/>
        <v xml:space="preserve">Клавиатура Razer BlackWidow V4</v>
      </c>
      <c r="K80" s="12" t="str">
        <f t="shared" si="24"/>
        <v>Аксессуары</v>
      </c>
      <c r="L80" s="13" t="str">
        <f t="shared" si="25"/>
        <v>АРТ-078</v>
      </c>
      <c r="M80" s="13" t="str">
        <f t="shared" si="26"/>
        <v xml:space="preserve">Клавиатура Razer Blackwidow V4</v>
      </c>
      <c r="N80" s="13" t="str">
        <f>IFERROR(VLOOKUP(K80,Справочники!$A$6:$B$16,2,0),"НЕТ В СПРАВОЧНИКЕ")</f>
        <v>Аксессуары</v>
      </c>
      <c r="O80" s="13" t="str">
        <f t="shared" si="27"/>
        <v>Razer</v>
      </c>
      <c r="P80" s="14">
        <f t="shared" si="28"/>
        <v>7800</v>
      </c>
      <c r="Q80" s="14">
        <f t="shared" si="29"/>
        <v>13500</v>
      </c>
      <c r="R80" s="13" t="str">
        <f t="shared" si="21"/>
        <v>шт</v>
      </c>
      <c r="S80" s="10" t="str">
        <f t="shared" si="30"/>
        <v>OK</v>
      </c>
      <c r="T80" s="10" t="str">
        <f t="shared" si="31"/>
        <v>уникален</v>
      </c>
    </row>
    <row r="81" ht="15" customHeight="1">
      <c r="A81" s="10">
        <v>79</v>
      </c>
      <c r="B81" s="11" t="str">
        <f>RAW_Товары!A80</f>
        <v>№АРТ-079</v>
      </c>
      <c r="C81" s="11" t="str">
        <f>RAW_Товары!B80</f>
        <v xml:space="preserve">Планшет Lenovo Tab P12</v>
      </c>
      <c r="D81" s="11" t="str">
        <f>RAW_Товары!C80</f>
        <v>Планшеты</v>
      </c>
      <c r="E81" s="11" t="str">
        <f>RAW_Товары!D80</f>
        <v>Lenovo</v>
      </c>
      <c r="F81" s="11" t="str">
        <f>RAW_Товары!E80</f>
        <v xml:space="preserve">28 000</v>
      </c>
      <c r="G81" s="11" t="str">
        <f>RAW_Товары!F80</f>
        <v xml:space="preserve">45 999</v>
      </c>
      <c r="H81" s="11" t="str">
        <f>RAW_Товары!G80</f>
        <v>шт.</v>
      </c>
      <c r="I81" s="12" t="str">
        <f t="shared" si="22"/>
        <v>079</v>
      </c>
      <c r="J81" s="12" t="str">
        <f t="shared" si="23"/>
        <v xml:space="preserve">Планшет Lenovo Tab P12</v>
      </c>
      <c r="K81" s="12" t="str">
        <f t="shared" si="24"/>
        <v>Планшеты</v>
      </c>
      <c r="L81" s="13" t="str">
        <f t="shared" si="25"/>
        <v>АРТ-079</v>
      </c>
      <c r="M81" s="13" t="str">
        <f t="shared" si="26"/>
        <v xml:space="preserve">Планшет Lenovo Tab P12</v>
      </c>
      <c r="N81" s="13" t="str">
        <f>IFERROR(VLOOKUP(K81,Справочники!$A$6:$B$16,2,0),"НЕТ В СПРАВОЧНИКЕ")</f>
        <v>Планшеты</v>
      </c>
      <c r="O81" s="13" t="str">
        <f t="shared" si="27"/>
        <v>Lenovo</v>
      </c>
      <c r="P81" s="14">
        <f t="shared" si="28"/>
        <v>28000</v>
      </c>
      <c r="Q81" s="14">
        <f t="shared" si="29"/>
        <v>45999</v>
      </c>
      <c r="R81" s="13" t="str">
        <f t="shared" si="21"/>
        <v>шт</v>
      </c>
      <c r="S81" s="10" t="str">
        <f t="shared" si="30"/>
        <v>OK</v>
      </c>
      <c r="T81" s="10" t="str">
        <f t="shared" si="31"/>
        <v>уникален</v>
      </c>
    </row>
    <row r="82" ht="15" customHeight="1">
      <c r="A82" s="10">
        <v>80</v>
      </c>
      <c r="B82" s="11" t="str">
        <f>RAW_Товары!A81</f>
        <v>АРТ_080</v>
      </c>
      <c r="C82" s="11" t="str">
        <f>RAW_Товары!B81</f>
        <v xml:space="preserve">планшет LENOVO TAB P12</v>
      </c>
      <c r="D82" s="11" t="str">
        <f>RAW_Товары!C81</f>
        <v>Планшеты</v>
      </c>
      <c r="E82" s="11" t="str">
        <f>RAW_Товары!D81</f>
        <v>lenovo</v>
      </c>
      <c r="F82" s="11" t="str">
        <f>RAW_Товары!E81</f>
        <v xml:space="preserve">27 000</v>
      </c>
      <c r="G82" s="11" t="str">
        <f>RAW_Товары!F81</f>
        <v xml:space="preserve">44 500</v>
      </c>
      <c r="H82" s="11" t="str">
        <f>RAW_Товары!G81</f>
        <v>штуки</v>
      </c>
      <c r="I82" s="12" t="str">
        <f t="shared" si="22"/>
        <v>080</v>
      </c>
      <c r="J82" s="12" t="str">
        <f t="shared" si="23"/>
        <v xml:space="preserve">планшет LENOVO TAB P12</v>
      </c>
      <c r="K82" s="12" t="str">
        <f t="shared" si="24"/>
        <v>Планшеты</v>
      </c>
      <c r="L82" s="13" t="str">
        <f t="shared" si="25"/>
        <v>АРТ-080</v>
      </c>
      <c r="M82" s="13" t="str">
        <f t="shared" si="26"/>
        <v xml:space="preserve">Планшет Lenovo Tab P12</v>
      </c>
      <c r="N82" s="13" t="str">
        <f>IFERROR(VLOOKUP(K82,Справочники!$A$6:$B$16,2,0),"НЕТ В СПРАВОЧНИКЕ")</f>
        <v>Планшеты</v>
      </c>
      <c r="O82" s="13" t="str">
        <f t="shared" si="27"/>
        <v>Lenovo</v>
      </c>
      <c r="P82" s="14">
        <f t="shared" si="28"/>
        <v>27000</v>
      </c>
      <c r="Q82" s="14">
        <f t="shared" si="29"/>
        <v>44500</v>
      </c>
      <c r="R82" s="13" t="str">
        <f t="shared" si="21"/>
        <v>шт</v>
      </c>
      <c r="S82" s="10" t="str">
        <f t="shared" si="30"/>
        <v>OK</v>
      </c>
      <c r="T82" s="10" t="str">
        <f t="shared" si="31"/>
        <v>уникален</v>
      </c>
    </row>
    <row r="83" ht="15" customHeight="1">
      <c r="A83" s="10">
        <v>81</v>
      </c>
      <c r="B83" s="11" t="str">
        <f>RAW_Товары!A82</f>
        <v>081/24</v>
      </c>
      <c r="C83" s="11" t="str">
        <f>RAW_Товары!B82</f>
        <v xml:space="preserve">Планшет Lenovo Tab P12 (Pro)</v>
      </c>
      <c r="D83" s="11" t="str">
        <f>RAW_Товары!C82</f>
        <v>Планшеты</v>
      </c>
      <c r="E83" s="11" t="str">
        <f>RAW_Товары!D82</f>
        <v>LENOVO</v>
      </c>
      <c r="F83" s="11" t="str">
        <f>RAW_Товары!E82</f>
        <v xml:space="preserve">29 000</v>
      </c>
      <c r="G83" s="11" t="str">
        <f>RAW_Товары!F82</f>
        <v xml:space="preserve">47 500</v>
      </c>
      <c r="H83" s="11" t="str">
        <f>RAW_Товары!G82</f>
        <v>шт</v>
      </c>
      <c r="I83" s="12" t="str">
        <f t="shared" si="22"/>
        <v>081/24</v>
      </c>
      <c r="J83" s="12" t="str">
        <f t="shared" si="23"/>
        <v xml:space="preserve">Планшет Lenovo Tab P12</v>
      </c>
      <c r="K83" s="12" t="str">
        <f t="shared" si="24"/>
        <v>Планшеты</v>
      </c>
      <c r="L83" s="13" t="str">
        <f t="shared" si="25"/>
        <v>АРТ-081</v>
      </c>
      <c r="M83" s="13" t="str">
        <f t="shared" si="26"/>
        <v xml:space="preserve">Планшет Lenovo Tab P12</v>
      </c>
      <c r="N83" s="13" t="str">
        <f>IFERROR(VLOOKUP(K83,Справочники!$A$6:$B$16,2,0),"НЕТ В СПРАВОЧНИКЕ")</f>
        <v>Планшеты</v>
      </c>
      <c r="O83" s="13" t="str">
        <f t="shared" si="27"/>
        <v>Lenovo</v>
      </c>
      <c r="P83" s="14">
        <f t="shared" si="28"/>
        <v>29000</v>
      </c>
      <c r="Q83" s="14">
        <f t="shared" si="29"/>
        <v>47500</v>
      </c>
      <c r="R83" s="13" t="str">
        <f t="shared" si="21"/>
        <v>шт</v>
      </c>
      <c r="S83" s="10" t="str">
        <f t="shared" si="30"/>
        <v>OK</v>
      </c>
      <c r="T83" s="10" t="str">
        <f t="shared" si="31"/>
        <v>уникален</v>
      </c>
    </row>
    <row r="84" ht="15" customHeight="1">
      <c r="A84" s="10">
        <v>82</v>
      </c>
      <c r="B84" s="11" t="str">
        <f>RAW_Товары!A83</f>
        <v>№АРТ-082</v>
      </c>
      <c r="C84" s="11" t="str">
        <f>RAW_Товары!B83</f>
        <v xml:space="preserve">Смарт-часы Samsung Galaxy Watch6</v>
      </c>
      <c r="D84" s="11" t="str">
        <f>RAW_Товары!C83</f>
        <v>Часы</v>
      </c>
      <c r="E84" s="11" t="str">
        <f>RAW_Товары!D83</f>
        <v>Samsung</v>
      </c>
      <c r="F84" s="11" t="str">
        <f>RAW_Товары!E83</f>
        <v xml:space="preserve">25 000</v>
      </c>
      <c r="G84" s="11" t="str">
        <f>RAW_Товары!F83</f>
        <v xml:space="preserve">39 990</v>
      </c>
      <c r="H84" s="11" t="str">
        <f>RAW_Товары!G83</f>
        <v>шт.</v>
      </c>
      <c r="I84" s="12" t="str">
        <f t="shared" si="22"/>
        <v>082</v>
      </c>
      <c r="J84" s="12" t="str">
        <f t="shared" si="23"/>
        <v xml:space="preserve">Смарт-часы Samsung Galaxy Watch6</v>
      </c>
      <c r="K84" s="12" t="str">
        <f t="shared" si="24"/>
        <v>Часы</v>
      </c>
      <c r="L84" s="13" t="str">
        <f t="shared" si="25"/>
        <v>АРТ-082</v>
      </c>
      <c r="M84" s="13" t="str">
        <f t="shared" si="26"/>
        <v xml:space="preserve">Смарт-Часы Samsung Galaxy Watch6</v>
      </c>
      <c r="N84" s="13" t="str">
        <f>IFERROR(VLOOKUP(K84,Справочники!$A$6:$B$16,2,0),"НЕТ В СПРАВОЧНИКЕ")</f>
        <v>Часы</v>
      </c>
      <c r="O84" s="13" t="str">
        <f t="shared" si="27"/>
        <v>Samsung</v>
      </c>
      <c r="P84" s="14">
        <f t="shared" si="28"/>
        <v>25000</v>
      </c>
      <c r="Q84" s="14">
        <f t="shared" si="29"/>
        <v>39990</v>
      </c>
      <c r="R84" s="13" t="str">
        <f t="shared" si="21"/>
        <v>шт</v>
      </c>
      <c r="S84" s="10" t="str">
        <f t="shared" si="30"/>
        <v>OK</v>
      </c>
      <c r="T84" s="10" t="str">
        <f t="shared" si="31"/>
        <v>уникален</v>
      </c>
    </row>
    <row r="85" ht="15" customHeight="1">
      <c r="A85" s="10">
        <v>83</v>
      </c>
      <c r="B85" s="11" t="str">
        <f>RAW_Товары!A84</f>
        <v>АРТ_083</v>
      </c>
      <c r="C85" s="11" t="str">
        <f>RAW_Товары!B84</f>
        <v xml:space="preserve">смарт-часы SAMSUNG GALAXY WATCH6</v>
      </c>
      <c r="D85" s="11" t="str">
        <f>RAW_Товары!C84</f>
        <v>Часы</v>
      </c>
      <c r="E85" s="11" t="str">
        <f>RAW_Товары!D84</f>
        <v>samsung</v>
      </c>
      <c r="F85" s="11" t="str">
        <f>RAW_Товары!E84</f>
        <v xml:space="preserve">24 000</v>
      </c>
      <c r="G85" s="11" t="str">
        <f>RAW_Товары!F84</f>
        <v xml:space="preserve">38 500</v>
      </c>
      <c r="H85" s="11" t="str">
        <f>RAW_Товары!G84</f>
        <v>штука</v>
      </c>
      <c r="I85" s="12" t="str">
        <f t="shared" si="22"/>
        <v>083</v>
      </c>
      <c r="J85" s="12" t="str">
        <f t="shared" si="23"/>
        <v xml:space="preserve">смарт-часы SAMSUNG GALAXY WATCH6</v>
      </c>
      <c r="K85" s="12" t="str">
        <f t="shared" si="24"/>
        <v>Часы</v>
      </c>
      <c r="L85" s="13" t="str">
        <f t="shared" si="25"/>
        <v>АРТ-083</v>
      </c>
      <c r="M85" s="13" t="str">
        <f t="shared" si="26"/>
        <v xml:space="preserve">Смарт-Часы Samsung Galaxy Watch6</v>
      </c>
      <c r="N85" s="13" t="str">
        <f>IFERROR(VLOOKUP(K85,Справочники!$A$6:$B$16,2,0),"НЕТ В СПРАВОЧНИКЕ")</f>
        <v>Часы</v>
      </c>
      <c r="O85" s="13" t="str">
        <f t="shared" si="27"/>
        <v>Samsung</v>
      </c>
      <c r="P85" s="14">
        <f t="shared" si="28"/>
        <v>24000</v>
      </c>
      <c r="Q85" s="14">
        <f t="shared" si="29"/>
        <v>38500</v>
      </c>
      <c r="R85" s="13" t="str">
        <f t="shared" si="21"/>
        <v>шт</v>
      </c>
      <c r="S85" s="10" t="str">
        <f t="shared" si="30"/>
        <v>OK</v>
      </c>
      <c r="T85" s="10" t="str">
        <f t="shared" si="31"/>
        <v>уникален</v>
      </c>
    </row>
    <row r="86" ht="15" customHeight="1">
      <c r="A86" s="10">
        <v>84</v>
      </c>
      <c r="B86" s="11" t="str">
        <f>RAW_Товары!A85</f>
        <v>084-24</v>
      </c>
      <c r="C86" s="11" t="str">
        <f>RAW_Товары!B85</f>
        <v xml:space="preserve">Смарт-часы Samsung Galaxy Watch6 (Classic)</v>
      </c>
      <c r="D86" s="11" t="str">
        <f>RAW_Товары!C85</f>
        <v>Часы</v>
      </c>
      <c r="E86" s="11" t="str">
        <f>RAW_Товары!D85</f>
        <v>SAMSUNG</v>
      </c>
      <c r="F86" s="11" t="str">
        <f>RAW_Товары!E85</f>
        <v xml:space="preserve">26 000</v>
      </c>
      <c r="G86" s="11" t="str">
        <f>RAW_Товары!F85</f>
        <v xml:space="preserve">41 000</v>
      </c>
      <c r="H86" s="11" t="str">
        <f>RAW_Товары!G85</f>
        <v>шт</v>
      </c>
      <c r="I86" s="12" t="str">
        <f t="shared" si="22"/>
        <v>084-24</v>
      </c>
      <c r="J86" s="12" t="str">
        <f t="shared" si="23"/>
        <v xml:space="preserve">Смарт-часы Samsung Galaxy Watch6</v>
      </c>
      <c r="K86" s="12" t="str">
        <f t="shared" si="24"/>
        <v>Часы</v>
      </c>
      <c r="L86" s="13" t="str">
        <f t="shared" si="25"/>
        <v>АРТ-084</v>
      </c>
      <c r="M86" s="13" t="str">
        <f t="shared" si="26"/>
        <v xml:space="preserve">Смарт-Часы Samsung Galaxy Watch6</v>
      </c>
      <c r="N86" s="13" t="str">
        <f>IFERROR(VLOOKUP(K86,Справочники!$A$6:$B$16,2,0),"НЕТ В СПРАВОЧНИКЕ")</f>
        <v>Часы</v>
      </c>
      <c r="O86" s="13" t="str">
        <f t="shared" si="27"/>
        <v>Samsung</v>
      </c>
      <c r="P86" s="14">
        <f t="shared" si="28"/>
        <v>26000</v>
      </c>
      <c r="Q86" s="14">
        <f t="shared" si="29"/>
        <v>41000</v>
      </c>
      <c r="R86" s="13" t="str">
        <f t="shared" si="21"/>
        <v>шт</v>
      </c>
      <c r="S86" s="10" t="str">
        <f t="shared" si="30"/>
        <v>OK</v>
      </c>
      <c r="T86" s="10" t="str">
        <f t="shared" si="31"/>
        <v>уникален</v>
      </c>
    </row>
    <row r="87" ht="15" customHeight="1">
      <c r="A87" s="10">
        <v>85</v>
      </c>
      <c r="B87" s="11" t="str">
        <f>RAW_Товары!A86</f>
        <v>№АРТ-085</v>
      </c>
      <c r="C87" s="11" t="str">
        <f>RAW_Товары!B86</f>
        <v xml:space="preserve">Ноутбук Asus Zenbook 14</v>
      </c>
      <c r="D87" s="11" t="str">
        <f>RAW_Товары!C86</f>
        <v>Ноутбуки</v>
      </c>
      <c r="E87" s="11" t="str">
        <f>RAW_Товары!D86</f>
        <v>Asus</v>
      </c>
      <c r="F87" s="11" t="str">
        <f>RAW_Товары!E86</f>
        <v xml:space="preserve">72 000</v>
      </c>
      <c r="G87" s="11" t="str">
        <f>RAW_Товары!F86</f>
        <v xml:space="preserve">109 990</v>
      </c>
      <c r="H87" s="11" t="str">
        <f>RAW_Товары!G86</f>
        <v>шт.</v>
      </c>
      <c r="I87" s="12" t="str">
        <f t="shared" si="22"/>
        <v>085</v>
      </c>
      <c r="J87" s="12" t="str">
        <f t="shared" si="23"/>
        <v xml:space="preserve">Ноутбук Asus Zenbook 14</v>
      </c>
      <c r="K87" s="12" t="str">
        <f t="shared" si="24"/>
        <v>Ноутбуки</v>
      </c>
      <c r="L87" s="13" t="str">
        <f t="shared" si="25"/>
        <v>АРТ-085</v>
      </c>
      <c r="M87" s="13" t="str">
        <f t="shared" si="26"/>
        <v xml:space="preserve">Ноутбук Asus Zenbook 14</v>
      </c>
      <c r="N87" s="13" t="str">
        <f>IFERROR(VLOOKUP(K87,Справочники!$A$6:$B$16,2,0),"НЕТ В СПРАВОЧНИКЕ")</f>
        <v>Ноутбуки</v>
      </c>
      <c r="O87" s="13" t="str">
        <f t="shared" si="27"/>
        <v>Asus</v>
      </c>
      <c r="P87" s="14">
        <f t="shared" si="28"/>
        <v>72000</v>
      </c>
      <c r="Q87" s="14">
        <f t="shared" si="29"/>
        <v>109990</v>
      </c>
      <c r="R87" s="13" t="str">
        <f t="shared" si="21"/>
        <v>шт</v>
      </c>
      <c r="S87" s="10" t="str">
        <f t="shared" si="30"/>
        <v>OK</v>
      </c>
      <c r="T87" s="10" t="str">
        <f t="shared" si="31"/>
        <v>уникален</v>
      </c>
    </row>
    <row r="88" ht="15" customHeight="1">
      <c r="A88" s="10">
        <v>86</v>
      </c>
      <c r="B88" s="11" t="str">
        <f>RAW_Товары!A87</f>
        <v>АРТ_086</v>
      </c>
      <c r="C88" s="11" t="str">
        <f>RAW_Товары!B87</f>
        <v xml:space="preserve">ноутбук ASUS ZENBOOK 14</v>
      </c>
      <c r="D88" s="11" t="str">
        <f>RAW_Товары!C87</f>
        <v>Лэптопы</v>
      </c>
      <c r="E88" s="11" t="str">
        <f>RAW_Товары!D87</f>
        <v>asus</v>
      </c>
      <c r="F88" s="11" t="str">
        <f>RAW_Товары!E87</f>
        <v xml:space="preserve">70 500</v>
      </c>
      <c r="G88" s="11" t="str">
        <f>RAW_Товары!F87</f>
        <v xml:space="preserve">107 500</v>
      </c>
      <c r="H88" s="11" t="str">
        <f>RAW_Товары!G87</f>
        <v>штуки</v>
      </c>
      <c r="I88" s="12" t="str">
        <f t="shared" si="22"/>
        <v>086</v>
      </c>
      <c r="J88" s="12" t="str">
        <f t="shared" si="23"/>
        <v xml:space="preserve">ноутбук ASUS ZENBOOK 14</v>
      </c>
      <c r="K88" s="12" t="str">
        <f t="shared" si="24"/>
        <v>Лэптопы</v>
      </c>
      <c r="L88" s="13" t="str">
        <f t="shared" si="25"/>
        <v>АРТ-086</v>
      </c>
      <c r="M88" s="13" t="str">
        <f t="shared" si="26"/>
        <v xml:space="preserve">Ноутбук Asus Zenbook 14</v>
      </c>
      <c r="N88" s="13" t="str">
        <f>IFERROR(VLOOKUP(K88,Справочники!$A$6:$B$16,2,0),"НЕТ В СПРАВОЧНИКЕ")</f>
        <v>Ноутбуки</v>
      </c>
      <c r="O88" s="13" t="str">
        <f t="shared" si="27"/>
        <v>Asus</v>
      </c>
      <c r="P88" s="14">
        <f t="shared" si="28"/>
        <v>70500</v>
      </c>
      <c r="Q88" s="14">
        <f t="shared" si="29"/>
        <v>107500</v>
      </c>
      <c r="R88" s="13" t="str">
        <f t="shared" si="21"/>
        <v>шт</v>
      </c>
      <c r="S88" s="10" t="str">
        <f t="shared" si="30"/>
        <v>OK</v>
      </c>
      <c r="T88" s="10" t="str">
        <f t="shared" si="31"/>
        <v>уникален</v>
      </c>
    </row>
    <row r="89" ht="15" customHeight="1">
      <c r="A89" s="10">
        <v>87</v>
      </c>
      <c r="B89" s="11" t="str">
        <f>RAW_Товары!A88</f>
        <v>087/24</v>
      </c>
      <c r="C89" s="11" t="str">
        <f>RAW_Товары!B88</f>
        <v xml:space="preserve">Ноутбук Asus Zenbook 14 (OLED)</v>
      </c>
      <c r="D89" s="11" t="str">
        <f>RAW_Товары!C88</f>
        <v>Ноутбуки</v>
      </c>
      <c r="E89" s="11" t="str">
        <f>RAW_Товары!D88</f>
        <v>ASUS</v>
      </c>
      <c r="F89" s="11" t="str">
        <f>RAW_Товары!E88</f>
        <v xml:space="preserve">73 500</v>
      </c>
      <c r="G89" s="11" t="str">
        <f>RAW_Товары!F88</f>
        <v xml:space="preserve">112 000</v>
      </c>
      <c r="H89" s="11" t="str">
        <f>RAW_Товары!G88</f>
        <v>шт</v>
      </c>
      <c r="I89" s="12" t="str">
        <f t="shared" si="22"/>
        <v>087/24</v>
      </c>
      <c r="J89" s="12" t="str">
        <f t="shared" si="23"/>
        <v xml:space="preserve">Ноутбук Asus Zenbook 14</v>
      </c>
      <c r="K89" s="12" t="str">
        <f t="shared" si="24"/>
        <v>Ноутбуки</v>
      </c>
      <c r="L89" s="13" t="str">
        <f t="shared" si="25"/>
        <v>АРТ-087</v>
      </c>
      <c r="M89" s="13" t="str">
        <f t="shared" si="26"/>
        <v xml:space="preserve">Ноутбук Asus Zenbook 14</v>
      </c>
      <c r="N89" s="13" t="str">
        <f>IFERROR(VLOOKUP(K89,Справочники!$A$6:$B$16,2,0),"НЕТ В СПРАВОЧНИКЕ")</f>
        <v>Ноутбуки</v>
      </c>
      <c r="O89" s="13" t="str">
        <f t="shared" si="27"/>
        <v>Asus</v>
      </c>
      <c r="P89" s="14">
        <f t="shared" si="28"/>
        <v>73500</v>
      </c>
      <c r="Q89" s="14">
        <f t="shared" si="29"/>
        <v>112000</v>
      </c>
      <c r="R89" s="13" t="str">
        <f t="shared" si="21"/>
        <v>шт</v>
      </c>
      <c r="S89" s="10" t="str">
        <f t="shared" si="30"/>
        <v>OK</v>
      </c>
      <c r="T89" s="10" t="str">
        <f t="shared" si="31"/>
        <v>уникален</v>
      </c>
    </row>
    <row r="90" ht="15" customHeight="1">
      <c r="A90" s="10">
        <v>88</v>
      </c>
      <c r="B90" s="11" t="str">
        <f>RAW_Товары!A89</f>
        <v>№АРТ-088</v>
      </c>
      <c r="C90" s="11" t="str">
        <f>RAW_Товары!B89</f>
        <v xml:space="preserve">Телевизор Xiaomi TV A2</v>
      </c>
      <c r="D90" s="11" t="str">
        <f>RAW_Товары!C89</f>
        <v>Телевизоры</v>
      </c>
      <c r="E90" s="11" t="str">
        <f>RAW_Товары!D89</f>
        <v>Xiaomi</v>
      </c>
      <c r="F90" s="11" t="str">
        <f>RAW_Товары!E89</f>
        <v xml:space="preserve">35 000</v>
      </c>
      <c r="G90" s="11" t="str">
        <f>RAW_Товары!F89</f>
        <v xml:space="preserve">54 999</v>
      </c>
      <c r="H90" s="11" t="str">
        <f>RAW_Товары!G89</f>
        <v>шт.</v>
      </c>
      <c r="I90" s="12" t="str">
        <f t="shared" si="22"/>
        <v>088</v>
      </c>
      <c r="J90" s="12" t="str">
        <f t="shared" si="23"/>
        <v xml:space="preserve">Телевизор Xiaomi TV A2</v>
      </c>
      <c r="K90" s="12" t="str">
        <f t="shared" si="24"/>
        <v>Телевизоры</v>
      </c>
      <c r="L90" s="13" t="str">
        <f t="shared" si="25"/>
        <v>АРТ-088</v>
      </c>
      <c r="M90" s="13" t="str">
        <f t="shared" si="26"/>
        <v xml:space="preserve">Телевизор Xiaomi Tv A2</v>
      </c>
      <c r="N90" s="13" t="str">
        <f>IFERROR(VLOOKUP(K90,Справочники!$A$6:$B$16,2,0),"НЕТ В СПРАВОЧНИКЕ")</f>
        <v>Телевизоры</v>
      </c>
      <c r="O90" s="13" t="str">
        <f t="shared" si="27"/>
        <v>Xiaomi</v>
      </c>
      <c r="P90" s="14">
        <f t="shared" si="28"/>
        <v>35000</v>
      </c>
      <c r="Q90" s="14">
        <f t="shared" si="29"/>
        <v>54999</v>
      </c>
      <c r="R90" s="13" t="str">
        <f t="shared" si="21"/>
        <v>шт</v>
      </c>
      <c r="S90" s="10" t="str">
        <f t="shared" si="30"/>
        <v>OK</v>
      </c>
      <c r="T90" s="10" t="str">
        <f t="shared" si="31"/>
        <v>уникален</v>
      </c>
    </row>
    <row r="91" ht="15" customHeight="1">
      <c r="A91" s="10">
        <v>89</v>
      </c>
      <c r="B91" s="11" t="str">
        <f>RAW_Товары!A90</f>
        <v>АРТ_089</v>
      </c>
      <c r="C91" s="11" t="str">
        <f>RAW_Товары!B90</f>
        <v xml:space="preserve">телевизор XIAOMI TV A2</v>
      </c>
      <c r="D91" s="11" t="str">
        <f>RAW_Товары!C90</f>
        <v>Телевизоры</v>
      </c>
      <c r="E91" s="11" t="str">
        <f>RAW_Товары!D90</f>
        <v>xiaomi</v>
      </c>
      <c r="F91" s="11" t="str">
        <f>RAW_Товары!E90</f>
        <v xml:space="preserve">34 000</v>
      </c>
      <c r="G91" s="11" t="str">
        <f>RAW_Товары!F90</f>
        <v xml:space="preserve">53 500</v>
      </c>
      <c r="H91" s="11" t="str">
        <f>RAW_Товары!G90</f>
        <v>штука</v>
      </c>
      <c r="I91" s="12" t="str">
        <f t="shared" si="22"/>
        <v>089</v>
      </c>
      <c r="J91" s="12" t="str">
        <f t="shared" si="23"/>
        <v xml:space="preserve">телевизор XIAOMI TV A2</v>
      </c>
      <c r="K91" s="12" t="str">
        <f t="shared" si="24"/>
        <v>Телевизоры</v>
      </c>
      <c r="L91" s="13" t="str">
        <f t="shared" si="25"/>
        <v>АРТ-089</v>
      </c>
      <c r="M91" s="13" t="str">
        <f t="shared" si="26"/>
        <v xml:space="preserve">Телевизор Xiaomi Tv A2</v>
      </c>
      <c r="N91" s="13" t="str">
        <f>IFERROR(VLOOKUP(K91,Справочники!$A$6:$B$16,2,0),"НЕТ В СПРАВОЧНИКЕ")</f>
        <v>Телевизоры</v>
      </c>
      <c r="O91" s="13" t="str">
        <f t="shared" si="27"/>
        <v>Xiaomi</v>
      </c>
      <c r="P91" s="14">
        <f t="shared" si="28"/>
        <v>34000</v>
      </c>
      <c r="Q91" s="14">
        <f t="shared" si="29"/>
        <v>53500</v>
      </c>
      <c r="R91" s="13" t="str">
        <f t="shared" si="21"/>
        <v>шт</v>
      </c>
      <c r="S91" s="10" t="str">
        <f t="shared" si="30"/>
        <v>OK</v>
      </c>
      <c r="T91" s="10" t="str">
        <f t="shared" si="31"/>
        <v>уникален</v>
      </c>
    </row>
    <row r="92" ht="15" customHeight="1">
      <c r="A92" s="10">
        <v>90</v>
      </c>
      <c r="B92" s="11" t="str">
        <f>RAW_Товары!A91</f>
        <v>090-24</v>
      </c>
      <c r="C92" s="11" t="str">
        <f>RAW_Товары!B91</f>
        <v xml:space="preserve">Телевизор Xiaomi TV A2 (43")</v>
      </c>
      <c r="D92" s="11" t="str">
        <f>RAW_Товары!C91</f>
        <v>Телевизоры</v>
      </c>
      <c r="E92" s="11" t="str">
        <f>RAW_Товары!D91</f>
        <v>XIAOMI</v>
      </c>
      <c r="F92" s="11" t="str">
        <f>RAW_Товары!E91</f>
        <v xml:space="preserve">36 000</v>
      </c>
      <c r="G92" s="11" t="str">
        <f>RAW_Товары!F91</f>
        <v xml:space="preserve">56 500</v>
      </c>
      <c r="H92" s="11" t="str">
        <f>RAW_Товары!G91</f>
        <v>шт</v>
      </c>
      <c r="I92" s="12" t="str">
        <f t="shared" si="22"/>
        <v>090-24</v>
      </c>
      <c r="J92" s="12" t="str">
        <f t="shared" si="23"/>
        <v xml:space="preserve">Телевизор Xiaomi TV A2</v>
      </c>
      <c r="K92" s="12" t="str">
        <f t="shared" si="24"/>
        <v>Телевизоры</v>
      </c>
      <c r="L92" s="13" t="str">
        <f t="shared" si="25"/>
        <v>АРТ-090</v>
      </c>
      <c r="M92" s="13" t="str">
        <f t="shared" si="26"/>
        <v xml:space="preserve">Телевизор Xiaomi Tv A2</v>
      </c>
      <c r="N92" s="13" t="str">
        <f>IFERROR(VLOOKUP(K92,Справочники!$A$6:$B$16,2,0),"НЕТ В СПРАВОЧНИКЕ")</f>
        <v>Телевизоры</v>
      </c>
      <c r="O92" s="13" t="str">
        <f t="shared" si="27"/>
        <v>Xiaomi</v>
      </c>
      <c r="P92" s="14">
        <f t="shared" si="28"/>
        <v>36000</v>
      </c>
      <c r="Q92" s="14">
        <f t="shared" si="29"/>
        <v>56500</v>
      </c>
      <c r="R92" s="13" t="str">
        <f t="shared" si="21"/>
        <v>шт</v>
      </c>
      <c r="S92" s="10" t="str">
        <f t="shared" si="30"/>
        <v>OK</v>
      </c>
      <c r="T92" s="10" t="str">
        <f t="shared" si="31"/>
        <v>уникален</v>
      </c>
    </row>
    <row r="93" ht="15" customHeight="1">
      <c r="A93" s="10">
        <v>91</v>
      </c>
      <c r="B93" s="11" t="str">
        <f>RAW_Товары!A92</f>
        <v>№АРТ-091</v>
      </c>
      <c r="C93" s="11" t="str">
        <f>RAW_Товары!B92</f>
        <v xml:space="preserve">Наушники Anker Soundcore Q45</v>
      </c>
      <c r="D93" s="11" t="str">
        <f>RAW_Товары!C92</f>
        <v>Наушники</v>
      </c>
      <c r="E93" s="11" t="str">
        <f>RAW_Товары!D92</f>
        <v>Anker</v>
      </c>
      <c r="F93" s="11" t="str">
        <f>RAW_Товары!E92</f>
        <v xml:space="preserve">6 000</v>
      </c>
      <c r="G93" s="11" t="str">
        <f>RAW_Товары!F92</f>
        <v xml:space="preserve">9 990</v>
      </c>
      <c r="H93" s="11" t="str">
        <f>RAW_Товары!G92</f>
        <v>шт.</v>
      </c>
      <c r="I93" s="12" t="str">
        <f t="shared" si="22"/>
        <v>091</v>
      </c>
      <c r="J93" s="12" t="str">
        <f t="shared" si="23"/>
        <v xml:space="preserve">Наушники Anker Soundcore Q45</v>
      </c>
      <c r="K93" s="12" t="str">
        <f t="shared" si="24"/>
        <v>Наушники</v>
      </c>
      <c r="L93" s="13" t="str">
        <f t="shared" si="25"/>
        <v>АРТ-091</v>
      </c>
      <c r="M93" s="13" t="str">
        <f t="shared" si="26"/>
        <v xml:space="preserve">Наушники Anker Soundcore Q45</v>
      </c>
      <c r="N93" s="13" t="str">
        <f>IFERROR(VLOOKUP(K93,Справочники!$A$6:$B$16,2,0),"НЕТ В СПРАВОЧНИКЕ")</f>
        <v>Наушники</v>
      </c>
      <c r="O93" s="13" t="str">
        <f t="shared" si="27"/>
        <v>Anker</v>
      </c>
      <c r="P93" s="14">
        <f t="shared" si="28"/>
        <v>6000</v>
      </c>
      <c r="Q93" s="14">
        <f t="shared" si="29"/>
        <v>9990</v>
      </c>
      <c r="R93" s="13" t="str">
        <f t="shared" si="21"/>
        <v>шт</v>
      </c>
      <c r="S93" s="10" t="str">
        <f t="shared" si="30"/>
        <v>OK</v>
      </c>
      <c r="T93" s="10" t="str">
        <f t="shared" si="31"/>
        <v>уникален</v>
      </c>
    </row>
    <row r="94" ht="15" customHeight="1">
      <c r="A94" s="10">
        <v>92</v>
      </c>
      <c r="B94" s="11" t="str">
        <f>RAW_Товары!A93</f>
        <v>АРТ_092</v>
      </c>
      <c r="C94" s="11" t="str">
        <f>RAW_Товары!B93</f>
        <v xml:space="preserve">наушники ANKER SOUNDCORE Q45</v>
      </c>
      <c r="D94" s="11" t="str">
        <f>RAW_Товары!C93</f>
        <v>Наушники</v>
      </c>
      <c r="E94" s="11" t="str">
        <f>RAW_Товары!D93</f>
        <v>anker</v>
      </c>
      <c r="F94" s="11" t="str">
        <f>RAW_Товары!E93</f>
        <v xml:space="preserve">5 500</v>
      </c>
      <c r="G94" s="11" t="str">
        <f>RAW_Товары!F93</f>
        <v xml:space="preserve">9 200</v>
      </c>
      <c r="H94" s="11" t="str">
        <f>RAW_Товары!G93</f>
        <v>штуки</v>
      </c>
      <c r="I94" s="12" t="str">
        <f t="shared" si="22"/>
        <v>092</v>
      </c>
      <c r="J94" s="12" t="str">
        <f t="shared" si="23"/>
        <v xml:space="preserve">наушники ANKER SOUNDCORE Q45</v>
      </c>
      <c r="K94" s="12" t="str">
        <f t="shared" si="24"/>
        <v>Наушники</v>
      </c>
      <c r="L94" s="13" t="str">
        <f t="shared" si="25"/>
        <v>АРТ-092</v>
      </c>
      <c r="M94" s="13" t="str">
        <f t="shared" si="26"/>
        <v xml:space="preserve">Наушники Anker Soundcore Q45</v>
      </c>
      <c r="N94" s="13" t="str">
        <f>IFERROR(VLOOKUP(K94,Справочники!$A$6:$B$16,2,0),"НЕТ В СПРАВОЧНИКЕ")</f>
        <v>Наушники</v>
      </c>
      <c r="O94" s="13" t="str">
        <f t="shared" si="27"/>
        <v>Anker</v>
      </c>
      <c r="P94" s="14">
        <f t="shared" si="28"/>
        <v>5500</v>
      </c>
      <c r="Q94" s="14">
        <f t="shared" si="29"/>
        <v>9200</v>
      </c>
      <c r="R94" s="13" t="str">
        <f t="shared" si="21"/>
        <v>шт</v>
      </c>
      <c r="S94" s="10" t="str">
        <f t="shared" si="30"/>
        <v>OK</v>
      </c>
      <c r="T94" s="10" t="str">
        <f t="shared" si="31"/>
        <v>уникален</v>
      </c>
    </row>
    <row r="95" ht="15" customHeight="1">
      <c r="A95" s="10">
        <v>93</v>
      </c>
      <c r="B95" s="11" t="str">
        <f>RAW_Товары!A94</f>
        <v>093/24</v>
      </c>
      <c r="C95" s="11" t="str">
        <f>RAW_Товары!B94</f>
        <v xml:space="preserve">Наушники Anker Soundcore Q45 (Черные)</v>
      </c>
      <c r="D95" s="11" t="str">
        <f>RAW_Товары!C94</f>
        <v>Наушники</v>
      </c>
      <c r="E95" s="11" t="str">
        <f>RAW_Товары!D94</f>
        <v>ANKER</v>
      </c>
      <c r="F95" s="11" t="str">
        <f>RAW_Товары!E94</f>
        <v xml:space="preserve">6 500</v>
      </c>
      <c r="G95" s="11" t="str">
        <f>RAW_Товары!F94</f>
        <v xml:space="preserve">10 500</v>
      </c>
      <c r="H95" s="11" t="str">
        <f>RAW_Товары!G94</f>
        <v>шт</v>
      </c>
      <c r="I95" s="12" t="str">
        <f t="shared" si="22"/>
        <v>093/24</v>
      </c>
      <c r="J95" s="12" t="str">
        <f t="shared" si="23"/>
        <v xml:space="preserve">Наушники Anker Soundcore Q45</v>
      </c>
      <c r="K95" s="12" t="str">
        <f t="shared" si="24"/>
        <v>Наушники</v>
      </c>
      <c r="L95" s="13" t="str">
        <f t="shared" si="25"/>
        <v>АРТ-093</v>
      </c>
      <c r="M95" s="13" t="str">
        <f t="shared" si="26"/>
        <v xml:space="preserve">Наушники Anker Soundcore Q45</v>
      </c>
      <c r="N95" s="13" t="str">
        <f>IFERROR(VLOOKUP(K95,Справочники!$A$6:$B$16,2,0),"НЕТ В СПРАВОЧНИКЕ")</f>
        <v>Наушники</v>
      </c>
      <c r="O95" s="13" t="str">
        <f t="shared" si="27"/>
        <v>Anker</v>
      </c>
      <c r="P95" s="14">
        <f t="shared" si="28"/>
        <v>6500</v>
      </c>
      <c r="Q95" s="14">
        <f t="shared" si="29"/>
        <v>10500</v>
      </c>
      <c r="R95" s="13" t="str">
        <f t="shared" si="21"/>
        <v>шт</v>
      </c>
      <c r="S95" s="10" t="str">
        <f t="shared" si="30"/>
        <v>OK</v>
      </c>
      <c r="T95" s="10" t="str">
        <f t="shared" si="31"/>
        <v>уникален</v>
      </c>
    </row>
    <row r="96" ht="15" customHeight="1">
      <c r="A96" s="10">
        <v>94</v>
      </c>
      <c r="B96" s="11" t="str">
        <f>RAW_Товары!A95</f>
        <v>№АРТ-094</v>
      </c>
      <c r="C96" s="11" t="str">
        <f>RAW_Товары!B95</f>
        <v xml:space="preserve">Монитор Dell UltraSharp U3223QE</v>
      </c>
      <c r="D96" s="11" t="str">
        <f>RAW_Товары!C95</f>
        <v>Мониторы</v>
      </c>
      <c r="E96" s="11" t="str">
        <f>RAW_Товары!D95</f>
        <v>Dell</v>
      </c>
      <c r="F96" s="11" t="str">
        <f>RAW_Товары!E95</f>
        <v xml:space="preserve">62 000</v>
      </c>
      <c r="G96" s="11" t="str">
        <f>RAW_Товары!F95</f>
        <v xml:space="preserve">94 900</v>
      </c>
      <c r="H96" s="11" t="str">
        <f>RAW_Товары!G95</f>
        <v>шт.</v>
      </c>
      <c r="I96" s="12" t="str">
        <f t="shared" si="22"/>
        <v>094</v>
      </c>
      <c r="J96" s="12" t="str">
        <f t="shared" si="23"/>
        <v xml:space="preserve">Монитор Dell UltraSharp U3223QE</v>
      </c>
      <c r="K96" s="12" t="str">
        <f t="shared" si="24"/>
        <v>Мониторы</v>
      </c>
      <c r="L96" s="13" t="str">
        <f t="shared" si="25"/>
        <v>АРТ-094</v>
      </c>
      <c r="M96" s="13" t="str">
        <f t="shared" si="26"/>
        <v xml:space="preserve">Монитор Dell Ultrasharp U3223Qe</v>
      </c>
      <c r="N96" s="13" t="str">
        <f>IFERROR(VLOOKUP(K96,Справочники!$A$6:$B$16,2,0),"НЕТ В СПРАВОЧНИКЕ")</f>
        <v>Мониторы</v>
      </c>
      <c r="O96" s="13" t="str">
        <f t="shared" si="27"/>
        <v>Dell</v>
      </c>
      <c r="P96" s="14">
        <f t="shared" si="28"/>
        <v>62000</v>
      </c>
      <c r="Q96" s="14">
        <f t="shared" si="29"/>
        <v>94900</v>
      </c>
      <c r="R96" s="13" t="str">
        <f t="shared" si="21"/>
        <v>шт</v>
      </c>
      <c r="S96" s="10" t="str">
        <f t="shared" si="30"/>
        <v>OK</v>
      </c>
      <c r="T96" s="10" t="str">
        <f t="shared" si="31"/>
        <v>уникален</v>
      </c>
    </row>
    <row r="97" ht="15" customHeight="1">
      <c r="A97" s="10">
        <v>95</v>
      </c>
      <c r="B97" s="11" t="str">
        <f>RAW_Товары!A96</f>
        <v>АРТ_095</v>
      </c>
      <c r="C97" s="11" t="str">
        <f>RAW_Товары!B96</f>
        <v xml:space="preserve">монитор DELL ULTRASHARP U3223QE</v>
      </c>
      <c r="D97" s="11" t="str">
        <f>RAW_Товары!C96</f>
        <v>Мониторы</v>
      </c>
      <c r="E97" s="11" t="str">
        <f>RAW_Товары!D96</f>
        <v>dell</v>
      </c>
      <c r="F97" s="11" t="str">
        <f>RAW_Товары!E96</f>
        <v xml:space="preserve">60 500</v>
      </c>
      <c r="G97" s="11" t="str">
        <f>RAW_Товары!F96</f>
        <v xml:space="preserve">92 000</v>
      </c>
      <c r="H97" s="11" t="str">
        <f>RAW_Товары!G96</f>
        <v>штука</v>
      </c>
      <c r="I97" s="12" t="str">
        <f t="shared" si="22"/>
        <v>095</v>
      </c>
      <c r="J97" s="12" t="str">
        <f t="shared" si="23"/>
        <v xml:space="preserve">монитор DELL ULTRASHARP U3223QE</v>
      </c>
      <c r="K97" s="12" t="str">
        <f t="shared" si="24"/>
        <v>Мониторы</v>
      </c>
      <c r="L97" s="13" t="str">
        <f t="shared" si="25"/>
        <v>АРТ-095</v>
      </c>
      <c r="M97" s="13" t="str">
        <f t="shared" si="26"/>
        <v xml:space="preserve">Монитор Dell Ultrasharp U3223Qe</v>
      </c>
      <c r="N97" s="13" t="str">
        <f>IFERROR(VLOOKUP(K97,Справочники!$A$6:$B$16,2,0),"НЕТ В СПРАВОЧНИКЕ")</f>
        <v>Мониторы</v>
      </c>
      <c r="O97" s="13" t="str">
        <f t="shared" si="27"/>
        <v>Dell</v>
      </c>
      <c r="P97" s="14">
        <f t="shared" si="28"/>
        <v>60500</v>
      </c>
      <c r="Q97" s="14">
        <f t="shared" si="29"/>
        <v>92000</v>
      </c>
      <c r="R97" s="13" t="str">
        <f t="shared" si="21"/>
        <v>шт</v>
      </c>
      <c r="S97" s="10" t="str">
        <f t="shared" si="30"/>
        <v>OK</v>
      </c>
      <c r="T97" s="10" t="str">
        <f t="shared" si="31"/>
        <v>уникален</v>
      </c>
    </row>
    <row r="98" ht="15" customHeight="1">
      <c r="A98" s="10">
        <v>96</v>
      </c>
      <c r="B98" s="11" t="str">
        <f>RAW_Товары!A97</f>
        <v>096-24</v>
      </c>
      <c r="C98" s="11" t="str">
        <f>RAW_Товары!B97</f>
        <v xml:space="preserve">Монитор Dell UltraSharp U3223QE (4K)</v>
      </c>
      <c r="D98" s="11" t="str">
        <f>RAW_Товары!C97</f>
        <v>Мониторы</v>
      </c>
      <c r="E98" s="11" t="str">
        <f>RAW_Товары!D97</f>
        <v>DELL</v>
      </c>
      <c r="F98" s="11" t="str">
        <f>RAW_Товары!E97</f>
        <v xml:space="preserve">63 500</v>
      </c>
      <c r="G98" s="11" t="str">
        <f>RAW_Товары!F97</f>
        <v xml:space="preserve">97 000</v>
      </c>
      <c r="H98" s="11" t="str">
        <f>RAW_Товары!G97</f>
        <v>шт</v>
      </c>
      <c r="I98" s="12" t="str">
        <f t="shared" si="22"/>
        <v>096-24</v>
      </c>
      <c r="J98" s="12" t="str">
        <f t="shared" si="23"/>
        <v xml:space="preserve">Монитор Dell UltraSharp U3223QE</v>
      </c>
      <c r="K98" s="12" t="str">
        <f t="shared" si="24"/>
        <v>Мониторы</v>
      </c>
      <c r="L98" s="13" t="str">
        <f t="shared" si="25"/>
        <v>АРТ-096</v>
      </c>
      <c r="M98" s="13" t="str">
        <f t="shared" si="26"/>
        <v xml:space="preserve">Монитор Dell Ultrasharp U3223Qe</v>
      </c>
      <c r="N98" s="13" t="str">
        <f>IFERROR(VLOOKUP(K98,Справочники!$A$6:$B$16,2,0),"НЕТ В СПРАВОЧНИКЕ")</f>
        <v>Мониторы</v>
      </c>
      <c r="O98" s="13" t="str">
        <f t="shared" si="27"/>
        <v>Dell</v>
      </c>
      <c r="P98" s="14">
        <f t="shared" si="28"/>
        <v>63500</v>
      </c>
      <c r="Q98" s="14">
        <f t="shared" si="29"/>
        <v>97000</v>
      </c>
      <c r="R98" s="13" t="str">
        <f t="shared" si="21"/>
        <v>шт</v>
      </c>
      <c r="S98" s="10" t="str">
        <f t="shared" si="30"/>
        <v>OK</v>
      </c>
      <c r="T98" s="10" t="str">
        <f t="shared" si="31"/>
        <v>уникален</v>
      </c>
    </row>
    <row r="99" ht="15" customHeight="1">
      <c r="A99" s="10">
        <v>97</v>
      </c>
      <c r="B99" s="11" t="str">
        <f>RAW_Товары!A98</f>
        <v>№АРТ-097</v>
      </c>
      <c r="C99" s="11" t="str">
        <f>RAW_Товары!B98</f>
        <v xml:space="preserve">Мышь Razer DeathAdder V3</v>
      </c>
      <c r="D99" s="11" t="str">
        <f>RAW_Товары!C98</f>
        <v>Аксессуары</v>
      </c>
      <c r="E99" s="11" t="str">
        <f>RAW_Товары!D98</f>
        <v>Razer</v>
      </c>
      <c r="F99" s="11" t="str">
        <f>RAW_Товары!E98</f>
        <v xml:space="preserve">3 500</v>
      </c>
      <c r="G99" s="11" t="str">
        <f>RAW_Товары!F98</f>
        <v xml:space="preserve">6 990</v>
      </c>
      <c r="H99" s="11" t="str">
        <f>RAW_Товары!G98</f>
        <v>шт.</v>
      </c>
      <c r="I99" s="12" t="str">
        <f t="shared" si="22"/>
        <v>097</v>
      </c>
      <c r="J99" s="12" t="str">
        <f t="shared" si="23"/>
        <v xml:space="preserve">Мышь Razer DeathAdder V3</v>
      </c>
      <c r="K99" s="12" t="str">
        <f t="shared" si="24"/>
        <v>Аксессуары</v>
      </c>
      <c r="L99" s="13" t="str">
        <f t="shared" si="25"/>
        <v>АРТ-097</v>
      </c>
      <c r="M99" s="13" t="str">
        <f t="shared" si="26"/>
        <v xml:space="preserve">Мышь Razer Deathadder V3</v>
      </c>
      <c r="N99" s="13" t="str">
        <f>IFERROR(VLOOKUP(K99,Справочники!$A$6:$B$16,2,0),"НЕТ В СПРАВОЧНИКЕ")</f>
        <v>Аксессуары</v>
      </c>
      <c r="O99" s="13" t="str">
        <f t="shared" si="27"/>
        <v>Razer</v>
      </c>
      <c r="P99" s="14">
        <f t="shared" si="28"/>
        <v>3500</v>
      </c>
      <c r="Q99" s="14">
        <f t="shared" si="29"/>
        <v>6990</v>
      </c>
      <c r="R99" s="13" t="str">
        <f t="shared" si="21"/>
        <v>шт</v>
      </c>
      <c r="S99" s="10" t="str">
        <f t="shared" si="30"/>
        <v>OK</v>
      </c>
      <c r="T99" s="10" t="str">
        <f t="shared" si="31"/>
        <v>уникален</v>
      </c>
    </row>
    <row r="100" ht="15" customHeight="1">
      <c r="A100" s="10">
        <v>98</v>
      </c>
      <c r="B100" s="11" t="str">
        <f>RAW_Товары!A99</f>
        <v>АРТ_098</v>
      </c>
      <c r="C100" s="11" t="str">
        <f>RAW_Товары!B99</f>
        <v xml:space="preserve">мышь RAZER DEATHADDER V3</v>
      </c>
      <c r="D100" s="11" t="str">
        <f>RAW_Товары!C99</f>
        <v>Аксессуары</v>
      </c>
      <c r="E100" s="11" t="str">
        <f>RAW_Товары!D99</f>
        <v>razer</v>
      </c>
      <c r="F100" s="11" t="str">
        <f>RAW_Товары!E99</f>
        <v xml:space="preserve">3 200</v>
      </c>
      <c r="G100" s="11" t="str">
        <f>RAW_Товары!F99</f>
        <v xml:space="preserve">6 500</v>
      </c>
      <c r="H100" s="11" t="str">
        <f>RAW_Товары!G99</f>
        <v>штуки</v>
      </c>
      <c r="I100" s="12" t="str">
        <f t="shared" ref="I100:I163" si="32">SUBSTITUTE(SUBSTITUTE(B100,"№АРТ-",""),"АРТ_","")</f>
        <v>098</v>
      </c>
      <c r="J100" s="12" t="str">
        <f t="shared" ref="J100:J163" si="33">TRIM(LEFT(C100,IFERROR(FIND("(",C100)-1,LEN(C100))))</f>
        <v xml:space="preserve">мышь RAZER DEATHADDER V3</v>
      </c>
      <c r="K100" s="12" t="str">
        <f t="shared" ref="K100:K163" si="34">TRIM(D100)</f>
        <v>Аксессуары</v>
      </c>
      <c r="L100" s="13" t="str">
        <f t="shared" ref="L100:L163" si="35">"АРТ-"&amp;LEFT(I100,3)</f>
        <v>АРТ-098</v>
      </c>
      <c r="M100" s="13" t="str">
        <f t="shared" ref="M100:M163" si="36">PROPER(TRIM(J100))</f>
        <v xml:space="preserve">Мышь Razer Deathadder V3</v>
      </c>
      <c r="N100" s="13" t="str">
        <f>IFERROR(VLOOKUP(K100,Справочники!$A$6:$B$16,2,0),"НЕТ В СПРАВОЧНИКЕ")</f>
        <v>Аксессуары</v>
      </c>
      <c r="O100" s="13" t="str">
        <f t="shared" ref="O100:O163" si="37">PROPER(TRIM(E100))</f>
        <v>Razer</v>
      </c>
      <c r="P100" s="14">
        <f t="shared" ref="P100:P163" si="38">ROUND(VALUE(SUBSTITUTE(SUBSTITUTE(F100," ",""),",",".")),2)</f>
        <v>3200</v>
      </c>
      <c r="Q100" s="14">
        <f t="shared" ref="Q100:Q163" si="39">ROUND(VALUE(SUBSTITUTE(SUBSTITUTE(G100," ",""),",",".")),2)</f>
        <v>6500</v>
      </c>
      <c r="R100" s="13" t="str">
        <f t="shared" si="21"/>
        <v>шт</v>
      </c>
      <c r="S100" s="10" t="str">
        <f t="shared" ref="S100:S163" si="40">IF(Q100&gt;=P100,"OK","ОШИБКА: розница &lt; закупки")</f>
        <v>OK</v>
      </c>
      <c r="T100" s="10" t="str">
        <f t="shared" ref="T100:T163" si="41">IF(COUNTIF($L$3:$L$503,L100)=1,"уникален","ДУБЛЬ")</f>
        <v>уникален</v>
      </c>
    </row>
    <row r="101" ht="15" customHeight="1">
      <c r="A101" s="10">
        <v>99</v>
      </c>
      <c r="B101" s="11" t="str">
        <f>RAW_Товары!A100</f>
        <v>099/24</v>
      </c>
      <c r="C101" s="11" t="str">
        <f>RAW_Товары!B100</f>
        <v xml:space="preserve">Мышь Razer DeathAdder V3 (Pro)</v>
      </c>
      <c r="D101" s="11" t="str">
        <f>RAW_Товары!C100</f>
        <v>Аксессуары</v>
      </c>
      <c r="E101" s="11" t="str">
        <f>RAW_Товары!D100</f>
        <v>RAZER</v>
      </c>
      <c r="F101" s="11" t="str">
        <f>RAW_Товары!E100</f>
        <v xml:space="preserve">3 800</v>
      </c>
      <c r="G101" s="11" t="str">
        <f>RAW_Товары!F100</f>
        <v xml:space="preserve">7 500</v>
      </c>
      <c r="H101" s="11" t="str">
        <f>RAW_Товары!G100</f>
        <v>шт</v>
      </c>
      <c r="I101" s="12" t="str">
        <f t="shared" si="32"/>
        <v>099/24</v>
      </c>
      <c r="J101" s="12" t="str">
        <f t="shared" si="33"/>
        <v xml:space="preserve">Мышь Razer DeathAdder V3</v>
      </c>
      <c r="K101" s="12" t="str">
        <f t="shared" si="34"/>
        <v>Аксессуары</v>
      </c>
      <c r="L101" s="13" t="str">
        <f t="shared" si="35"/>
        <v>АРТ-099</v>
      </c>
      <c r="M101" s="13" t="str">
        <f t="shared" si="36"/>
        <v xml:space="preserve">Мышь Razer Deathadder V3</v>
      </c>
      <c r="N101" s="13" t="str">
        <f>IFERROR(VLOOKUP(K101,Справочники!$A$6:$B$16,2,0),"НЕТ В СПРАВОЧНИКЕ")</f>
        <v>Аксессуары</v>
      </c>
      <c r="O101" s="13" t="str">
        <f t="shared" si="37"/>
        <v>Razer</v>
      </c>
      <c r="P101" s="14">
        <f t="shared" si="38"/>
        <v>3800</v>
      </c>
      <c r="Q101" s="14">
        <f t="shared" si="39"/>
        <v>7500</v>
      </c>
      <c r="R101" s="13" t="str">
        <f t="shared" si="21"/>
        <v>шт</v>
      </c>
      <c r="S101" s="10" t="str">
        <f t="shared" si="40"/>
        <v>OK</v>
      </c>
      <c r="T101" s="10" t="str">
        <f t="shared" si="41"/>
        <v>уникален</v>
      </c>
    </row>
    <row r="102" ht="15" customHeight="1">
      <c r="A102" s="10">
        <v>100</v>
      </c>
      <c r="B102" s="11" t="str">
        <f>RAW_Товары!A101</f>
        <v>№АРТ-100</v>
      </c>
      <c r="C102" s="11" t="str">
        <f>RAW_Товары!B101</f>
        <v xml:space="preserve">Планшет Apple iPad Mini</v>
      </c>
      <c r="D102" s="11" t="str">
        <f>RAW_Товары!C101</f>
        <v>Планшеты</v>
      </c>
      <c r="E102" s="11" t="str">
        <f>RAW_Товары!D101</f>
        <v>Apple</v>
      </c>
      <c r="F102" s="11" t="str">
        <f>RAW_Товары!E101</f>
        <v xml:space="preserve">35 000</v>
      </c>
      <c r="G102" s="11" t="str">
        <f>RAW_Товары!F101</f>
        <v xml:space="preserve">56 990</v>
      </c>
      <c r="H102" s="11" t="str">
        <f>RAW_Товары!G101</f>
        <v>шт.</v>
      </c>
      <c r="I102" s="12" t="str">
        <f t="shared" si="32"/>
        <v>100</v>
      </c>
      <c r="J102" s="12" t="str">
        <f t="shared" si="33"/>
        <v xml:space="preserve">Планшет Apple iPad Mini</v>
      </c>
      <c r="K102" s="12" t="str">
        <f t="shared" si="34"/>
        <v>Планшеты</v>
      </c>
      <c r="L102" s="13" t="str">
        <f t="shared" si="35"/>
        <v>АРТ-100</v>
      </c>
      <c r="M102" s="13" t="str">
        <f t="shared" si="36"/>
        <v xml:space="preserve">Планшет Apple Ipad Mini</v>
      </c>
      <c r="N102" s="13" t="str">
        <f>IFERROR(VLOOKUP(K102,Справочники!$A$6:$B$16,2,0),"НЕТ В СПРАВОЧНИКЕ")</f>
        <v>Планшеты</v>
      </c>
      <c r="O102" s="13" t="str">
        <f t="shared" si="37"/>
        <v>Apple</v>
      </c>
      <c r="P102" s="14">
        <f t="shared" si="38"/>
        <v>35000</v>
      </c>
      <c r="Q102" s="14">
        <f t="shared" si="39"/>
        <v>56990</v>
      </c>
      <c r="R102" s="13" t="str">
        <f t="shared" si="21"/>
        <v>шт</v>
      </c>
      <c r="S102" s="10" t="str">
        <f t="shared" si="40"/>
        <v>OK</v>
      </c>
      <c r="T102" s="10" t="str">
        <f t="shared" si="41"/>
        <v>уникален</v>
      </c>
    </row>
    <row r="103" ht="15" customHeight="1">
      <c r="A103" s="10">
        <v>101</v>
      </c>
      <c r="B103" s="11" t="str">
        <f>RAW_Товары!A102</f>
        <v>АРТ_101</v>
      </c>
      <c r="C103" s="11" t="str">
        <f>RAW_Товары!B102</f>
        <v xml:space="preserve">планшет APPLE IPAD MINI</v>
      </c>
      <c r="D103" s="11" t="str">
        <f>RAW_Товары!C102</f>
        <v>Планшеты</v>
      </c>
      <c r="E103" s="11" t="str">
        <f>RAW_Товары!D102</f>
        <v>apple</v>
      </c>
      <c r="F103" s="11" t="str">
        <f>RAW_Товары!E102</f>
        <v xml:space="preserve">34 000</v>
      </c>
      <c r="G103" s="11" t="str">
        <f>RAW_Товары!F102</f>
        <v xml:space="preserve">55 500</v>
      </c>
      <c r="H103" s="11" t="str">
        <f>RAW_Товары!G102</f>
        <v>штука</v>
      </c>
      <c r="I103" s="12" t="str">
        <f t="shared" si="32"/>
        <v>101</v>
      </c>
      <c r="J103" s="12" t="str">
        <f t="shared" si="33"/>
        <v xml:space="preserve">планшет APPLE IPAD MINI</v>
      </c>
      <c r="K103" s="12" t="str">
        <f t="shared" si="34"/>
        <v>Планшеты</v>
      </c>
      <c r="L103" s="13" t="str">
        <f t="shared" si="35"/>
        <v>АРТ-101</v>
      </c>
      <c r="M103" s="13" t="str">
        <f t="shared" si="36"/>
        <v xml:space="preserve">Планшет Apple Ipad Mini</v>
      </c>
      <c r="N103" s="13" t="str">
        <f>IFERROR(VLOOKUP(K103,Справочники!$A$6:$B$16,2,0),"НЕТ В СПРАВОЧНИКЕ")</f>
        <v>Планшеты</v>
      </c>
      <c r="O103" s="13" t="str">
        <f t="shared" si="37"/>
        <v>Apple</v>
      </c>
      <c r="P103" s="14">
        <f t="shared" si="38"/>
        <v>34000</v>
      </c>
      <c r="Q103" s="14">
        <f t="shared" si="39"/>
        <v>55500</v>
      </c>
      <c r="R103" s="13" t="str">
        <f t="shared" si="21"/>
        <v>шт</v>
      </c>
      <c r="S103" s="10" t="str">
        <f t="shared" si="40"/>
        <v>OK</v>
      </c>
      <c r="T103" s="10" t="str">
        <f t="shared" si="41"/>
        <v>уникален</v>
      </c>
    </row>
    <row r="104" ht="15" customHeight="1">
      <c r="A104" s="10">
        <v>102</v>
      </c>
      <c r="B104" s="11" t="str">
        <f>RAW_Товары!A103</f>
        <v>102-24</v>
      </c>
      <c r="C104" s="11" t="str">
        <f>RAW_Товары!B103</f>
        <v xml:space="preserve">Планшет Apple iPad Mini (Wi-Fi)</v>
      </c>
      <c r="D104" s="11" t="str">
        <f>RAW_Товары!C103</f>
        <v>Планшеты</v>
      </c>
      <c r="E104" s="11" t="str">
        <f>RAW_Товары!D103</f>
        <v>APPLE</v>
      </c>
      <c r="F104" s="11" t="str">
        <f>RAW_Товары!E103</f>
        <v xml:space="preserve">36 000</v>
      </c>
      <c r="G104" s="11" t="str">
        <f>RAW_Товары!F103</f>
        <v xml:space="preserve">58 500</v>
      </c>
      <c r="H104" s="11" t="str">
        <f>RAW_Товары!G103</f>
        <v>шт</v>
      </c>
      <c r="I104" s="12" t="str">
        <f t="shared" si="32"/>
        <v>102-24</v>
      </c>
      <c r="J104" s="12" t="str">
        <f t="shared" si="33"/>
        <v xml:space="preserve">Планшет Apple iPad Mini</v>
      </c>
      <c r="K104" s="12" t="str">
        <f t="shared" si="34"/>
        <v>Планшеты</v>
      </c>
      <c r="L104" s="13" t="str">
        <f t="shared" si="35"/>
        <v>АРТ-102</v>
      </c>
      <c r="M104" s="13" t="str">
        <f t="shared" si="36"/>
        <v xml:space="preserve">Планшет Apple Ipad Mini</v>
      </c>
      <c r="N104" s="13" t="str">
        <f>IFERROR(VLOOKUP(K104,Справочники!$A$6:$B$16,2,0),"НЕТ В СПРАВОЧНИКЕ")</f>
        <v>Планшеты</v>
      </c>
      <c r="O104" s="13" t="str">
        <f t="shared" si="37"/>
        <v>Apple</v>
      </c>
      <c r="P104" s="14">
        <f t="shared" si="38"/>
        <v>36000</v>
      </c>
      <c r="Q104" s="14">
        <f t="shared" si="39"/>
        <v>58500</v>
      </c>
      <c r="R104" s="13" t="str">
        <f t="shared" si="21"/>
        <v>шт</v>
      </c>
      <c r="S104" s="10" t="str">
        <f t="shared" si="40"/>
        <v>OK</v>
      </c>
      <c r="T104" s="10" t="str">
        <f t="shared" si="41"/>
        <v>уникален</v>
      </c>
    </row>
    <row r="105" ht="15" customHeight="1">
      <c r="A105" s="10">
        <v>103</v>
      </c>
      <c r="B105" s="11" t="str">
        <f>RAW_Товары!A104</f>
        <v>№АРТ-103</v>
      </c>
      <c r="C105" s="11" t="str">
        <f>RAW_Товары!B104</f>
        <v xml:space="preserve">Ноутбук MSI Stealth 16</v>
      </c>
      <c r="D105" s="11" t="str">
        <f>RAW_Товары!C104</f>
        <v>Ноутбуки</v>
      </c>
      <c r="E105" s="11" t="str">
        <f>RAW_Товары!D104</f>
        <v>MSI</v>
      </c>
      <c r="F105" s="11" t="str">
        <f>RAW_Товары!E104</f>
        <v xml:space="preserve">98 000</v>
      </c>
      <c r="G105" s="11" t="str">
        <f>RAW_Товары!F104</f>
        <v xml:space="preserve">149 990</v>
      </c>
      <c r="H105" s="11" t="str">
        <f>RAW_Товары!G104</f>
        <v>шт.</v>
      </c>
      <c r="I105" s="12" t="str">
        <f t="shared" si="32"/>
        <v>103</v>
      </c>
      <c r="J105" s="12" t="str">
        <f t="shared" si="33"/>
        <v xml:space="preserve">Ноутбук MSI Stealth 16</v>
      </c>
      <c r="K105" s="12" t="str">
        <f t="shared" si="34"/>
        <v>Ноутбуки</v>
      </c>
      <c r="L105" s="13" t="str">
        <f t="shared" si="35"/>
        <v>АРТ-103</v>
      </c>
      <c r="M105" s="13" t="str">
        <f t="shared" si="36"/>
        <v xml:space="preserve">Ноутбук Msi Stealth 16</v>
      </c>
      <c r="N105" s="13" t="str">
        <f>IFERROR(VLOOKUP(K105,Справочники!$A$6:$B$16,2,0),"НЕТ В СПРАВОЧНИКЕ")</f>
        <v>Ноутбуки</v>
      </c>
      <c r="O105" s="13" t="str">
        <f t="shared" si="37"/>
        <v>Msi</v>
      </c>
      <c r="P105" s="14">
        <f t="shared" si="38"/>
        <v>98000</v>
      </c>
      <c r="Q105" s="14">
        <f t="shared" si="39"/>
        <v>149990</v>
      </c>
      <c r="R105" s="13" t="str">
        <f t="shared" si="21"/>
        <v>шт</v>
      </c>
      <c r="S105" s="10" t="str">
        <f t="shared" si="40"/>
        <v>OK</v>
      </c>
      <c r="T105" s="10" t="str">
        <f t="shared" si="41"/>
        <v>уникален</v>
      </c>
    </row>
    <row r="106" ht="15" customHeight="1">
      <c r="A106" s="10">
        <v>104</v>
      </c>
      <c r="B106" s="11" t="str">
        <f>RAW_Товары!A105</f>
        <v>АРТ_104</v>
      </c>
      <c r="C106" s="11" t="str">
        <f>RAW_Товары!B105</f>
        <v xml:space="preserve">ноутбук MSI STEALTH 16</v>
      </c>
      <c r="D106" s="11" t="str">
        <f>RAW_Товары!C105</f>
        <v>Лэптопы</v>
      </c>
      <c r="E106" s="11" t="str">
        <f>RAW_Товары!D105</f>
        <v>msi</v>
      </c>
      <c r="F106" s="11" t="str">
        <f>RAW_Товары!E105</f>
        <v xml:space="preserve">96 000</v>
      </c>
      <c r="G106" s="11" t="str">
        <f>RAW_Товары!F105</f>
        <v xml:space="preserve">147 000</v>
      </c>
      <c r="H106" s="11" t="str">
        <f>RAW_Товары!G105</f>
        <v>штуки</v>
      </c>
      <c r="I106" s="12" t="str">
        <f t="shared" si="32"/>
        <v>104</v>
      </c>
      <c r="J106" s="12" t="str">
        <f t="shared" si="33"/>
        <v xml:space="preserve">ноутбук MSI STEALTH 16</v>
      </c>
      <c r="K106" s="12" t="str">
        <f t="shared" si="34"/>
        <v>Лэптопы</v>
      </c>
      <c r="L106" s="13" t="str">
        <f t="shared" si="35"/>
        <v>АРТ-104</v>
      </c>
      <c r="M106" s="13" t="str">
        <f t="shared" si="36"/>
        <v xml:space="preserve">Ноутбук Msi Stealth 16</v>
      </c>
      <c r="N106" s="13" t="str">
        <f>IFERROR(VLOOKUP(K106,Справочники!$A$6:$B$16,2,0),"НЕТ В СПРАВОЧНИКЕ")</f>
        <v>Ноутбуки</v>
      </c>
      <c r="O106" s="13" t="str">
        <f t="shared" si="37"/>
        <v>Msi</v>
      </c>
      <c r="P106" s="14">
        <f t="shared" si="38"/>
        <v>96000</v>
      </c>
      <c r="Q106" s="14">
        <f t="shared" si="39"/>
        <v>147000</v>
      </c>
      <c r="R106" s="13" t="str">
        <f t="shared" si="21"/>
        <v>шт</v>
      </c>
      <c r="S106" s="10" t="str">
        <f t="shared" si="40"/>
        <v>OK</v>
      </c>
      <c r="T106" s="10" t="str">
        <f t="shared" si="41"/>
        <v>уникален</v>
      </c>
    </row>
    <row r="107" ht="15" customHeight="1">
      <c r="A107" s="10">
        <v>105</v>
      </c>
      <c r="B107" s="11" t="str">
        <f>RAW_Товары!A106</f>
        <v>105/24</v>
      </c>
      <c r="C107" s="11" t="str">
        <f>RAW_Товары!B106</f>
        <v xml:space="preserve">Ноутбук MSI Stealth 16 (Gaming)</v>
      </c>
      <c r="D107" s="11" t="str">
        <f>RAW_Товары!C106</f>
        <v>Ноутбуки</v>
      </c>
      <c r="E107" s="11" t="str">
        <f>RAW_Товары!D106</f>
        <v>MSI</v>
      </c>
      <c r="F107" s="11" t="str">
        <f>RAW_Товары!E106</f>
        <v xml:space="preserve">99 500</v>
      </c>
      <c r="G107" s="11" t="str">
        <f>RAW_Товары!F106</f>
        <v xml:space="preserve">152 000</v>
      </c>
      <c r="H107" s="11" t="str">
        <f>RAW_Товары!G106</f>
        <v>шт</v>
      </c>
      <c r="I107" s="12" t="str">
        <f t="shared" si="32"/>
        <v>105/24</v>
      </c>
      <c r="J107" s="12" t="str">
        <f t="shared" si="33"/>
        <v xml:space="preserve">Ноутбук MSI Stealth 16</v>
      </c>
      <c r="K107" s="12" t="str">
        <f t="shared" si="34"/>
        <v>Ноутбуки</v>
      </c>
      <c r="L107" s="13" t="str">
        <f t="shared" si="35"/>
        <v>АРТ-105</v>
      </c>
      <c r="M107" s="13" t="str">
        <f t="shared" si="36"/>
        <v xml:space="preserve">Ноутбук Msi Stealth 16</v>
      </c>
      <c r="N107" s="13" t="str">
        <f>IFERROR(VLOOKUP(K107,Справочники!$A$6:$B$16,2,0),"НЕТ В СПРАВОЧНИКЕ")</f>
        <v>Ноутбуки</v>
      </c>
      <c r="O107" s="13" t="str">
        <f t="shared" si="37"/>
        <v>Msi</v>
      </c>
      <c r="P107" s="14">
        <f t="shared" si="38"/>
        <v>99500</v>
      </c>
      <c r="Q107" s="14">
        <f t="shared" si="39"/>
        <v>152000</v>
      </c>
      <c r="R107" s="13" t="str">
        <f t="shared" si="21"/>
        <v>шт</v>
      </c>
      <c r="S107" s="10" t="str">
        <f t="shared" si="40"/>
        <v>OK</v>
      </c>
      <c r="T107" s="10" t="str">
        <f t="shared" si="41"/>
        <v>уникален</v>
      </c>
    </row>
    <row r="108" ht="15" customHeight="1">
      <c r="A108" s="10">
        <v>106</v>
      </c>
      <c r="B108" s="11" t="str">
        <f>RAW_Товары!A107</f>
        <v>№АРТ-106</v>
      </c>
      <c r="C108" s="11" t="str">
        <f>RAW_Товары!B107</f>
        <v xml:space="preserve">Смартфон Realme GT 3</v>
      </c>
      <c r="D108" s="11" t="str">
        <f>RAW_Товары!C107</f>
        <v>Смартфоны</v>
      </c>
      <c r="E108" s="11" t="str">
        <f>RAW_Товары!D107</f>
        <v>Realme</v>
      </c>
      <c r="F108" s="11" t="str">
        <f>RAW_Товары!E107</f>
        <v xml:space="preserve">28 000</v>
      </c>
      <c r="G108" s="11" t="str">
        <f>RAW_Товары!F107</f>
        <v xml:space="preserve">47 990</v>
      </c>
      <c r="H108" s="11" t="str">
        <f>RAW_Товары!G107</f>
        <v>шт.</v>
      </c>
      <c r="I108" s="12" t="str">
        <f t="shared" si="32"/>
        <v>106</v>
      </c>
      <c r="J108" s="12" t="str">
        <f t="shared" si="33"/>
        <v xml:space="preserve">Смартфон Realme GT 3</v>
      </c>
      <c r="K108" s="12" t="str">
        <f t="shared" si="34"/>
        <v>Смартфоны</v>
      </c>
      <c r="L108" s="13" t="str">
        <f t="shared" si="35"/>
        <v>АРТ-106</v>
      </c>
      <c r="M108" s="13" t="str">
        <f t="shared" si="36"/>
        <v xml:space="preserve">Смартфон Realme Gt 3</v>
      </c>
      <c r="N108" s="13" t="str">
        <f>IFERROR(VLOOKUP(K108,Справочники!$A$6:$B$16,2,0),"НЕТ В СПРАВОЧНИКЕ")</f>
        <v>Смартфоны</v>
      </c>
      <c r="O108" s="13" t="str">
        <f t="shared" si="37"/>
        <v>Realme</v>
      </c>
      <c r="P108" s="14">
        <f t="shared" si="38"/>
        <v>28000</v>
      </c>
      <c r="Q108" s="14">
        <f t="shared" si="39"/>
        <v>47990</v>
      </c>
      <c r="R108" s="13" t="str">
        <f t="shared" si="21"/>
        <v>шт</v>
      </c>
      <c r="S108" s="10" t="str">
        <f t="shared" si="40"/>
        <v>OK</v>
      </c>
      <c r="T108" s="10" t="str">
        <f t="shared" si="41"/>
        <v>уникален</v>
      </c>
    </row>
    <row r="109" ht="15" customHeight="1">
      <c r="A109" s="10">
        <v>107</v>
      </c>
      <c r="B109" s="11" t="str">
        <f>RAW_Товары!A108</f>
        <v>АРТ_107</v>
      </c>
      <c r="C109" s="11" t="str">
        <f>RAW_Товары!B108</f>
        <v xml:space="preserve">смартфон REALME GT 3</v>
      </c>
      <c r="D109" s="11" t="str">
        <f>RAW_Товары!C108</f>
        <v>Телефоны</v>
      </c>
      <c r="E109" s="11" t="str">
        <f>RAW_Товары!D108</f>
        <v>realme</v>
      </c>
      <c r="F109" s="11" t="str">
        <f>RAW_Товары!E108</f>
        <v xml:space="preserve">27 000</v>
      </c>
      <c r="G109" s="11" t="str">
        <f>RAW_Товары!F108</f>
        <v xml:space="preserve">46 500</v>
      </c>
      <c r="H109" s="11" t="str">
        <f>RAW_Товары!G108</f>
        <v>штука</v>
      </c>
      <c r="I109" s="12" t="str">
        <f t="shared" si="32"/>
        <v>107</v>
      </c>
      <c r="J109" s="12" t="str">
        <f t="shared" si="33"/>
        <v xml:space="preserve">смартфон REALME GT 3</v>
      </c>
      <c r="K109" s="12" t="str">
        <f t="shared" si="34"/>
        <v>Телефоны</v>
      </c>
      <c r="L109" s="13" t="str">
        <f t="shared" si="35"/>
        <v>АРТ-107</v>
      </c>
      <c r="M109" s="13" t="str">
        <f t="shared" si="36"/>
        <v xml:space="preserve">Смартфон Realme Gt 3</v>
      </c>
      <c r="N109" s="13" t="str">
        <f>IFERROR(VLOOKUP(K109,Справочники!$A$6:$B$16,2,0),"НЕТ В СПРАВОЧНИКЕ")</f>
        <v>Смартфоны</v>
      </c>
      <c r="O109" s="13" t="str">
        <f t="shared" si="37"/>
        <v>Realme</v>
      </c>
      <c r="P109" s="14">
        <f t="shared" si="38"/>
        <v>27000</v>
      </c>
      <c r="Q109" s="14">
        <f t="shared" si="39"/>
        <v>46500</v>
      </c>
      <c r="R109" s="13" t="str">
        <f t="shared" si="21"/>
        <v>шт</v>
      </c>
      <c r="S109" s="10" t="str">
        <f t="shared" si="40"/>
        <v>OK</v>
      </c>
      <c r="T109" s="10" t="str">
        <f t="shared" si="41"/>
        <v>уникален</v>
      </c>
    </row>
    <row r="110" ht="15" customHeight="1">
      <c r="A110" s="10">
        <v>108</v>
      </c>
      <c r="B110" s="11" t="str">
        <f>RAW_Товары!A109</f>
        <v>108-24</v>
      </c>
      <c r="C110" s="11" t="str">
        <f>RAW_Товары!B109</f>
        <v xml:space="preserve">Смартфон Realme GT 3 (White)</v>
      </c>
      <c r="D110" s="11" t="str">
        <f>RAW_Товары!C109</f>
        <v xml:space="preserve">Мобильные телефоны</v>
      </c>
      <c r="E110" s="11" t="str">
        <f>RAW_Товары!D109</f>
        <v>REALME</v>
      </c>
      <c r="F110" s="11" t="str">
        <f>RAW_Товары!E109</f>
        <v xml:space="preserve">29 000</v>
      </c>
      <c r="G110" s="11" t="str">
        <f>RAW_Товары!F109</f>
        <v xml:space="preserve">49 500</v>
      </c>
      <c r="H110" s="11" t="str">
        <f>RAW_Товары!G109</f>
        <v>шт</v>
      </c>
      <c r="I110" s="12" t="str">
        <f t="shared" si="32"/>
        <v>108-24</v>
      </c>
      <c r="J110" s="12" t="str">
        <f t="shared" si="33"/>
        <v xml:space="preserve">Смартфон Realme GT 3</v>
      </c>
      <c r="K110" s="12" t="str">
        <f t="shared" si="34"/>
        <v xml:space="preserve">Мобильные телефоны</v>
      </c>
      <c r="L110" s="13" t="str">
        <f t="shared" si="35"/>
        <v>АРТ-108</v>
      </c>
      <c r="M110" s="13" t="str">
        <f t="shared" si="36"/>
        <v xml:space="preserve">Смартфон Realme Gt 3</v>
      </c>
      <c r="N110" s="13" t="str">
        <f>IFERROR(VLOOKUP(K110,Справочники!$A$6:$B$16,2,0),"НЕТ В СПРАВОЧНИКЕ")</f>
        <v>Смартфоны</v>
      </c>
      <c r="O110" s="13" t="str">
        <f t="shared" si="37"/>
        <v>Realme</v>
      </c>
      <c r="P110" s="14">
        <f t="shared" si="38"/>
        <v>29000</v>
      </c>
      <c r="Q110" s="14">
        <f t="shared" si="39"/>
        <v>49500</v>
      </c>
      <c r="R110" s="13" t="str">
        <f t="shared" si="21"/>
        <v>шт</v>
      </c>
      <c r="S110" s="10" t="str">
        <f t="shared" si="40"/>
        <v>OK</v>
      </c>
      <c r="T110" s="10" t="str">
        <f t="shared" si="41"/>
        <v>уникален</v>
      </c>
    </row>
    <row r="111" ht="15" customHeight="1">
      <c r="A111" s="10">
        <v>109</v>
      </c>
      <c r="B111" s="11" t="str">
        <f>RAW_Товары!A110</f>
        <v>№АРТ-109</v>
      </c>
      <c r="C111" s="11" t="str">
        <f>RAW_Товары!B110</f>
        <v xml:space="preserve">Телевизор Hisense U8K</v>
      </c>
      <c r="D111" s="11" t="str">
        <f>RAW_Товары!C110</f>
        <v>Телевизоры</v>
      </c>
      <c r="E111" s="11" t="str">
        <f>RAW_Товары!D110</f>
        <v>Hisense</v>
      </c>
      <c r="F111" s="11" t="str">
        <f>RAW_Товары!E110</f>
        <v xml:space="preserve">78 000</v>
      </c>
      <c r="G111" s="11" t="str">
        <f>RAW_Товары!F110</f>
        <v xml:space="preserve">119 999</v>
      </c>
      <c r="H111" s="11" t="str">
        <f>RAW_Товары!G110</f>
        <v>шт.</v>
      </c>
      <c r="I111" s="12" t="str">
        <f t="shared" si="32"/>
        <v>109</v>
      </c>
      <c r="J111" s="12" t="str">
        <f t="shared" si="33"/>
        <v xml:space="preserve">Телевизор Hisense U8K</v>
      </c>
      <c r="K111" s="12" t="str">
        <f t="shared" si="34"/>
        <v>Телевизоры</v>
      </c>
      <c r="L111" s="13" t="str">
        <f t="shared" si="35"/>
        <v>АРТ-109</v>
      </c>
      <c r="M111" s="13" t="str">
        <f t="shared" si="36"/>
        <v xml:space="preserve">Телевизор Hisense U8K</v>
      </c>
      <c r="N111" s="13" t="str">
        <f>IFERROR(VLOOKUP(K111,Справочники!$A$6:$B$16,2,0),"НЕТ В СПРАВОЧНИКЕ")</f>
        <v>Телевизоры</v>
      </c>
      <c r="O111" s="13" t="str">
        <f t="shared" si="37"/>
        <v>Hisense</v>
      </c>
      <c r="P111" s="14">
        <f t="shared" si="38"/>
        <v>78000</v>
      </c>
      <c r="Q111" s="14">
        <f t="shared" si="39"/>
        <v>119999</v>
      </c>
      <c r="R111" s="13" t="str">
        <f t="shared" si="21"/>
        <v>шт</v>
      </c>
      <c r="S111" s="10" t="str">
        <f t="shared" si="40"/>
        <v>OK</v>
      </c>
      <c r="T111" s="10" t="str">
        <f t="shared" si="41"/>
        <v>уникален</v>
      </c>
    </row>
    <row r="112" ht="15" customHeight="1">
      <c r="A112" s="10">
        <v>110</v>
      </c>
      <c r="B112" s="11" t="str">
        <f>RAW_Товары!A111</f>
        <v>АРТ_110</v>
      </c>
      <c r="C112" s="11" t="str">
        <f>RAW_Товары!B111</f>
        <v xml:space="preserve">телевизор HISENSE U8K</v>
      </c>
      <c r="D112" s="11" t="str">
        <f>RAW_Товары!C111</f>
        <v>Телевизоры</v>
      </c>
      <c r="E112" s="11" t="str">
        <f>RAW_Товары!D111</f>
        <v>hisense</v>
      </c>
      <c r="F112" s="11" t="str">
        <f>RAW_Товары!E111</f>
        <v xml:space="preserve">76 000</v>
      </c>
      <c r="G112" s="11" t="str">
        <f>RAW_Товары!F111</f>
        <v xml:space="preserve">117 000</v>
      </c>
      <c r="H112" s="11" t="str">
        <f>RAW_Товары!G111</f>
        <v>штуки</v>
      </c>
      <c r="I112" s="12" t="str">
        <f t="shared" si="32"/>
        <v>110</v>
      </c>
      <c r="J112" s="12" t="str">
        <f t="shared" si="33"/>
        <v xml:space="preserve">телевизор HISENSE U8K</v>
      </c>
      <c r="K112" s="12" t="str">
        <f t="shared" si="34"/>
        <v>Телевизоры</v>
      </c>
      <c r="L112" s="13" t="str">
        <f t="shared" si="35"/>
        <v>АРТ-110</v>
      </c>
      <c r="M112" s="13" t="str">
        <f t="shared" si="36"/>
        <v xml:space="preserve">Телевизор Hisense U8K</v>
      </c>
      <c r="N112" s="13" t="str">
        <f>IFERROR(VLOOKUP(K112,Справочники!$A$6:$B$16,2,0),"НЕТ В СПРАВОЧНИКЕ")</f>
        <v>Телевизоры</v>
      </c>
      <c r="O112" s="13" t="str">
        <f t="shared" si="37"/>
        <v>Hisense</v>
      </c>
      <c r="P112" s="14">
        <f t="shared" si="38"/>
        <v>76000</v>
      </c>
      <c r="Q112" s="14">
        <f t="shared" si="39"/>
        <v>117000</v>
      </c>
      <c r="R112" s="13" t="str">
        <f t="shared" si="21"/>
        <v>шт</v>
      </c>
      <c r="S112" s="10" t="str">
        <f t="shared" si="40"/>
        <v>OK</v>
      </c>
      <c r="T112" s="10" t="str">
        <f t="shared" si="41"/>
        <v>уникален</v>
      </c>
    </row>
    <row r="113" ht="15" customHeight="1">
      <c r="A113" s="10">
        <v>111</v>
      </c>
      <c r="B113" s="11" t="str">
        <f>RAW_Товары!A112</f>
        <v>111/24</v>
      </c>
      <c r="C113" s="11" t="str">
        <f>RAW_Товары!B112</f>
        <v xml:space="preserve">Телевизор Hisense U8K (65")</v>
      </c>
      <c r="D113" s="11" t="str">
        <f>RAW_Товары!C112</f>
        <v>Телевизоры</v>
      </c>
      <c r="E113" s="11" t="str">
        <f>RAW_Товары!D112</f>
        <v>HISENSE</v>
      </c>
      <c r="F113" s="11" t="str">
        <f>RAW_Товары!E112</f>
        <v xml:space="preserve">79 500</v>
      </c>
      <c r="G113" s="11" t="str">
        <f>RAW_Товары!F112</f>
        <v xml:space="preserve">122 500</v>
      </c>
      <c r="H113" s="11" t="str">
        <f>RAW_Товары!G112</f>
        <v>шт</v>
      </c>
      <c r="I113" s="12" t="str">
        <f t="shared" si="32"/>
        <v>111/24</v>
      </c>
      <c r="J113" s="12" t="str">
        <f t="shared" si="33"/>
        <v xml:space="preserve">Телевизор Hisense U8K</v>
      </c>
      <c r="K113" s="12" t="str">
        <f t="shared" si="34"/>
        <v>Телевизоры</v>
      </c>
      <c r="L113" s="13" t="str">
        <f t="shared" si="35"/>
        <v>АРТ-111</v>
      </c>
      <c r="M113" s="13" t="str">
        <f t="shared" si="36"/>
        <v xml:space="preserve">Телевизор Hisense U8K</v>
      </c>
      <c r="N113" s="13" t="str">
        <f>IFERROR(VLOOKUP(K113,Справочники!$A$6:$B$16,2,0),"НЕТ В СПРАВОЧНИКЕ")</f>
        <v>Телевизоры</v>
      </c>
      <c r="O113" s="13" t="str">
        <f t="shared" si="37"/>
        <v>Hisense</v>
      </c>
      <c r="P113" s="14">
        <f t="shared" si="38"/>
        <v>79500</v>
      </c>
      <c r="Q113" s="14">
        <f t="shared" si="39"/>
        <v>122500</v>
      </c>
      <c r="R113" s="13" t="str">
        <f t="shared" si="21"/>
        <v>шт</v>
      </c>
      <c r="S113" s="10" t="str">
        <f t="shared" si="40"/>
        <v>OK</v>
      </c>
      <c r="T113" s="10" t="str">
        <f t="shared" si="41"/>
        <v>уникален</v>
      </c>
    </row>
    <row r="114" ht="15" customHeight="1">
      <c r="A114" s="10">
        <v>112</v>
      </c>
      <c r="B114" s="11" t="str">
        <f>RAW_Товары!A113</f>
        <v>№АРТ-112</v>
      </c>
      <c r="C114" s="11" t="str">
        <f>RAW_Товары!B113</f>
        <v xml:space="preserve">Наушники Sennheiser HD 660S</v>
      </c>
      <c r="D114" s="11" t="str">
        <f>RAW_Товары!C113</f>
        <v>Наушники</v>
      </c>
      <c r="E114" s="11" t="str">
        <f>RAW_Товары!D113</f>
        <v>Sennheiser</v>
      </c>
      <c r="F114" s="11" t="str">
        <f>RAW_Товары!E113</f>
        <v xml:space="preserve">22 000</v>
      </c>
      <c r="G114" s="11" t="str">
        <f>RAW_Товары!F113</f>
        <v xml:space="preserve">34 990</v>
      </c>
      <c r="H114" s="11" t="str">
        <f>RAW_Товары!G113</f>
        <v>шт.</v>
      </c>
      <c r="I114" s="12" t="str">
        <f t="shared" si="32"/>
        <v>112</v>
      </c>
      <c r="J114" s="12" t="str">
        <f t="shared" si="33"/>
        <v xml:space="preserve">Наушники Sennheiser HD 660S</v>
      </c>
      <c r="K114" s="12" t="str">
        <f t="shared" si="34"/>
        <v>Наушники</v>
      </c>
      <c r="L114" s="13" t="str">
        <f t="shared" si="35"/>
        <v>АРТ-112</v>
      </c>
      <c r="M114" s="13" t="str">
        <f t="shared" si="36"/>
        <v xml:space="preserve">Наушники Sennheiser Hd 660S</v>
      </c>
      <c r="N114" s="13" t="str">
        <f>IFERROR(VLOOKUP(K114,Справочники!$A$6:$B$16,2,0),"НЕТ В СПРАВОЧНИКЕ")</f>
        <v>Наушники</v>
      </c>
      <c r="O114" s="13" t="str">
        <f t="shared" si="37"/>
        <v>Sennheiser</v>
      </c>
      <c r="P114" s="14">
        <f t="shared" si="38"/>
        <v>22000</v>
      </c>
      <c r="Q114" s="14">
        <f t="shared" si="39"/>
        <v>34990</v>
      </c>
      <c r="R114" s="13" t="str">
        <f t="shared" si="21"/>
        <v>шт</v>
      </c>
      <c r="S114" s="10" t="str">
        <f t="shared" si="40"/>
        <v>OK</v>
      </c>
      <c r="T114" s="10" t="str">
        <f t="shared" si="41"/>
        <v>уникален</v>
      </c>
    </row>
    <row r="115" ht="15" customHeight="1">
      <c r="A115" s="10">
        <v>113</v>
      </c>
      <c r="B115" s="11" t="str">
        <f>RAW_Товары!A114</f>
        <v>АРТ_113</v>
      </c>
      <c r="C115" s="11" t="str">
        <f>RAW_Товары!B114</f>
        <v xml:space="preserve">наушники SENNHEISER HD 660S</v>
      </c>
      <c r="D115" s="11" t="str">
        <f>RAW_Товары!C114</f>
        <v>Наушники</v>
      </c>
      <c r="E115" s="11" t="str">
        <f>RAW_Товары!D114</f>
        <v>sennheiser</v>
      </c>
      <c r="F115" s="11" t="str">
        <f>RAW_Товары!E114</f>
        <v xml:space="preserve">21 000</v>
      </c>
      <c r="G115" s="11" t="str">
        <f>RAW_Товары!F114</f>
        <v xml:space="preserve">33 500</v>
      </c>
      <c r="H115" s="11" t="str">
        <f>RAW_Товары!G114</f>
        <v>штука</v>
      </c>
      <c r="I115" s="12" t="str">
        <f t="shared" si="32"/>
        <v>113</v>
      </c>
      <c r="J115" s="12" t="str">
        <f t="shared" si="33"/>
        <v xml:space="preserve">наушники SENNHEISER HD 660S</v>
      </c>
      <c r="K115" s="12" t="str">
        <f t="shared" si="34"/>
        <v>Наушники</v>
      </c>
      <c r="L115" s="13" t="str">
        <f t="shared" si="35"/>
        <v>АРТ-113</v>
      </c>
      <c r="M115" s="13" t="str">
        <f t="shared" si="36"/>
        <v xml:space="preserve">Наушники Sennheiser Hd 660S</v>
      </c>
      <c r="N115" s="13" t="str">
        <f>IFERROR(VLOOKUP(K115,Справочники!$A$6:$B$16,2,0),"НЕТ В СПРАВОЧНИКЕ")</f>
        <v>Наушники</v>
      </c>
      <c r="O115" s="13" t="str">
        <f t="shared" si="37"/>
        <v>Sennheiser</v>
      </c>
      <c r="P115" s="14">
        <f t="shared" si="38"/>
        <v>21000</v>
      </c>
      <c r="Q115" s="14">
        <f t="shared" si="39"/>
        <v>33500</v>
      </c>
      <c r="R115" s="13" t="str">
        <f t="shared" si="21"/>
        <v>шт</v>
      </c>
      <c r="S115" s="10" t="str">
        <f t="shared" si="40"/>
        <v>OK</v>
      </c>
      <c r="T115" s="10" t="str">
        <f t="shared" si="41"/>
        <v>уникален</v>
      </c>
    </row>
    <row r="116" ht="15" customHeight="1">
      <c r="A116" s="10">
        <v>114</v>
      </c>
      <c r="B116" s="11" t="str">
        <f>RAW_Товары!A115</f>
        <v>114-24</v>
      </c>
      <c r="C116" s="11" t="str">
        <f>RAW_Товары!B115</f>
        <v xml:space="preserve">Наушники Sennheiser HD 660S (Открытые)</v>
      </c>
      <c r="D116" s="11" t="str">
        <f>RAW_Товары!C115</f>
        <v>Наушники</v>
      </c>
      <c r="E116" s="11" t="str">
        <f>RAW_Товары!D115</f>
        <v>SENNHEISER</v>
      </c>
      <c r="F116" s="11" t="str">
        <f>RAW_Товары!E115</f>
        <v xml:space="preserve">23 000</v>
      </c>
      <c r="G116" s="11" t="str">
        <f>RAW_Товары!F115</f>
        <v xml:space="preserve">36 000</v>
      </c>
      <c r="H116" s="11" t="str">
        <f>RAW_Товары!G115</f>
        <v>шт</v>
      </c>
      <c r="I116" s="12" t="str">
        <f t="shared" si="32"/>
        <v>114-24</v>
      </c>
      <c r="J116" s="12" t="str">
        <f t="shared" si="33"/>
        <v xml:space="preserve">Наушники Sennheiser HD 660S</v>
      </c>
      <c r="K116" s="12" t="str">
        <f t="shared" si="34"/>
        <v>Наушники</v>
      </c>
      <c r="L116" s="13" t="str">
        <f t="shared" si="35"/>
        <v>АРТ-114</v>
      </c>
      <c r="M116" s="13" t="str">
        <f t="shared" si="36"/>
        <v xml:space="preserve">Наушники Sennheiser Hd 660S</v>
      </c>
      <c r="N116" s="13" t="str">
        <f>IFERROR(VLOOKUP(K116,Справочники!$A$6:$B$16,2,0),"НЕТ В СПРАВОЧНИКЕ")</f>
        <v>Наушники</v>
      </c>
      <c r="O116" s="13" t="str">
        <f t="shared" si="37"/>
        <v>Sennheiser</v>
      </c>
      <c r="P116" s="14">
        <f t="shared" si="38"/>
        <v>23000</v>
      </c>
      <c r="Q116" s="14">
        <f t="shared" si="39"/>
        <v>36000</v>
      </c>
      <c r="R116" s="13" t="str">
        <f t="shared" si="21"/>
        <v>шт</v>
      </c>
      <c r="S116" s="10" t="str">
        <f t="shared" si="40"/>
        <v>OK</v>
      </c>
      <c r="T116" s="10" t="str">
        <f t="shared" si="41"/>
        <v>уникален</v>
      </c>
    </row>
    <row r="117" ht="15" customHeight="1">
      <c r="A117" s="10">
        <v>115</v>
      </c>
      <c r="B117" s="11" t="str">
        <f>RAW_Товары!A116</f>
        <v>№АРТ-115</v>
      </c>
      <c r="C117" s="11" t="str">
        <f>RAW_Товары!B116</f>
        <v xml:space="preserve">Монитор ViewSonic VP2780</v>
      </c>
      <c r="D117" s="11" t="str">
        <f>RAW_Товары!C116</f>
        <v>Мониторы</v>
      </c>
      <c r="E117" s="11" t="str">
        <f>RAW_Товары!D116</f>
        <v>ViewSonic</v>
      </c>
      <c r="F117" s="11" t="str">
        <f>RAW_Товары!E116</f>
        <v xml:space="preserve">48 000</v>
      </c>
      <c r="G117" s="11" t="str">
        <f>RAW_Товары!F116</f>
        <v xml:space="preserve">74 900</v>
      </c>
      <c r="H117" s="11" t="str">
        <f>RAW_Товары!G116</f>
        <v>шт.</v>
      </c>
      <c r="I117" s="12" t="str">
        <f t="shared" si="32"/>
        <v>115</v>
      </c>
      <c r="J117" s="12" t="str">
        <f t="shared" si="33"/>
        <v xml:space="preserve">Монитор ViewSonic VP2780</v>
      </c>
      <c r="K117" s="12" t="str">
        <f t="shared" si="34"/>
        <v>Мониторы</v>
      </c>
      <c r="L117" s="13" t="str">
        <f t="shared" si="35"/>
        <v>АРТ-115</v>
      </c>
      <c r="M117" s="13" t="str">
        <f t="shared" si="36"/>
        <v xml:space="preserve">Монитор Viewsonic Vp2780</v>
      </c>
      <c r="N117" s="13" t="str">
        <f>IFERROR(VLOOKUP(K117,Справочники!$A$6:$B$16,2,0),"НЕТ В СПРАВОЧНИКЕ")</f>
        <v>Мониторы</v>
      </c>
      <c r="O117" s="13" t="str">
        <f t="shared" si="37"/>
        <v>Viewsonic</v>
      </c>
      <c r="P117" s="14">
        <f t="shared" si="38"/>
        <v>48000</v>
      </c>
      <c r="Q117" s="14">
        <f t="shared" si="39"/>
        <v>74900</v>
      </c>
      <c r="R117" s="13" t="str">
        <f t="shared" si="21"/>
        <v>шт</v>
      </c>
      <c r="S117" s="10" t="str">
        <f t="shared" si="40"/>
        <v>OK</v>
      </c>
      <c r="T117" s="10" t="str">
        <f t="shared" si="41"/>
        <v>уникален</v>
      </c>
    </row>
    <row r="118" ht="15" customHeight="1">
      <c r="A118" s="10">
        <v>116</v>
      </c>
      <c r="B118" s="11" t="str">
        <f>RAW_Товары!A117</f>
        <v>АРТ_116</v>
      </c>
      <c r="C118" s="11" t="str">
        <f>RAW_Товары!B117</f>
        <v xml:space="preserve">монитор VIEWSONIC VP2780</v>
      </c>
      <c r="D118" s="11" t="str">
        <f>RAW_Товары!C117</f>
        <v>Мониторы</v>
      </c>
      <c r="E118" s="11" t="str">
        <f>RAW_Товары!D117</f>
        <v>viewsonic</v>
      </c>
      <c r="F118" s="11" t="str">
        <f>RAW_Товары!E117</f>
        <v xml:space="preserve">46 500</v>
      </c>
      <c r="G118" s="11" t="str">
        <f>RAW_Товары!F117</f>
        <v xml:space="preserve">72 500</v>
      </c>
      <c r="H118" s="11" t="str">
        <f>RAW_Товары!G117</f>
        <v>штуки</v>
      </c>
      <c r="I118" s="12" t="str">
        <f t="shared" si="32"/>
        <v>116</v>
      </c>
      <c r="J118" s="12" t="str">
        <f t="shared" si="33"/>
        <v xml:space="preserve">монитор VIEWSONIC VP2780</v>
      </c>
      <c r="K118" s="12" t="str">
        <f t="shared" si="34"/>
        <v>Мониторы</v>
      </c>
      <c r="L118" s="13" t="str">
        <f t="shared" si="35"/>
        <v>АРТ-116</v>
      </c>
      <c r="M118" s="13" t="str">
        <f t="shared" si="36"/>
        <v xml:space="preserve">Монитор Viewsonic Vp2780</v>
      </c>
      <c r="N118" s="13" t="str">
        <f>IFERROR(VLOOKUP(K118,Справочники!$A$6:$B$16,2,0),"НЕТ В СПРАВОЧНИКЕ")</f>
        <v>Мониторы</v>
      </c>
      <c r="O118" s="13" t="str">
        <f t="shared" si="37"/>
        <v>Viewsonic</v>
      </c>
      <c r="P118" s="14">
        <f t="shared" si="38"/>
        <v>46500</v>
      </c>
      <c r="Q118" s="14">
        <f t="shared" si="39"/>
        <v>72500</v>
      </c>
      <c r="R118" s="13" t="str">
        <f t="shared" si="21"/>
        <v>шт</v>
      </c>
      <c r="S118" s="10" t="str">
        <f t="shared" si="40"/>
        <v>OK</v>
      </c>
      <c r="T118" s="10" t="str">
        <f t="shared" si="41"/>
        <v>уникален</v>
      </c>
    </row>
    <row r="119" ht="15" customHeight="1">
      <c r="A119" s="10">
        <v>117</v>
      </c>
      <c r="B119" s="11" t="str">
        <f>RAW_Товары!A118</f>
        <v>117/24</v>
      </c>
      <c r="C119" s="11" t="str">
        <f>RAW_Товары!B118</f>
        <v xml:space="preserve">Монитор ViewSonic VP2780 (Pro)</v>
      </c>
      <c r="D119" s="11" t="str">
        <f>RAW_Товары!C118</f>
        <v>Мониторы</v>
      </c>
      <c r="E119" s="11" t="str">
        <f>RAW_Товары!D118</f>
        <v>VIEWSONIC</v>
      </c>
      <c r="F119" s="11" t="str">
        <f>RAW_Товары!E118</f>
        <v xml:space="preserve">49 500</v>
      </c>
      <c r="G119" s="11" t="str">
        <f>RAW_Товары!F118</f>
        <v xml:space="preserve">77 000</v>
      </c>
      <c r="H119" s="11" t="str">
        <f>RAW_Товары!G118</f>
        <v>шт</v>
      </c>
      <c r="I119" s="12" t="str">
        <f t="shared" si="32"/>
        <v>117/24</v>
      </c>
      <c r="J119" s="12" t="str">
        <f t="shared" si="33"/>
        <v xml:space="preserve">Монитор ViewSonic VP2780</v>
      </c>
      <c r="K119" s="12" t="str">
        <f t="shared" si="34"/>
        <v>Мониторы</v>
      </c>
      <c r="L119" s="13" t="str">
        <f t="shared" si="35"/>
        <v>АРТ-117</v>
      </c>
      <c r="M119" s="13" t="str">
        <f t="shared" si="36"/>
        <v xml:space="preserve">Монитор Viewsonic Vp2780</v>
      </c>
      <c r="N119" s="13" t="str">
        <f>IFERROR(VLOOKUP(K119,Справочники!$A$6:$B$16,2,0),"НЕТ В СПРАВОЧНИКЕ")</f>
        <v>Мониторы</v>
      </c>
      <c r="O119" s="13" t="str">
        <f t="shared" si="37"/>
        <v>Viewsonic</v>
      </c>
      <c r="P119" s="14">
        <f t="shared" si="38"/>
        <v>49500</v>
      </c>
      <c r="Q119" s="14">
        <f t="shared" si="39"/>
        <v>77000</v>
      </c>
      <c r="R119" s="13" t="str">
        <f t="shared" si="21"/>
        <v>шт</v>
      </c>
      <c r="S119" s="10" t="str">
        <f t="shared" si="40"/>
        <v>OK</v>
      </c>
      <c r="T119" s="10" t="str">
        <f t="shared" si="41"/>
        <v>уникален</v>
      </c>
    </row>
    <row r="120" ht="15" customHeight="1">
      <c r="A120" s="10">
        <v>118</v>
      </c>
      <c r="B120" s="11" t="str">
        <f>RAW_Товары!A119</f>
        <v>№АРТ-118</v>
      </c>
      <c r="C120" s="11" t="str">
        <f>RAW_Товары!B119</f>
        <v xml:space="preserve">Клавиатура Keychron K8 Pro</v>
      </c>
      <c r="D120" s="11" t="str">
        <f>RAW_Товары!C119</f>
        <v>Аксессуары</v>
      </c>
      <c r="E120" s="11" t="str">
        <f>RAW_Товары!D119</f>
        <v>Keychron</v>
      </c>
      <c r="F120" s="11" t="str">
        <f>RAW_Товары!E119</f>
        <v xml:space="preserve">4 500</v>
      </c>
      <c r="G120" s="11" t="str">
        <f>RAW_Товары!F119</f>
        <v xml:space="preserve">7 990</v>
      </c>
      <c r="H120" s="11" t="str">
        <f>RAW_Товары!G119</f>
        <v>шт.</v>
      </c>
      <c r="I120" s="12" t="str">
        <f t="shared" si="32"/>
        <v>118</v>
      </c>
      <c r="J120" s="12" t="str">
        <f t="shared" si="33"/>
        <v xml:space="preserve">Клавиатура Keychron K8 Pro</v>
      </c>
      <c r="K120" s="12" t="str">
        <f t="shared" si="34"/>
        <v>Аксессуары</v>
      </c>
      <c r="L120" s="13" t="str">
        <f t="shared" si="35"/>
        <v>АРТ-118</v>
      </c>
      <c r="M120" s="13" t="str">
        <f t="shared" si="36"/>
        <v xml:space="preserve">Клавиатура Keychron K8 Pro</v>
      </c>
      <c r="N120" s="13" t="str">
        <f>IFERROR(VLOOKUP(K120,Справочники!$A$6:$B$16,2,0),"НЕТ В СПРАВОЧНИКЕ")</f>
        <v>Аксессуары</v>
      </c>
      <c r="O120" s="13" t="str">
        <f t="shared" si="37"/>
        <v>Keychron</v>
      </c>
      <c r="P120" s="14">
        <f t="shared" si="38"/>
        <v>4500</v>
      </c>
      <c r="Q120" s="14">
        <f t="shared" si="39"/>
        <v>7990</v>
      </c>
      <c r="R120" s="13" t="str">
        <f t="shared" si="21"/>
        <v>шт</v>
      </c>
      <c r="S120" s="10" t="str">
        <f t="shared" si="40"/>
        <v>OK</v>
      </c>
      <c r="T120" s="10" t="str">
        <f t="shared" si="41"/>
        <v>уникален</v>
      </c>
    </row>
    <row r="121" ht="15" customHeight="1">
      <c r="A121" s="10">
        <v>119</v>
      </c>
      <c r="B121" s="11" t="str">
        <f>RAW_Товары!A120</f>
        <v>АРТ_119</v>
      </c>
      <c r="C121" s="11" t="str">
        <f>RAW_Товары!B120</f>
        <v xml:space="preserve">клавиатура KEYCHRON K8 PRO</v>
      </c>
      <c r="D121" s="11" t="str">
        <f>RAW_Товары!C120</f>
        <v>Аксессуары</v>
      </c>
      <c r="E121" s="11" t="str">
        <f>RAW_Товары!D120</f>
        <v>keychron</v>
      </c>
      <c r="F121" s="11" t="str">
        <f>RAW_Товары!E120</f>
        <v xml:space="preserve">4 200</v>
      </c>
      <c r="G121" s="11" t="str">
        <f>RAW_Товары!F120</f>
        <v xml:space="preserve">7 500</v>
      </c>
      <c r="H121" s="11" t="str">
        <f>RAW_Товары!G120</f>
        <v>штука</v>
      </c>
      <c r="I121" s="12" t="str">
        <f t="shared" si="32"/>
        <v>119</v>
      </c>
      <c r="J121" s="12" t="str">
        <f t="shared" si="33"/>
        <v xml:space="preserve">клавиатура KEYCHRON K8 PRO</v>
      </c>
      <c r="K121" s="12" t="str">
        <f t="shared" si="34"/>
        <v>Аксессуары</v>
      </c>
      <c r="L121" s="13" t="str">
        <f t="shared" si="35"/>
        <v>АРТ-119</v>
      </c>
      <c r="M121" s="13" t="str">
        <f t="shared" si="36"/>
        <v xml:space="preserve">Клавиатура Keychron K8 Pro</v>
      </c>
      <c r="N121" s="13" t="str">
        <f>IFERROR(VLOOKUP(K121,Справочники!$A$6:$B$16,2,0),"НЕТ В СПРАВОЧНИКЕ")</f>
        <v>Аксессуары</v>
      </c>
      <c r="O121" s="13" t="str">
        <f t="shared" si="37"/>
        <v>Keychron</v>
      </c>
      <c r="P121" s="14">
        <f t="shared" si="38"/>
        <v>4200</v>
      </c>
      <c r="Q121" s="14">
        <f t="shared" si="39"/>
        <v>7500</v>
      </c>
      <c r="R121" s="13" t="str">
        <f t="shared" si="21"/>
        <v>шт</v>
      </c>
      <c r="S121" s="10" t="str">
        <f t="shared" si="40"/>
        <v>OK</v>
      </c>
      <c r="T121" s="10" t="str">
        <f t="shared" si="41"/>
        <v>уникален</v>
      </c>
    </row>
    <row r="122" ht="15" customHeight="1">
      <c r="A122" s="10">
        <v>120</v>
      </c>
      <c r="B122" s="11" t="str">
        <f>RAW_Товары!A121</f>
        <v>120-24</v>
      </c>
      <c r="C122" s="11" t="str">
        <f>RAW_Товары!B121</f>
        <v xml:space="preserve">Клавиатура Keychron K8 Pro (Беспроводная)</v>
      </c>
      <c r="D122" s="11" t="str">
        <f>RAW_Товары!C121</f>
        <v>Аксессуары</v>
      </c>
      <c r="E122" s="11" t="str">
        <f>RAW_Товары!D121</f>
        <v>KEYCHRON</v>
      </c>
      <c r="F122" s="11" t="str">
        <f>RAW_Товары!E121</f>
        <v xml:space="preserve">4 800</v>
      </c>
      <c r="G122" s="11" t="str">
        <f>RAW_Товары!F121</f>
        <v xml:space="preserve">8 500</v>
      </c>
      <c r="H122" s="11" t="str">
        <f>RAW_Товары!G121</f>
        <v>шт</v>
      </c>
      <c r="I122" s="12" t="str">
        <f t="shared" si="32"/>
        <v>120-24</v>
      </c>
      <c r="J122" s="12" t="str">
        <f t="shared" si="33"/>
        <v xml:space="preserve">Клавиатура Keychron K8 Pro</v>
      </c>
      <c r="K122" s="12" t="str">
        <f t="shared" si="34"/>
        <v>Аксессуары</v>
      </c>
      <c r="L122" s="13" t="str">
        <f t="shared" si="35"/>
        <v>АРТ-120</v>
      </c>
      <c r="M122" s="13" t="str">
        <f t="shared" si="36"/>
        <v xml:space="preserve">Клавиатура Keychron K8 Pro</v>
      </c>
      <c r="N122" s="13" t="str">
        <f>IFERROR(VLOOKUP(K122,Справочники!$A$6:$B$16,2,0),"НЕТ В СПРАВОЧНИКЕ")</f>
        <v>Аксессуары</v>
      </c>
      <c r="O122" s="13" t="str">
        <f t="shared" si="37"/>
        <v>Keychron</v>
      </c>
      <c r="P122" s="14">
        <f t="shared" si="38"/>
        <v>4800</v>
      </c>
      <c r="Q122" s="14">
        <f t="shared" si="39"/>
        <v>8500</v>
      </c>
      <c r="R122" s="13" t="str">
        <f t="shared" si="21"/>
        <v>шт</v>
      </c>
      <c r="S122" s="10" t="str">
        <f t="shared" si="40"/>
        <v>OK</v>
      </c>
      <c r="T122" s="10" t="str">
        <f t="shared" si="41"/>
        <v>уникален</v>
      </c>
    </row>
    <row r="123" ht="15" customHeight="1">
      <c r="A123" s="10">
        <v>121</v>
      </c>
      <c r="B123" s="11" t="str">
        <f>RAW_Товары!A122</f>
        <v>№АРТ-121</v>
      </c>
      <c r="C123" s="11" t="str">
        <f>RAW_Товары!B122</f>
        <v xml:space="preserve">Смарт-часы Garmin Fenix 7</v>
      </c>
      <c r="D123" s="11" t="str">
        <f>RAW_Товары!C122</f>
        <v>Часы</v>
      </c>
      <c r="E123" s="11" t="str">
        <f>RAW_Товары!D122</f>
        <v>Garmin</v>
      </c>
      <c r="F123" s="11" t="str">
        <f>RAW_Товары!E122</f>
        <v xml:space="preserve">55 000</v>
      </c>
      <c r="G123" s="11" t="str">
        <f>RAW_Товары!F122</f>
        <v xml:space="preserve">84 990</v>
      </c>
      <c r="H123" s="11" t="str">
        <f>RAW_Товары!G122</f>
        <v>шт.</v>
      </c>
      <c r="I123" s="12" t="str">
        <f t="shared" si="32"/>
        <v>121</v>
      </c>
      <c r="J123" s="12" t="str">
        <f t="shared" si="33"/>
        <v xml:space="preserve">Смарт-часы Garmin Fenix 7</v>
      </c>
      <c r="K123" s="12" t="str">
        <f t="shared" si="34"/>
        <v>Часы</v>
      </c>
      <c r="L123" s="13" t="str">
        <f t="shared" si="35"/>
        <v>АРТ-121</v>
      </c>
      <c r="M123" s="13" t="str">
        <f t="shared" si="36"/>
        <v xml:space="preserve">Смарт-Часы Garmin Fenix 7</v>
      </c>
      <c r="N123" s="13" t="str">
        <f>IFERROR(VLOOKUP(K123,Справочники!$A$6:$B$16,2,0),"НЕТ В СПРАВОЧНИКЕ")</f>
        <v>Часы</v>
      </c>
      <c r="O123" s="13" t="str">
        <f t="shared" si="37"/>
        <v>Garmin</v>
      </c>
      <c r="P123" s="14">
        <f t="shared" si="38"/>
        <v>55000</v>
      </c>
      <c r="Q123" s="14">
        <f t="shared" si="39"/>
        <v>84990</v>
      </c>
      <c r="R123" s="13" t="str">
        <f t="shared" si="21"/>
        <v>шт</v>
      </c>
      <c r="S123" s="10" t="str">
        <f t="shared" si="40"/>
        <v>OK</v>
      </c>
      <c r="T123" s="10" t="str">
        <f t="shared" si="41"/>
        <v>уникален</v>
      </c>
    </row>
    <row r="124" ht="15" customHeight="1">
      <c r="A124" s="10">
        <v>122</v>
      </c>
      <c r="B124" s="11" t="str">
        <f>RAW_Товары!A123</f>
        <v>АРТ_122</v>
      </c>
      <c r="C124" s="11" t="str">
        <f>RAW_Товары!B123</f>
        <v xml:space="preserve">смарт-часы GARMIN FENIX 7</v>
      </c>
      <c r="D124" s="11" t="str">
        <f>RAW_Товары!C123</f>
        <v>Часы</v>
      </c>
      <c r="E124" s="11" t="str">
        <f>RAW_Товары!D123</f>
        <v>garmin</v>
      </c>
      <c r="F124" s="11" t="str">
        <f>RAW_Товары!E123</f>
        <v xml:space="preserve">53 500</v>
      </c>
      <c r="G124" s="11" t="str">
        <f>RAW_Товары!F123</f>
        <v xml:space="preserve">82 500</v>
      </c>
      <c r="H124" s="11" t="str">
        <f>RAW_Товары!G123</f>
        <v>штуки</v>
      </c>
      <c r="I124" s="12" t="str">
        <f t="shared" si="32"/>
        <v>122</v>
      </c>
      <c r="J124" s="12" t="str">
        <f t="shared" si="33"/>
        <v xml:space="preserve">смарт-часы GARMIN FENIX 7</v>
      </c>
      <c r="K124" s="12" t="str">
        <f t="shared" si="34"/>
        <v>Часы</v>
      </c>
      <c r="L124" s="13" t="str">
        <f t="shared" si="35"/>
        <v>АРТ-122</v>
      </c>
      <c r="M124" s="13" t="str">
        <f t="shared" si="36"/>
        <v xml:space="preserve">Смарт-Часы Garmin Fenix 7</v>
      </c>
      <c r="N124" s="13" t="str">
        <f>IFERROR(VLOOKUP(K124,Справочники!$A$6:$B$16,2,0),"НЕТ В СПРАВОЧНИКЕ")</f>
        <v>Часы</v>
      </c>
      <c r="O124" s="13" t="str">
        <f t="shared" si="37"/>
        <v>Garmin</v>
      </c>
      <c r="P124" s="14">
        <f t="shared" si="38"/>
        <v>53500</v>
      </c>
      <c r="Q124" s="14">
        <f t="shared" si="39"/>
        <v>82500</v>
      </c>
      <c r="R124" s="13" t="str">
        <f t="shared" si="21"/>
        <v>шт</v>
      </c>
      <c r="S124" s="10" t="str">
        <f t="shared" si="40"/>
        <v>OK</v>
      </c>
      <c r="T124" s="10" t="str">
        <f t="shared" si="41"/>
        <v>уникален</v>
      </c>
    </row>
    <row r="125" ht="15" customHeight="1">
      <c r="A125" s="10">
        <v>123</v>
      </c>
      <c r="B125" s="11" t="str">
        <f>RAW_Товары!A124</f>
        <v>123/24</v>
      </c>
      <c r="C125" s="11" t="str">
        <f>RAW_Товары!B124</f>
        <v xml:space="preserve">Смарт-часы Garmin Fenix 7 (Sapphire)</v>
      </c>
      <c r="D125" s="11" t="str">
        <f>RAW_Товары!C124</f>
        <v>Часы</v>
      </c>
      <c r="E125" s="11" t="str">
        <f>RAW_Товары!D124</f>
        <v>GARMIN</v>
      </c>
      <c r="F125" s="11" t="str">
        <f>RAW_Товары!E124</f>
        <v xml:space="preserve">56 500</v>
      </c>
      <c r="G125" s="11" t="str">
        <f>RAW_Товары!F124</f>
        <v xml:space="preserve">87 000</v>
      </c>
      <c r="H125" s="11" t="str">
        <f>RAW_Товары!G124</f>
        <v>шт</v>
      </c>
      <c r="I125" s="12" t="str">
        <f t="shared" si="32"/>
        <v>123/24</v>
      </c>
      <c r="J125" s="12" t="str">
        <f t="shared" si="33"/>
        <v xml:space="preserve">Смарт-часы Garmin Fenix 7</v>
      </c>
      <c r="K125" s="12" t="str">
        <f t="shared" si="34"/>
        <v>Часы</v>
      </c>
      <c r="L125" s="13" t="str">
        <f t="shared" si="35"/>
        <v>АРТ-123</v>
      </c>
      <c r="M125" s="13" t="str">
        <f t="shared" si="36"/>
        <v xml:space="preserve">Смарт-Часы Garmin Fenix 7</v>
      </c>
      <c r="N125" s="13" t="str">
        <f>IFERROR(VLOOKUP(K125,Справочники!$A$6:$B$16,2,0),"НЕТ В СПРАВОЧНИКЕ")</f>
        <v>Часы</v>
      </c>
      <c r="O125" s="13" t="str">
        <f t="shared" si="37"/>
        <v>Garmin</v>
      </c>
      <c r="P125" s="14">
        <f t="shared" si="38"/>
        <v>56500</v>
      </c>
      <c r="Q125" s="14">
        <f t="shared" si="39"/>
        <v>87000</v>
      </c>
      <c r="R125" s="13" t="str">
        <f t="shared" si="21"/>
        <v>шт</v>
      </c>
      <c r="S125" s="10" t="str">
        <f t="shared" si="40"/>
        <v>OK</v>
      </c>
      <c r="T125" s="10" t="str">
        <f t="shared" si="41"/>
        <v>уникален</v>
      </c>
    </row>
    <row r="126" ht="15" customHeight="1">
      <c r="A126" s="10">
        <v>124</v>
      </c>
      <c r="B126" s="11" t="str">
        <f>RAW_Товары!A125</f>
        <v>№АРТ-124</v>
      </c>
      <c r="C126" s="11" t="str">
        <f>RAW_Товары!B125</f>
        <v xml:space="preserve">Ноутбук Razer Blade 18</v>
      </c>
      <c r="D126" s="11" t="str">
        <f>RAW_Товары!C125</f>
        <v>Ноутбуки</v>
      </c>
      <c r="E126" s="11" t="str">
        <f>RAW_Товары!D125</f>
        <v>Razer</v>
      </c>
      <c r="F126" s="11" t="str">
        <f>RAW_Товары!E125</f>
        <v xml:space="preserve">110 000</v>
      </c>
      <c r="G126" s="11" t="str">
        <f>RAW_Товары!F125</f>
        <v xml:space="preserve">169 990</v>
      </c>
      <c r="H126" s="11" t="str">
        <f>RAW_Товары!G125</f>
        <v>шт.</v>
      </c>
      <c r="I126" s="12" t="str">
        <f t="shared" si="32"/>
        <v>124</v>
      </c>
      <c r="J126" s="12" t="str">
        <f t="shared" si="33"/>
        <v xml:space="preserve">Ноутбук Razer Blade 18</v>
      </c>
      <c r="K126" s="12" t="str">
        <f t="shared" si="34"/>
        <v>Ноутбуки</v>
      </c>
      <c r="L126" s="13" t="str">
        <f t="shared" si="35"/>
        <v>АРТ-124</v>
      </c>
      <c r="M126" s="13" t="str">
        <f t="shared" si="36"/>
        <v xml:space="preserve">Ноутбук Razer Blade 18</v>
      </c>
      <c r="N126" s="13" t="str">
        <f>IFERROR(VLOOKUP(K126,Справочники!$A$6:$B$16,2,0),"НЕТ В СПРАВОЧНИКЕ")</f>
        <v>Ноутбуки</v>
      </c>
      <c r="O126" s="13" t="str">
        <f t="shared" si="37"/>
        <v>Razer</v>
      </c>
      <c r="P126" s="14">
        <f t="shared" si="38"/>
        <v>110000</v>
      </c>
      <c r="Q126" s="14">
        <f t="shared" si="39"/>
        <v>169990</v>
      </c>
      <c r="R126" s="13" t="str">
        <f t="shared" si="21"/>
        <v>шт</v>
      </c>
      <c r="S126" s="10" t="str">
        <f t="shared" si="40"/>
        <v>OK</v>
      </c>
      <c r="T126" s="10" t="str">
        <f t="shared" si="41"/>
        <v>уникален</v>
      </c>
    </row>
    <row r="127" ht="15" customHeight="1">
      <c r="A127" s="10">
        <v>125</v>
      </c>
      <c r="B127" s="11" t="str">
        <f>RAW_Товары!A126</f>
        <v>АРТ_125</v>
      </c>
      <c r="C127" s="11" t="str">
        <f>RAW_Товары!B126</f>
        <v xml:space="preserve">ноутбук RAZER BLADE 18</v>
      </c>
      <c r="D127" s="11" t="str">
        <f>RAW_Товары!C126</f>
        <v>Лэптопы</v>
      </c>
      <c r="E127" s="11" t="str">
        <f>RAW_Товары!D126</f>
        <v>razer</v>
      </c>
      <c r="F127" s="11" t="str">
        <f>RAW_Товары!E126</f>
        <v xml:space="preserve">108 000</v>
      </c>
      <c r="G127" s="11" t="str">
        <f>RAW_Товары!F126</f>
        <v xml:space="preserve">166 500</v>
      </c>
      <c r="H127" s="11" t="str">
        <f>RAW_Товары!G126</f>
        <v>штука</v>
      </c>
      <c r="I127" s="12" t="str">
        <f t="shared" si="32"/>
        <v>125</v>
      </c>
      <c r="J127" s="12" t="str">
        <f t="shared" si="33"/>
        <v xml:space="preserve">ноутбук RAZER BLADE 18</v>
      </c>
      <c r="K127" s="12" t="str">
        <f t="shared" si="34"/>
        <v>Лэптопы</v>
      </c>
      <c r="L127" s="13" t="str">
        <f t="shared" si="35"/>
        <v>АРТ-125</v>
      </c>
      <c r="M127" s="13" t="str">
        <f t="shared" si="36"/>
        <v xml:space="preserve">Ноутбук Razer Blade 18</v>
      </c>
      <c r="N127" s="13" t="str">
        <f>IFERROR(VLOOKUP(K127,Справочники!$A$6:$B$16,2,0),"НЕТ В СПРАВОЧНИКЕ")</f>
        <v>Ноутбуки</v>
      </c>
      <c r="O127" s="13" t="str">
        <f t="shared" si="37"/>
        <v>Razer</v>
      </c>
      <c r="P127" s="14">
        <f t="shared" si="38"/>
        <v>108000</v>
      </c>
      <c r="Q127" s="14">
        <f t="shared" si="39"/>
        <v>166500</v>
      </c>
      <c r="R127" s="13" t="str">
        <f t="shared" si="21"/>
        <v>шт</v>
      </c>
      <c r="S127" s="10" t="str">
        <f t="shared" si="40"/>
        <v>OK</v>
      </c>
      <c r="T127" s="10" t="str">
        <f t="shared" si="41"/>
        <v>уникален</v>
      </c>
    </row>
    <row r="128" ht="15" customHeight="1">
      <c r="A128" s="10">
        <v>126</v>
      </c>
      <c r="B128" s="11" t="str">
        <f>RAW_Товары!A127</f>
        <v>126-24</v>
      </c>
      <c r="C128" s="11" t="str">
        <f>RAW_Товары!B127</f>
        <v xml:space="preserve">Ноутбук Razer Blade 18 (Gaming)</v>
      </c>
      <c r="D128" s="11" t="str">
        <f>RAW_Товары!C127</f>
        <v>Ноутбуки</v>
      </c>
      <c r="E128" s="11" t="str">
        <f>RAW_Товары!D127</f>
        <v>RAZER</v>
      </c>
      <c r="F128" s="11" t="str">
        <f>RAW_Товары!E127</f>
        <v xml:space="preserve">112 000</v>
      </c>
      <c r="G128" s="11" t="str">
        <f>RAW_Товары!F127</f>
        <v xml:space="preserve">173 000</v>
      </c>
      <c r="H128" s="11" t="str">
        <f>RAW_Товары!G127</f>
        <v>шт</v>
      </c>
      <c r="I128" s="12" t="str">
        <f t="shared" si="32"/>
        <v>126-24</v>
      </c>
      <c r="J128" s="12" t="str">
        <f t="shared" si="33"/>
        <v xml:space="preserve">Ноутбук Razer Blade 18</v>
      </c>
      <c r="K128" s="12" t="str">
        <f t="shared" si="34"/>
        <v>Ноутбуки</v>
      </c>
      <c r="L128" s="13" t="str">
        <f t="shared" si="35"/>
        <v>АРТ-126</v>
      </c>
      <c r="M128" s="13" t="str">
        <f t="shared" si="36"/>
        <v xml:space="preserve">Ноутбук Razer Blade 18</v>
      </c>
      <c r="N128" s="13" t="str">
        <f>IFERROR(VLOOKUP(K128,Справочники!$A$6:$B$16,2,0),"НЕТ В СПРАВОЧНИКЕ")</f>
        <v>Ноутбуки</v>
      </c>
      <c r="O128" s="13" t="str">
        <f t="shared" si="37"/>
        <v>Razer</v>
      </c>
      <c r="P128" s="14">
        <f t="shared" si="38"/>
        <v>112000</v>
      </c>
      <c r="Q128" s="14">
        <f t="shared" si="39"/>
        <v>173000</v>
      </c>
      <c r="R128" s="13" t="str">
        <f t="shared" si="21"/>
        <v>шт</v>
      </c>
      <c r="S128" s="10" t="str">
        <f t="shared" si="40"/>
        <v>OK</v>
      </c>
      <c r="T128" s="10" t="str">
        <f t="shared" si="41"/>
        <v>уникален</v>
      </c>
    </row>
    <row r="129" ht="15" customHeight="1">
      <c r="A129" s="10">
        <v>127</v>
      </c>
      <c r="B129" s="11" t="str">
        <f>RAW_Товары!A128</f>
        <v>№АРТ-127</v>
      </c>
      <c r="C129" s="11" t="str">
        <f>RAW_Товары!B128</f>
        <v xml:space="preserve">Смартфон Nothing Phone 2</v>
      </c>
      <c r="D129" s="11" t="str">
        <f>RAW_Товары!C128</f>
        <v>Смартфоны</v>
      </c>
      <c r="E129" s="11" t="str">
        <f>RAW_Товары!D128</f>
        <v>Nothing</v>
      </c>
      <c r="F129" s="11" t="str">
        <f>RAW_Товары!E128</f>
        <v xml:space="preserve">30 000</v>
      </c>
      <c r="G129" s="11" t="str">
        <f>RAW_Товары!F128</f>
        <v xml:space="preserve">51 990</v>
      </c>
      <c r="H129" s="11" t="str">
        <f>RAW_Товары!G128</f>
        <v>шт.</v>
      </c>
      <c r="I129" s="12" t="str">
        <f t="shared" si="32"/>
        <v>127</v>
      </c>
      <c r="J129" s="12" t="str">
        <f t="shared" si="33"/>
        <v xml:space="preserve">Смартфон Nothing Phone 2</v>
      </c>
      <c r="K129" s="12" t="str">
        <f t="shared" si="34"/>
        <v>Смартфоны</v>
      </c>
      <c r="L129" s="13" t="str">
        <f t="shared" si="35"/>
        <v>АРТ-127</v>
      </c>
      <c r="M129" s="13" t="str">
        <f t="shared" si="36"/>
        <v xml:space="preserve">Смартфон Nothing Phone 2</v>
      </c>
      <c r="N129" s="13" t="str">
        <f>IFERROR(VLOOKUP(K129,Справочники!$A$6:$B$16,2,0),"НЕТ В СПРАВОЧНИКЕ")</f>
        <v>Смартфоны</v>
      </c>
      <c r="O129" s="13" t="str">
        <f t="shared" si="37"/>
        <v>Nothing</v>
      </c>
      <c r="P129" s="14">
        <f t="shared" si="38"/>
        <v>30000</v>
      </c>
      <c r="Q129" s="14">
        <f t="shared" si="39"/>
        <v>51990</v>
      </c>
      <c r="R129" s="13" t="str">
        <f t="shared" si="21"/>
        <v>шт</v>
      </c>
      <c r="S129" s="10" t="str">
        <f t="shared" si="40"/>
        <v>OK</v>
      </c>
      <c r="T129" s="10" t="str">
        <f t="shared" si="41"/>
        <v>уникален</v>
      </c>
    </row>
    <row r="130" ht="15" customHeight="1">
      <c r="A130" s="10">
        <v>128</v>
      </c>
      <c r="B130" s="11" t="str">
        <f>RAW_Товары!A129</f>
        <v>АРТ_128</v>
      </c>
      <c r="C130" s="11" t="str">
        <f>RAW_Товары!B129</f>
        <v xml:space="preserve">смартфон NOTHING PHONE 2</v>
      </c>
      <c r="D130" s="11" t="str">
        <f>RAW_Товары!C129</f>
        <v>Телефоны</v>
      </c>
      <c r="E130" s="11" t="str">
        <f>RAW_Товары!D129</f>
        <v>nothing</v>
      </c>
      <c r="F130" s="11" t="str">
        <f>RAW_Товары!E129</f>
        <v xml:space="preserve">29 000</v>
      </c>
      <c r="G130" s="11" t="str">
        <f>RAW_Товары!F129</f>
        <v xml:space="preserve">50 500</v>
      </c>
      <c r="H130" s="11" t="str">
        <f>RAW_Товары!G129</f>
        <v>штуки</v>
      </c>
      <c r="I130" s="12" t="str">
        <f t="shared" si="32"/>
        <v>128</v>
      </c>
      <c r="J130" s="12" t="str">
        <f t="shared" si="33"/>
        <v xml:space="preserve">смартфон NOTHING PHONE 2</v>
      </c>
      <c r="K130" s="12" t="str">
        <f t="shared" si="34"/>
        <v>Телефоны</v>
      </c>
      <c r="L130" s="13" t="str">
        <f t="shared" si="35"/>
        <v>АРТ-128</v>
      </c>
      <c r="M130" s="13" t="str">
        <f t="shared" si="36"/>
        <v xml:space="preserve">Смартфон Nothing Phone 2</v>
      </c>
      <c r="N130" s="13" t="str">
        <f>IFERROR(VLOOKUP(K130,Справочники!$A$6:$B$16,2,0),"НЕТ В СПРАВОЧНИКЕ")</f>
        <v>Смартфоны</v>
      </c>
      <c r="O130" s="13" t="str">
        <f t="shared" si="37"/>
        <v>Nothing</v>
      </c>
      <c r="P130" s="14">
        <f t="shared" si="38"/>
        <v>29000</v>
      </c>
      <c r="Q130" s="14">
        <f t="shared" si="39"/>
        <v>50500</v>
      </c>
      <c r="R130" s="13" t="str">
        <f t="shared" si="21"/>
        <v>шт</v>
      </c>
      <c r="S130" s="10" t="str">
        <f t="shared" si="40"/>
        <v>OK</v>
      </c>
      <c r="T130" s="10" t="str">
        <f t="shared" si="41"/>
        <v>уникален</v>
      </c>
    </row>
    <row r="131" ht="15" customHeight="1">
      <c r="A131" s="10">
        <v>129</v>
      </c>
      <c r="B131" s="11" t="str">
        <f>RAW_Товары!A130</f>
        <v>129/24</v>
      </c>
      <c r="C131" s="11" t="str">
        <f>RAW_Товары!B130</f>
        <v xml:space="preserve">Смартфон Nothing Phone 2 (Dark)</v>
      </c>
      <c r="D131" s="11" t="str">
        <f>RAW_Товары!C130</f>
        <v xml:space="preserve">Мобильные телефоны</v>
      </c>
      <c r="E131" s="11" t="str">
        <f>RAW_Товары!D130</f>
        <v>NOTHING</v>
      </c>
      <c r="F131" s="11" t="str">
        <f>RAW_Товары!E130</f>
        <v xml:space="preserve">31 000</v>
      </c>
      <c r="G131" s="11" t="str">
        <f>RAW_Товары!F130</f>
        <v xml:space="preserve">53 500</v>
      </c>
      <c r="H131" s="11" t="str">
        <f>RAW_Товары!G130</f>
        <v>шт</v>
      </c>
      <c r="I131" s="12" t="str">
        <f t="shared" si="32"/>
        <v>129/24</v>
      </c>
      <c r="J131" s="12" t="str">
        <f t="shared" si="33"/>
        <v xml:space="preserve">Смартфон Nothing Phone 2</v>
      </c>
      <c r="K131" s="12" t="str">
        <f t="shared" si="34"/>
        <v xml:space="preserve">Мобильные телефоны</v>
      </c>
      <c r="L131" s="13" t="str">
        <f t="shared" si="35"/>
        <v>АРТ-129</v>
      </c>
      <c r="M131" s="13" t="str">
        <f t="shared" si="36"/>
        <v xml:space="preserve">Смартфон Nothing Phone 2</v>
      </c>
      <c r="N131" s="13" t="str">
        <f>IFERROR(VLOOKUP(K131,Справочники!$A$6:$B$16,2,0),"НЕТ В СПРАВОЧНИКЕ")</f>
        <v>Смартфоны</v>
      </c>
      <c r="O131" s="13" t="str">
        <f t="shared" si="37"/>
        <v>Nothing</v>
      </c>
      <c r="P131" s="14">
        <f t="shared" si="38"/>
        <v>31000</v>
      </c>
      <c r="Q131" s="14">
        <f t="shared" si="39"/>
        <v>53500</v>
      </c>
      <c r="R131" s="13" t="str">
        <f t="shared" ref="R131:R194" si="42">"шт"</f>
        <v>шт</v>
      </c>
      <c r="S131" s="10" t="str">
        <f t="shared" si="40"/>
        <v>OK</v>
      </c>
      <c r="T131" s="10" t="str">
        <f t="shared" si="41"/>
        <v>уникален</v>
      </c>
    </row>
    <row r="132" ht="15" customHeight="1">
      <c r="A132" s="10">
        <v>130</v>
      </c>
      <c r="B132" s="11" t="str">
        <f>RAW_Товары!A131</f>
        <v>№АРТ-130</v>
      </c>
      <c r="C132" s="11" t="str">
        <f>RAW_Товары!B131</f>
        <v xml:space="preserve">Планшет Xiaomi Pad 6</v>
      </c>
      <c r="D132" s="11" t="str">
        <f>RAW_Товары!C131</f>
        <v>Планшеты</v>
      </c>
      <c r="E132" s="11" t="str">
        <f>RAW_Товары!D131</f>
        <v>Xiaomi</v>
      </c>
      <c r="F132" s="11" t="str">
        <f>RAW_Товары!E131</f>
        <v xml:space="preserve">26 000</v>
      </c>
      <c r="G132" s="11" t="str">
        <f>RAW_Товары!F131</f>
        <v xml:space="preserve">42 990</v>
      </c>
      <c r="H132" s="11" t="str">
        <f>RAW_Товары!G131</f>
        <v>шт.</v>
      </c>
      <c r="I132" s="12" t="str">
        <f t="shared" si="32"/>
        <v>130</v>
      </c>
      <c r="J132" s="12" t="str">
        <f t="shared" si="33"/>
        <v xml:space="preserve">Планшет Xiaomi Pad 6</v>
      </c>
      <c r="K132" s="12" t="str">
        <f t="shared" si="34"/>
        <v>Планшеты</v>
      </c>
      <c r="L132" s="13" t="str">
        <f t="shared" si="35"/>
        <v>АРТ-130</v>
      </c>
      <c r="M132" s="13" t="str">
        <f t="shared" si="36"/>
        <v xml:space="preserve">Планшет Xiaomi Pad 6</v>
      </c>
      <c r="N132" s="13" t="str">
        <f>IFERROR(VLOOKUP(K132,Справочники!$A$6:$B$16,2,0),"НЕТ В СПРАВОЧНИКЕ")</f>
        <v>Планшеты</v>
      </c>
      <c r="O132" s="13" t="str">
        <f t="shared" si="37"/>
        <v>Xiaomi</v>
      </c>
      <c r="P132" s="14">
        <f t="shared" si="38"/>
        <v>26000</v>
      </c>
      <c r="Q132" s="14">
        <f t="shared" si="39"/>
        <v>42990</v>
      </c>
      <c r="R132" s="13" t="str">
        <f t="shared" si="42"/>
        <v>шт</v>
      </c>
      <c r="S132" s="10" t="str">
        <f t="shared" si="40"/>
        <v>OK</v>
      </c>
      <c r="T132" s="10" t="str">
        <f t="shared" si="41"/>
        <v>уникален</v>
      </c>
    </row>
    <row r="133" ht="15" customHeight="1">
      <c r="A133" s="10">
        <v>131</v>
      </c>
      <c r="B133" s="11" t="str">
        <f>RAW_Товары!A132</f>
        <v>АРТ_131</v>
      </c>
      <c r="C133" s="11" t="str">
        <f>RAW_Товары!B132</f>
        <v xml:space="preserve">планшет XIAOMI PAD 6</v>
      </c>
      <c r="D133" s="11" t="str">
        <f>RAW_Товары!C132</f>
        <v>Планшеты</v>
      </c>
      <c r="E133" s="11" t="str">
        <f>RAW_Товары!D132</f>
        <v>xiaomi</v>
      </c>
      <c r="F133" s="11" t="str">
        <f>RAW_Товары!E132</f>
        <v xml:space="preserve">25 000</v>
      </c>
      <c r="G133" s="11" t="str">
        <f>RAW_Товары!F132</f>
        <v xml:space="preserve">41 500</v>
      </c>
      <c r="H133" s="11" t="str">
        <f>RAW_Товары!G132</f>
        <v>штука</v>
      </c>
      <c r="I133" s="12" t="str">
        <f t="shared" si="32"/>
        <v>131</v>
      </c>
      <c r="J133" s="12" t="str">
        <f t="shared" si="33"/>
        <v xml:space="preserve">планшет XIAOMI PAD 6</v>
      </c>
      <c r="K133" s="12" t="str">
        <f t="shared" si="34"/>
        <v>Планшеты</v>
      </c>
      <c r="L133" s="13" t="str">
        <f t="shared" si="35"/>
        <v>АРТ-131</v>
      </c>
      <c r="M133" s="13" t="str">
        <f t="shared" si="36"/>
        <v xml:space="preserve">Планшет Xiaomi Pad 6</v>
      </c>
      <c r="N133" s="13" t="str">
        <f>IFERROR(VLOOKUP(K133,Справочники!$A$6:$B$16,2,0),"НЕТ В СПРАВОЧНИКЕ")</f>
        <v>Планшеты</v>
      </c>
      <c r="O133" s="13" t="str">
        <f t="shared" si="37"/>
        <v>Xiaomi</v>
      </c>
      <c r="P133" s="14">
        <f t="shared" si="38"/>
        <v>25000</v>
      </c>
      <c r="Q133" s="14">
        <f t="shared" si="39"/>
        <v>41500</v>
      </c>
      <c r="R133" s="13" t="str">
        <f t="shared" si="42"/>
        <v>шт</v>
      </c>
      <c r="S133" s="10" t="str">
        <f t="shared" si="40"/>
        <v>OK</v>
      </c>
      <c r="T133" s="10" t="str">
        <f t="shared" si="41"/>
        <v>уникален</v>
      </c>
    </row>
    <row r="134" ht="15" customHeight="1">
      <c r="A134" s="10">
        <v>132</v>
      </c>
      <c r="B134" s="11" t="str">
        <f>RAW_Товары!A133</f>
        <v>132-24</v>
      </c>
      <c r="C134" s="11" t="str">
        <f>RAW_Товары!B133</f>
        <v xml:space="preserve">Планшет Xiaomi Pad 6 (Pro)</v>
      </c>
      <c r="D134" s="11" t="str">
        <f>RAW_Товары!C133</f>
        <v>Планшеты</v>
      </c>
      <c r="E134" s="11" t="str">
        <f>RAW_Товары!D133</f>
        <v>XIAOMI</v>
      </c>
      <c r="F134" s="11" t="str">
        <f>RAW_Товары!E133</f>
        <v xml:space="preserve">27 000</v>
      </c>
      <c r="G134" s="11" t="str">
        <f>RAW_Товары!F133</f>
        <v xml:space="preserve">44 500</v>
      </c>
      <c r="H134" s="11" t="str">
        <f>RAW_Товары!G133</f>
        <v>шт</v>
      </c>
      <c r="I134" s="12" t="str">
        <f t="shared" si="32"/>
        <v>132-24</v>
      </c>
      <c r="J134" s="12" t="str">
        <f t="shared" si="33"/>
        <v xml:space="preserve">Планшет Xiaomi Pad 6</v>
      </c>
      <c r="K134" s="12" t="str">
        <f t="shared" si="34"/>
        <v>Планшеты</v>
      </c>
      <c r="L134" s="13" t="str">
        <f t="shared" si="35"/>
        <v>АРТ-132</v>
      </c>
      <c r="M134" s="13" t="str">
        <f t="shared" si="36"/>
        <v xml:space="preserve">Планшет Xiaomi Pad 6</v>
      </c>
      <c r="N134" s="13" t="str">
        <f>IFERROR(VLOOKUP(K134,Справочники!$A$6:$B$16,2,0),"НЕТ В СПРАВОЧНИКЕ")</f>
        <v>Планшеты</v>
      </c>
      <c r="O134" s="13" t="str">
        <f t="shared" si="37"/>
        <v>Xiaomi</v>
      </c>
      <c r="P134" s="14">
        <f t="shared" si="38"/>
        <v>27000</v>
      </c>
      <c r="Q134" s="14">
        <f t="shared" si="39"/>
        <v>44500</v>
      </c>
      <c r="R134" s="13" t="str">
        <f t="shared" si="42"/>
        <v>шт</v>
      </c>
      <c r="S134" s="10" t="str">
        <f t="shared" si="40"/>
        <v>OK</v>
      </c>
      <c r="T134" s="10" t="str">
        <f t="shared" si="41"/>
        <v>уникален</v>
      </c>
    </row>
    <row r="135" ht="15" customHeight="1">
      <c r="A135" s="10">
        <v>133</v>
      </c>
      <c r="B135" s="11" t="str">
        <f>RAW_Товары!A134</f>
        <v>№АРТ-133</v>
      </c>
      <c r="C135" s="11" t="str">
        <f>RAW_Товары!B134</f>
        <v xml:space="preserve">Телевизор Philips Ambilight 65</v>
      </c>
      <c r="D135" s="11" t="str">
        <f>RAW_Товары!C134</f>
        <v>Телевизоры</v>
      </c>
      <c r="E135" s="11" t="str">
        <f>RAW_Товары!D134</f>
        <v>Philips</v>
      </c>
      <c r="F135" s="11" t="str">
        <f>RAW_Товары!E134</f>
        <v xml:space="preserve">82 000</v>
      </c>
      <c r="G135" s="11" t="str">
        <f>RAW_Товары!F134</f>
        <v xml:space="preserve">126 990</v>
      </c>
      <c r="H135" s="11" t="str">
        <f>RAW_Товары!G134</f>
        <v>шт.</v>
      </c>
      <c r="I135" s="12" t="str">
        <f t="shared" si="32"/>
        <v>133</v>
      </c>
      <c r="J135" s="12" t="str">
        <f t="shared" si="33"/>
        <v xml:space="preserve">Телевизор Philips Ambilight 65</v>
      </c>
      <c r="K135" s="12" t="str">
        <f t="shared" si="34"/>
        <v>Телевизоры</v>
      </c>
      <c r="L135" s="13" t="str">
        <f t="shared" si="35"/>
        <v>АРТ-133</v>
      </c>
      <c r="M135" s="13" t="str">
        <f t="shared" si="36"/>
        <v xml:space="preserve">Телевизор Philips Ambilight 65</v>
      </c>
      <c r="N135" s="13" t="str">
        <f>IFERROR(VLOOKUP(K135,Справочники!$A$6:$B$16,2,0),"НЕТ В СПРАВОЧНИКЕ")</f>
        <v>Телевизоры</v>
      </c>
      <c r="O135" s="13" t="str">
        <f t="shared" si="37"/>
        <v>Philips</v>
      </c>
      <c r="P135" s="14">
        <f t="shared" si="38"/>
        <v>82000</v>
      </c>
      <c r="Q135" s="14">
        <f t="shared" si="39"/>
        <v>126990</v>
      </c>
      <c r="R135" s="13" t="str">
        <f t="shared" si="42"/>
        <v>шт</v>
      </c>
      <c r="S135" s="10" t="str">
        <f t="shared" si="40"/>
        <v>OK</v>
      </c>
      <c r="T135" s="10" t="str">
        <f t="shared" si="41"/>
        <v>уникален</v>
      </c>
    </row>
    <row r="136" ht="15" customHeight="1">
      <c r="A136" s="10">
        <v>134</v>
      </c>
      <c r="B136" s="11" t="str">
        <f>RAW_Товары!A135</f>
        <v>АРТ_134</v>
      </c>
      <c r="C136" s="11" t="str">
        <f>RAW_Товары!B135</f>
        <v xml:space="preserve">телевизор PHILIPS AMBILIGHT 65</v>
      </c>
      <c r="D136" s="11" t="str">
        <f>RAW_Товары!C135</f>
        <v>Телевизоры</v>
      </c>
      <c r="E136" s="11" t="str">
        <f>RAW_Товары!D135</f>
        <v>philips</v>
      </c>
      <c r="F136" s="11" t="str">
        <f>RAW_Товары!E135</f>
        <v xml:space="preserve">80 000</v>
      </c>
      <c r="G136" s="11" t="str">
        <f>RAW_Товары!F135</f>
        <v xml:space="preserve">124 000</v>
      </c>
      <c r="H136" s="11" t="str">
        <f>RAW_Товары!G135</f>
        <v>штуки</v>
      </c>
      <c r="I136" s="12" t="str">
        <f t="shared" si="32"/>
        <v>134</v>
      </c>
      <c r="J136" s="12" t="str">
        <f t="shared" si="33"/>
        <v xml:space="preserve">телевизор PHILIPS AMBILIGHT 65</v>
      </c>
      <c r="K136" s="12" t="str">
        <f t="shared" si="34"/>
        <v>Телевизоры</v>
      </c>
      <c r="L136" s="13" t="str">
        <f t="shared" si="35"/>
        <v>АРТ-134</v>
      </c>
      <c r="M136" s="13" t="str">
        <f t="shared" si="36"/>
        <v xml:space="preserve">Телевизор Philips Ambilight 65</v>
      </c>
      <c r="N136" s="13" t="str">
        <f>IFERROR(VLOOKUP(K136,Справочники!$A$6:$B$16,2,0),"НЕТ В СПРАВОЧНИКЕ")</f>
        <v>Телевизоры</v>
      </c>
      <c r="O136" s="13" t="str">
        <f t="shared" si="37"/>
        <v>Philips</v>
      </c>
      <c r="P136" s="14">
        <f t="shared" si="38"/>
        <v>80000</v>
      </c>
      <c r="Q136" s="14">
        <f t="shared" si="39"/>
        <v>124000</v>
      </c>
      <c r="R136" s="13" t="str">
        <f t="shared" si="42"/>
        <v>шт</v>
      </c>
      <c r="S136" s="10" t="str">
        <f t="shared" si="40"/>
        <v>OK</v>
      </c>
      <c r="T136" s="10" t="str">
        <f t="shared" si="41"/>
        <v>уникален</v>
      </c>
    </row>
    <row r="137" ht="15" customHeight="1">
      <c r="A137" s="10">
        <v>135</v>
      </c>
      <c r="B137" s="11" t="str">
        <f>RAW_Товары!A136</f>
        <v>135/24</v>
      </c>
      <c r="C137" s="11" t="str">
        <f>RAW_Товары!B136</f>
        <v xml:space="preserve">Телевизор Philips Ambilight 65 (4K)</v>
      </c>
      <c r="D137" s="11" t="str">
        <f>RAW_Товары!C136</f>
        <v>Телевизоры</v>
      </c>
      <c r="E137" s="11" t="str">
        <f>RAW_Товары!D136</f>
        <v>PHILIPS</v>
      </c>
      <c r="F137" s="11" t="str">
        <f>RAW_Товары!E136</f>
        <v xml:space="preserve">83 500</v>
      </c>
      <c r="G137" s="11" t="str">
        <f>RAW_Товары!F136</f>
        <v xml:space="preserve">129 500</v>
      </c>
      <c r="H137" s="11" t="str">
        <f>RAW_Товары!G136</f>
        <v>шт</v>
      </c>
      <c r="I137" s="12" t="str">
        <f t="shared" si="32"/>
        <v>135/24</v>
      </c>
      <c r="J137" s="12" t="str">
        <f t="shared" si="33"/>
        <v xml:space="preserve">Телевизор Philips Ambilight 65</v>
      </c>
      <c r="K137" s="12" t="str">
        <f t="shared" si="34"/>
        <v>Телевизоры</v>
      </c>
      <c r="L137" s="13" t="str">
        <f t="shared" si="35"/>
        <v>АРТ-135</v>
      </c>
      <c r="M137" s="13" t="str">
        <f t="shared" si="36"/>
        <v xml:space="preserve">Телевизор Philips Ambilight 65</v>
      </c>
      <c r="N137" s="13" t="str">
        <f>IFERROR(VLOOKUP(K137,Справочники!$A$6:$B$16,2,0),"НЕТ В СПРАВОЧНИКЕ")</f>
        <v>Телевизоры</v>
      </c>
      <c r="O137" s="13" t="str">
        <f t="shared" si="37"/>
        <v>Philips</v>
      </c>
      <c r="P137" s="14">
        <f t="shared" si="38"/>
        <v>83500</v>
      </c>
      <c r="Q137" s="14">
        <f t="shared" si="39"/>
        <v>129500</v>
      </c>
      <c r="R137" s="13" t="str">
        <f t="shared" si="42"/>
        <v>шт</v>
      </c>
      <c r="S137" s="10" t="str">
        <f t="shared" si="40"/>
        <v>OK</v>
      </c>
      <c r="T137" s="10" t="str">
        <f t="shared" si="41"/>
        <v>уникален</v>
      </c>
    </row>
    <row r="138" ht="15" customHeight="1">
      <c r="A138" s="10">
        <v>136</v>
      </c>
      <c r="B138" s="11" t="str">
        <f>RAW_Товары!A137</f>
        <v>№АРТ-136</v>
      </c>
      <c r="C138" s="11" t="str">
        <f>RAW_Товары!B137</f>
        <v xml:space="preserve">Наушники Bose QC45</v>
      </c>
      <c r="D138" s="11" t="str">
        <f>RAW_Товары!C137</f>
        <v>Наушники</v>
      </c>
      <c r="E138" s="11" t="str">
        <f>RAW_Товары!D137</f>
        <v>Bose</v>
      </c>
      <c r="F138" s="11" t="str">
        <f>RAW_Товары!E137</f>
        <v xml:space="preserve">14 000</v>
      </c>
      <c r="G138" s="11" t="str">
        <f>RAW_Товары!F137</f>
        <v xml:space="preserve">22 990</v>
      </c>
      <c r="H138" s="11" t="str">
        <f>RAW_Товары!G137</f>
        <v>шт.</v>
      </c>
      <c r="I138" s="12" t="str">
        <f t="shared" si="32"/>
        <v>136</v>
      </c>
      <c r="J138" s="12" t="str">
        <f t="shared" si="33"/>
        <v xml:space="preserve">Наушники Bose QC45</v>
      </c>
      <c r="K138" s="12" t="str">
        <f t="shared" si="34"/>
        <v>Наушники</v>
      </c>
      <c r="L138" s="13" t="str">
        <f t="shared" si="35"/>
        <v>АРТ-136</v>
      </c>
      <c r="M138" s="13" t="str">
        <f t="shared" si="36"/>
        <v xml:space="preserve">Наушники Bose Qc45</v>
      </c>
      <c r="N138" s="13" t="str">
        <f>IFERROR(VLOOKUP(K138,Справочники!$A$6:$B$16,2,0),"НЕТ В СПРАВОЧНИКЕ")</f>
        <v>Наушники</v>
      </c>
      <c r="O138" s="13" t="str">
        <f t="shared" si="37"/>
        <v>Bose</v>
      </c>
      <c r="P138" s="14">
        <f t="shared" si="38"/>
        <v>14000</v>
      </c>
      <c r="Q138" s="14">
        <f t="shared" si="39"/>
        <v>22990</v>
      </c>
      <c r="R138" s="13" t="str">
        <f t="shared" si="42"/>
        <v>шт</v>
      </c>
      <c r="S138" s="10" t="str">
        <f t="shared" si="40"/>
        <v>OK</v>
      </c>
      <c r="T138" s="10" t="str">
        <f t="shared" si="41"/>
        <v>уникален</v>
      </c>
    </row>
    <row r="139" ht="15" customHeight="1">
      <c r="A139" s="10">
        <v>137</v>
      </c>
      <c r="B139" s="11" t="str">
        <f>RAW_Товары!A138</f>
        <v>АРТ_137</v>
      </c>
      <c r="C139" s="11" t="str">
        <f>RAW_Товары!B138</f>
        <v xml:space="preserve">наушники BOSE QC45</v>
      </c>
      <c r="D139" s="11" t="str">
        <f>RAW_Товары!C138</f>
        <v>Наушники</v>
      </c>
      <c r="E139" s="11" t="str">
        <f>RAW_Товары!D138</f>
        <v>bose</v>
      </c>
      <c r="F139" s="11" t="str">
        <f>RAW_Товары!E138</f>
        <v xml:space="preserve">13 500</v>
      </c>
      <c r="G139" s="11" t="str">
        <f>RAW_Товары!F138</f>
        <v xml:space="preserve">22 000</v>
      </c>
      <c r="H139" s="11" t="str">
        <f>RAW_Товары!G138</f>
        <v>штука</v>
      </c>
      <c r="I139" s="12" t="str">
        <f t="shared" si="32"/>
        <v>137</v>
      </c>
      <c r="J139" s="12" t="str">
        <f t="shared" si="33"/>
        <v xml:space="preserve">наушники BOSE QC45</v>
      </c>
      <c r="K139" s="12" t="str">
        <f t="shared" si="34"/>
        <v>Наушники</v>
      </c>
      <c r="L139" s="13" t="str">
        <f t="shared" si="35"/>
        <v>АРТ-137</v>
      </c>
      <c r="M139" s="13" t="str">
        <f t="shared" si="36"/>
        <v xml:space="preserve">Наушники Bose Qc45</v>
      </c>
      <c r="N139" s="13" t="str">
        <f>IFERROR(VLOOKUP(K139,Справочники!$A$6:$B$16,2,0),"НЕТ В СПРАВОЧНИКЕ")</f>
        <v>Наушники</v>
      </c>
      <c r="O139" s="13" t="str">
        <f t="shared" si="37"/>
        <v>Bose</v>
      </c>
      <c r="P139" s="14">
        <f t="shared" si="38"/>
        <v>13500</v>
      </c>
      <c r="Q139" s="14">
        <f t="shared" si="39"/>
        <v>22000</v>
      </c>
      <c r="R139" s="13" t="str">
        <f t="shared" si="42"/>
        <v>шт</v>
      </c>
      <c r="S139" s="10" t="str">
        <f t="shared" si="40"/>
        <v>OK</v>
      </c>
      <c r="T139" s="10" t="str">
        <f t="shared" si="41"/>
        <v>уникален</v>
      </c>
    </row>
    <row r="140" ht="15" customHeight="1">
      <c r="A140" s="10">
        <v>138</v>
      </c>
      <c r="B140" s="11" t="str">
        <f>RAW_Товары!A139</f>
        <v>138-24</v>
      </c>
      <c r="C140" s="11" t="str">
        <f>RAW_Товары!B139</f>
        <v xml:space="preserve">Наушники Bose QC45 (Silver)</v>
      </c>
      <c r="D140" s="11" t="str">
        <f>RAW_Товары!C139</f>
        <v>Наушники</v>
      </c>
      <c r="E140" s="11" t="str">
        <f>RAW_Товары!D139</f>
        <v>BOSE</v>
      </c>
      <c r="F140" s="11" t="str">
        <f>RAW_Товары!E139</f>
        <v xml:space="preserve">14 500</v>
      </c>
      <c r="G140" s="11" t="str">
        <f>RAW_Товары!F139</f>
        <v xml:space="preserve">24 000</v>
      </c>
      <c r="H140" s="11" t="str">
        <f>RAW_Товары!G139</f>
        <v>шт</v>
      </c>
      <c r="I140" s="12" t="str">
        <f t="shared" si="32"/>
        <v>138-24</v>
      </c>
      <c r="J140" s="12" t="str">
        <f t="shared" si="33"/>
        <v xml:space="preserve">Наушники Bose QC45</v>
      </c>
      <c r="K140" s="12" t="str">
        <f t="shared" si="34"/>
        <v>Наушники</v>
      </c>
      <c r="L140" s="13" t="str">
        <f t="shared" si="35"/>
        <v>АРТ-138</v>
      </c>
      <c r="M140" s="13" t="str">
        <f t="shared" si="36"/>
        <v xml:space="preserve">Наушники Bose Qc45</v>
      </c>
      <c r="N140" s="13" t="str">
        <f>IFERROR(VLOOKUP(K140,Справочники!$A$6:$B$16,2,0),"НЕТ В СПРАВОЧНИКЕ")</f>
        <v>Наушники</v>
      </c>
      <c r="O140" s="13" t="str">
        <f t="shared" si="37"/>
        <v>Bose</v>
      </c>
      <c r="P140" s="14">
        <f t="shared" si="38"/>
        <v>14500</v>
      </c>
      <c r="Q140" s="14">
        <f t="shared" si="39"/>
        <v>24000</v>
      </c>
      <c r="R140" s="13" t="str">
        <f t="shared" si="42"/>
        <v>шт</v>
      </c>
      <c r="S140" s="10" t="str">
        <f t="shared" si="40"/>
        <v>OK</v>
      </c>
      <c r="T140" s="10" t="str">
        <f t="shared" si="41"/>
        <v>уникален</v>
      </c>
    </row>
    <row r="141" ht="15" customHeight="1">
      <c r="A141" s="10">
        <v>139</v>
      </c>
      <c r="B141" s="11" t="str">
        <f>RAW_Товары!A140</f>
        <v>№АРТ-139</v>
      </c>
      <c r="C141" s="11" t="str">
        <f>RAW_Товары!B140</f>
        <v xml:space="preserve">Монитор BenQ PD3220U</v>
      </c>
      <c r="D141" s="11" t="str">
        <f>RAW_Товары!C140</f>
        <v>Мониторы</v>
      </c>
      <c r="E141" s="11" t="str">
        <f>RAW_Товары!D140</f>
        <v>BenQ</v>
      </c>
      <c r="F141" s="11" t="str">
        <f>RAW_Товары!E140</f>
        <v xml:space="preserve">58 000</v>
      </c>
      <c r="G141" s="11" t="str">
        <f>RAW_Товары!F140</f>
        <v xml:space="preserve">89 900</v>
      </c>
      <c r="H141" s="11" t="str">
        <f>RAW_Товары!G140</f>
        <v>шт.</v>
      </c>
      <c r="I141" s="12" t="str">
        <f t="shared" si="32"/>
        <v>139</v>
      </c>
      <c r="J141" s="12" t="str">
        <f t="shared" si="33"/>
        <v xml:space="preserve">Монитор BenQ PD3220U</v>
      </c>
      <c r="K141" s="12" t="str">
        <f t="shared" si="34"/>
        <v>Мониторы</v>
      </c>
      <c r="L141" s="13" t="str">
        <f t="shared" si="35"/>
        <v>АРТ-139</v>
      </c>
      <c r="M141" s="13" t="str">
        <f t="shared" si="36"/>
        <v xml:space="preserve">Монитор Benq Pd3220U</v>
      </c>
      <c r="N141" s="13" t="str">
        <f>IFERROR(VLOOKUP(K141,Справочники!$A$6:$B$16,2,0),"НЕТ В СПРАВОЧНИКЕ")</f>
        <v>Мониторы</v>
      </c>
      <c r="O141" s="13" t="str">
        <f t="shared" si="37"/>
        <v>Benq</v>
      </c>
      <c r="P141" s="14">
        <f t="shared" si="38"/>
        <v>58000</v>
      </c>
      <c r="Q141" s="14">
        <f t="shared" si="39"/>
        <v>89900</v>
      </c>
      <c r="R141" s="13" t="str">
        <f t="shared" si="42"/>
        <v>шт</v>
      </c>
      <c r="S141" s="10" t="str">
        <f t="shared" si="40"/>
        <v>OK</v>
      </c>
      <c r="T141" s="10" t="str">
        <f t="shared" si="41"/>
        <v>уникален</v>
      </c>
    </row>
    <row r="142" ht="15" customHeight="1">
      <c r="A142" s="10">
        <v>140</v>
      </c>
      <c r="B142" s="11" t="str">
        <f>RAW_Товары!A141</f>
        <v>АРТ_140</v>
      </c>
      <c r="C142" s="11" t="str">
        <f>RAW_Товары!B141</f>
        <v xml:space="preserve">монитор BENQ PD3220U</v>
      </c>
      <c r="D142" s="11" t="str">
        <f>RAW_Товары!C141</f>
        <v>Мониторы</v>
      </c>
      <c r="E142" s="11" t="str">
        <f>RAW_Товары!D141</f>
        <v>benq</v>
      </c>
      <c r="F142" s="11" t="str">
        <f>RAW_Товары!E141</f>
        <v xml:space="preserve">56 500</v>
      </c>
      <c r="G142" s="11" t="str">
        <f>RAW_Товары!F141</f>
        <v xml:space="preserve">87 000</v>
      </c>
      <c r="H142" s="11" t="str">
        <f>RAW_Товары!G141</f>
        <v>штуки</v>
      </c>
      <c r="I142" s="12" t="str">
        <f t="shared" si="32"/>
        <v>140</v>
      </c>
      <c r="J142" s="12" t="str">
        <f t="shared" si="33"/>
        <v xml:space="preserve">монитор BENQ PD3220U</v>
      </c>
      <c r="K142" s="12" t="str">
        <f t="shared" si="34"/>
        <v>Мониторы</v>
      </c>
      <c r="L142" s="13" t="str">
        <f t="shared" si="35"/>
        <v>АРТ-140</v>
      </c>
      <c r="M142" s="13" t="str">
        <f t="shared" si="36"/>
        <v xml:space="preserve">Монитор Benq Pd3220U</v>
      </c>
      <c r="N142" s="13" t="str">
        <f>IFERROR(VLOOKUP(K142,Справочники!$A$6:$B$16,2,0),"НЕТ В СПРАВОЧНИКЕ")</f>
        <v>Мониторы</v>
      </c>
      <c r="O142" s="13" t="str">
        <f t="shared" si="37"/>
        <v>Benq</v>
      </c>
      <c r="P142" s="14">
        <f t="shared" si="38"/>
        <v>56500</v>
      </c>
      <c r="Q142" s="14">
        <f t="shared" si="39"/>
        <v>87000</v>
      </c>
      <c r="R142" s="13" t="str">
        <f t="shared" si="42"/>
        <v>шт</v>
      </c>
      <c r="S142" s="10" t="str">
        <f t="shared" si="40"/>
        <v>OK</v>
      </c>
      <c r="T142" s="10" t="str">
        <f t="shared" si="41"/>
        <v>уникален</v>
      </c>
    </row>
    <row r="143" ht="15" customHeight="1">
      <c r="A143" s="10">
        <v>141</v>
      </c>
      <c r="B143" s="11" t="str">
        <f>RAW_Товары!A142</f>
        <v>141/24</v>
      </c>
      <c r="C143" s="11" t="str">
        <f>RAW_Товары!B142</f>
        <v xml:space="preserve">Монитор BenQ PD3220U (4K)</v>
      </c>
      <c r="D143" s="11" t="str">
        <f>RAW_Товары!C142</f>
        <v>Мониторы</v>
      </c>
      <c r="E143" s="11" t="str">
        <f>RAW_Товары!D142</f>
        <v>BENQ</v>
      </c>
      <c r="F143" s="11" t="str">
        <f>RAW_Товары!E142</f>
        <v xml:space="preserve">59 500</v>
      </c>
      <c r="G143" s="11" t="str">
        <f>RAW_Товары!F142</f>
        <v xml:space="preserve">92 500</v>
      </c>
      <c r="H143" s="11" t="str">
        <f>RAW_Товары!G142</f>
        <v>шт</v>
      </c>
      <c r="I143" s="12" t="str">
        <f t="shared" si="32"/>
        <v>141/24</v>
      </c>
      <c r="J143" s="12" t="str">
        <f t="shared" si="33"/>
        <v xml:space="preserve">Монитор BenQ PD3220U</v>
      </c>
      <c r="K143" s="12" t="str">
        <f t="shared" si="34"/>
        <v>Мониторы</v>
      </c>
      <c r="L143" s="13" t="str">
        <f t="shared" si="35"/>
        <v>АРТ-141</v>
      </c>
      <c r="M143" s="13" t="str">
        <f t="shared" si="36"/>
        <v xml:space="preserve">Монитор Benq Pd3220U</v>
      </c>
      <c r="N143" s="13" t="str">
        <f>IFERROR(VLOOKUP(K143,Справочники!$A$6:$B$16,2,0),"НЕТ В СПРАВОЧНИКЕ")</f>
        <v>Мониторы</v>
      </c>
      <c r="O143" s="13" t="str">
        <f t="shared" si="37"/>
        <v>Benq</v>
      </c>
      <c r="P143" s="14">
        <f t="shared" si="38"/>
        <v>59500</v>
      </c>
      <c r="Q143" s="14">
        <f t="shared" si="39"/>
        <v>92500</v>
      </c>
      <c r="R143" s="13" t="str">
        <f t="shared" si="42"/>
        <v>шт</v>
      </c>
      <c r="S143" s="10" t="str">
        <f t="shared" si="40"/>
        <v>OK</v>
      </c>
      <c r="T143" s="10" t="str">
        <f t="shared" si="41"/>
        <v>уникален</v>
      </c>
    </row>
    <row r="144" ht="15" customHeight="1">
      <c r="A144" s="10">
        <v>142</v>
      </c>
      <c r="B144" s="11" t="str">
        <f>RAW_Товары!A143</f>
        <v>№АРТ-142</v>
      </c>
      <c r="C144" s="11" t="str">
        <f>RAW_Товары!B143</f>
        <v xml:space="preserve">Мышь Apple Magic Mouse</v>
      </c>
      <c r="D144" s="11" t="str">
        <f>RAW_Товары!C143</f>
        <v>Аксессуары</v>
      </c>
      <c r="E144" s="11" t="str">
        <f>RAW_Товары!D143</f>
        <v>Apple</v>
      </c>
      <c r="F144" s="11" t="str">
        <f>RAW_Товары!E143</f>
        <v xml:space="preserve">4 500</v>
      </c>
      <c r="G144" s="11" t="str">
        <f>RAW_Товары!F143</f>
        <v xml:space="preserve">7 990</v>
      </c>
      <c r="H144" s="11" t="str">
        <f>RAW_Товары!G143</f>
        <v>шт.</v>
      </c>
      <c r="I144" s="12" t="str">
        <f t="shared" si="32"/>
        <v>142</v>
      </c>
      <c r="J144" s="12" t="str">
        <f t="shared" si="33"/>
        <v xml:space="preserve">Мышь Apple Magic Mouse</v>
      </c>
      <c r="K144" s="12" t="str">
        <f t="shared" si="34"/>
        <v>Аксессуары</v>
      </c>
      <c r="L144" s="13" t="str">
        <f t="shared" si="35"/>
        <v>АРТ-142</v>
      </c>
      <c r="M144" s="13" t="str">
        <f t="shared" si="36"/>
        <v xml:space="preserve">Мышь Apple Magic Mouse</v>
      </c>
      <c r="N144" s="13" t="str">
        <f>IFERROR(VLOOKUP(K144,Справочники!$A$6:$B$16,2,0),"НЕТ В СПРАВОЧНИКЕ")</f>
        <v>Аксессуары</v>
      </c>
      <c r="O144" s="13" t="str">
        <f t="shared" si="37"/>
        <v>Apple</v>
      </c>
      <c r="P144" s="14">
        <f t="shared" si="38"/>
        <v>4500</v>
      </c>
      <c r="Q144" s="14">
        <f t="shared" si="39"/>
        <v>7990</v>
      </c>
      <c r="R144" s="13" t="str">
        <f t="shared" si="42"/>
        <v>шт</v>
      </c>
      <c r="S144" s="10" t="str">
        <f t="shared" si="40"/>
        <v>OK</v>
      </c>
      <c r="T144" s="10" t="str">
        <f t="shared" si="41"/>
        <v>уникален</v>
      </c>
    </row>
    <row r="145" ht="15" customHeight="1">
      <c r="A145" s="10">
        <v>143</v>
      </c>
      <c r="B145" s="11" t="str">
        <f>RAW_Товары!A144</f>
        <v>АРТ_143</v>
      </c>
      <c r="C145" s="11" t="str">
        <f>RAW_Товары!B144</f>
        <v xml:space="preserve">мышь APPLE MAGIC MOUSE</v>
      </c>
      <c r="D145" s="11" t="str">
        <f>RAW_Товары!C144</f>
        <v>Аксессуары</v>
      </c>
      <c r="E145" s="11" t="str">
        <f>RAW_Товары!D144</f>
        <v>apple</v>
      </c>
      <c r="F145" s="11" t="str">
        <f>RAW_Товары!E144</f>
        <v xml:space="preserve">4 200</v>
      </c>
      <c r="G145" s="11" t="str">
        <f>RAW_Товары!F144</f>
        <v xml:space="preserve">7 500</v>
      </c>
      <c r="H145" s="11" t="str">
        <f>RAW_Товары!G144</f>
        <v>штука</v>
      </c>
      <c r="I145" s="12" t="str">
        <f t="shared" si="32"/>
        <v>143</v>
      </c>
      <c r="J145" s="12" t="str">
        <f t="shared" si="33"/>
        <v xml:space="preserve">мышь APPLE MAGIC MOUSE</v>
      </c>
      <c r="K145" s="12" t="str">
        <f t="shared" si="34"/>
        <v>Аксессуары</v>
      </c>
      <c r="L145" s="13" t="str">
        <f t="shared" si="35"/>
        <v>АРТ-143</v>
      </c>
      <c r="M145" s="13" t="str">
        <f t="shared" si="36"/>
        <v xml:space="preserve">Мышь Apple Magic Mouse</v>
      </c>
      <c r="N145" s="13" t="str">
        <f>IFERROR(VLOOKUP(K145,Справочники!$A$6:$B$16,2,0),"НЕТ В СПРАВОЧНИКЕ")</f>
        <v>Аксессуары</v>
      </c>
      <c r="O145" s="13" t="str">
        <f t="shared" si="37"/>
        <v>Apple</v>
      </c>
      <c r="P145" s="14">
        <f t="shared" si="38"/>
        <v>4200</v>
      </c>
      <c r="Q145" s="14">
        <f t="shared" si="39"/>
        <v>7500</v>
      </c>
      <c r="R145" s="13" t="str">
        <f t="shared" si="42"/>
        <v>шт</v>
      </c>
      <c r="S145" s="10" t="str">
        <f t="shared" si="40"/>
        <v>OK</v>
      </c>
      <c r="T145" s="10" t="str">
        <f t="shared" si="41"/>
        <v>уникален</v>
      </c>
    </row>
    <row r="146" ht="15" customHeight="1">
      <c r="A146" s="10">
        <v>144</v>
      </c>
      <c r="B146" s="11" t="str">
        <f>RAW_Товары!A145</f>
        <v>144-24</v>
      </c>
      <c r="C146" s="11" t="str">
        <f>RAW_Товары!B145</f>
        <v xml:space="preserve">Мышь Apple Magic Mouse (Black)</v>
      </c>
      <c r="D146" s="11" t="str">
        <f>RAW_Товары!C145</f>
        <v>Аксессуары</v>
      </c>
      <c r="E146" s="11" t="str">
        <f>RAW_Товары!D145</f>
        <v>APPLE</v>
      </c>
      <c r="F146" s="11" t="str">
        <f>RAW_Товары!E145</f>
        <v xml:space="preserve">4 800</v>
      </c>
      <c r="G146" s="11" t="str">
        <f>RAW_Товары!F145</f>
        <v xml:space="preserve">8 500</v>
      </c>
      <c r="H146" s="11" t="str">
        <f>RAW_Товары!G145</f>
        <v>шт</v>
      </c>
      <c r="I146" s="12" t="str">
        <f t="shared" si="32"/>
        <v>144-24</v>
      </c>
      <c r="J146" s="12" t="str">
        <f t="shared" si="33"/>
        <v xml:space="preserve">Мышь Apple Magic Mouse</v>
      </c>
      <c r="K146" s="12" t="str">
        <f t="shared" si="34"/>
        <v>Аксессуары</v>
      </c>
      <c r="L146" s="13" t="str">
        <f t="shared" si="35"/>
        <v>АРТ-144</v>
      </c>
      <c r="M146" s="13" t="str">
        <f t="shared" si="36"/>
        <v xml:space="preserve">Мышь Apple Magic Mouse</v>
      </c>
      <c r="N146" s="13" t="str">
        <f>IFERROR(VLOOKUP(K146,Справочники!$A$6:$B$16,2,0),"НЕТ В СПРАВОЧНИКЕ")</f>
        <v>Аксессуары</v>
      </c>
      <c r="O146" s="13" t="str">
        <f t="shared" si="37"/>
        <v>Apple</v>
      </c>
      <c r="P146" s="14">
        <f t="shared" si="38"/>
        <v>4800</v>
      </c>
      <c r="Q146" s="14">
        <f t="shared" si="39"/>
        <v>8500</v>
      </c>
      <c r="R146" s="13" t="str">
        <f t="shared" si="42"/>
        <v>шт</v>
      </c>
      <c r="S146" s="10" t="str">
        <f t="shared" si="40"/>
        <v>OK</v>
      </c>
      <c r="T146" s="10" t="str">
        <f t="shared" si="41"/>
        <v>уникален</v>
      </c>
    </row>
    <row r="147" ht="15" customHeight="1">
      <c r="A147" s="10">
        <v>145</v>
      </c>
      <c r="B147" s="11" t="str">
        <f>RAW_Товары!A146</f>
        <v>№АРТ-145</v>
      </c>
      <c r="C147" s="11" t="str">
        <f>RAW_Товары!B146</f>
        <v xml:space="preserve">Смартфон Motorola Edge 40</v>
      </c>
      <c r="D147" s="11" t="str">
        <f>RAW_Товары!C146</f>
        <v>Смартфоны</v>
      </c>
      <c r="E147" s="11" t="str">
        <f>RAW_Товары!D146</f>
        <v>Motorola</v>
      </c>
      <c r="F147" s="11" t="str">
        <f>RAW_Товары!E146</f>
        <v xml:space="preserve">27 000</v>
      </c>
      <c r="G147" s="11" t="str">
        <f>RAW_Товары!F146</f>
        <v xml:space="preserve">45 990</v>
      </c>
      <c r="H147" s="11" t="str">
        <f>RAW_Товары!G146</f>
        <v>шт.</v>
      </c>
      <c r="I147" s="12" t="str">
        <f t="shared" si="32"/>
        <v>145</v>
      </c>
      <c r="J147" s="12" t="str">
        <f t="shared" si="33"/>
        <v xml:space="preserve">Смартфон Motorola Edge 40</v>
      </c>
      <c r="K147" s="12" t="str">
        <f t="shared" si="34"/>
        <v>Смартфоны</v>
      </c>
      <c r="L147" s="13" t="str">
        <f t="shared" si="35"/>
        <v>АРТ-145</v>
      </c>
      <c r="M147" s="13" t="str">
        <f t="shared" si="36"/>
        <v xml:space="preserve">Смартфон Motorola Edge 40</v>
      </c>
      <c r="N147" s="13" t="str">
        <f>IFERROR(VLOOKUP(K147,Справочники!$A$6:$B$16,2,0),"НЕТ В СПРАВОЧНИКЕ")</f>
        <v>Смартфоны</v>
      </c>
      <c r="O147" s="13" t="str">
        <f t="shared" si="37"/>
        <v>Motorola</v>
      </c>
      <c r="P147" s="14">
        <f t="shared" si="38"/>
        <v>27000</v>
      </c>
      <c r="Q147" s="14">
        <f t="shared" si="39"/>
        <v>45990</v>
      </c>
      <c r="R147" s="13" t="str">
        <f t="shared" si="42"/>
        <v>шт</v>
      </c>
      <c r="S147" s="10" t="str">
        <f t="shared" si="40"/>
        <v>OK</v>
      </c>
      <c r="T147" s="10" t="str">
        <f t="shared" si="41"/>
        <v>уникален</v>
      </c>
    </row>
    <row r="148" ht="15" customHeight="1">
      <c r="A148" s="10">
        <v>146</v>
      </c>
      <c r="B148" s="11" t="str">
        <f>RAW_Товары!A147</f>
        <v>АРТ_146</v>
      </c>
      <c r="C148" s="11" t="str">
        <f>RAW_Товары!B147</f>
        <v xml:space="preserve">смартфон MOTOROLA EDGE 40</v>
      </c>
      <c r="D148" s="11" t="str">
        <f>RAW_Товары!C147</f>
        <v>Телефоны</v>
      </c>
      <c r="E148" s="11" t="str">
        <f>RAW_Товары!D147</f>
        <v>motorola</v>
      </c>
      <c r="F148" s="11" t="str">
        <f>RAW_Товары!E147</f>
        <v xml:space="preserve">26 000</v>
      </c>
      <c r="G148" s="11" t="str">
        <f>RAW_Товары!F147</f>
        <v xml:space="preserve">44 500</v>
      </c>
      <c r="H148" s="11" t="str">
        <f>RAW_Товары!G147</f>
        <v>штуки</v>
      </c>
      <c r="I148" s="12" t="str">
        <f t="shared" si="32"/>
        <v>146</v>
      </c>
      <c r="J148" s="12" t="str">
        <f t="shared" si="33"/>
        <v xml:space="preserve">смартфон MOTOROLA EDGE 40</v>
      </c>
      <c r="K148" s="12" t="str">
        <f t="shared" si="34"/>
        <v>Телефоны</v>
      </c>
      <c r="L148" s="13" t="str">
        <f t="shared" si="35"/>
        <v>АРТ-146</v>
      </c>
      <c r="M148" s="13" t="str">
        <f t="shared" si="36"/>
        <v xml:space="preserve">Смартфон Motorola Edge 40</v>
      </c>
      <c r="N148" s="13" t="str">
        <f>IFERROR(VLOOKUP(K148,Справочники!$A$6:$B$16,2,0),"НЕТ В СПРАВОЧНИКЕ")</f>
        <v>Смартфоны</v>
      </c>
      <c r="O148" s="13" t="str">
        <f t="shared" si="37"/>
        <v>Motorola</v>
      </c>
      <c r="P148" s="14">
        <f t="shared" si="38"/>
        <v>26000</v>
      </c>
      <c r="Q148" s="14">
        <f t="shared" si="39"/>
        <v>44500</v>
      </c>
      <c r="R148" s="13" t="str">
        <f t="shared" si="42"/>
        <v>шт</v>
      </c>
      <c r="S148" s="10" t="str">
        <f t="shared" si="40"/>
        <v>OK</v>
      </c>
      <c r="T148" s="10" t="str">
        <f t="shared" si="41"/>
        <v>уникален</v>
      </c>
    </row>
    <row r="149" ht="15" customHeight="1">
      <c r="A149" s="10">
        <v>147</v>
      </c>
      <c r="B149" s="11" t="str">
        <f>RAW_Товары!A148</f>
        <v>147/24</v>
      </c>
      <c r="C149" s="11" t="str">
        <f>RAW_Товары!B148</f>
        <v xml:space="preserve">Смартфон Motorola Edge 40 (Pro)</v>
      </c>
      <c r="D149" s="11" t="str">
        <f>RAW_Товары!C148</f>
        <v xml:space="preserve">Мобильные телефоны</v>
      </c>
      <c r="E149" s="11" t="str">
        <f>RAW_Товары!D148</f>
        <v>MOTOROLA</v>
      </c>
      <c r="F149" s="11" t="str">
        <f>RAW_Товары!E148</f>
        <v xml:space="preserve">28 000</v>
      </c>
      <c r="G149" s="11" t="str">
        <f>RAW_Товары!F148</f>
        <v xml:space="preserve">47 500</v>
      </c>
      <c r="H149" s="11" t="str">
        <f>RAW_Товары!G148</f>
        <v>шт</v>
      </c>
      <c r="I149" s="12" t="str">
        <f t="shared" si="32"/>
        <v>147/24</v>
      </c>
      <c r="J149" s="12" t="str">
        <f t="shared" si="33"/>
        <v xml:space="preserve">Смартфон Motorola Edge 40</v>
      </c>
      <c r="K149" s="12" t="str">
        <f t="shared" si="34"/>
        <v xml:space="preserve">Мобильные телефоны</v>
      </c>
      <c r="L149" s="13" t="str">
        <f t="shared" si="35"/>
        <v>АРТ-147</v>
      </c>
      <c r="M149" s="13" t="str">
        <f t="shared" si="36"/>
        <v xml:space="preserve">Смартфон Motorola Edge 40</v>
      </c>
      <c r="N149" s="13" t="str">
        <f>IFERROR(VLOOKUP(K149,Справочники!$A$6:$B$16,2,0),"НЕТ В СПРАВОЧНИКЕ")</f>
        <v>Смартфоны</v>
      </c>
      <c r="O149" s="13" t="str">
        <f t="shared" si="37"/>
        <v>Motorola</v>
      </c>
      <c r="P149" s="14">
        <f t="shared" si="38"/>
        <v>28000</v>
      </c>
      <c r="Q149" s="14">
        <f t="shared" si="39"/>
        <v>47500</v>
      </c>
      <c r="R149" s="13" t="str">
        <f t="shared" si="42"/>
        <v>шт</v>
      </c>
      <c r="S149" s="10" t="str">
        <f t="shared" si="40"/>
        <v>OK</v>
      </c>
      <c r="T149" s="10" t="str">
        <f t="shared" si="41"/>
        <v>уникален</v>
      </c>
    </row>
    <row r="150" ht="15" customHeight="1">
      <c r="A150" s="10">
        <v>148</v>
      </c>
      <c r="B150" s="11" t="str">
        <f>RAW_Товары!A149</f>
        <v>№АРТ-148</v>
      </c>
      <c r="C150" s="11" t="str">
        <f>RAW_Товары!B149</f>
        <v xml:space="preserve">Ноутбук Gigabyte Aorus 17</v>
      </c>
      <c r="D150" s="11" t="str">
        <f>RAW_Товары!C149</f>
        <v>Ноутбуки</v>
      </c>
      <c r="E150" s="11" t="str">
        <f>RAW_Товары!D149</f>
        <v>Gigabyte</v>
      </c>
      <c r="F150" s="11" t="str">
        <f>RAW_Товары!E149</f>
        <v xml:space="preserve">92 000</v>
      </c>
      <c r="G150" s="11" t="str">
        <f>RAW_Товары!F149</f>
        <v xml:space="preserve">139 990</v>
      </c>
      <c r="H150" s="11" t="str">
        <f>RAW_Товары!G149</f>
        <v>шт.</v>
      </c>
      <c r="I150" s="12" t="str">
        <f t="shared" si="32"/>
        <v>148</v>
      </c>
      <c r="J150" s="12" t="str">
        <f t="shared" si="33"/>
        <v xml:space="preserve">Ноутбук Gigabyte Aorus 17</v>
      </c>
      <c r="K150" s="12" t="str">
        <f t="shared" si="34"/>
        <v>Ноутбуки</v>
      </c>
      <c r="L150" s="13" t="str">
        <f t="shared" si="35"/>
        <v>АРТ-148</v>
      </c>
      <c r="M150" s="13" t="str">
        <f t="shared" si="36"/>
        <v xml:space="preserve">Ноутбук Gigabyte Aorus 17</v>
      </c>
      <c r="N150" s="13" t="str">
        <f>IFERROR(VLOOKUP(K150,Справочники!$A$6:$B$16,2,0),"НЕТ В СПРАВОЧНИКЕ")</f>
        <v>Ноутбуки</v>
      </c>
      <c r="O150" s="13" t="str">
        <f t="shared" si="37"/>
        <v>Gigabyte</v>
      </c>
      <c r="P150" s="14">
        <f t="shared" si="38"/>
        <v>92000</v>
      </c>
      <c r="Q150" s="14">
        <f t="shared" si="39"/>
        <v>139990</v>
      </c>
      <c r="R150" s="13" t="str">
        <f t="shared" si="42"/>
        <v>шт</v>
      </c>
      <c r="S150" s="10" t="str">
        <f t="shared" si="40"/>
        <v>OK</v>
      </c>
      <c r="T150" s="10" t="str">
        <f t="shared" si="41"/>
        <v>уникален</v>
      </c>
    </row>
    <row r="151" ht="15" customHeight="1">
      <c r="A151" s="10">
        <v>149</v>
      </c>
      <c r="B151" s="11" t="str">
        <f>RAW_Товары!A150</f>
        <v>АРТ_149</v>
      </c>
      <c r="C151" s="11" t="str">
        <f>RAW_Товары!B150</f>
        <v xml:space="preserve">ноутбук GIGABYTE AORUS 17</v>
      </c>
      <c r="D151" s="11" t="str">
        <f>RAW_Товары!C150</f>
        <v>Лэптопы</v>
      </c>
      <c r="E151" s="11" t="str">
        <f>RAW_Товары!D150</f>
        <v>gigabyte</v>
      </c>
      <c r="F151" s="11" t="str">
        <f>RAW_Товары!E150</f>
        <v xml:space="preserve">90 000</v>
      </c>
      <c r="G151" s="11" t="str">
        <f>RAW_Товары!F150</f>
        <v xml:space="preserve">137 000</v>
      </c>
      <c r="H151" s="11" t="str">
        <f>RAW_Товары!G150</f>
        <v>штука</v>
      </c>
      <c r="I151" s="12" t="str">
        <f t="shared" si="32"/>
        <v>149</v>
      </c>
      <c r="J151" s="12" t="str">
        <f t="shared" si="33"/>
        <v xml:space="preserve">ноутбук GIGABYTE AORUS 17</v>
      </c>
      <c r="K151" s="12" t="str">
        <f t="shared" si="34"/>
        <v>Лэптопы</v>
      </c>
      <c r="L151" s="13" t="str">
        <f t="shared" si="35"/>
        <v>АРТ-149</v>
      </c>
      <c r="M151" s="13" t="str">
        <f t="shared" si="36"/>
        <v xml:space="preserve">Ноутбук Gigabyte Aorus 17</v>
      </c>
      <c r="N151" s="13" t="str">
        <f>IFERROR(VLOOKUP(K151,Справочники!$A$6:$B$16,2,0),"НЕТ В СПРАВОЧНИКЕ")</f>
        <v>Ноутбуки</v>
      </c>
      <c r="O151" s="13" t="str">
        <f t="shared" si="37"/>
        <v>Gigabyte</v>
      </c>
      <c r="P151" s="14">
        <f t="shared" si="38"/>
        <v>90000</v>
      </c>
      <c r="Q151" s="14">
        <f t="shared" si="39"/>
        <v>137000</v>
      </c>
      <c r="R151" s="13" t="str">
        <f t="shared" si="42"/>
        <v>шт</v>
      </c>
      <c r="S151" s="10" t="str">
        <f t="shared" si="40"/>
        <v>OK</v>
      </c>
      <c r="T151" s="10" t="str">
        <f t="shared" si="41"/>
        <v>уникален</v>
      </c>
    </row>
    <row r="152" ht="15" customHeight="1">
      <c r="A152" s="10">
        <v>150</v>
      </c>
      <c r="B152" s="11" t="str">
        <f>RAW_Товары!A151</f>
        <v>150-24</v>
      </c>
      <c r="C152" s="11" t="str">
        <f>RAW_Товары!B151</f>
        <v xml:space="preserve">Ноутбук Gigabyte Aorus 17 (Gaming)</v>
      </c>
      <c r="D152" s="11" t="str">
        <f>RAW_Товары!C151</f>
        <v>Ноутбуки</v>
      </c>
      <c r="E152" s="11" t="str">
        <f>RAW_Товары!D151</f>
        <v>GIGABYTE</v>
      </c>
      <c r="F152" s="11" t="str">
        <f>RAW_Товары!E151</f>
        <v xml:space="preserve">93 500</v>
      </c>
      <c r="G152" s="11" t="str">
        <f>RAW_Товары!F151</f>
        <v xml:space="preserve">142 500</v>
      </c>
      <c r="H152" s="11" t="str">
        <f>RAW_Товары!G151</f>
        <v>шт</v>
      </c>
      <c r="I152" s="12" t="str">
        <f t="shared" si="32"/>
        <v>150-24</v>
      </c>
      <c r="J152" s="12" t="str">
        <f t="shared" si="33"/>
        <v xml:space="preserve">Ноутбук Gigabyte Aorus 17</v>
      </c>
      <c r="K152" s="12" t="str">
        <f t="shared" si="34"/>
        <v>Ноутбуки</v>
      </c>
      <c r="L152" s="13" t="str">
        <f t="shared" si="35"/>
        <v>АРТ-150</v>
      </c>
      <c r="M152" s="13" t="str">
        <f t="shared" si="36"/>
        <v xml:space="preserve">Ноутбук Gigabyte Aorus 17</v>
      </c>
      <c r="N152" s="13" t="str">
        <f>IFERROR(VLOOKUP(K152,Справочники!$A$6:$B$16,2,0),"НЕТ В СПРАВОЧНИКЕ")</f>
        <v>Ноутбуки</v>
      </c>
      <c r="O152" s="13" t="str">
        <f t="shared" si="37"/>
        <v>Gigabyte</v>
      </c>
      <c r="P152" s="14">
        <f t="shared" si="38"/>
        <v>93500</v>
      </c>
      <c r="Q152" s="14">
        <f t="shared" si="39"/>
        <v>142500</v>
      </c>
      <c r="R152" s="13" t="str">
        <f t="shared" si="42"/>
        <v>шт</v>
      </c>
      <c r="S152" s="10" t="str">
        <f t="shared" si="40"/>
        <v>OK</v>
      </c>
      <c r="T152" s="10" t="str">
        <f t="shared" si="41"/>
        <v>уникален</v>
      </c>
    </row>
    <row r="153" ht="15" customHeight="1">
      <c r="A153" s="10">
        <v>151</v>
      </c>
      <c r="B153" s="11" t="str">
        <f>RAW_Товары!A152</f>
        <v>№АРТ-151</v>
      </c>
      <c r="C153" s="11" t="str">
        <f>RAW_Товары!B152</f>
        <v xml:space="preserve">Телевизор Panasonic HZ2000</v>
      </c>
      <c r="D153" s="11" t="str">
        <f>RAW_Товары!C152</f>
        <v>Телевизоры</v>
      </c>
      <c r="E153" s="11" t="str">
        <f>RAW_Товары!D152</f>
        <v>Panasonic</v>
      </c>
      <c r="F153" s="11" t="str">
        <f>RAW_Товары!E152</f>
        <v xml:space="preserve">100 000</v>
      </c>
      <c r="G153" s="11" t="str">
        <f>RAW_Товары!F152</f>
        <v xml:space="preserve">154 990</v>
      </c>
      <c r="H153" s="11" t="str">
        <f>RAW_Товары!G152</f>
        <v>шт.</v>
      </c>
      <c r="I153" s="12" t="str">
        <f t="shared" si="32"/>
        <v>151</v>
      </c>
      <c r="J153" s="12" t="str">
        <f t="shared" si="33"/>
        <v xml:space="preserve">Телевизор Panasonic HZ2000</v>
      </c>
      <c r="K153" s="12" t="str">
        <f t="shared" si="34"/>
        <v>Телевизоры</v>
      </c>
      <c r="L153" s="13" t="str">
        <f t="shared" si="35"/>
        <v>АРТ-151</v>
      </c>
      <c r="M153" s="13" t="str">
        <f t="shared" si="36"/>
        <v xml:space="preserve">Телевизор Panasonic Hz2000</v>
      </c>
      <c r="N153" s="13" t="str">
        <f>IFERROR(VLOOKUP(K153,Справочники!$A$6:$B$16,2,0),"НЕТ В СПРАВОЧНИКЕ")</f>
        <v>Телевизоры</v>
      </c>
      <c r="O153" s="13" t="str">
        <f t="shared" si="37"/>
        <v>Panasonic</v>
      </c>
      <c r="P153" s="14">
        <f t="shared" si="38"/>
        <v>100000</v>
      </c>
      <c r="Q153" s="14">
        <f t="shared" si="39"/>
        <v>154990</v>
      </c>
      <c r="R153" s="13" t="str">
        <f t="shared" si="42"/>
        <v>шт</v>
      </c>
      <c r="S153" s="10" t="str">
        <f t="shared" si="40"/>
        <v>OK</v>
      </c>
      <c r="T153" s="10" t="str">
        <f t="shared" si="41"/>
        <v>уникален</v>
      </c>
    </row>
    <row r="154" ht="15" customHeight="1">
      <c r="A154" s="10">
        <v>152</v>
      </c>
      <c r="B154" s="11" t="str">
        <f>RAW_Товары!A153</f>
        <v>АРТ_152</v>
      </c>
      <c r="C154" s="11" t="str">
        <f>RAW_Товары!B153</f>
        <v xml:space="preserve">телевизор PANASONIC HZ2000</v>
      </c>
      <c r="D154" s="11" t="str">
        <f>RAW_Товары!C153</f>
        <v>Телевизоры</v>
      </c>
      <c r="E154" s="11" t="str">
        <f>RAW_Товары!D153</f>
        <v>panasonic</v>
      </c>
      <c r="F154" s="11" t="str">
        <f>RAW_Товары!E153</f>
        <v xml:space="preserve">98 000</v>
      </c>
      <c r="G154" s="11" t="str">
        <f>RAW_Товары!F153</f>
        <v xml:space="preserve">151 500</v>
      </c>
      <c r="H154" s="11" t="str">
        <f>RAW_Товары!G153</f>
        <v>штуки</v>
      </c>
      <c r="I154" s="12" t="str">
        <f t="shared" si="32"/>
        <v>152</v>
      </c>
      <c r="J154" s="12" t="str">
        <f t="shared" si="33"/>
        <v xml:space="preserve">телевизор PANASONIC HZ2000</v>
      </c>
      <c r="K154" s="12" t="str">
        <f t="shared" si="34"/>
        <v>Телевизоры</v>
      </c>
      <c r="L154" s="13" t="str">
        <f t="shared" si="35"/>
        <v>АРТ-152</v>
      </c>
      <c r="M154" s="13" t="str">
        <f t="shared" si="36"/>
        <v xml:space="preserve">Телевизор Panasonic Hz2000</v>
      </c>
      <c r="N154" s="13" t="str">
        <f>IFERROR(VLOOKUP(K154,Справочники!$A$6:$B$16,2,0),"НЕТ В СПРАВОЧНИКЕ")</f>
        <v>Телевизоры</v>
      </c>
      <c r="O154" s="13" t="str">
        <f t="shared" si="37"/>
        <v>Panasonic</v>
      </c>
      <c r="P154" s="14">
        <f t="shared" si="38"/>
        <v>98000</v>
      </c>
      <c r="Q154" s="14">
        <f t="shared" si="39"/>
        <v>151500</v>
      </c>
      <c r="R154" s="13" t="str">
        <f t="shared" si="42"/>
        <v>шт</v>
      </c>
      <c r="S154" s="10" t="str">
        <f t="shared" si="40"/>
        <v>OK</v>
      </c>
      <c r="T154" s="10" t="str">
        <f t="shared" si="41"/>
        <v>уникален</v>
      </c>
    </row>
    <row r="155" ht="15" customHeight="1">
      <c r="A155" s="10">
        <v>153</v>
      </c>
      <c r="B155" s="11" t="str">
        <f>RAW_Товары!A154</f>
        <v>153/24</v>
      </c>
      <c r="C155" s="11" t="str">
        <f>RAW_Товары!B154</f>
        <v xml:space="preserve">Телевизор Panasonic HZ2000 (OLED)</v>
      </c>
      <c r="D155" s="11" t="str">
        <f>RAW_Товары!C154</f>
        <v>Телевизоры</v>
      </c>
      <c r="E155" s="11" t="str">
        <f>RAW_Товары!D154</f>
        <v>PANASONIC</v>
      </c>
      <c r="F155" s="11" t="str">
        <f>RAW_Товары!E154</f>
        <v xml:space="preserve">102 000</v>
      </c>
      <c r="G155" s="11" t="str">
        <f>RAW_Товары!F154</f>
        <v xml:space="preserve">158 000</v>
      </c>
      <c r="H155" s="11" t="str">
        <f>RAW_Товары!G154</f>
        <v>шт</v>
      </c>
      <c r="I155" s="12" t="str">
        <f t="shared" si="32"/>
        <v>153/24</v>
      </c>
      <c r="J155" s="12" t="str">
        <f t="shared" si="33"/>
        <v xml:space="preserve">Телевизор Panasonic HZ2000</v>
      </c>
      <c r="K155" s="12" t="str">
        <f t="shared" si="34"/>
        <v>Телевизоры</v>
      </c>
      <c r="L155" s="13" t="str">
        <f t="shared" si="35"/>
        <v>АРТ-153</v>
      </c>
      <c r="M155" s="13" t="str">
        <f t="shared" si="36"/>
        <v xml:space="preserve">Телевизор Panasonic Hz2000</v>
      </c>
      <c r="N155" s="13" t="str">
        <f>IFERROR(VLOOKUP(K155,Справочники!$A$6:$B$16,2,0),"НЕТ В СПРАВОЧНИКЕ")</f>
        <v>Телевизоры</v>
      </c>
      <c r="O155" s="13" t="str">
        <f t="shared" si="37"/>
        <v>Panasonic</v>
      </c>
      <c r="P155" s="14">
        <f t="shared" si="38"/>
        <v>102000</v>
      </c>
      <c r="Q155" s="14">
        <f t="shared" si="39"/>
        <v>158000</v>
      </c>
      <c r="R155" s="13" t="str">
        <f t="shared" si="42"/>
        <v>шт</v>
      </c>
      <c r="S155" s="10" t="str">
        <f t="shared" si="40"/>
        <v>OK</v>
      </c>
      <c r="T155" s="10" t="str">
        <f t="shared" si="41"/>
        <v>уникален</v>
      </c>
    </row>
    <row r="156" ht="15" customHeight="1">
      <c r="A156" s="10">
        <v>154</v>
      </c>
      <c r="B156" s="11" t="str">
        <f>RAW_Товары!A155</f>
        <v>№АРТ-154</v>
      </c>
      <c r="C156" s="11" t="str">
        <f>RAW_Товары!B155</f>
        <v xml:space="preserve">Наушники Audio-Technica ATH-M50x</v>
      </c>
      <c r="D156" s="11" t="str">
        <f>RAW_Товары!C155</f>
        <v>Наушники</v>
      </c>
      <c r="E156" s="11" t="str">
        <f>RAW_Товары!D155</f>
        <v>Audio-Technica</v>
      </c>
      <c r="F156" s="11" t="str">
        <f>RAW_Товары!E155</f>
        <v xml:space="preserve">10 000</v>
      </c>
      <c r="G156" s="11" t="str">
        <f>RAW_Товары!F155</f>
        <v xml:space="preserve">16 990</v>
      </c>
      <c r="H156" s="11" t="str">
        <f>RAW_Товары!G155</f>
        <v>шт.</v>
      </c>
      <c r="I156" s="12" t="str">
        <f t="shared" si="32"/>
        <v>154</v>
      </c>
      <c r="J156" s="12" t="str">
        <f t="shared" si="33"/>
        <v xml:space="preserve">Наушники Audio-Technica ATH-M50x</v>
      </c>
      <c r="K156" s="12" t="str">
        <f t="shared" si="34"/>
        <v>Наушники</v>
      </c>
      <c r="L156" s="13" t="str">
        <f t="shared" si="35"/>
        <v>АРТ-154</v>
      </c>
      <c r="M156" s="13" t="str">
        <f t="shared" si="36"/>
        <v xml:space="preserve">Наушники Audio-Technica Ath-M50X</v>
      </c>
      <c r="N156" s="13" t="str">
        <f>IFERROR(VLOOKUP(K156,Справочники!$A$6:$B$16,2,0),"НЕТ В СПРАВОЧНИКЕ")</f>
        <v>Наушники</v>
      </c>
      <c r="O156" s="13" t="str">
        <f t="shared" si="37"/>
        <v>Audio-Technica</v>
      </c>
      <c r="P156" s="14">
        <f t="shared" si="38"/>
        <v>10000</v>
      </c>
      <c r="Q156" s="14">
        <f t="shared" si="39"/>
        <v>16990</v>
      </c>
      <c r="R156" s="13" t="str">
        <f t="shared" si="42"/>
        <v>шт</v>
      </c>
      <c r="S156" s="10" t="str">
        <f t="shared" si="40"/>
        <v>OK</v>
      </c>
      <c r="T156" s="10" t="str">
        <f t="shared" si="41"/>
        <v>уникален</v>
      </c>
    </row>
    <row r="157" ht="15" customHeight="1">
      <c r="A157" s="10">
        <v>155</v>
      </c>
      <c r="B157" s="11" t="str">
        <f>RAW_Товары!A156</f>
        <v>АРТ_155</v>
      </c>
      <c r="C157" s="11" t="str">
        <f>RAW_Товары!B156</f>
        <v xml:space="preserve">наушники AUDIO-TECHNICA ATH-M50X</v>
      </c>
      <c r="D157" s="11" t="str">
        <f>RAW_Товары!C156</f>
        <v>Наушники</v>
      </c>
      <c r="E157" s="11" t="str">
        <f>RAW_Товары!D156</f>
        <v>audio-technica</v>
      </c>
      <c r="F157" s="11" t="str">
        <f>RAW_Товары!E156</f>
        <v xml:space="preserve">9 500</v>
      </c>
      <c r="G157" s="11" t="str">
        <f>RAW_Товары!F156</f>
        <v xml:space="preserve">16 000</v>
      </c>
      <c r="H157" s="11" t="str">
        <f>RAW_Товары!G156</f>
        <v>штука</v>
      </c>
      <c r="I157" s="12" t="str">
        <f t="shared" si="32"/>
        <v>155</v>
      </c>
      <c r="J157" s="12" t="str">
        <f t="shared" si="33"/>
        <v xml:space="preserve">наушники AUDIO-TECHNICA ATH-M50X</v>
      </c>
      <c r="K157" s="12" t="str">
        <f t="shared" si="34"/>
        <v>Наушники</v>
      </c>
      <c r="L157" s="13" t="str">
        <f t="shared" si="35"/>
        <v>АРТ-155</v>
      </c>
      <c r="M157" s="13" t="str">
        <f t="shared" si="36"/>
        <v xml:space="preserve">Наушники Audio-Technica Ath-M50X</v>
      </c>
      <c r="N157" s="13" t="str">
        <f>IFERROR(VLOOKUP(K157,Справочники!$A$6:$B$16,2,0),"НЕТ В СПРАВОЧНИКЕ")</f>
        <v>Наушники</v>
      </c>
      <c r="O157" s="13" t="str">
        <f t="shared" si="37"/>
        <v>Audio-Technica</v>
      </c>
      <c r="P157" s="14">
        <f t="shared" si="38"/>
        <v>9500</v>
      </c>
      <c r="Q157" s="14">
        <f t="shared" si="39"/>
        <v>16000</v>
      </c>
      <c r="R157" s="13" t="str">
        <f t="shared" si="42"/>
        <v>шт</v>
      </c>
      <c r="S157" s="10" t="str">
        <f t="shared" si="40"/>
        <v>OK</v>
      </c>
      <c r="T157" s="10" t="str">
        <f t="shared" si="41"/>
        <v>уникален</v>
      </c>
    </row>
    <row r="158" ht="15" customHeight="1">
      <c r="A158" s="10">
        <v>156</v>
      </c>
      <c r="B158" s="11" t="str">
        <f>RAW_Товары!A157</f>
        <v>156-24</v>
      </c>
      <c r="C158" s="11" t="str">
        <f>RAW_Товары!B157</f>
        <v xml:space="preserve">Наушники Audio-Technica ATH-M50x (BT)</v>
      </c>
      <c r="D158" s="11" t="str">
        <f>RAW_Товары!C157</f>
        <v>Наушники</v>
      </c>
      <c r="E158" s="11" t="str">
        <f>RAW_Товары!D157</f>
        <v>AUDIO-TECHNICA</v>
      </c>
      <c r="F158" s="11" t="str">
        <f>RAW_Товары!E157</f>
        <v xml:space="preserve">10 500</v>
      </c>
      <c r="G158" s="11" t="str">
        <f>RAW_Товары!F157</f>
        <v xml:space="preserve">17 800</v>
      </c>
      <c r="H158" s="11" t="str">
        <f>RAW_Товары!G157</f>
        <v>шт</v>
      </c>
      <c r="I158" s="12" t="str">
        <f t="shared" si="32"/>
        <v>156-24</v>
      </c>
      <c r="J158" s="12" t="str">
        <f t="shared" si="33"/>
        <v xml:space="preserve">Наушники Audio-Technica ATH-M50x</v>
      </c>
      <c r="K158" s="12" t="str">
        <f t="shared" si="34"/>
        <v>Наушники</v>
      </c>
      <c r="L158" s="13" t="str">
        <f t="shared" si="35"/>
        <v>АРТ-156</v>
      </c>
      <c r="M158" s="13" t="str">
        <f t="shared" si="36"/>
        <v xml:space="preserve">Наушники Audio-Technica Ath-M50X</v>
      </c>
      <c r="N158" s="13" t="str">
        <f>IFERROR(VLOOKUP(K158,Справочники!$A$6:$B$16,2,0),"НЕТ В СПРАВОЧНИКЕ")</f>
        <v>Наушники</v>
      </c>
      <c r="O158" s="13" t="str">
        <f t="shared" si="37"/>
        <v>Audio-Technica</v>
      </c>
      <c r="P158" s="14">
        <f t="shared" si="38"/>
        <v>10500</v>
      </c>
      <c r="Q158" s="14">
        <f t="shared" si="39"/>
        <v>17800</v>
      </c>
      <c r="R158" s="13" t="str">
        <f t="shared" si="42"/>
        <v>шт</v>
      </c>
      <c r="S158" s="10" t="str">
        <f t="shared" si="40"/>
        <v>OK</v>
      </c>
      <c r="T158" s="10" t="str">
        <f t="shared" si="41"/>
        <v>уникален</v>
      </c>
    </row>
    <row r="159" ht="15" customHeight="1">
      <c r="A159" s="10">
        <v>157</v>
      </c>
      <c r="B159" s="11" t="str">
        <f>RAW_Товары!A158</f>
        <v>№АРТ-157</v>
      </c>
      <c r="C159" s="11" t="str">
        <f>RAW_Товары!B158</f>
        <v xml:space="preserve">Монитор ASUS ProArt PA329CV</v>
      </c>
      <c r="D159" s="11" t="str">
        <f>RAW_Товары!C158</f>
        <v>Мониторы</v>
      </c>
      <c r="E159" s="11" t="str">
        <f>RAW_Товары!D158</f>
        <v>ASUS</v>
      </c>
      <c r="F159" s="11" t="str">
        <f>RAW_Товары!E158</f>
        <v xml:space="preserve">60 000</v>
      </c>
      <c r="G159" s="11" t="str">
        <f>RAW_Товары!F158</f>
        <v xml:space="preserve">92 900</v>
      </c>
      <c r="H159" s="11" t="str">
        <f>RAW_Товары!G158</f>
        <v>шт.</v>
      </c>
      <c r="I159" s="12" t="str">
        <f t="shared" si="32"/>
        <v>157</v>
      </c>
      <c r="J159" s="12" t="str">
        <f t="shared" si="33"/>
        <v xml:space="preserve">Монитор ASUS ProArt PA329CV</v>
      </c>
      <c r="K159" s="12" t="str">
        <f t="shared" si="34"/>
        <v>Мониторы</v>
      </c>
      <c r="L159" s="13" t="str">
        <f t="shared" si="35"/>
        <v>АРТ-157</v>
      </c>
      <c r="M159" s="13" t="str">
        <f t="shared" si="36"/>
        <v xml:space="preserve">Монитор Asus Proart Pa329Cv</v>
      </c>
      <c r="N159" s="13" t="str">
        <f>IFERROR(VLOOKUP(K159,Справочники!$A$6:$B$16,2,0),"НЕТ В СПРАВОЧНИКЕ")</f>
        <v>Мониторы</v>
      </c>
      <c r="O159" s="13" t="str">
        <f t="shared" si="37"/>
        <v>Asus</v>
      </c>
      <c r="P159" s="14">
        <f t="shared" si="38"/>
        <v>60000</v>
      </c>
      <c r="Q159" s="14">
        <f t="shared" si="39"/>
        <v>92900</v>
      </c>
      <c r="R159" s="13" t="str">
        <f t="shared" si="42"/>
        <v>шт</v>
      </c>
      <c r="S159" s="10" t="str">
        <f t="shared" si="40"/>
        <v>OK</v>
      </c>
      <c r="T159" s="10" t="str">
        <f t="shared" si="41"/>
        <v>уникален</v>
      </c>
    </row>
    <row r="160" ht="15" customHeight="1">
      <c r="A160" s="10">
        <v>158</v>
      </c>
      <c r="B160" s="11" t="str">
        <f>RAW_Товары!A159</f>
        <v>АРТ_158</v>
      </c>
      <c r="C160" s="11" t="str">
        <f>RAW_Товары!B159</f>
        <v xml:space="preserve">монитор ASUS PROART PA329CV</v>
      </c>
      <c r="D160" s="11" t="str">
        <f>RAW_Товары!C159</f>
        <v>Мониторы</v>
      </c>
      <c r="E160" s="11" t="str">
        <f>RAW_Товары!D159</f>
        <v>asus</v>
      </c>
      <c r="F160" s="11" t="str">
        <f>RAW_Товары!E159</f>
        <v xml:space="preserve">58 500</v>
      </c>
      <c r="G160" s="11" t="str">
        <f>RAW_Товары!F159</f>
        <v xml:space="preserve">90 000</v>
      </c>
      <c r="H160" s="11" t="str">
        <f>RAW_Товары!G159</f>
        <v>штуки</v>
      </c>
      <c r="I160" s="12" t="str">
        <f t="shared" si="32"/>
        <v>158</v>
      </c>
      <c r="J160" s="12" t="str">
        <f t="shared" si="33"/>
        <v xml:space="preserve">монитор ASUS PROART PA329CV</v>
      </c>
      <c r="K160" s="12" t="str">
        <f t="shared" si="34"/>
        <v>Мониторы</v>
      </c>
      <c r="L160" s="13" t="str">
        <f t="shared" si="35"/>
        <v>АРТ-158</v>
      </c>
      <c r="M160" s="13" t="str">
        <f t="shared" si="36"/>
        <v xml:space="preserve">Монитор Asus Proart Pa329Cv</v>
      </c>
      <c r="N160" s="13" t="str">
        <f>IFERROR(VLOOKUP(K160,Справочники!$A$6:$B$16,2,0),"НЕТ В СПРАВОЧНИКЕ")</f>
        <v>Мониторы</v>
      </c>
      <c r="O160" s="13" t="str">
        <f t="shared" si="37"/>
        <v>Asus</v>
      </c>
      <c r="P160" s="14">
        <f t="shared" si="38"/>
        <v>58500</v>
      </c>
      <c r="Q160" s="14">
        <f t="shared" si="39"/>
        <v>90000</v>
      </c>
      <c r="R160" s="13" t="str">
        <f t="shared" si="42"/>
        <v>шт</v>
      </c>
      <c r="S160" s="10" t="str">
        <f t="shared" si="40"/>
        <v>OK</v>
      </c>
      <c r="T160" s="10" t="str">
        <f t="shared" si="41"/>
        <v>уникален</v>
      </c>
    </row>
    <row r="161" ht="15" customHeight="1">
      <c r="A161" s="10">
        <v>159</v>
      </c>
      <c r="B161" s="11" t="str">
        <f>RAW_Товары!A160</f>
        <v>159/24</v>
      </c>
      <c r="C161" s="11" t="str">
        <f>RAW_Товары!B160</f>
        <v xml:space="preserve">Монитор ASUS ProArt PA329CV (4K)</v>
      </c>
      <c r="D161" s="11" t="str">
        <f>RAW_Товары!C160</f>
        <v>Мониторы</v>
      </c>
      <c r="E161" s="11" t="str">
        <f>RAW_Товары!D160</f>
        <v>ASUS</v>
      </c>
      <c r="F161" s="11" t="str">
        <f>RAW_Товары!E160</f>
        <v xml:space="preserve">61 500</v>
      </c>
      <c r="G161" s="11" t="str">
        <f>RAW_Товары!F160</f>
        <v xml:space="preserve">95 500</v>
      </c>
      <c r="H161" s="11" t="str">
        <f>RAW_Товары!G160</f>
        <v>шт</v>
      </c>
      <c r="I161" s="12" t="str">
        <f t="shared" si="32"/>
        <v>159/24</v>
      </c>
      <c r="J161" s="12" t="str">
        <f t="shared" si="33"/>
        <v xml:space="preserve">Монитор ASUS ProArt PA329CV</v>
      </c>
      <c r="K161" s="12" t="str">
        <f t="shared" si="34"/>
        <v>Мониторы</v>
      </c>
      <c r="L161" s="13" t="str">
        <f t="shared" si="35"/>
        <v>АРТ-159</v>
      </c>
      <c r="M161" s="13" t="str">
        <f t="shared" si="36"/>
        <v xml:space="preserve">Монитор Asus Proart Pa329Cv</v>
      </c>
      <c r="N161" s="13" t="str">
        <f>IFERROR(VLOOKUP(K161,Справочники!$A$6:$B$16,2,0),"НЕТ В СПРАВОЧНИКЕ")</f>
        <v>Мониторы</v>
      </c>
      <c r="O161" s="13" t="str">
        <f t="shared" si="37"/>
        <v>Asus</v>
      </c>
      <c r="P161" s="14">
        <f t="shared" si="38"/>
        <v>61500</v>
      </c>
      <c r="Q161" s="14">
        <f t="shared" si="39"/>
        <v>95500</v>
      </c>
      <c r="R161" s="13" t="str">
        <f t="shared" si="42"/>
        <v>шт</v>
      </c>
      <c r="S161" s="10" t="str">
        <f t="shared" si="40"/>
        <v>OK</v>
      </c>
      <c r="T161" s="10" t="str">
        <f t="shared" si="41"/>
        <v>уникален</v>
      </c>
    </row>
    <row r="162" ht="15" customHeight="1">
      <c r="A162" s="10">
        <v>160</v>
      </c>
      <c r="B162" s="11" t="str">
        <f>RAW_Товары!A161</f>
        <v>№АРТ-160</v>
      </c>
      <c r="C162" s="11" t="str">
        <f>RAW_Товары!B161</f>
        <v xml:space="preserve">Клавиатура Ducky One 3 Mini</v>
      </c>
      <c r="D162" s="11" t="str">
        <f>RAW_Товары!C161</f>
        <v>Аксессуары</v>
      </c>
      <c r="E162" s="11" t="str">
        <f>RAW_Товары!D161</f>
        <v>Ducky</v>
      </c>
      <c r="F162" s="11" t="str">
        <f>RAW_Товары!E161</f>
        <v xml:space="preserve">5 000</v>
      </c>
      <c r="G162" s="11" t="str">
        <f>RAW_Товары!F161</f>
        <v xml:space="preserve">8 990</v>
      </c>
      <c r="H162" s="11" t="str">
        <f>RAW_Товары!G161</f>
        <v>шт.</v>
      </c>
      <c r="I162" s="12" t="str">
        <f t="shared" si="32"/>
        <v>160</v>
      </c>
      <c r="J162" s="12" t="str">
        <f t="shared" si="33"/>
        <v xml:space="preserve">Клавиатура Ducky One 3 Mini</v>
      </c>
      <c r="K162" s="12" t="str">
        <f t="shared" si="34"/>
        <v>Аксессуары</v>
      </c>
      <c r="L162" s="13" t="str">
        <f t="shared" si="35"/>
        <v>АРТ-160</v>
      </c>
      <c r="M162" s="13" t="str">
        <f t="shared" si="36"/>
        <v xml:space="preserve">Клавиатура Ducky One 3 Mini</v>
      </c>
      <c r="N162" s="13" t="str">
        <f>IFERROR(VLOOKUP(K162,Справочники!$A$6:$B$16,2,0),"НЕТ В СПРАВОЧНИКЕ")</f>
        <v>Аксессуары</v>
      </c>
      <c r="O162" s="13" t="str">
        <f t="shared" si="37"/>
        <v>Ducky</v>
      </c>
      <c r="P162" s="14">
        <f t="shared" si="38"/>
        <v>5000</v>
      </c>
      <c r="Q162" s="14">
        <f t="shared" si="39"/>
        <v>8990</v>
      </c>
      <c r="R162" s="13" t="str">
        <f t="shared" si="42"/>
        <v>шт</v>
      </c>
      <c r="S162" s="10" t="str">
        <f t="shared" si="40"/>
        <v>OK</v>
      </c>
      <c r="T162" s="10" t="str">
        <f t="shared" si="41"/>
        <v>уникален</v>
      </c>
    </row>
    <row r="163" ht="15" customHeight="1">
      <c r="A163" s="10">
        <v>161</v>
      </c>
      <c r="B163" s="11" t="str">
        <f>RAW_Товары!A162</f>
        <v>АРТ_161</v>
      </c>
      <c r="C163" s="11" t="str">
        <f>RAW_Товары!B162</f>
        <v xml:space="preserve">клавиатура DUCKY ONE 3 MINI</v>
      </c>
      <c r="D163" s="11" t="str">
        <f>RAW_Товары!C162</f>
        <v>Аксессуары</v>
      </c>
      <c r="E163" s="11" t="str">
        <f>RAW_Товары!D162</f>
        <v>ducky</v>
      </c>
      <c r="F163" s="11" t="str">
        <f>RAW_Товары!E162</f>
        <v xml:space="preserve">4 700</v>
      </c>
      <c r="G163" s="11" t="str">
        <f>RAW_Товары!F162</f>
        <v xml:space="preserve">8 500</v>
      </c>
      <c r="H163" s="11" t="str">
        <f>RAW_Товары!G162</f>
        <v>штука</v>
      </c>
      <c r="I163" s="12" t="str">
        <f t="shared" si="32"/>
        <v>161</v>
      </c>
      <c r="J163" s="12" t="str">
        <f t="shared" si="33"/>
        <v xml:space="preserve">клавиатура DUCKY ONE 3 MINI</v>
      </c>
      <c r="K163" s="12" t="str">
        <f t="shared" si="34"/>
        <v>Аксессуары</v>
      </c>
      <c r="L163" s="13" t="str">
        <f t="shared" si="35"/>
        <v>АРТ-161</v>
      </c>
      <c r="M163" s="13" t="str">
        <f t="shared" si="36"/>
        <v xml:space="preserve">Клавиатура Ducky One 3 Mini</v>
      </c>
      <c r="N163" s="13" t="str">
        <f>IFERROR(VLOOKUP(K163,Справочники!$A$6:$B$16,2,0),"НЕТ В СПРАВОЧНИКЕ")</f>
        <v>Аксессуары</v>
      </c>
      <c r="O163" s="13" t="str">
        <f t="shared" si="37"/>
        <v>Ducky</v>
      </c>
      <c r="P163" s="14">
        <f t="shared" si="38"/>
        <v>4700</v>
      </c>
      <c r="Q163" s="14">
        <f t="shared" si="39"/>
        <v>8500</v>
      </c>
      <c r="R163" s="13" t="str">
        <f t="shared" si="42"/>
        <v>шт</v>
      </c>
      <c r="S163" s="10" t="str">
        <f t="shared" si="40"/>
        <v>OK</v>
      </c>
      <c r="T163" s="10" t="str">
        <f t="shared" si="41"/>
        <v>уникален</v>
      </c>
    </row>
    <row r="164" ht="15" customHeight="1">
      <c r="A164" s="10">
        <v>162</v>
      </c>
      <c r="B164" s="11" t="str">
        <f>RAW_Товары!A163</f>
        <v>162-24</v>
      </c>
      <c r="C164" s="11" t="str">
        <f>RAW_Товары!B163</f>
        <v xml:space="preserve">Клавиатура Ducky One 3 Mini (RGB)</v>
      </c>
      <c r="D164" s="11" t="str">
        <f>RAW_Товары!C163</f>
        <v>Аксессуары</v>
      </c>
      <c r="E164" s="11" t="str">
        <f>RAW_Товары!D163</f>
        <v>DUCKY</v>
      </c>
      <c r="F164" s="11" t="str">
        <f>RAW_Товары!E163</f>
        <v xml:space="preserve">5 200</v>
      </c>
      <c r="G164" s="11" t="str">
        <f>RAW_Товары!F163</f>
        <v xml:space="preserve">9 500</v>
      </c>
      <c r="H164" s="11" t="str">
        <f>RAW_Товары!G163</f>
        <v>шт</v>
      </c>
      <c r="I164" s="12" t="str">
        <f t="shared" ref="I164:I227" si="43">SUBSTITUTE(SUBSTITUTE(B164,"№АРТ-",""),"АРТ_","")</f>
        <v>162-24</v>
      </c>
      <c r="J164" s="12" t="str">
        <f t="shared" ref="J164:J227" si="44">TRIM(LEFT(C164,IFERROR(FIND("(",C164)-1,LEN(C164))))</f>
        <v xml:space="preserve">Клавиатура Ducky One 3 Mini</v>
      </c>
      <c r="K164" s="12" t="str">
        <f t="shared" ref="K164:K227" si="45">TRIM(D164)</f>
        <v>Аксессуары</v>
      </c>
      <c r="L164" s="13" t="str">
        <f t="shared" ref="L164:L227" si="46">"АРТ-"&amp;LEFT(I164,3)</f>
        <v>АРТ-162</v>
      </c>
      <c r="M164" s="13" t="str">
        <f t="shared" ref="M164:M227" si="47">PROPER(TRIM(J164))</f>
        <v xml:space="preserve">Клавиатура Ducky One 3 Mini</v>
      </c>
      <c r="N164" s="13" t="str">
        <f>IFERROR(VLOOKUP(K164,Справочники!$A$6:$B$16,2,0),"НЕТ В СПРАВОЧНИКЕ")</f>
        <v>Аксессуары</v>
      </c>
      <c r="O164" s="13" t="str">
        <f t="shared" ref="O164:O227" si="48">PROPER(TRIM(E164))</f>
        <v>Ducky</v>
      </c>
      <c r="P164" s="14">
        <f t="shared" ref="P164:P227" si="49">ROUND(VALUE(SUBSTITUTE(SUBSTITUTE(F164," ",""),",",".")),2)</f>
        <v>5200</v>
      </c>
      <c r="Q164" s="14">
        <f t="shared" ref="Q164:Q227" si="50">ROUND(VALUE(SUBSTITUTE(SUBSTITUTE(G164," ",""),",",".")),2)</f>
        <v>9500</v>
      </c>
      <c r="R164" s="13" t="str">
        <f t="shared" si="42"/>
        <v>шт</v>
      </c>
      <c r="S164" s="10" t="str">
        <f t="shared" ref="S164:S227" si="51">IF(Q164&gt;=P164,"OK","ОШИБКА: розница &lt; закупки")</f>
        <v>OK</v>
      </c>
      <c r="T164" s="10" t="str">
        <f t="shared" ref="T164:T227" si="52">IF(COUNTIF($L$3:$L$503,L164)=1,"уникален","ДУБЛЬ")</f>
        <v>уникален</v>
      </c>
    </row>
    <row r="165" ht="15" customHeight="1">
      <c r="A165" s="10">
        <v>163</v>
      </c>
      <c r="B165" s="11" t="str">
        <f>RAW_Товары!A164</f>
        <v>№АРТ-163</v>
      </c>
      <c r="C165" s="11" t="str">
        <f>RAW_Товары!B164</f>
        <v xml:space="preserve">Смарт-часы Huawei Watch GT4</v>
      </c>
      <c r="D165" s="11" t="str">
        <f>RAW_Товары!C164</f>
        <v>Часы</v>
      </c>
      <c r="E165" s="11" t="str">
        <f>RAW_Товары!D164</f>
        <v>Huawei</v>
      </c>
      <c r="F165" s="11" t="str">
        <f>RAW_Товары!E164</f>
        <v xml:space="preserve">18 000</v>
      </c>
      <c r="G165" s="11" t="str">
        <f>RAW_Товары!F164</f>
        <v xml:space="preserve">29 990</v>
      </c>
      <c r="H165" s="11" t="str">
        <f>RAW_Товары!G164</f>
        <v>шт.</v>
      </c>
      <c r="I165" s="12" t="str">
        <f t="shared" si="43"/>
        <v>163</v>
      </c>
      <c r="J165" s="12" t="str">
        <f t="shared" si="44"/>
        <v xml:space="preserve">Смарт-часы Huawei Watch GT4</v>
      </c>
      <c r="K165" s="12" t="str">
        <f t="shared" si="45"/>
        <v>Часы</v>
      </c>
      <c r="L165" s="13" t="str">
        <f t="shared" si="46"/>
        <v>АРТ-163</v>
      </c>
      <c r="M165" s="13" t="str">
        <f t="shared" si="47"/>
        <v xml:space="preserve">Смарт-Часы Huawei Watch Gt4</v>
      </c>
      <c r="N165" s="13" t="str">
        <f>IFERROR(VLOOKUP(K165,Справочники!$A$6:$B$16,2,0),"НЕТ В СПРАВОЧНИКЕ")</f>
        <v>Часы</v>
      </c>
      <c r="O165" s="13" t="str">
        <f t="shared" si="48"/>
        <v>Huawei</v>
      </c>
      <c r="P165" s="14">
        <f t="shared" si="49"/>
        <v>18000</v>
      </c>
      <c r="Q165" s="14">
        <f t="shared" si="50"/>
        <v>29990</v>
      </c>
      <c r="R165" s="13" t="str">
        <f t="shared" si="42"/>
        <v>шт</v>
      </c>
      <c r="S165" s="10" t="str">
        <f t="shared" si="51"/>
        <v>OK</v>
      </c>
      <c r="T165" s="10" t="str">
        <f t="shared" si="52"/>
        <v>уникален</v>
      </c>
    </row>
    <row r="166" ht="15" customHeight="1">
      <c r="A166" s="10">
        <v>164</v>
      </c>
      <c r="B166" s="11" t="str">
        <f>RAW_Товары!A165</f>
        <v>АРТ_164</v>
      </c>
      <c r="C166" s="11" t="str">
        <f>RAW_Товары!B165</f>
        <v xml:space="preserve">смарт-часы HUAWEI WATCH GT4</v>
      </c>
      <c r="D166" s="11" t="str">
        <f>RAW_Товары!C165</f>
        <v>Часы</v>
      </c>
      <c r="E166" s="11" t="str">
        <f>RAW_Товары!D165</f>
        <v>huawei</v>
      </c>
      <c r="F166" s="11" t="str">
        <f>RAW_Товары!E165</f>
        <v xml:space="preserve">17 000</v>
      </c>
      <c r="G166" s="11" t="str">
        <f>RAW_Товары!F165</f>
        <v xml:space="preserve">28 500</v>
      </c>
      <c r="H166" s="11" t="str">
        <f>RAW_Товары!G165</f>
        <v>штуки</v>
      </c>
      <c r="I166" s="12" t="str">
        <f t="shared" si="43"/>
        <v>164</v>
      </c>
      <c r="J166" s="12" t="str">
        <f t="shared" si="44"/>
        <v xml:space="preserve">смарт-часы HUAWEI WATCH GT4</v>
      </c>
      <c r="K166" s="12" t="str">
        <f t="shared" si="45"/>
        <v>Часы</v>
      </c>
      <c r="L166" s="13" t="str">
        <f t="shared" si="46"/>
        <v>АРТ-164</v>
      </c>
      <c r="M166" s="13" t="str">
        <f t="shared" si="47"/>
        <v xml:space="preserve">Смарт-Часы Huawei Watch Gt4</v>
      </c>
      <c r="N166" s="13" t="str">
        <f>IFERROR(VLOOKUP(K166,Справочники!$A$6:$B$16,2,0),"НЕТ В СПРАВОЧНИКЕ")</f>
        <v>Часы</v>
      </c>
      <c r="O166" s="13" t="str">
        <f t="shared" si="48"/>
        <v>Huawei</v>
      </c>
      <c r="P166" s="14">
        <f t="shared" si="49"/>
        <v>17000</v>
      </c>
      <c r="Q166" s="14">
        <f t="shared" si="50"/>
        <v>28500</v>
      </c>
      <c r="R166" s="13" t="str">
        <f t="shared" si="42"/>
        <v>шт</v>
      </c>
      <c r="S166" s="10" t="str">
        <f t="shared" si="51"/>
        <v>OK</v>
      </c>
      <c r="T166" s="10" t="str">
        <f t="shared" si="52"/>
        <v>уникален</v>
      </c>
    </row>
    <row r="167" ht="15" customHeight="1">
      <c r="A167" s="10">
        <v>165</v>
      </c>
      <c r="B167" s="11" t="str">
        <f>RAW_Товары!A166</f>
        <v>165/24</v>
      </c>
      <c r="C167" s="11" t="str">
        <f>RAW_Товары!B166</f>
        <v xml:space="preserve">Смарт-часы Huawei Watch GT4 (41mm)</v>
      </c>
      <c r="D167" s="11" t="str">
        <f>RAW_Товары!C166</f>
        <v>Часы</v>
      </c>
      <c r="E167" s="11" t="str">
        <f>RAW_Товары!D166</f>
        <v>HUAWEI</v>
      </c>
      <c r="F167" s="11" t="str">
        <f>RAW_Товары!E166</f>
        <v xml:space="preserve">19 000</v>
      </c>
      <c r="G167" s="11" t="str">
        <f>RAW_Товары!F166</f>
        <v xml:space="preserve">31 000</v>
      </c>
      <c r="H167" s="11" t="str">
        <f>RAW_Товары!G166</f>
        <v>шт</v>
      </c>
      <c r="I167" s="12" t="str">
        <f t="shared" si="43"/>
        <v>165/24</v>
      </c>
      <c r="J167" s="12" t="str">
        <f t="shared" si="44"/>
        <v xml:space="preserve">Смарт-часы Huawei Watch GT4</v>
      </c>
      <c r="K167" s="12" t="str">
        <f t="shared" si="45"/>
        <v>Часы</v>
      </c>
      <c r="L167" s="13" t="str">
        <f t="shared" si="46"/>
        <v>АРТ-165</v>
      </c>
      <c r="M167" s="13" t="str">
        <f t="shared" si="47"/>
        <v xml:space="preserve">Смарт-Часы Huawei Watch Gt4</v>
      </c>
      <c r="N167" s="13" t="str">
        <f>IFERROR(VLOOKUP(K167,Справочники!$A$6:$B$16,2,0),"НЕТ В СПРАВОЧНИКЕ")</f>
        <v>Часы</v>
      </c>
      <c r="O167" s="13" t="str">
        <f t="shared" si="48"/>
        <v>Huawei</v>
      </c>
      <c r="P167" s="14">
        <f t="shared" si="49"/>
        <v>19000</v>
      </c>
      <c r="Q167" s="14">
        <f t="shared" si="50"/>
        <v>31000</v>
      </c>
      <c r="R167" s="13" t="str">
        <f t="shared" si="42"/>
        <v>шт</v>
      </c>
      <c r="S167" s="10" t="str">
        <f t="shared" si="51"/>
        <v>OK</v>
      </c>
      <c r="T167" s="10" t="str">
        <f t="shared" si="52"/>
        <v>уникален</v>
      </c>
    </row>
    <row r="168" ht="15" customHeight="1">
      <c r="A168" s="10">
        <v>166</v>
      </c>
      <c r="B168" s="11" t="str">
        <f>RAW_Товары!A167</f>
        <v>№АРТ-166</v>
      </c>
      <c r="C168" s="11" t="str">
        <f>RAW_Товары!B167</f>
        <v xml:space="preserve">Планшет Microsoft Surface Pro 9</v>
      </c>
      <c r="D168" s="11" t="str">
        <f>RAW_Товары!C167</f>
        <v>Планшеты</v>
      </c>
      <c r="E168" s="11" t="str">
        <f>RAW_Товары!D167</f>
        <v>Microsoft</v>
      </c>
      <c r="F168" s="11" t="str">
        <f>RAW_Товары!E167</f>
        <v xml:space="preserve">52 000</v>
      </c>
      <c r="G168" s="11" t="str">
        <f>RAW_Товары!F167</f>
        <v xml:space="preserve">82 990</v>
      </c>
      <c r="H168" s="11" t="str">
        <f>RAW_Товары!G167</f>
        <v>шт.</v>
      </c>
      <c r="I168" s="12" t="str">
        <f t="shared" si="43"/>
        <v>166</v>
      </c>
      <c r="J168" s="12" t="str">
        <f t="shared" si="44"/>
        <v xml:space="preserve">Планшет Microsoft Surface Pro 9</v>
      </c>
      <c r="K168" s="12" t="str">
        <f t="shared" si="45"/>
        <v>Планшеты</v>
      </c>
      <c r="L168" s="13" t="str">
        <f t="shared" si="46"/>
        <v>АРТ-166</v>
      </c>
      <c r="M168" s="13" t="str">
        <f t="shared" si="47"/>
        <v xml:space="preserve">Планшет Microsoft Surface Pro 9</v>
      </c>
      <c r="N168" s="13" t="str">
        <f>IFERROR(VLOOKUP(K168,Справочники!$A$6:$B$16,2,0),"НЕТ В СПРАВОЧНИКЕ")</f>
        <v>Планшеты</v>
      </c>
      <c r="O168" s="13" t="str">
        <f t="shared" si="48"/>
        <v>Microsoft</v>
      </c>
      <c r="P168" s="14">
        <f t="shared" si="49"/>
        <v>52000</v>
      </c>
      <c r="Q168" s="14">
        <f t="shared" si="50"/>
        <v>82990</v>
      </c>
      <c r="R168" s="13" t="str">
        <f t="shared" si="42"/>
        <v>шт</v>
      </c>
      <c r="S168" s="10" t="str">
        <f t="shared" si="51"/>
        <v>OK</v>
      </c>
      <c r="T168" s="10" t="str">
        <f t="shared" si="52"/>
        <v>уникален</v>
      </c>
    </row>
    <row r="169" ht="15" customHeight="1">
      <c r="A169" s="10">
        <v>167</v>
      </c>
      <c r="B169" s="11" t="str">
        <f>RAW_Товары!A168</f>
        <v>АРТ_167</v>
      </c>
      <c r="C169" s="11" t="str">
        <f>RAW_Товары!B168</f>
        <v xml:space="preserve">планшет MICROSOFT SURFACE PRO 9</v>
      </c>
      <c r="D169" s="11" t="str">
        <f>RAW_Товары!C168</f>
        <v>Планшеты</v>
      </c>
      <c r="E169" s="11" t="str">
        <f>RAW_Товары!D168</f>
        <v>microsoft</v>
      </c>
      <c r="F169" s="11" t="str">
        <f>RAW_Товары!E168</f>
        <v xml:space="preserve">50 000</v>
      </c>
      <c r="G169" s="11" t="str">
        <f>RAW_Товары!F168</f>
        <v xml:space="preserve">80 000</v>
      </c>
      <c r="H169" s="11" t="str">
        <f>RAW_Товары!G168</f>
        <v>штука</v>
      </c>
      <c r="I169" s="12" t="str">
        <f t="shared" si="43"/>
        <v>167</v>
      </c>
      <c r="J169" s="12" t="str">
        <f t="shared" si="44"/>
        <v xml:space="preserve">планшет MICROSOFT SURFACE PRO 9</v>
      </c>
      <c r="K169" s="12" t="str">
        <f t="shared" si="45"/>
        <v>Планшеты</v>
      </c>
      <c r="L169" s="13" t="str">
        <f t="shared" si="46"/>
        <v>АРТ-167</v>
      </c>
      <c r="M169" s="13" t="str">
        <f t="shared" si="47"/>
        <v xml:space="preserve">Планшет Microsoft Surface Pro 9</v>
      </c>
      <c r="N169" s="13" t="str">
        <f>IFERROR(VLOOKUP(K169,Справочники!$A$6:$B$16,2,0),"НЕТ В СПРАВОЧНИКЕ")</f>
        <v>Планшеты</v>
      </c>
      <c r="O169" s="13" t="str">
        <f t="shared" si="48"/>
        <v>Microsoft</v>
      </c>
      <c r="P169" s="14">
        <f t="shared" si="49"/>
        <v>50000</v>
      </c>
      <c r="Q169" s="14">
        <f t="shared" si="50"/>
        <v>80000</v>
      </c>
      <c r="R169" s="13" t="str">
        <f t="shared" si="42"/>
        <v>шт</v>
      </c>
      <c r="S169" s="10" t="str">
        <f t="shared" si="51"/>
        <v>OK</v>
      </c>
      <c r="T169" s="10" t="str">
        <f t="shared" si="52"/>
        <v>уникален</v>
      </c>
    </row>
    <row r="170" ht="15" customHeight="1">
      <c r="A170" s="10">
        <v>168</v>
      </c>
      <c r="B170" s="11" t="str">
        <f>RAW_Товары!A169</f>
        <v>168-24</v>
      </c>
      <c r="C170" s="11" t="str">
        <f>RAW_Товары!B169</f>
        <v xml:space="preserve">Планшет Microsoft Surface Pro 9 (i5)</v>
      </c>
      <c r="D170" s="11" t="str">
        <f>RAW_Товары!C169</f>
        <v>Планшеты</v>
      </c>
      <c r="E170" s="11" t="str">
        <f>RAW_Товары!D169</f>
        <v>MICROSOFT</v>
      </c>
      <c r="F170" s="11" t="str">
        <f>RAW_Товары!E169</f>
        <v xml:space="preserve">53 500</v>
      </c>
      <c r="G170" s="11" t="str">
        <f>RAW_Товары!F169</f>
        <v xml:space="preserve">85 000</v>
      </c>
      <c r="H170" s="11" t="str">
        <f>RAW_Товары!G169</f>
        <v>шт</v>
      </c>
      <c r="I170" s="12" t="str">
        <f t="shared" si="43"/>
        <v>168-24</v>
      </c>
      <c r="J170" s="12" t="str">
        <f t="shared" si="44"/>
        <v xml:space="preserve">Планшет Microsoft Surface Pro 9</v>
      </c>
      <c r="K170" s="12" t="str">
        <f t="shared" si="45"/>
        <v>Планшеты</v>
      </c>
      <c r="L170" s="13" t="str">
        <f t="shared" si="46"/>
        <v>АРТ-168</v>
      </c>
      <c r="M170" s="13" t="str">
        <f t="shared" si="47"/>
        <v xml:space="preserve">Планшет Microsoft Surface Pro 9</v>
      </c>
      <c r="N170" s="13" t="str">
        <f>IFERROR(VLOOKUP(K170,Справочники!$A$6:$B$16,2,0),"НЕТ В СПРАВОЧНИКЕ")</f>
        <v>Планшеты</v>
      </c>
      <c r="O170" s="13" t="str">
        <f t="shared" si="48"/>
        <v>Microsoft</v>
      </c>
      <c r="P170" s="14">
        <f t="shared" si="49"/>
        <v>53500</v>
      </c>
      <c r="Q170" s="14">
        <f t="shared" si="50"/>
        <v>85000</v>
      </c>
      <c r="R170" s="13" t="str">
        <f t="shared" si="42"/>
        <v>шт</v>
      </c>
      <c r="S170" s="10" t="str">
        <f t="shared" si="51"/>
        <v>OK</v>
      </c>
      <c r="T170" s="10" t="str">
        <f t="shared" si="52"/>
        <v>уникален</v>
      </c>
    </row>
    <row r="171" ht="15" customHeight="1">
      <c r="A171" s="10">
        <v>169</v>
      </c>
      <c r="B171" s="11" t="str">
        <f>RAW_Товары!A170</f>
        <v>№АРТ-169</v>
      </c>
      <c r="C171" s="11" t="str">
        <f>RAW_Товары!B170</f>
        <v xml:space="preserve">Смартфон Oppo Find X6</v>
      </c>
      <c r="D171" s="11" t="str">
        <f>RAW_Товары!C170</f>
        <v>Смартфоны</v>
      </c>
      <c r="E171" s="11" t="str">
        <f>RAW_Товары!D170</f>
        <v>Oppo</v>
      </c>
      <c r="F171" s="11" t="str">
        <f>RAW_Товары!E170</f>
        <v xml:space="preserve">34 000</v>
      </c>
      <c r="G171" s="11" t="str">
        <f>RAW_Товары!F170</f>
        <v xml:space="preserve">57 990</v>
      </c>
      <c r="H171" s="11" t="str">
        <f>RAW_Товары!G170</f>
        <v>шт.</v>
      </c>
      <c r="I171" s="12" t="str">
        <f t="shared" si="43"/>
        <v>169</v>
      </c>
      <c r="J171" s="12" t="str">
        <f t="shared" si="44"/>
        <v xml:space="preserve">Смартфон Oppo Find X6</v>
      </c>
      <c r="K171" s="12" t="str">
        <f t="shared" si="45"/>
        <v>Смартфоны</v>
      </c>
      <c r="L171" s="13" t="str">
        <f t="shared" si="46"/>
        <v>АРТ-169</v>
      </c>
      <c r="M171" s="13" t="str">
        <f t="shared" si="47"/>
        <v xml:space="preserve">Смартфон Oppo Find X6</v>
      </c>
      <c r="N171" s="13" t="str">
        <f>IFERROR(VLOOKUP(K171,Справочники!$A$6:$B$16,2,0),"НЕТ В СПРАВОЧНИКЕ")</f>
        <v>Смартфоны</v>
      </c>
      <c r="O171" s="13" t="str">
        <f t="shared" si="48"/>
        <v>Oppo</v>
      </c>
      <c r="P171" s="14">
        <f t="shared" si="49"/>
        <v>34000</v>
      </c>
      <c r="Q171" s="14">
        <f t="shared" si="50"/>
        <v>57990</v>
      </c>
      <c r="R171" s="13" t="str">
        <f t="shared" si="42"/>
        <v>шт</v>
      </c>
      <c r="S171" s="10" t="str">
        <f t="shared" si="51"/>
        <v>OK</v>
      </c>
      <c r="T171" s="10" t="str">
        <f t="shared" si="52"/>
        <v>уникален</v>
      </c>
    </row>
    <row r="172" ht="15" customHeight="1">
      <c r="A172" s="10">
        <v>170</v>
      </c>
      <c r="B172" s="11" t="str">
        <f>RAW_Товары!A171</f>
        <v>АРТ_170</v>
      </c>
      <c r="C172" s="11" t="str">
        <f>RAW_Товары!B171</f>
        <v xml:space="preserve">смартфон OPPO FIND X6</v>
      </c>
      <c r="D172" s="11" t="str">
        <f>RAW_Товары!C171</f>
        <v>Телефоны</v>
      </c>
      <c r="E172" s="11" t="str">
        <f>RAW_Товары!D171</f>
        <v>oppo</v>
      </c>
      <c r="F172" s="11" t="str">
        <f>RAW_Товары!E171</f>
        <v xml:space="preserve">33 000</v>
      </c>
      <c r="G172" s="11" t="str">
        <f>RAW_Товары!F171</f>
        <v xml:space="preserve">56 500</v>
      </c>
      <c r="H172" s="11" t="str">
        <f>RAW_Товары!G171</f>
        <v>штуки</v>
      </c>
      <c r="I172" s="12" t="str">
        <f t="shared" si="43"/>
        <v>170</v>
      </c>
      <c r="J172" s="12" t="str">
        <f t="shared" si="44"/>
        <v xml:space="preserve">смартфон OPPO FIND X6</v>
      </c>
      <c r="K172" s="12" t="str">
        <f t="shared" si="45"/>
        <v>Телефоны</v>
      </c>
      <c r="L172" s="13" t="str">
        <f t="shared" si="46"/>
        <v>АРТ-170</v>
      </c>
      <c r="M172" s="13" t="str">
        <f t="shared" si="47"/>
        <v xml:space="preserve">Смартфон Oppo Find X6</v>
      </c>
      <c r="N172" s="13" t="str">
        <f>IFERROR(VLOOKUP(K172,Справочники!$A$6:$B$16,2,0),"НЕТ В СПРАВОЧНИКЕ")</f>
        <v>Смартфоны</v>
      </c>
      <c r="O172" s="13" t="str">
        <f t="shared" si="48"/>
        <v>Oppo</v>
      </c>
      <c r="P172" s="14">
        <f t="shared" si="49"/>
        <v>33000</v>
      </c>
      <c r="Q172" s="14">
        <f t="shared" si="50"/>
        <v>56500</v>
      </c>
      <c r="R172" s="13" t="str">
        <f t="shared" si="42"/>
        <v>шт</v>
      </c>
      <c r="S172" s="10" t="str">
        <f t="shared" si="51"/>
        <v>OK</v>
      </c>
      <c r="T172" s="10" t="str">
        <f t="shared" si="52"/>
        <v>уникален</v>
      </c>
    </row>
    <row r="173" ht="15" customHeight="1">
      <c r="A173" s="10">
        <v>171</v>
      </c>
      <c r="B173" s="11" t="str">
        <f>RAW_Товары!A172</f>
        <v>171/24</v>
      </c>
      <c r="C173" s="11" t="str">
        <f>RAW_Товары!B172</f>
        <v xml:space="preserve">Смартфон Oppo Find X6 (Pro)</v>
      </c>
      <c r="D173" s="11" t="str">
        <f>RAW_Товары!C172</f>
        <v xml:space="preserve">Мобильные телефоны</v>
      </c>
      <c r="E173" s="11" t="str">
        <f>RAW_Товары!D172</f>
        <v>OPPO</v>
      </c>
      <c r="F173" s="11" t="str">
        <f>RAW_Товары!E172</f>
        <v xml:space="preserve">35 000</v>
      </c>
      <c r="G173" s="11" t="str">
        <f>RAW_Товары!F172</f>
        <v xml:space="preserve">59 500</v>
      </c>
      <c r="H173" s="11" t="str">
        <f>RAW_Товары!G172</f>
        <v>шт</v>
      </c>
      <c r="I173" s="12" t="str">
        <f t="shared" si="43"/>
        <v>171/24</v>
      </c>
      <c r="J173" s="12" t="str">
        <f t="shared" si="44"/>
        <v xml:space="preserve">Смартфон Oppo Find X6</v>
      </c>
      <c r="K173" s="12" t="str">
        <f t="shared" si="45"/>
        <v xml:space="preserve">Мобильные телефоны</v>
      </c>
      <c r="L173" s="13" t="str">
        <f t="shared" si="46"/>
        <v>АРТ-171</v>
      </c>
      <c r="M173" s="13" t="str">
        <f t="shared" si="47"/>
        <v xml:space="preserve">Смартфон Oppo Find X6</v>
      </c>
      <c r="N173" s="13" t="str">
        <f>IFERROR(VLOOKUP(K173,Справочники!$A$6:$B$16,2,0),"НЕТ В СПРАВОЧНИКЕ")</f>
        <v>Смартфоны</v>
      </c>
      <c r="O173" s="13" t="str">
        <f t="shared" si="48"/>
        <v>Oppo</v>
      </c>
      <c r="P173" s="14">
        <f t="shared" si="49"/>
        <v>35000</v>
      </c>
      <c r="Q173" s="14">
        <f t="shared" si="50"/>
        <v>59500</v>
      </c>
      <c r="R173" s="13" t="str">
        <f t="shared" si="42"/>
        <v>шт</v>
      </c>
      <c r="S173" s="10" t="str">
        <f t="shared" si="51"/>
        <v>OK</v>
      </c>
      <c r="T173" s="10" t="str">
        <f t="shared" si="52"/>
        <v>уникален</v>
      </c>
    </row>
    <row r="174" ht="15" customHeight="1">
      <c r="A174" s="10">
        <v>172</v>
      </c>
      <c r="B174" s="11" t="str">
        <f>RAW_Товары!A173</f>
        <v>№АРТ-172</v>
      </c>
      <c r="C174" s="11" t="str">
        <f>RAW_Товары!B173</f>
        <v xml:space="preserve">Ноутбук Acer Swift 5</v>
      </c>
      <c r="D174" s="11" t="str">
        <f>RAW_Товары!C173</f>
        <v>Ноутбуки</v>
      </c>
      <c r="E174" s="11" t="str">
        <f>RAW_Товары!D173</f>
        <v>Acer</v>
      </c>
      <c r="F174" s="11" t="str">
        <f>RAW_Товары!E173</f>
        <v xml:space="preserve">68 000</v>
      </c>
      <c r="G174" s="11" t="str">
        <f>RAW_Товары!F173</f>
        <v xml:space="preserve">104 990</v>
      </c>
      <c r="H174" s="11" t="str">
        <f>RAW_Товары!G173</f>
        <v>шт.</v>
      </c>
      <c r="I174" s="12" t="str">
        <f t="shared" si="43"/>
        <v>172</v>
      </c>
      <c r="J174" s="12" t="str">
        <f t="shared" si="44"/>
        <v xml:space="preserve">Ноутбук Acer Swift 5</v>
      </c>
      <c r="K174" s="12" t="str">
        <f t="shared" si="45"/>
        <v>Ноутбуки</v>
      </c>
      <c r="L174" s="13" t="str">
        <f t="shared" si="46"/>
        <v>АРТ-172</v>
      </c>
      <c r="M174" s="13" t="str">
        <f t="shared" si="47"/>
        <v xml:space="preserve">Ноутбук Acer Swift 5</v>
      </c>
      <c r="N174" s="13" t="str">
        <f>IFERROR(VLOOKUP(K174,Справочники!$A$6:$B$16,2,0),"НЕТ В СПРАВОЧНИКЕ")</f>
        <v>Ноутбуки</v>
      </c>
      <c r="O174" s="13" t="str">
        <f t="shared" si="48"/>
        <v>Acer</v>
      </c>
      <c r="P174" s="14">
        <f t="shared" si="49"/>
        <v>68000</v>
      </c>
      <c r="Q174" s="14">
        <f t="shared" si="50"/>
        <v>104990</v>
      </c>
      <c r="R174" s="13" t="str">
        <f t="shared" si="42"/>
        <v>шт</v>
      </c>
      <c r="S174" s="10" t="str">
        <f t="shared" si="51"/>
        <v>OK</v>
      </c>
      <c r="T174" s="10" t="str">
        <f t="shared" si="52"/>
        <v>уникален</v>
      </c>
    </row>
    <row r="175" ht="15" customHeight="1">
      <c r="A175" s="10">
        <v>173</v>
      </c>
      <c r="B175" s="11" t="str">
        <f>RAW_Товары!A174</f>
        <v>АРТ_173</v>
      </c>
      <c r="C175" s="11" t="str">
        <f>RAW_Товары!B174</f>
        <v xml:space="preserve">ноутбук ACER SWIFT 5</v>
      </c>
      <c r="D175" s="11" t="str">
        <f>RAW_Товары!C174</f>
        <v>Лэптопы</v>
      </c>
      <c r="E175" s="11" t="str">
        <f>RAW_Товары!D174</f>
        <v>acer</v>
      </c>
      <c r="F175" s="11" t="str">
        <f>RAW_Товары!E174</f>
        <v xml:space="preserve">66 000</v>
      </c>
      <c r="G175" s="11" t="str">
        <f>RAW_Товары!F174</f>
        <v xml:space="preserve">102 000</v>
      </c>
      <c r="H175" s="11" t="str">
        <f>RAW_Товары!G174</f>
        <v>штука</v>
      </c>
      <c r="I175" s="12" t="str">
        <f t="shared" si="43"/>
        <v>173</v>
      </c>
      <c r="J175" s="12" t="str">
        <f t="shared" si="44"/>
        <v xml:space="preserve">ноутбук ACER SWIFT 5</v>
      </c>
      <c r="K175" s="12" t="str">
        <f t="shared" si="45"/>
        <v>Лэптопы</v>
      </c>
      <c r="L175" s="13" t="str">
        <f t="shared" si="46"/>
        <v>АРТ-173</v>
      </c>
      <c r="M175" s="13" t="str">
        <f t="shared" si="47"/>
        <v xml:space="preserve">Ноутбук Acer Swift 5</v>
      </c>
      <c r="N175" s="13" t="str">
        <f>IFERROR(VLOOKUP(K175,Справочники!$A$6:$B$16,2,0),"НЕТ В СПРАВОЧНИКЕ")</f>
        <v>Ноутбуки</v>
      </c>
      <c r="O175" s="13" t="str">
        <f t="shared" si="48"/>
        <v>Acer</v>
      </c>
      <c r="P175" s="14">
        <f t="shared" si="49"/>
        <v>66000</v>
      </c>
      <c r="Q175" s="14">
        <f t="shared" si="50"/>
        <v>102000</v>
      </c>
      <c r="R175" s="13" t="str">
        <f t="shared" si="42"/>
        <v>шт</v>
      </c>
      <c r="S175" s="10" t="str">
        <f t="shared" si="51"/>
        <v>OK</v>
      </c>
      <c r="T175" s="10" t="str">
        <f t="shared" si="52"/>
        <v>уникален</v>
      </c>
    </row>
    <row r="176" ht="15" customHeight="1">
      <c r="A176" s="10">
        <v>174</v>
      </c>
      <c r="B176" s="11" t="str">
        <f>RAW_Товары!A175</f>
        <v>174-24</v>
      </c>
      <c r="C176" s="11" t="str">
        <f>RAW_Товары!B175</f>
        <v xml:space="preserve">Ноутбук Acer Swift 5 (OLED)</v>
      </c>
      <c r="D176" s="11" t="str">
        <f>RAW_Товары!C175</f>
        <v>Ноутбуки</v>
      </c>
      <c r="E176" s="11" t="str">
        <f>RAW_Товары!D175</f>
        <v>ACER</v>
      </c>
      <c r="F176" s="11" t="str">
        <f>RAW_Товары!E175</f>
        <v xml:space="preserve">69 500</v>
      </c>
      <c r="G176" s="11" t="str">
        <f>RAW_Товары!F175</f>
        <v xml:space="preserve">107 500</v>
      </c>
      <c r="H176" s="11" t="str">
        <f>RAW_Товары!G175</f>
        <v>шт</v>
      </c>
      <c r="I176" s="12" t="str">
        <f t="shared" si="43"/>
        <v>174-24</v>
      </c>
      <c r="J176" s="12" t="str">
        <f t="shared" si="44"/>
        <v xml:space="preserve">Ноутбук Acer Swift 5</v>
      </c>
      <c r="K176" s="12" t="str">
        <f t="shared" si="45"/>
        <v>Ноутбуки</v>
      </c>
      <c r="L176" s="13" t="str">
        <f t="shared" si="46"/>
        <v>АРТ-174</v>
      </c>
      <c r="M176" s="13" t="str">
        <f t="shared" si="47"/>
        <v xml:space="preserve">Ноутбук Acer Swift 5</v>
      </c>
      <c r="N176" s="13" t="str">
        <f>IFERROR(VLOOKUP(K176,Справочники!$A$6:$B$16,2,0),"НЕТ В СПРАВОЧНИКЕ")</f>
        <v>Ноутбуки</v>
      </c>
      <c r="O176" s="13" t="str">
        <f t="shared" si="48"/>
        <v>Acer</v>
      </c>
      <c r="P176" s="14">
        <f t="shared" si="49"/>
        <v>69500</v>
      </c>
      <c r="Q176" s="14">
        <f t="shared" si="50"/>
        <v>107500</v>
      </c>
      <c r="R176" s="13" t="str">
        <f t="shared" si="42"/>
        <v>шт</v>
      </c>
      <c r="S176" s="10" t="str">
        <f t="shared" si="51"/>
        <v>OK</v>
      </c>
      <c r="T176" s="10" t="str">
        <f t="shared" si="52"/>
        <v>уникален</v>
      </c>
    </row>
    <row r="177" ht="15" customHeight="1">
      <c r="A177" s="10">
        <v>175</v>
      </c>
      <c r="B177" s="11" t="str">
        <f>RAW_Товары!A176</f>
        <v>№АРТ-175</v>
      </c>
      <c r="C177" s="11" t="str">
        <f>RAW_Товары!B176</f>
        <v xml:space="preserve">Телевизор Vizio M-Series 65</v>
      </c>
      <c r="D177" s="11" t="str">
        <f>RAW_Товары!C176</f>
        <v>Телевизоры</v>
      </c>
      <c r="E177" s="11" t="str">
        <f>RAW_Товары!D176</f>
        <v>Vizio</v>
      </c>
      <c r="F177" s="11" t="str">
        <f>RAW_Товары!E176</f>
        <v xml:space="preserve">65 000</v>
      </c>
      <c r="G177" s="11" t="str">
        <f>RAW_Товары!F176</f>
        <v xml:space="preserve">99 990</v>
      </c>
      <c r="H177" s="11" t="str">
        <f>RAW_Товары!G176</f>
        <v>шт.</v>
      </c>
      <c r="I177" s="12" t="str">
        <f t="shared" si="43"/>
        <v>175</v>
      </c>
      <c r="J177" s="12" t="str">
        <f t="shared" si="44"/>
        <v xml:space="preserve">Телевизор Vizio M-Series 65</v>
      </c>
      <c r="K177" s="12" t="str">
        <f t="shared" si="45"/>
        <v>Телевизоры</v>
      </c>
      <c r="L177" s="13" t="str">
        <f t="shared" si="46"/>
        <v>АРТ-175</v>
      </c>
      <c r="M177" s="13" t="str">
        <f t="shared" si="47"/>
        <v xml:space="preserve">Телевизор Vizio M-Series 65</v>
      </c>
      <c r="N177" s="13" t="str">
        <f>IFERROR(VLOOKUP(K177,Справочники!$A$6:$B$16,2,0),"НЕТ В СПРАВОЧНИКЕ")</f>
        <v>Телевизоры</v>
      </c>
      <c r="O177" s="13" t="str">
        <f t="shared" si="48"/>
        <v>Vizio</v>
      </c>
      <c r="P177" s="14">
        <f t="shared" si="49"/>
        <v>65000</v>
      </c>
      <c r="Q177" s="14">
        <f t="shared" si="50"/>
        <v>99990</v>
      </c>
      <c r="R177" s="13" t="str">
        <f t="shared" si="42"/>
        <v>шт</v>
      </c>
      <c r="S177" s="10" t="str">
        <f t="shared" si="51"/>
        <v>OK</v>
      </c>
      <c r="T177" s="10" t="str">
        <f t="shared" si="52"/>
        <v>уникален</v>
      </c>
    </row>
    <row r="178" ht="15" customHeight="1">
      <c r="A178" s="10">
        <v>176</v>
      </c>
      <c r="B178" s="11" t="str">
        <f>RAW_Товары!A177</f>
        <v>АРТ_176</v>
      </c>
      <c r="C178" s="11" t="str">
        <f>RAW_Товары!B177</f>
        <v xml:space="preserve">телевизор VIZIO M-SERIES 65</v>
      </c>
      <c r="D178" s="11" t="str">
        <f>RAW_Товары!C177</f>
        <v>Телевизоры</v>
      </c>
      <c r="E178" s="11" t="str">
        <f>RAW_Товары!D177</f>
        <v>vizio</v>
      </c>
      <c r="F178" s="11" t="str">
        <f>RAW_Товары!E177</f>
        <v xml:space="preserve">63 000</v>
      </c>
      <c r="G178" s="11" t="str">
        <f>RAW_Товары!F177</f>
        <v xml:space="preserve">97 000</v>
      </c>
      <c r="H178" s="11" t="str">
        <f>RAW_Товары!G177</f>
        <v>штуки</v>
      </c>
      <c r="I178" s="12" t="str">
        <f t="shared" si="43"/>
        <v>176</v>
      </c>
      <c r="J178" s="12" t="str">
        <f t="shared" si="44"/>
        <v xml:space="preserve">телевизор VIZIO M-SERIES 65</v>
      </c>
      <c r="K178" s="12" t="str">
        <f t="shared" si="45"/>
        <v>Телевизоры</v>
      </c>
      <c r="L178" s="13" t="str">
        <f t="shared" si="46"/>
        <v>АРТ-176</v>
      </c>
      <c r="M178" s="13" t="str">
        <f t="shared" si="47"/>
        <v xml:space="preserve">Телевизор Vizio M-Series 65</v>
      </c>
      <c r="N178" s="13" t="str">
        <f>IFERROR(VLOOKUP(K178,Справочники!$A$6:$B$16,2,0),"НЕТ В СПРАВОЧНИКЕ")</f>
        <v>Телевизоры</v>
      </c>
      <c r="O178" s="13" t="str">
        <f t="shared" si="48"/>
        <v>Vizio</v>
      </c>
      <c r="P178" s="14">
        <f t="shared" si="49"/>
        <v>63000</v>
      </c>
      <c r="Q178" s="14">
        <f t="shared" si="50"/>
        <v>97000</v>
      </c>
      <c r="R178" s="13" t="str">
        <f t="shared" si="42"/>
        <v>шт</v>
      </c>
      <c r="S178" s="10" t="str">
        <f t="shared" si="51"/>
        <v>OK</v>
      </c>
      <c r="T178" s="10" t="str">
        <f t="shared" si="52"/>
        <v>уникален</v>
      </c>
    </row>
    <row r="179" ht="15" customHeight="1">
      <c r="A179" s="10">
        <v>177</v>
      </c>
      <c r="B179" s="11" t="str">
        <f>RAW_Товары!A178</f>
        <v>177/24</v>
      </c>
      <c r="C179" s="11" t="str">
        <f>RAW_Товары!B178</f>
        <v xml:space="preserve">Телевизор Vizio M-Series 65 (Quantum)</v>
      </c>
      <c r="D179" s="11" t="str">
        <f>RAW_Товары!C178</f>
        <v>Телевизоры</v>
      </c>
      <c r="E179" s="11" t="str">
        <f>RAW_Товары!D178</f>
        <v>VIZIO</v>
      </c>
      <c r="F179" s="11" t="str">
        <f>RAW_Товары!E178</f>
        <v xml:space="preserve">66 500</v>
      </c>
      <c r="G179" s="11" t="str">
        <f>RAW_Товары!F178</f>
        <v xml:space="preserve">102 500</v>
      </c>
      <c r="H179" s="11" t="str">
        <f>RAW_Товары!G178</f>
        <v>шт</v>
      </c>
      <c r="I179" s="12" t="str">
        <f t="shared" si="43"/>
        <v>177/24</v>
      </c>
      <c r="J179" s="12" t="str">
        <f t="shared" si="44"/>
        <v xml:space="preserve">Телевизор Vizio M-Series 65</v>
      </c>
      <c r="K179" s="12" t="str">
        <f t="shared" si="45"/>
        <v>Телевизоры</v>
      </c>
      <c r="L179" s="13" t="str">
        <f t="shared" si="46"/>
        <v>АРТ-177</v>
      </c>
      <c r="M179" s="13" t="str">
        <f t="shared" si="47"/>
        <v xml:space="preserve">Телевизор Vizio M-Series 65</v>
      </c>
      <c r="N179" s="13" t="str">
        <f>IFERROR(VLOOKUP(K179,Справочники!$A$6:$B$16,2,0),"НЕТ В СПРАВОЧНИКЕ")</f>
        <v>Телевизоры</v>
      </c>
      <c r="O179" s="13" t="str">
        <f t="shared" si="48"/>
        <v>Vizio</v>
      </c>
      <c r="P179" s="14">
        <f t="shared" si="49"/>
        <v>66500</v>
      </c>
      <c r="Q179" s="14">
        <f t="shared" si="50"/>
        <v>102500</v>
      </c>
      <c r="R179" s="13" t="str">
        <f t="shared" si="42"/>
        <v>шт</v>
      </c>
      <c r="S179" s="10" t="str">
        <f t="shared" si="51"/>
        <v>OK</v>
      </c>
      <c r="T179" s="10" t="str">
        <f t="shared" si="52"/>
        <v>уникален</v>
      </c>
    </row>
    <row r="180" ht="15" customHeight="1">
      <c r="A180" s="10">
        <v>178</v>
      </c>
      <c r="B180" s="11" t="str">
        <f>RAW_Товары!A179</f>
        <v>№АРТ-178</v>
      </c>
      <c r="C180" s="11" t="str">
        <f>RAW_Товары!B179</f>
        <v xml:space="preserve">Наушники Jabra Elite 85h</v>
      </c>
      <c r="D180" s="11" t="str">
        <f>RAW_Товары!C179</f>
        <v>Наушники</v>
      </c>
      <c r="E180" s="11" t="str">
        <f>RAW_Товары!D179</f>
        <v>Jabra</v>
      </c>
      <c r="F180" s="11" t="str">
        <f>RAW_Товары!E179</f>
        <v xml:space="preserve">8 000</v>
      </c>
      <c r="G180" s="11" t="str">
        <f>RAW_Товары!F179</f>
        <v xml:space="preserve">13 990</v>
      </c>
      <c r="H180" s="11" t="str">
        <f>RAW_Товары!G179</f>
        <v>шт.</v>
      </c>
      <c r="I180" s="12" t="str">
        <f t="shared" si="43"/>
        <v>178</v>
      </c>
      <c r="J180" s="12" t="str">
        <f t="shared" si="44"/>
        <v xml:space="preserve">Наушники Jabra Elite 85h</v>
      </c>
      <c r="K180" s="12" t="str">
        <f t="shared" si="45"/>
        <v>Наушники</v>
      </c>
      <c r="L180" s="13" t="str">
        <f t="shared" si="46"/>
        <v>АРТ-178</v>
      </c>
      <c r="M180" s="13" t="str">
        <f t="shared" si="47"/>
        <v xml:space="preserve">Наушники Jabra Elite 85H</v>
      </c>
      <c r="N180" s="13" t="str">
        <f>IFERROR(VLOOKUP(K180,Справочники!$A$6:$B$16,2,0),"НЕТ В СПРАВОЧНИКЕ")</f>
        <v>Наушники</v>
      </c>
      <c r="O180" s="13" t="str">
        <f t="shared" si="48"/>
        <v>Jabra</v>
      </c>
      <c r="P180" s="14">
        <f t="shared" si="49"/>
        <v>8000</v>
      </c>
      <c r="Q180" s="14">
        <f t="shared" si="50"/>
        <v>13990</v>
      </c>
      <c r="R180" s="13" t="str">
        <f t="shared" si="42"/>
        <v>шт</v>
      </c>
      <c r="S180" s="10" t="str">
        <f t="shared" si="51"/>
        <v>OK</v>
      </c>
      <c r="T180" s="10" t="str">
        <f t="shared" si="52"/>
        <v>уникален</v>
      </c>
    </row>
    <row r="181" ht="15" customHeight="1">
      <c r="A181" s="10">
        <v>179</v>
      </c>
      <c r="B181" s="11" t="str">
        <f>RAW_Товары!A180</f>
        <v>АРТ_179</v>
      </c>
      <c r="C181" s="11" t="str">
        <f>RAW_Товары!B180</f>
        <v xml:space="preserve">наушники JABRA ELITE 85H</v>
      </c>
      <c r="D181" s="11" t="str">
        <f>RAW_Товары!C180</f>
        <v>Наушники</v>
      </c>
      <c r="E181" s="11" t="str">
        <f>RAW_Товары!D180</f>
        <v>jabra</v>
      </c>
      <c r="F181" s="11" t="str">
        <f>RAW_Товары!E180</f>
        <v xml:space="preserve">7 500</v>
      </c>
      <c r="G181" s="11" t="str">
        <f>RAW_Товары!F180</f>
        <v xml:space="preserve">13 000</v>
      </c>
      <c r="H181" s="11" t="str">
        <f>RAW_Товары!G180</f>
        <v>штука</v>
      </c>
      <c r="I181" s="12" t="str">
        <f t="shared" si="43"/>
        <v>179</v>
      </c>
      <c r="J181" s="12" t="str">
        <f t="shared" si="44"/>
        <v xml:space="preserve">наушники JABRA ELITE 85H</v>
      </c>
      <c r="K181" s="12" t="str">
        <f t="shared" si="45"/>
        <v>Наушники</v>
      </c>
      <c r="L181" s="13" t="str">
        <f t="shared" si="46"/>
        <v>АРТ-179</v>
      </c>
      <c r="M181" s="13" t="str">
        <f t="shared" si="47"/>
        <v xml:space="preserve">Наушники Jabra Elite 85H</v>
      </c>
      <c r="N181" s="13" t="str">
        <f>IFERROR(VLOOKUP(K181,Справочники!$A$6:$B$16,2,0),"НЕТ В СПРАВОЧНИКЕ")</f>
        <v>Наушники</v>
      </c>
      <c r="O181" s="13" t="str">
        <f t="shared" si="48"/>
        <v>Jabra</v>
      </c>
      <c r="P181" s="14">
        <f t="shared" si="49"/>
        <v>7500</v>
      </c>
      <c r="Q181" s="14">
        <f t="shared" si="50"/>
        <v>13000</v>
      </c>
      <c r="R181" s="13" t="str">
        <f t="shared" si="42"/>
        <v>шт</v>
      </c>
      <c r="S181" s="10" t="str">
        <f t="shared" si="51"/>
        <v>OK</v>
      </c>
      <c r="T181" s="10" t="str">
        <f t="shared" si="52"/>
        <v>уникален</v>
      </c>
    </row>
    <row r="182" ht="15" customHeight="1">
      <c r="A182" s="10">
        <v>180</v>
      </c>
      <c r="B182" s="11" t="str">
        <f>RAW_Товары!A181</f>
        <v>180-24</v>
      </c>
      <c r="C182" s="11" t="str">
        <f>RAW_Товары!B181</f>
        <v xml:space="preserve">Наушники Jabra Elite 85h (Navy)</v>
      </c>
      <c r="D182" s="11" t="str">
        <f>RAW_Товары!C181</f>
        <v>Наушники</v>
      </c>
      <c r="E182" s="11" t="str">
        <f>RAW_Товары!D181</f>
        <v>JABRA</v>
      </c>
      <c r="F182" s="11" t="str">
        <f>RAW_Товары!E181</f>
        <v xml:space="preserve">8 500</v>
      </c>
      <c r="G182" s="11" t="str">
        <f>RAW_Товары!F181</f>
        <v xml:space="preserve">14 800</v>
      </c>
      <c r="H182" s="11" t="str">
        <f>RAW_Товары!G181</f>
        <v>шт</v>
      </c>
      <c r="I182" s="12" t="str">
        <f t="shared" si="43"/>
        <v>180-24</v>
      </c>
      <c r="J182" s="12" t="str">
        <f t="shared" si="44"/>
        <v xml:space="preserve">Наушники Jabra Elite 85h</v>
      </c>
      <c r="K182" s="12" t="str">
        <f t="shared" si="45"/>
        <v>Наушники</v>
      </c>
      <c r="L182" s="13" t="str">
        <f t="shared" si="46"/>
        <v>АРТ-180</v>
      </c>
      <c r="M182" s="13" t="str">
        <f t="shared" si="47"/>
        <v xml:space="preserve">Наушники Jabra Elite 85H</v>
      </c>
      <c r="N182" s="13" t="str">
        <f>IFERROR(VLOOKUP(K182,Справочники!$A$6:$B$16,2,0),"НЕТ В СПРАВОЧНИКЕ")</f>
        <v>Наушники</v>
      </c>
      <c r="O182" s="13" t="str">
        <f t="shared" si="48"/>
        <v>Jabra</v>
      </c>
      <c r="P182" s="14">
        <f t="shared" si="49"/>
        <v>8500</v>
      </c>
      <c r="Q182" s="14">
        <f t="shared" si="50"/>
        <v>14800</v>
      </c>
      <c r="R182" s="13" t="str">
        <f t="shared" si="42"/>
        <v>шт</v>
      </c>
      <c r="S182" s="10" t="str">
        <f t="shared" si="51"/>
        <v>OK</v>
      </c>
      <c r="T182" s="10" t="str">
        <f t="shared" si="52"/>
        <v>уникален</v>
      </c>
    </row>
    <row r="183" ht="15" customHeight="1">
      <c r="A183" s="10">
        <v>181</v>
      </c>
      <c r="B183" s="11" t="str">
        <f>RAW_Товары!A182</f>
        <v>№АРТ-181</v>
      </c>
      <c r="C183" s="11" t="str">
        <f>RAW_Товары!B182</f>
        <v xml:space="preserve">Монитор Eizo ColorEdge CS2740</v>
      </c>
      <c r="D183" s="11" t="str">
        <f>RAW_Товары!C182</f>
        <v>Мониторы</v>
      </c>
      <c r="E183" s="11" t="str">
        <f>RAW_Товары!D182</f>
        <v>Eizo</v>
      </c>
      <c r="F183" s="11" t="str">
        <f>RAW_Товары!E182</f>
        <v xml:space="preserve">110 000</v>
      </c>
      <c r="G183" s="11" t="str">
        <f>RAW_Товары!F182</f>
        <v xml:space="preserve">169 990</v>
      </c>
      <c r="H183" s="11" t="str">
        <f>RAW_Товары!G182</f>
        <v>шт.</v>
      </c>
      <c r="I183" s="12" t="str">
        <f t="shared" si="43"/>
        <v>181</v>
      </c>
      <c r="J183" s="12" t="str">
        <f t="shared" si="44"/>
        <v xml:space="preserve">Монитор Eizo ColorEdge CS2740</v>
      </c>
      <c r="K183" s="12" t="str">
        <f t="shared" si="45"/>
        <v>Мониторы</v>
      </c>
      <c r="L183" s="13" t="str">
        <f t="shared" si="46"/>
        <v>АРТ-181</v>
      </c>
      <c r="M183" s="13" t="str">
        <f t="shared" si="47"/>
        <v xml:space="preserve">Монитор Eizo Coloredge Cs2740</v>
      </c>
      <c r="N183" s="13" t="str">
        <f>IFERROR(VLOOKUP(K183,Справочники!$A$6:$B$16,2,0),"НЕТ В СПРАВОЧНИКЕ")</f>
        <v>Мониторы</v>
      </c>
      <c r="O183" s="13" t="str">
        <f t="shared" si="48"/>
        <v>Eizo</v>
      </c>
      <c r="P183" s="14">
        <f t="shared" si="49"/>
        <v>110000</v>
      </c>
      <c r="Q183" s="14">
        <f t="shared" si="50"/>
        <v>169990</v>
      </c>
      <c r="R183" s="13" t="str">
        <f t="shared" si="42"/>
        <v>шт</v>
      </c>
      <c r="S183" s="10" t="str">
        <f t="shared" si="51"/>
        <v>OK</v>
      </c>
      <c r="T183" s="10" t="str">
        <f t="shared" si="52"/>
        <v>уникален</v>
      </c>
    </row>
    <row r="184" ht="15" customHeight="1">
      <c r="A184" s="10">
        <v>182</v>
      </c>
      <c r="B184" s="11" t="str">
        <f>RAW_Товары!A183</f>
        <v>АРТ_182</v>
      </c>
      <c r="C184" s="11" t="str">
        <f>RAW_Товары!B183</f>
        <v xml:space="preserve">монитор EIZO COLOREDGE CS2740</v>
      </c>
      <c r="D184" s="11" t="str">
        <f>RAW_Товары!C183</f>
        <v>Мониторы</v>
      </c>
      <c r="E184" s="11" t="str">
        <f>RAW_Товары!D183</f>
        <v>eizo</v>
      </c>
      <c r="F184" s="11" t="str">
        <f>RAW_Товары!E183</f>
        <v xml:space="preserve">108 000</v>
      </c>
      <c r="G184" s="11" t="str">
        <f>RAW_Товары!F183</f>
        <v xml:space="preserve">166 500</v>
      </c>
      <c r="H184" s="11" t="str">
        <f>RAW_Товары!G183</f>
        <v>штуки</v>
      </c>
      <c r="I184" s="12" t="str">
        <f t="shared" si="43"/>
        <v>182</v>
      </c>
      <c r="J184" s="12" t="str">
        <f t="shared" si="44"/>
        <v xml:space="preserve">монитор EIZO COLOREDGE CS2740</v>
      </c>
      <c r="K184" s="12" t="str">
        <f t="shared" si="45"/>
        <v>Мониторы</v>
      </c>
      <c r="L184" s="13" t="str">
        <f t="shared" si="46"/>
        <v>АРТ-182</v>
      </c>
      <c r="M184" s="13" t="str">
        <f t="shared" si="47"/>
        <v xml:space="preserve">Монитор Eizo Coloredge Cs2740</v>
      </c>
      <c r="N184" s="13" t="str">
        <f>IFERROR(VLOOKUP(K184,Справочники!$A$6:$B$16,2,0),"НЕТ В СПРАВОЧНИКЕ")</f>
        <v>Мониторы</v>
      </c>
      <c r="O184" s="13" t="str">
        <f t="shared" si="48"/>
        <v>Eizo</v>
      </c>
      <c r="P184" s="14">
        <f t="shared" si="49"/>
        <v>108000</v>
      </c>
      <c r="Q184" s="14">
        <f t="shared" si="50"/>
        <v>166500</v>
      </c>
      <c r="R184" s="13" t="str">
        <f t="shared" si="42"/>
        <v>шт</v>
      </c>
      <c r="S184" s="10" t="str">
        <f t="shared" si="51"/>
        <v>OK</v>
      </c>
      <c r="T184" s="10" t="str">
        <f t="shared" si="52"/>
        <v>уникален</v>
      </c>
    </row>
    <row r="185" ht="15" customHeight="1">
      <c r="A185" s="10">
        <v>183</v>
      </c>
      <c r="B185" s="11" t="str">
        <f>RAW_Товары!A184</f>
        <v>183/24</v>
      </c>
      <c r="C185" s="11" t="str">
        <f>RAW_Товары!B184</f>
        <v xml:space="preserve">Монитор Eizo ColorEdge CS2740 (Pro)</v>
      </c>
      <c r="D185" s="11" t="str">
        <f>RAW_Товары!C184</f>
        <v>Мониторы</v>
      </c>
      <c r="E185" s="11" t="str">
        <f>RAW_Товары!D184</f>
        <v>EIZO</v>
      </c>
      <c r="F185" s="11" t="str">
        <f>RAW_Товары!E184</f>
        <v xml:space="preserve">112 000</v>
      </c>
      <c r="G185" s="11" t="str">
        <f>RAW_Товары!F184</f>
        <v xml:space="preserve">173 000</v>
      </c>
      <c r="H185" s="11" t="str">
        <f>RAW_Товары!G184</f>
        <v>шт</v>
      </c>
      <c r="I185" s="12" t="str">
        <f t="shared" si="43"/>
        <v>183/24</v>
      </c>
      <c r="J185" s="12" t="str">
        <f t="shared" si="44"/>
        <v xml:space="preserve">Монитор Eizo ColorEdge CS2740</v>
      </c>
      <c r="K185" s="12" t="str">
        <f t="shared" si="45"/>
        <v>Мониторы</v>
      </c>
      <c r="L185" s="13" t="str">
        <f t="shared" si="46"/>
        <v>АРТ-183</v>
      </c>
      <c r="M185" s="13" t="str">
        <f t="shared" si="47"/>
        <v xml:space="preserve">Монитор Eizo Coloredge Cs2740</v>
      </c>
      <c r="N185" s="13" t="str">
        <f>IFERROR(VLOOKUP(K185,Справочники!$A$6:$B$16,2,0),"НЕТ В СПРАВОЧНИКЕ")</f>
        <v>Мониторы</v>
      </c>
      <c r="O185" s="13" t="str">
        <f t="shared" si="48"/>
        <v>Eizo</v>
      </c>
      <c r="P185" s="14">
        <f t="shared" si="49"/>
        <v>112000</v>
      </c>
      <c r="Q185" s="14">
        <f t="shared" si="50"/>
        <v>173000</v>
      </c>
      <c r="R185" s="13" t="str">
        <f t="shared" si="42"/>
        <v>шт</v>
      </c>
      <c r="S185" s="10" t="str">
        <f t="shared" si="51"/>
        <v>OK</v>
      </c>
      <c r="T185" s="10" t="str">
        <f t="shared" si="52"/>
        <v>уникален</v>
      </c>
    </row>
    <row r="186" ht="15" customHeight="1">
      <c r="A186" s="10">
        <v>184</v>
      </c>
      <c r="B186" s="11" t="str">
        <f>RAW_Товары!A185</f>
        <v>№АРТ-184</v>
      </c>
      <c r="C186" s="11" t="str">
        <f>RAW_Товары!B185</f>
        <v xml:space="preserve">Колонка Sony SRS-XG300</v>
      </c>
      <c r="D186" s="11" t="str">
        <f>RAW_Товары!C185</f>
        <v>Аксессуары</v>
      </c>
      <c r="E186" s="11" t="str">
        <f>RAW_Товары!D185</f>
        <v>Sony</v>
      </c>
      <c r="F186" s="11" t="str">
        <f>RAW_Товары!E185</f>
        <v xml:space="preserve">12 000</v>
      </c>
      <c r="G186" s="11" t="str">
        <f>RAW_Товары!F185</f>
        <v xml:space="preserve">19 990</v>
      </c>
      <c r="H186" s="11" t="str">
        <f>RAW_Товары!G185</f>
        <v>шт.</v>
      </c>
      <c r="I186" s="12" t="str">
        <f t="shared" si="43"/>
        <v>184</v>
      </c>
      <c r="J186" s="12" t="str">
        <f t="shared" si="44"/>
        <v xml:space="preserve">Колонка Sony SRS-XG300</v>
      </c>
      <c r="K186" s="12" t="str">
        <f t="shared" si="45"/>
        <v>Аксессуары</v>
      </c>
      <c r="L186" s="13" t="str">
        <f t="shared" si="46"/>
        <v>АРТ-184</v>
      </c>
      <c r="M186" s="13" t="str">
        <f t="shared" si="47"/>
        <v xml:space="preserve">Колонка Sony Srs-Xg300</v>
      </c>
      <c r="N186" s="13" t="str">
        <f>IFERROR(VLOOKUP(K186,Справочники!$A$6:$B$16,2,0),"НЕТ В СПРАВОЧНИКЕ")</f>
        <v>Аксессуары</v>
      </c>
      <c r="O186" s="13" t="str">
        <f t="shared" si="48"/>
        <v>Sony</v>
      </c>
      <c r="P186" s="14">
        <f t="shared" si="49"/>
        <v>12000</v>
      </c>
      <c r="Q186" s="14">
        <f t="shared" si="50"/>
        <v>19990</v>
      </c>
      <c r="R186" s="13" t="str">
        <f t="shared" si="42"/>
        <v>шт</v>
      </c>
      <c r="S186" s="10" t="str">
        <f t="shared" si="51"/>
        <v>OK</v>
      </c>
      <c r="T186" s="10" t="str">
        <f t="shared" si="52"/>
        <v>уникален</v>
      </c>
    </row>
    <row r="187" ht="15" customHeight="1">
      <c r="A187" s="10">
        <v>185</v>
      </c>
      <c r="B187" s="11" t="str">
        <f>RAW_Товары!A186</f>
        <v>АРТ_185</v>
      </c>
      <c r="C187" s="11" t="str">
        <f>RAW_Товары!B186</f>
        <v xml:space="preserve">колонка SONY SRS-XG300</v>
      </c>
      <c r="D187" s="11" t="str">
        <f>RAW_Товары!C186</f>
        <v>Аксессуары</v>
      </c>
      <c r="E187" s="11" t="str">
        <f>RAW_Товары!D186</f>
        <v>sony</v>
      </c>
      <c r="F187" s="11" t="str">
        <f>RAW_Товары!E186</f>
        <v xml:space="preserve">11 500</v>
      </c>
      <c r="G187" s="11" t="str">
        <f>RAW_Товары!F186</f>
        <v xml:space="preserve">19 000</v>
      </c>
      <c r="H187" s="11" t="str">
        <f>RAW_Товары!G186</f>
        <v>штука</v>
      </c>
      <c r="I187" s="12" t="str">
        <f t="shared" si="43"/>
        <v>185</v>
      </c>
      <c r="J187" s="12" t="str">
        <f t="shared" si="44"/>
        <v xml:space="preserve">колонка SONY SRS-XG300</v>
      </c>
      <c r="K187" s="12" t="str">
        <f t="shared" si="45"/>
        <v>Аксессуары</v>
      </c>
      <c r="L187" s="13" t="str">
        <f t="shared" si="46"/>
        <v>АРТ-185</v>
      </c>
      <c r="M187" s="13" t="str">
        <f t="shared" si="47"/>
        <v xml:space="preserve">Колонка Sony Srs-Xg300</v>
      </c>
      <c r="N187" s="13" t="str">
        <f>IFERROR(VLOOKUP(K187,Справочники!$A$6:$B$16,2,0),"НЕТ В СПРАВОЧНИКЕ")</f>
        <v>Аксессуары</v>
      </c>
      <c r="O187" s="13" t="str">
        <f t="shared" si="48"/>
        <v>Sony</v>
      </c>
      <c r="P187" s="14">
        <f t="shared" si="49"/>
        <v>11500</v>
      </c>
      <c r="Q187" s="14">
        <f t="shared" si="50"/>
        <v>19000</v>
      </c>
      <c r="R187" s="13" t="str">
        <f t="shared" si="42"/>
        <v>шт</v>
      </c>
      <c r="S187" s="10" t="str">
        <f t="shared" si="51"/>
        <v>OK</v>
      </c>
      <c r="T187" s="10" t="str">
        <f t="shared" si="52"/>
        <v>уникален</v>
      </c>
    </row>
    <row r="188" ht="15" customHeight="1">
      <c r="A188" s="10">
        <v>186</v>
      </c>
      <c r="B188" s="11" t="str">
        <f>RAW_Товары!A187</f>
        <v>186-24</v>
      </c>
      <c r="C188" s="11" t="str">
        <f>RAW_Товары!B187</f>
        <v xml:space="preserve">Колонка Sony SRS-XG300 (Black)</v>
      </c>
      <c r="D188" s="11" t="str">
        <f>RAW_Товары!C187</f>
        <v>Аксессуары</v>
      </c>
      <c r="E188" s="11" t="str">
        <f>RAW_Товары!D187</f>
        <v>SONY</v>
      </c>
      <c r="F188" s="11" t="str">
        <f>RAW_Товары!E187</f>
        <v xml:space="preserve">12 500</v>
      </c>
      <c r="G188" s="11" t="str">
        <f>RAW_Товары!F187</f>
        <v xml:space="preserve">20 800</v>
      </c>
      <c r="H188" s="11" t="str">
        <f>RAW_Товары!G187</f>
        <v>шт</v>
      </c>
      <c r="I188" s="12" t="str">
        <f t="shared" si="43"/>
        <v>186-24</v>
      </c>
      <c r="J188" s="12" t="str">
        <f t="shared" si="44"/>
        <v xml:space="preserve">Колонка Sony SRS-XG300</v>
      </c>
      <c r="K188" s="12" t="str">
        <f t="shared" si="45"/>
        <v>Аксессуары</v>
      </c>
      <c r="L188" s="13" t="str">
        <f t="shared" si="46"/>
        <v>АРТ-186</v>
      </c>
      <c r="M188" s="13" t="str">
        <f t="shared" si="47"/>
        <v xml:space="preserve">Колонка Sony Srs-Xg300</v>
      </c>
      <c r="N188" s="13" t="str">
        <f>IFERROR(VLOOKUP(K188,Справочники!$A$6:$B$16,2,0),"НЕТ В СПРАВОЧНИКЕ")</f>
        <v>Аксессуары</v>
      </c>
      <c r="O188" s="13" t="str">
        <f t="shared" si="48"/>
        <v>Sony</v>
      </c>
      <c r="P188" s="14">
        <f t="shared" si="49"/>
        <v>12500</v>
      </c>
      <c r="Q188" s="14">
        <f t="shared" si="50"/>
        <v>20800</v>
      </c>
      <c r="R188" s="13" t="str">
        <f t="shared" si="42"/>
        <v>шт</v>
      </c>
      <c r="S188" s="10" t="str">
        <f t="shared" si="51"/>
        <v>OK</v>
      </c>
      <c r="T188" s="10" t="str">
        <f t="shared" si="52"/>
        <v>уникален</v>
      </c>
    </row>
    <row r="189" ht="15" customHeight="1">
      <c r="A189" s="10">
        <v>187</v>
      </c>
      <c r="B189" s="11" t="str">
        <f>RAW_Товары!A188</f>
        <v>№АРТ-187</v>
      </c>
      <c r="C189" s="11" t="str">
        <f>RAW_Товары!B188</f>
        <v xml:space="preserve">Смарт-часы Apple Watch Series 9</v>
      </c>
      <c r="D189" s="11" t="str">
        <f>RAW_Товары!C188</f>
        <v>Часы</v>
      </c>
      <c r="E189" s="11" t="str">
        <f>RAW_Товары!D188</f>
        <v>Apple</v>
      </c>
      <c r="F189" s="11" t="str">
        <f>RAW_Товары!E188</f>
        <v xml:space="preserve">30 000</v>
      </c>
      <c r="G189" s="11" t="str">
        <f>RAW_Товары!F188</f>
        <v xml:space="preserve">49 990</v>
      </c>
      <c r="H189" s="11" t="str">
        <f>RAW_Товары!G188</f>
        <v>шт.</v>
      </c>
      <c r="I189" s="12" t="str">
        <f t="shared" si="43"/>
        <v>187</v>
      </c>
      <c r="J189" s="12" t="str">
        <f t="shared" si="44"/>
        <v xml:space="preserve">Смарт-часы Apple Watch Series 9</v>
      </c>
      <c r="K189" s="12" t="str">
        <f t="shared" si="45"/>
        <v>Часы</v>
      </c>
      <c r="L189" s="13" t="str">
        <f t="shared" si="46"/>
        <v>АРТ-187</v>
      </c>
      <c r="M189" s="13" t="str">
        <f t="shared" si="47"/>
        <v xml:space="preserve">Смарт-Часы Apple Watch Series 9</v>
      </c>
      <c r="N189" s="13" t="str">
        <f>IFERROR(VLOOKUP(K189,Справочники!$A$6:$B$16,2,0),"НЕТ В СПРАВОЧНИКЕ")</f>
        <v>Часы</v>
      </c>
      <c r="O189" s="13" t="str">
        <f t="shared" si="48"/>
        <v>Apple</v>
      </c>
      <c r="P189" s="14">
        <f t="shared" si="49"/>
        <v>30000</v>
      </c>
      <c r="Q189" s="14">
        <f t="shared" si="50"/>
        <v>49990</v>
      </c>
      <c r="R189" s="13" t="str">
        <f t="shared" si="42"/>
        <v>шт</v>
      </c>
      <c r="S189" s="10" t="str">
        <f t="shared" si="51"/>
        <v>OK</v>
      </c>
      <c r="T189" s="10" t="str">
        <f t="shared" si="52"/>
        <v>уникален</v>
      </c>
    </row>
    <row r="190" ht="15" customHeight="1">
      <c r="A190" s="10">
        <v>188</v>
      </c>
      <c r="B190" s="11" t="str">
        <f>RAW_Товары!A189</f>
        <v>АРТ_188</v>
      </c>
      <c r="C190" s="11" t="str">
        <f>RAW_Товары!B189</f>
        <v xml:space="preserve">смарт-часы APPLE WATCH SERIES 9</v>
      </c>
      <c r="D190" s="11" t="str">
        <f>RAW_Товары!C189</f>
        <v>Часы</v>
      </c>
      <c r="E190" s="11" t="str">
        <f>RAW_Товары!D189</f>
        <v>apple</v>
      </c>
      <c r="F190" s="11" t="str">
        <f>RAW_Товары!E189</f>
        <v xml:space="preserve">29 000</v>
      </c>
      <c r="G190" s="11" t="str">
        <f>RAW_Товары!F189</f>
        <v xml:space="preserve">48 500</v>
      </c>
      <c r="H190" s="11" t="str">
        <f>RAW_Товары!G189</f>
        <v>штуки</v>
      </c>
      <c r="I190" s="12" t="str">
        <f t="shared" si="43"/>
        <v>188</v>
      </c>
      <c r="J190" s="12" t="str">
        <f t="shared" si="44"/>
        <v xml:space="preserve">смарт-часы APPLE WATCH SERIES 9</v>
      </c>
      <c r="K190" s="12" t="str">
        <f t="shared" si="45"/>
        <v>Часы</v>
      </c>
      <c r="L190" s="13" t="str">
        <f t="shared" si="46"/>
        <v>АРТ-188</v>
      </c>
      <c r="M190" s="13" t="str">
        <f t="shared" si="47"/>
        <v xml:space="preserve">Смарт-Часы Apple Watch Series 9</v>
      </c>
      <c r="N190" s="13" t="str">
        <f>IFERROR(VLOOKUP(K190,Справочники!$A$6:$B$16,2,0),"НЕТ В СПРАВОЧНИКЕ")</f>
        <v>Часы</v>
      </c>
      <c r="O190" s="13" t="str">
        <f t="shared" si="48"/>
        <v>Apple</v>
      </c>
      <c r="P190" s="14">
        <f t="shared" si="49"/>
        <v>29000</v>
      </c>
      <c r="Q190" s="14">
        <f t="shared" si="50"/>
        <v>48500</v>
      </c>
      <c r="R190" s="13" t="str">
        <f t="shared" si="42"/>
        <v>шт</v>
      </c>
      <c r="S190" s="10" t="str">
        <f t="shared" si="51"/>
        <v>OK</v>
      </c>
      <c r="T190" s="10" t="str">
        <f t="shared" si="52"/>
        <v>уникален</v>
      </c>
    </row>
    <row r="191" ht="15" customHeight="1">
      <c r="A191" s="10">
        <v>189</v>
      </c>
      <c r="B191" s="11" t="str">
        <f>RAW_Товары!A190</f>
        <v>189/24</v>
      </c>
      <c r="C191" s="11" t="str">
        <f>RAW_Товары!B190</f>
        <v xml:space="preserve">Смарт-часы Apple Watch Series 9 (GPS)</v>
      </c>
      <c r="D191" s="11" t="str">
        <f>RAW_Товары!C190</f>
        <v>Часы</v>
      </c>
      <c r="E191" s="11" t="str">
        <f>RAW_Товары!D190</f>
        <v>APPLE</v>
      </c>
      <c r="F191" s="11" t="str">
        <f>RAW_Товары!E190</f>
        <v xml:space="preserve">31 000</v>
      </c>
      <c r="G191" s="11" t="str">
        <f>RAW_Товары!F190</f>
        <v xml:space="preserve">51 500</v>
      </c>
      <c r="H191" s="11" t="str">
        <f>RAW_Товары!G190</f>
        <v>шт</v>
      </c>
      <c r="I191" s="12" t="str">
        <f t="shared" si="43"/>
        <v>189/24</v>
      </c>
      <c r="J191" s="12" t="str">
        <f t="shared" si="44"/>
        <v xml:space="preserve">Смарт-часы Apple Watch Series 9</v>
      </c>
      <c r="K191" s="12" t="str">
        <f t="shared" si="45"/>
        <v>Часы</v>
      </c>
      <c r="L191" s="13" t="str">
        <f t="shared" si="46"/>
        <v>АРТ-189</v>
      </c>
      <c r="M191" s="13" t="str">
        <f t="shared" si="47"/>
        <v xml:space="preserve">Смарт-Часы Apple Watch Series 9</v>
      </c>
      <c r="N191" s="13" t="str">
        <f>IFERROR(VLOOKUP(K191,Справочники!$A$6:$B$16,2,0),"НЕТ В СПРАВОЧНИКЕ")</f>
        <v>Часы</v>
      </c>
      <c r="O191" s="13" t="str">
        <f t="shared" si="48"/>
        <v>Apple</v>
      </c>
      <c r="P191" s="14">
        <f t="shared" si="49"/>
        <v>31000</v>
      </c>
      <c r="Q191" s="14">
        <f t="shared" si="50"/>
        <v>51500</v>
      </c>
      <c r="R191" s="13" t="str">
        <f t="shared" si="42"/>
        <v>шт</v>
      </c>
      <c r="S191" s="10" t="str">
        <f t="shared" si="51"/>
        <v>OK</v>
      </c>
      <c r="T191" s="10" t="str">
        <f t="shared" si="52"/>
        <v>уникален</v>
      </c>
    </row>
    <row r="192" ht="15" customHeight="1">
      <c r="A192" s="10">
        <v>190</v>
      </c>
      <c r="B192" s="11" t="str">
        <f>RAW_Товары!A191</f>
        <v>№АРТ-190</v>
      </c>
      <c r="C192" s="11" t="str">
        <f>RAW_Товары!B191</f>
        <v xml:space="preserve">Планшет Amazon Fire HD 10</v>
      </c>
      <c r="D192" s="11" t="str">
        <f>RAW_Товары!C191</f>
        <v>Планшеты</v>
      </c>
      <c r="E192" s="11" t="str">
        <f>RAW_Товары!D191</f>
        <v>Amazon</v>
      </c>
      <c r="F192" s="11" t="str">
        <f>RAW_Товары!E191</f>
        <v xml:space="preserve">15 000</v>
      </c>
      <c r="G192" s="11" t="str">
        <f>RAW_Товары!F191</f>
        <v xml:space="preserve">24 990</v>
      </c>
      <c r="H192" s="11" t="str">
        <f>RAW_Товары!G191</f>
        <v>шт.</v>
      </c>
      <c r="I192" s="12" t="str">
        <f t="shared" si="43"/>
        <v>190</v>
      </c>
      <c r="J192" s="12" t="str">
        <f t="shared" si="44"/>
        <v xml:space="preserve">Планшет Amazon Fire HD 10</v>
      </c>
      <c r="K192" s="12" t="str">
        <f t="shared" si="45"/>
        <v>Планшеты</v>
      </c>
      <c r="L192" s="13" t="str">
        <f t="shared" si="46"/>
        <v>АРТ-190</v>
      </c>
      <c r="M192" s="13" t="str">
        <f t="shared" si="47"/>
        <v xml:space="preserve">Планшет Amazon Fire Hd 10</v>
      </c>
      <c r="N192" s="13" t="str">
        <f>IFERROR(VLOOKUP(K192,Справочники!$A$6:$B$16,2,0),"НЕТ В СПРАВОЧНИКЕ")</f>
        <v>Планшеты</v>
      </c>
      <c r="O192" s="13" t="str">
        <f t="shared" si="48"/>
        <v>Amazon</v>
      </c>
      <c r="P192" s="14">
        <f t="shared" si="49"/>
        <v>15000</v>
      </c>
      <c r="Q192" s="14">
        <f t="shared" si="50"/>
        <v>24990</v>
      </c>
      <c r="R192" s="13" t="str">
        <f t="shared" si="42"/>
        <v>шт</v>
      </c>
      <c r="S192" s="10" t="str">
        <f t="shared" si="51"/>
        <v>OK</v>
      </c>
      <c r="T192" s="10" t="str">
        <f t="shared" si="52"/>
        <v>уникален</v>
      </c>
    </row>
    <row r="193" ht="15" customHeight="1">
      <c r="A193" s="10">
        <v>191</v>
      </c>
      <c r="B193" s="11" t="str">
        <f>RAW_Товары!A192</f>
        <v>АРТ_191</v>
      </c>
      <c r="C193" s="11" t="str">
        <f>RAW_Товары!B192</f>
        <v xml:space="preserve">планшет AMAZON FIRE HD 10</v>
      </c>
      <c r="D193" s="11" t="str">
        <f>RAW_Товары!C192</f>
        <v>Планшеты</v>
      </c>
      <c r="E193" s="11" t="str">
        <f>RAW_Товары!D192</f>
        <v>amazon</v>
      </c>
      <c r="F193" s="11" t="str">
        <f>RAW_Товары!E192</f>
        <v xml:space="preserve">14 000</v>
      </c>
      <c r="G193" s="11" t="str">
        <f>RAW_Товары!F192</f>
        <v xml:space="preserve">23 500</v>
      </c>
      <c r="H193" s="11" t="str">
        <f>RAW_Товары!G192</f>
        <v>штука</v>
      </c>
      <c r="I193" s="12" t="str">
        <f t="shared" si="43"/>
        <v>191</v>
      </c>
      <c r="J193" s="12" t="str">
        <f t="shared" si="44"/>
        <v xml:space="preserve">планшет AMAZON FIRE HD 10</v>
      </c>
      <c r="K193" s="12" t="str">
        <f t="shared" si="45"/>
        <v>Планшеты</v>
      </c>
      <c r="L193" s="13" t="str">
        <f t="shared" si="46"/>
        <v>АРТ-191</v>
      </c>
      <c r="M193" s="13" t="str">
        <f t="shared" si="47"/>
        <v xml:space="preserve">Планшет Amazon Fire Hd 10</v>
      </c>
      <c r="N193" s="13" t="str">
        <f>IFERROR(VLOOKUP(K193,Справочники!$A$6:$B$16,2,0),"НЕТ В СПРАВОЧНИКЕ")</f>
        <v>Планшеты</v>
      </c>
      <c r="O193" s="13" t="str">
        <f t="shared" si="48"/>
        <v>Amazon</v>
      </c>
      <c r="P193" s="14">
        <f t="shared" si="49"/>
        <v>14000</v>
      </c>
      <c r="Q193" s="14">
        <f t="shared" si="50"/>
        <v>23500</v>
      </c>
      <c r="R193" s="13" t="str">
        <f t="shared" si="42"/>
        <v>шт</v>
      </c>
      <c r="S193" s="10" t="str">
        <f t="shared" si="51"/>
        <v>OK</v>
      </c>
      <c r="T193" s="10" t="str">
        <f t="shared" si="52"/>
        <v>уникален</v>
      </c>
    </row>
    <row r="194" ht="15" customHeight="1">
      <c r="A194" s="10">
        <v>192</v>
      </c>
      <c r="B194" s="11" t="str">
        <f>RAW_Товары!A193</f>
        <v>192-24</v>
      </c>
      <c r="C194" s="11" t="str">
        <f>RAW_Товары!B193</f>
        <v xml:space="preserve">Планшет Amazon Fire HD 10 (Plus)</v>
      </c>
      <c r="D194" s="11" t="str">
        <f>RAW_Товары!C193</f>
        <v>Планшеты</v>
      </c>
      <c r="E194" s="11" t="str">
        <f>RAW_Товары!D193</f>
        <v>AMAZON</v>
      </c>
      <c r="F194" s="11" t="str">
        <f>RAW_Товары!E193</f>
        <v xml:space="preserve">16 000</v>
      </c>
      <c r="G194" s="11" t="str">
        <f>RAW_Товары!F193</f>
        <v xml:space="preserve">26 500</v>
      </c>
      <c r="H194" s="11" t="str">
        <f>RAW_Товары!G193</f>
        <v>шт</v>
      </c>
      <c r="I194" s="12" t="str">
        <f t="shared" si="43"/>
        <v>192-24</v>
      </c>
      <c r="J194" s="12" t="str">
        <f t="shared" si="44"/>
        <v xml:space="preserve">Планшет Amazon Fire HD 10</v>
      </c>
      <c r="K194" s="12" t="str">
        <f t="shared" si="45"/>
        <v>Планшеты</v>
      </c>
      <c r="L194" s="13" t="str">
        <f t="shared" si="46"/>
        <v>АРТ-192</v>
      </c>
      <c r="M194" s="13" t="str">
        <f t="shared" si="47"/>
        <v xml:space="preserve">Планшет Amazon Fire Hd 10</v>
      </c>
      <c r="N194" s="13" t="str">
        <f>IFERROR(VLOOKUP(K194,Справочники!$A$6:$B$16,2,0),"НЕТ В СПРАВОЧНИКЕ")</f>
        <v>Планшеты</v>
      </c>
      <c r="O194" s="13" t="str">
        <f t="shared" si="48"/>
        <v>Amazon</v>
      </c>
      <c r="P194" s="14">
        <f t="shared" si="49"/>
        <v>16000</v>
      </c>
      <c r="Q194" s="14">
        <f t="shared" si="50"/>
        <v>26500</v>
      </c>
      <c r="R194" s="13" t="str">
        <f t="shared" si="42"/>
        <v>шт</v>
      </c>
      <c r="S194" s="10" t="str">
        <f t="shared" si="51"/>
        <v>OK</v>
      </c>
      <c r="T194" s="10" t="str">
        <f t="shared" si="52"/>
        <v>уникален</v>
      </c>
    </row>
    <row r="195" ht="15" customHeight="1">
      <c r="A195" s="10">
        <v>193</v>
      </c>
      <c r="B195" s="11" t="str">
        <f>RAW_Товары!A194</f>
        <v>№АРТ-193</v>
      </c>
      <c r="C195" s="11" t="str">
        <f>RAW_Товары!B194</f>
        <v xml:space="preserve">Ноутбук Framework Laptop 13</v>
      </c>
      <c r="D195" s="11" t="str">
        <f>RAW_Товары!C194</f>
        <v>Ноутбуки</v>
      </c>
      <c r="E195" s="11" t="str">
        <f>RAW_Товары!D194</f>
        <v>Framework</v>
      </c>
      <c r="F195" s="11" t="str">
        <f>RAW_Товары!E194</f>
        <v xml:space="preserve">85 000</v>
      </c>
      <c r="G195" s="11" t="str">
        <f>RAW_Товары!F194</f>
        <v xml:space="preserve">129 990</v>
      </c>
      <c r="H195" s="11" t="str">
        <f>RAW_Товары!G194</f>
        <v>шт.</v>
      </c>
      <c r="I195" s="12" t="str">
        <f t="shared" si="43"/>
        <v>193</v>
      </c>
      <c r="J195" s="12" t="str">
        <f t="shared" si="44"/>
        <v xml:space="preserve">Ноутбук Framework Laptop 13</v>
      </c>
      <c r="K195" s="12" t="str">
        <f t="shared" si="45"/>
        <v>Ноутбуки</v>
      </c>
      <c r="L195" s="13" t="str">
        <f t="shared" si="46"/>
        <v>АРТ-193</v>
      </c>
      <c r="M195" s="13" t="str">
        <f t="shared" si="47"/>
        <v xml:space="preserve">Ноутбук Framework Laptop 13</v>
      </c>
      <c r="N195" s="13" t="str">
        <f>IFERROR(VLOOKUP(K195,Справочники!$A$6:$B$16,2,0),"НЕТ В СПРАВОЧНИКЕ")</f>
        <v>Ноутбуки</v>
      </c>
      <c r="O195" s="13" t="str">
        <f t="shared" si="48"/>
        <v>Framework</v>
      </c>
      <c r="P195" s="14">
        <f t="shared" si="49"/>
        <v>85000</v>
      </c>
      <c r="Q195" s="14">
        <f t="shared" si="50"/>
        <v>129990</v>
      </c>
      <c r="R195" s="13" t="str">
        <f t="shared" ref="R195:R258" si="53">"шт"</f>
        <v>шт</v>
      </c>
      <c r="S195" s="10" t="str">
        <f t="shared" si="51"/>
        <v>OK</v>
      </c>
      <c r="T195" s="10" t="str">
        <f t="shared" si="52"/>
        <v>уникален</v>
      </c>
    </row>
    <row r="196" ht="15" customHeight="1">
      <c r="A196" s="10">
        <v>194</v>
      </c>
      <c r="B196" s="11" t="str">
        <f>RAW_Товары!A195</f>
        <v>АРТ_194</v>
      </c>
      <c r="C196" s="11" t="str">
        <f>RAW_Товары!B195</f>
        <v xml:space="preserve">ноутбук FRAMEWORK LAPTOP 13</v>
      </c>
      <c r="D196" s="11" t="str">
        <f>RAW_Товары!C195</f>
        <v>Лэптопы</v>
      </c>
      <c r="E196" s="11" t="str">
        <f>RAW_Товары!D195</f>
        <v>framework</v>
      </c>
      <c r="F196" s="11" t="str">
        <f>RAW_Товары!E195</f>
        <v xml:space="preserve">83 000</v>
      </c>
      <c r="G196" s="11" t="str">
        <f>RAW_Товары!F195</f>
        <v xml:space="preserve">127 000</v>
      </c>
      <c r="H196" s="11" t="str">
        <f>RAW_Товары!G195</f>
        <v>штуки</v>
      </c>
      <c r="I196" s="12" t="str">
        <f t="shared" si="43"/>
        <v>194</v>
      </c>
      <c r="J196" s="12" t="str">
        <f t="shared" si="44"/>
        <v xml:space="preserve">ноутбук FRAMEWORK LAPTOP 13</v>
      </c>
      <c r="K196" s="12" t="str">
        <f t="shared" si="45"/>
        <v>Лэптопы</v>
      </c>
      <c r="L196" s="13" t="str">
        <f t="shared" si="46"/>
        <v>АРТ-194</v>
      </c>
      <c r="M196" s="13" t="str">
        <f t="shared" si="47"/>
        <v xml:space="preserve">Ноутбук Framework Laptop 13</v>
      </c>
      <c r="N196" s="13" t="str">
        <f>IFERROR(VLOOKUP(K196,Справочники!$A$6:$B$16,2,0),"НЕТ В СПРАВОЧНИКЕ")</f>
        <v>Ноутбуки</v>
      </c>
      <c r="O196" s="13" t="str">
        <f t="shared" si="48"/>
        <v>Framework</v>
      </c>
      <c r="P196" s="14">
        <f t="shared" si="49"/>
        <v>83000</v>
      </c>
      <c r="Q196" s="14">
        <f t="shared" si="50"/>
        <v>127000</v>
      </c>
      <c r="R196" s="13" t="str">
        <f t="shared" si="53"/>
        <v>шт</v>
      </c>
      <c r="S196" s="10" t="str">
        <f t="shared" si="51"/>
        <v>OK</v>
      </c>
      <c r="T196" s="10" t="str">
        <f t="shared" si="52"/>
        <v>уникален</v>
      </c>
    </row>
    <row r="197" ht="15" customHeight="1">
      <c r="A197" s="10">
        <v>195</v>
      </c>
      <c r="B197" s="11" t="str">
        <f>RAW_Товары!A196</f>
        <v>195/24</v>
      </c>
      <c r="C197" s="11" t="str">
        <f>RAW_Товары!B196</f>
        <v xml:space="preserve">Ноутбук Framework Laptop 13 (DIY)</v>
      </c>
      <c r="D197" s="11" t="str">
        <f>RAW_Товары!C196</f>
        <v>Ноутбуки</v>
      </c>
      <c r="E197" s="11" t="str">
        <f>RAW_Товары!D196</f>
        <v>FRAMEWORK</v>
      </c>
      <c r="F197" s="11" t="str">
        <f>RAW_Товары!E196</f>
        <v xml:space="preserve">86 500</v>
      </c>
      <c r="G197" s="11" t="str">
        <f>RAW_Товары!F196</f>
        <v xml:space="preserve">132 500</v>
      </c>
      <c r="H197" s="11" t="str">
        <f>RAW_Товары!G196</f>
        <v>шт</v>
      </c>
      <c r="I197" s="12" t="str">
        <f t="shared" si="43"/>
        <v>195/24</v>
      </c>
      <c r="J197" s="12" t="str">
        <f t="shared" si="44"/>
        <v xml:space="preserve">Ноутбук Framework Laptop 13</v>
      </c>
      <c r="K197" s="12" t="str">
        <f t="shared" si="45"/>
        <v>Ноутбуки</v>
      </c>
      <c r="L197" s="13" t="str">
        <f t="shared" si="46"/>
        <v>АРТ-195</v>
      </c>
      <c r="M197" s="13" t="str">
        <f t="shared" si="47"/>
        <v xml:space="preserve">Ноутбук Framework Laptop 13</v>
      </c>
      <c r="N197" s="13" t="str">
        <f>IFERROR(VLOOKUP(K197,Справочники!$A$6:$B$16,2,0),"НЕТ В СПРАВОЧНИКЕ")</f>
        <v>Ноутбуки</v>
      </c>
      <c r="O197" s="13" t="str">
        <f t="shared" si="48"/>
        <v>Framework</v>
      </c>
      <c r="P197" s="14">
        <f t="shared" si="49"/>
        <v>86500</v>
      </c>
      <c r="Q197" s="14">
        <f t="shared" si="50"/>
        <v>132500</v>
      </c>
      <c r="R197" s="13" t="str">
        <f t="shared" si="53"/>
        <v>шт</v>
      </c>
      <c r="S197" s="10" t="str">
        <f t="shared" si="51"/>
        <v>OK</v>
      </c>
      <c r="T197" s="10" t="str">
        <f t="shared" si="52"/>
        <v>уникален</v>
      </c>
    </row>
    <row r="198" ht="15" customHeight="1">
      <c r="A198" s="10">
        <v>196</v>
      </c>
      <c r="B198" s="11" t="str">
        <f>RAW_Товары!A197</f>
        <v>№АРТ-196</v>
      </c>
      <c r="C198" s="11" t="str">
        <f>RAW_Товары!B197</f>
        <v xml:space="preserve">Смартфон Vivo X90</v>
      </c>
      <c r="D198" s="11" t="str">
        <f>RAW_Товары!C197</f>
        <v>Смартфоны</v>
      </c>
      <c r="E198" s="11" t="str">
        <f>RAW_Товары!D197</f>
        <v>Vivo</v>
      </c>
      <c r="F198" s="11" t="str">
        <f>RAW_Товары!E197</f>
        <v xml:space="preserve">31 000</v>
      </c>
      <c r="G198" s="11" t="str">
        <f>RAW_Товары!F197</f>
        <v xml:space="preserve">53 990</v>
      </c>
      <c r="H198" s="11" t="str">
        <f>RAW_Товары!G197</f>
        <v>шт.</v>
      </c>
      <c r="I198" s="12" t="str">
        <f t="shared" si="43"/>
        <v>196</v>
      </c>
      <c r="J198" s="12" t="str">
        <f t="shared" si="44"/>
        <v xml:space="preserve">Смартфон Vivo X90</v>
      </c>
      <c r="K198" s="12" t="str">
        <f t="shared" si="45"/>
        <v>Смартфоны</v>
      </c>
      <c r="L198" s="13" t="str">
        <f t="shared" si="46"/>
        <v>АРТ-196</v>
      </c>
      <c r="M198" s="13" t="str">
        <f t="shared" si="47"/>
        <v xml:space="preserve">Смартфон Vivo X90</v>
      </c>
      <c r="N198" s="13" t="str">
        <f>IFERROR(VLOOKUP(K198,Справочники!$A$6:$B$16,2,0),"НЕТ В СПРАВОЧНИКЕ")</f>
        <v>Смартфоны</v>
      </c>
      <c r="O198" s="13" t="str">
        <f t="shared" si="48"/>
        <v>Vivo</v>
      </c>
      <c r="P198" s="14">
        <f t="shared" si="49"/>
        <v>31000</v>
      </c>
      <c r="Q198" s="14">
        <f t="shared" si="50"/>
        <v>53990</v>
      </c>
      <c r="R198" s="13" t="str">
        <f t="shared" si="53"/>
        <v>шт</v>
      </c>
      <c r="S198" s="10" t="str">
        <f t="shared" si="51"/>
        <v>OK</v>
      </c>
      <c r="T198" s="10" t="str">
        <f t="shared" si="52"/>
        <v>уникален</v>
      </c>
    </row>
    <row r="199" ht="15" customHeight="1">
      <c r="A199" s="10">
        <v>197</v>
      </c>
      <c r="B199" s="11" t="str">
        <f>RAW_Товары!A198</f>
        <v>АРТ_197</v>
      </c>
      <c r="C199" s="11" t="str">
        <f>RAW_Товары!B198</f>
        <v xml:space="preserve">смартфон VIVO X90</v>
      </c>
      <c r="D199" s="11" t="str">
        <f>RAW_Товары!C198</f>
        <v>Телефоны</v>
      </c>
      <c r="E199" s="11" t="str">
        <f>RAW_Товары!D198</f>
        <v>vivo</v>
      </c>
      <c r="F199" s="11" t="str">
        <f>RAW_Товары!E198</f>
        <v xml:space="preserve">30 000</v>
      </c>
      <c r="G199" s="11" t="str">
        <f>RAW_Товары!F198</f>
        <v xml:space="preserve">52 500</v>
      </c>
      <c r="H199" s="11" t="str">
        <f>RAW_Товары!G198</f>
        <v>штука</v>
      </c>
      <c r="I199" s="12" t="str">
        <f t="shared" si="43"/>
        <v>197</v>
      </c>
      <c r="J199" s="12" t="str">
        <f t="shared" si="44"/>
        <v xml:space="preserve">смартфон VIVO X90</v>
      </c>
      <c r="K199" s="12" t="str">
        <f t="shared" si="45"/>
        <v>Телефоны</v>
      </c>
      <c r="L199" s="13" t="str">
        <f t="shared" si="46"/>
        <v>АРТ-197</v>
      </c>
      <c r="M199" s="13" t="str">
        <f t="shared" si="47"/>
        <v xml:space="preserve">Смартфон Vivo X90</v>
      </c>
      <c r="N199" s="13" t="str">
        <f>IFERROR(VLOOKUP(K199,Справочники!$A$6:$B$16,2,0),"НЕТ В СПРАВОЧНИКЕ")</f>
        <v>Смартфоны</v>
      </c>
      <c r="O199" s="13" t="str">
        <f t="shared" si="48"/>
        <v>Vivo</v>
      </c>
      <c r="P199" s="14">
        <f t="shared" si="49"/>
        <v>30000</v>
      </c>
      <c r="Q199" s="14">
        <f t="shared" si="50"/>
        <v>52500</v>
      </c>
      <c r="R199" s="13" t="str">
        <f t="shared" si="53"/>
        <v>шт</v>
      </c>
      <c r="S199" s="10" t="str">
        <f t="shared" si="51"/>
        <v>OK</v>
      </c>
      <c r="T199" s="10" t="str">
        <f t="shared" si="52"/>
        <v>уникален</v>
      </c>
    </row>
    <row r="200" ht="15" customHeight="1">
      <c r="A200" s="10">
        <v>198</v>
      </c>
      <c r="B200" s="11" t="str">
        <f>RAW_Товары!A199</f>
        <v>198-24</v>
      </c>
      <c r="C200" s="11" t="str">
        <f>RAW_Товары!B199</f>
        <v xml:space="preserve">Смартфон Vivo X90 (Pro)</v>
      </c>
      <c r="D200" s="11" t="str">
        <f>RAW_Товары!C199</f>
        <v xml:space="preserve">Мобильные телефоны</v>
      </c>
      <c r="E200" s="11" t="str">
        <f>RAW_Товары!D199</f>
        <v>VIVO</v>
      </c>
      <c r="F200" s="11" t="str">
        <f>RAW_Товары!E199</f>
        <v xml:space="preserve">32 000</v>
      </c>
      <c r="G200" s="11" t="str">
        <f>RAW_Товары!F199</f>
        <v xml:space="preserve">55 500</v>
      </c>
      <c r="H200" s="11" t="str">
        <f>RAW_Товары!G199</f>
        <v>шт</v>
      </c>
      <c r="I200" s="12" t="str">
        <f t="shared" si="43"/>
        <v>198-24</v>
      </c>
      <c r="J200" s="12" t="str">
        <f t="shared" si="44"/>
        <v xml:space="preserve">Смартфон Vivo X90</v>
      </c>
      <c r="K200" s="12" t="str">
        <f t="shared" si="45"/>
        <v xml:space="preserve">Мобильные телефоны</v>
      </c>
      <c r="L200" s="13" t="str">
        <f t="shared" si="46"/>
        <v>АРТ-198</v>
      </c>
      <c r="M200" s="13" t="str">
        <f t="shared" si="47"/>
        <v xml:space="preserve">Смартфон Vivo X90</v>
      </c>
      <c r="N200" s="13" t="str">
        <f>IFERROR(VLOOKUP(K200,Справочники!$A$6:$B$16,2,0),"НЕТ В СПРАВОЧНИКЕ")</f>
        <v>Смартфоны</v>
      </c>
      <c r="O200" s="13" t="str">
        <f t="shared" si="48"/>
        <v>Vivo</v>
      </c>
      <c r="P200" s="14">
        <f t="shared" si="49"/>
        <v>32000</v>
      </c>
      <c r="Q200" s="14">
        <f t="shared" si="50"/>
        <v>55500</v>
      </c>
      <c r="R200" s="13" t="str">
        <f t="shared" si="53"/>
        <v>шт</v>
      </c>
      <c r="S200" s="10" t="str">
        <f t="shared" si="51"/>
        <v>OK</v>
      </c>
      <c r="T200" s="10" t="str">
        <f t="shared" si="52"/>
        <v>уникален</v>
      </c>
    </row>
    <row r="201" ht="15" customHeight="1">
      <c r="A201" s="10">
        <v>199</v>
      </c>
      <c r="B201" s="11" t="str">
        <f>RAW_Товары!A200</f>
        <v>№АРТ-199</v>
      </c>
      <c r="C201" s="11" t="str">
        <f>RAW_Товары!B200</f>
        <v xml:space="preserve">Телевизор TCL 55C835</v>
      </c>
      <c r="D201" s="11" t="str">
        <f>RAW_Товары!C200</f>
        <v>Телевизоры</v>
      </c>
      <c r="E201" s="11" t="str">
        <f>RAW_Товары!D200</f>
        <v>TCL</v>
      </c>
      <c r="F201" s="11" t="str">
        <f>RAW_Товары!E200</f>
        <v xml:space="preserve">62 000</v>
      </c>
      <c r="G201" s="11" t="str">
        <f>RAW_Товары!F200</f>
        <v xml:space="preserve">95 990</v>
      </c>
      <c r="H201" s="11" t="str">
        <f>RAW_Товары!G200</f>
        <v>шт.</v>
      </c>
      <c r="I201" s="12" t="str">
        <f t="shared" si="43"/>
        <v>199</v>
      </c>
      <c r="J201" s="12" t="str">
        <f t="shared" si="44"/>
        <v xml:space="preserve">Телевизор TCL 55C835</v>
      </c>
      <c r="K201" s="12" t="str">
        <f t="shared" si="45"/>
        <v>Телевизоры</v>
      </c>
      <c r="L201" s="13" t="str">
        <f t="shared" si="46"/>
        <v>АРТ-199</v>
      </c>
      <c r="M201" s="13" t="str">
        <f t="shared" si="47"/>
        <v xml:space="preserve">Телевизор Tcl 55C835</v>
      </c>
      <c r="N201" s="13" t="str">
        <f>IFERROR(VLOOKUP(K201,Справочники!$A$6:$B$16,2,0),"НЕТ В СПРАВОЧНИКЕ")</f>
        <v>Телевизоры</v>
      </c>
      <c r="O201" s="13" t="str">
        <f t="shared" si="48"/>
        <v>Tcl</v>
      </c>
      <c r="P201" s="14">
        <f t="shared" si="49"/>
        <v>62000</v>
      </c>
      <c r="Q201" s="14">
        <f t="shared" si="50"/>
        <v>95990</v>
      </c>
      <c r="R201" s="13" t="str">
        <f t="shared" si="53"/>
        <v>шт</v>
      </c>
      <c r="S201" s="10" t="str">
        <f t="shared" si="51"/>
        <v>OK</v>
      </c>
      <c r="T201" s="10" t="str">
        <f t="shared" si="52"/>
        <v>уникален</v>
      </c>
    </row>
    <row r="202" ht="15" customHeight="1">
      <c r="A202" s="10">
        <v>200</v>
      </c>
      <c r="B202" s="11" t="str">
        <f>RAW_Товары!A201</f>
        <v>АРТ_200</v>
      </c>
      <c r="C202" s="11" t="str">
        <f>RAW_Товары!B201</f>
        <v xml:space="preserve">телевизор TCL 55C835</v>
      </c>
      <c r="D202" s="11" t="str">
        <f>RAW_Товары!C201</f>
        <v>Телевизоры</v>
      </c>
      <c r="E202" s="11" t="str">
        <f>RAW_Товары!D201</f>
        <v>tcl</v>
      </c>
      <c r="F202" s="11" t="str">
        <f>RAW_Товары!E201</f>
        <v xml:space="preserve">60 000</v>
      </c>
      <c r="G202" s="11" t="str">
        <f>RAW_Товары!F201</f>
        <v xml:space="preserve">93 000</v>
      </c>
      <c r="H202" s="11" t="str">
        <f>RAW_Товары!G201</f>
        <v>штуки</v>
      </c>
      <c r="I202" s="12" t="str">
        <f t="shared" si="43"/>
        <v>200</v>
      </c>
      <c r="J202" s="12" t="str">
        <f t="shared" si="44"/>
        <v xml:space="preserve">телевизор TCL 55C835</v>
      </c>
      <c r="K202" s="12" t="str">
        <f t="shared" si="45"/>
        <v>Телевизоры</v>
      </c>
      <c r="L202" s="13" t="str">
        <f t="shared" si="46"/>
        <v>АРТ-200</v>
      </c>
      <c r="M202" s="13" t="str">
        <f t="shared" si="47"/>
        <v xml:space="preserve">Телевизор Tcl 55C835</v>
      </c>
      <c r="N202" s="13" t="str">
        <f>IFERROR(VLOOKUP(K202,Справочники!$A$6:$B$16,2,0),"НЕТ В СПРАВОЧНИКЕ")</f>
        <v>Телевизоры</v>
      </c>
      <c r="O202" s="13" t="str">
        <f t="shared" si="48"/>
        <v>Tcl</v>
      </c>
      <c r="P202" s="14">
        <f t="shared" si="49"/>
        <v>60000</v>
      </c>
      <c r="Q202" s="14">
        <f t="shared" si="50"/>
        <v>93000</v>
      </c>
      <c r="R202" s="13" t="str">
        <f t="shared" si="53"/>
        <v>шт</v>
      </c>
      <c r="S202" s="10" t="str">
        <f t="shared" si="51"/>
        <v>OK</v>
      </c>
      <c r="T202" s="10" t="str">
        <f t="shared" si="52"/>
        <v>уникален</v>
      </c>
    </row>
    <row r="203" ht="15" customHeight="1">
      <c r="A203" s="10">
        <v>201</v>
      </c>
      <c r="B203" s="11" t="str">
        <f>RAW_Товары!A202</f>
        <v>201/24</v>
      </c>
      <c r="C203" s="11" t="str">
        <f>RAW_Товары!B202</f>
        <v xml:space="preserve">Телевизор TCL 55C835 (Mini LED)</v>
      </c>
      <c r="D203" s="11" t="str">
        <f>RAW_Товары!C202</f>
        <v>Телевизоры</v>
      </c>
      <c r="E203" s="11" t="str">
        <f>RAW_Товары!D202</f>
        <v>TCL</v>
      </c>
      <c r="F203" s="11" t="str">
        <f>RAW_Товары!E202</f>
        <v xml:space="preserve">63 500</v>
      </c>
      <c r="G203" s="11" t="str">
        <f>RAW_Товары!F202</f>
        <v xml:space="preserve">98 500</v>
      </c>
      <c r="H203" s="11" t="str">
        <f>RAW_Товары!G202</f>
        <v>шт</v>
      </c>
      <c r="I203" s="12" t="str">
        <f t="shared" si="43"/>
        <v>201/24</v>
      </c>
      <c r="J203" s="12" t="str">
        <f t="shared" si="44"/>
        <v xml:space="preserve">Телевизор TCL 55C835</v>
      </c>
      <c r="K203" s="12" t="str">
        <f t="shared" si="45"/>
        <v>Телевизоры</v>
      </c>
      <c r="L203" s="13" t="str">
        <f t="shared" si="46"/>
        <v>АРТ-201</v>
      </c>
      <c r="M203" s="13" t="str">
        <f t="shared" si="47"/>
        <v xml:space="preserve">Телевизор Tcl 55C835</v>
      </c>
      <c r="N203" s="13" t="str">
        <f>IFERROR(VLOOKUP(K203,Справочники!$A$6:$B$16,2,0),"НЕТ В СПРАВОЧНИКЕ")</f>
        <v>Телевизоры</v>
      </c>
      <c r="O203" s="13" t="str">
        <f t="shared" si="48"/>
        <v>Tcl</v>
      </c>
      <c r="P203" s="14">
        <f t="shared" si="49"/>
        <v>63500</v>
      </c>
      <c r="Q203" s="14">
        <f t="shared" si="50"/>
        <v>98500</v>
      </c>
      <c r="R203" s="13" t="str">
        <f t="shared" si="53"/>
        <v>шт</v>
      </c>
      <c r="S203" s="10" t="str">
        <f t="shared" si="51"/>
        <v>OK</v>
      </c>
      <c r="T203" s="10" t="str">
        <f t="shared" si="52"/>
        <v>уникален</v>
      </c>
    </row>
    <row r="204" ht="15" customHeight="1">
      <c r="A204" s="10">
        <v>202</v>
      </c>
      <c r="B204" s="11" t="str">
        <f>RAW_Товары!A203</f>
        <v>№АРТ-202</v>
      </c>
      <c r="C204" s="11" t="str">
        <f>RAW_Товары!B203</f>
        <v xml:space="preserve">Наушники Logitech G435</v>
      </c>
      <c r="D204" s="11" t="str">
        <f>RAW_Товары!C203</f>
        <v>Наушники</v>
      </c>
      <c r="E204" s="11" t="str">
        <f>RAW_Товары!D203</f>
        <v>Logitech</v>
      </c>
      <c r="F204" s="11" t="str">
        <f>RAW_Товары!E203</f>
        <v xml:space="preserve">5 500</v>
      </c>
      <c r="G204" s="11" t="str">
        <f>RAW_Товары!F203</f>
        <v xml:space="preserve">9 990</v>
      </c>
      <c r="H204" s="11" t="str">
        <f>RAW_Товары!G203</f>
        <v>шт.</v>
      </c>
      <c r="I204" s="12" t="str">
        <f t="shared" si="43"/>
        <v>202</v>
      </c>
      <c r="J204" s="12" t="str">
        <f t="shared" si="44"/>
        <v xml:space="preserve">Наушники Logitech G435</v>
      </c>
      <c r="K204" s="12" t="str">
        <f t="shared" si="45"/>
        <v>Наушники</v>
      </c>
      <c r="L204" s="13" t="str">
        <f t="shared" si="46"/>
        <v>АРТ-202</v>
      </c>
      <c r="M204" s="13" t="str">
        <f t="shared" si="47"/>
        <v xml:space="preserve">Наушники Logitech G435</v>
      </c>
      <c r="N204" s="13" t="str">
        <f>IFERROR(VLOOKUP(K204,Справочники!$A$6:$B$16,2,0),"НЕТ В СПРАВОЧНИКЕ")</f>
        <v>Наушники</v>
      </c>
      <c r="O204" s="13" t="str">
        <f t="shared" si="48"/>
        <v>Logitech</v>
      </c>
      <c r="P204" s="14">
        <f t="shared" si="49"/>
        <v>5500</v>
      </c>
      <c r="Q204" s="14">
        <f t="shared" si="50"/>
        <v>9990</v>
      </c>
      <c r="R204" s="13" t="str">
        <f t="shared" si="53"/>
        <v>шт</v>
      </c>
      <c r="S204" s="10" t="str">
        <f t="shared" si="51"/>
        <v>OK</v>
      </c>
      <c r="T204" s="10" t="str">
        <f t="shared" si="52"/>
        <v>уникален</v>
      </c>
    </row>
    <row r="205" ht="15" customHeight="1">
      <c r="A205" s="10">
        <v>203</v>
      </c>
      <c r="B205" s="11" t="str">
        <f>RAW_Товары!A204</f>
        <v>АРТ_203</v>
      </c>
      <c r="C205" s="11" t="str">
        <f>RAW_Товары!B204</f>
        <v xml:space="preserve">наушники LOGITECH G435</v>
      </c>
      <c r="D205" s="11" t="str">
        <f>RAW_Товары!C204</f>
        <v>Наушники</v>
      </c>
      <c r="E205" s="11" t="str">
        <f>RAW_Товары!D204</f>
        <v>logitech</v>
      </c>
      <c r="F205" s="11" t="str">
        <f>RAW_Товары!E204</f>
        <v xml:space="preserve">5 000</v>
      </c>
      <c r="G205" s="11" t="str">
        <f>RAW_Товары!F204</f>
        <v xml:space="preserve">9 200</v>
      </c>
      <c r="H205" s="11" t="str">
        <f>RAW_Товары!G204</f>
        <v>штука</v>
      </c>
      <c r="I205" s="12" t="str">
        <f t="shared" si="43"/>
        <v>203</v>
      </c>
      <c r="J205" s="12" t="str">
        <f t="shared" si="44"/>
        <v xml:space="preserve">наушники LOGITECH G435</v>
      </c>
      <c r="K205" s="12" t="str">
        <f t="shared" si="45"/>
        <v>Наушники</v>
      </c>
      <c r="L205" s="13" t="str">
        <f t="shared" si="46"/>
        <v>АРТ-203</v>
      </c>
      <c r="M205" s="13" t="str">
        <f t="shared" si="47"/>
        <v xml:space="preserve">Наушники Logitech G435</v>
      </c>
      <c r="N205" s="13" t="str">
        <f>IFERROR(VLOOKUP(K205,Справочники!$A$6:$B$16,2,0),"НЕТ В СПРАВОЧНИКЕ")</f>
        <v>Наушники</v>
      </c>
      <c r="O205" s="13" t="str">
        <f t="shared" si="48"/>
        <v>Logitech</v>
      </c>
      <c r="P205" s="14">
        <f t="shared" si="49"/>
        <v>5000</v>
      </c>
      <c r="Q205" s="14">
        <f t="shared" si="50"/>
        <v>9200</v>
      </c>
      <c r="R205" s="13" t="str">
        <f t="shared" si="53"/>
        <v>шт</v>
      </c>
      <c r="S205" s="10" t="str">
        <f t="shared" si="51"/>
        <v>OK</v>
      </c>
      <c r="T205" s="10" t="str">
        <f t="shared" si="52"/>
        <v>уникален</v>
      </c>
    </row>
    <row r="206" ht="15" customHeight="1">
      <c r="A206" s="10">
        <v>204</v>
      </c>
      <c r="B206" s="11" t="str">
        <f>RAW_Товары!A205</f>
        <v>204-24</v>
      </c>
      <c r="C206" s="11" t="str">
        <f>RAW_Товары!B205</f>
        <v xml:space="preserve">Наушники Logitech G435 (Беспроводные)</v>
      </c>
      <c r="D206" s="11" t="str">
        <f>RAW_Товары!C205</f>
        <v>Наушники</v>
      </c>
      <c r="E206" s="11" t="str">
        <f>RAW_Товары!D205</f>
        <v>LOGITECH</v>
      </c>
      <c r="F206" s="11" t="str">
        <f>RAW_Товары!E205</f>
        <v xml:space="preserve">6 000</v>
      </c>
      <c r="G206" s="11" t="str">
        <f>RAW_Товары!F205</f>
        <v xml:space="preserve">10 800</v>
      </c>
      <c r="H206" s="11" t="str">
        <f>RAW_Товары!G205</f>
        <v>шт</v>
      </c>
      <c r="I206" s="12" t="str">
        <f t="shared" si="43"/>
        <v>204-24</v>
      </c>
      <c r="J206" s="12" t="str">
        <f t="shared" si="44"/>
        <v xml:space="preserve">Наушники Logitech G435</v>
      </c>
      <c r="K206" s="12" t="str">
        <f t="shared" si="45"/>
        <v>Наушники</v>
      </c>
      <c r="L206" s="13" t="str">
        <f t="shared" si="46"/>
        <v>АРТ-204</v>
      </c>
      <c r="M206" s="13" t="str">
        <f t="shared" si="47"/>
        <v xml:space="preserve">Наушники Logitech G435</v>
      </c>
      <c r="N206" s="13" t="str">
        <f>IFERROR(VLOOKUP(K206,Справочники!$A$6:$B$16,2,0),"НЕТ В СПРАВОЧНИКЕ")</f>
        <v>Наушники</v>
      </c>
      <c r="O206" s="13" t="str">
        <f t="shared" si="48"/>
        <v>Logitech</v>
      </c>
      <c r="P206" s="14">
        <f t="shared" si="49"/>
        <v>6000</v>
      </c>
      <c r="Q206" s="14">
        <f t="shared" si="50"/>
        <v>10800</v>
      </c>
      <c r="R206" s="13" t="str">
        <f t="shared" si="53"/>
        <v>шт</v>
      </c>
      <c r="S206" s="10" t="str">
        <f t="shared" si="51"/>
        <v>OK</v>
      </c>
      <c r="T206" s="10" t="str">
        <f t="shared" si="52"/>
        <v>уникален</v>
      </c>
    </row>
    <row r="207" ht="15" customHeight="1">
      <c r="A207" s="10">
        <v>205</v>
      </c>
      <c r="B207" s="11" t="str">
        <f>RAW_Товары!A206</f>
        <v>№АРТ-205</v>
      </c>
      <c r="C207" s="11" t="str">
        <f>RAW_Товары!B206</f>
        <v xml:space="preserve">Монитор MSI Optix MAG274QRF</v>
      </c>
      <c r="D207" s="11" t="str">
        <f>RAW_Товары!C206</f>
        <v>Мониторы</v>
      </c>
      <c r="E207" s="11" t="str">
        <f>RAW_Товары!D206</f>
        <v>MSI</v>
      </c>
      <c r="F207" s="11" t="str">
        <f>RAW_Товары!E206</f>
        <v xml:space="preserve">41 000</v>
      </c>
      <c r="G207" s="11" t="str">
        <f>RAW_Товары!F206</f>
        <v xml:space="preserve">64 990</v>
      </c>
      <c r="H207" s="11" t="str">
        <f>RAW_Товары!G206</f>
        <v>шт.</v>
      </c>
      <c r="I207" s="12" t="str">
        <f t="shared" si="43"/>
        <v>205</v>
      </c>
      <c r="J207" s="12" t="str">
        <f t="shared" si="44"/>
        <v xml:space="preserve">Монитор MSI Optix MAG274QRF</v>
      </c>
      <c r="K207" s="12" t="str">
        <f t="shared" si="45"/>
        <v>Мониторы</v>
      </c>
      <c r="L207" s="13" t="str">
        <f t="shared" si="46"/>
        <v>АРТ-205</v>
      </c>
      <c r="M207" s="13" t="str">
        <f t="shared" si="47"/>
        <v xml:space="preserve">Монитор Msi Optix Mag274Qrf</v>
      </c>
      <c r="N207" s="13" t="str">
        <f>IFERROR(VLOOKUP(K207,Справочники!$A$6:$B$16,2,0),"НЕТ В СПРАВОЧНИКЕ")</f>
        <v>Мониторы</v>
      </c>
      <c r="O207" s="13" t="str">
        <f t="shared" si="48"/>
        <v>Msi</v>
      </c>
      <c r="P207" s="14">
        <f t="shared" si="49"/>
        <v>41000</v>
      </c>
      <c r="Q207" s="14">
        <f t="shared" si="50"/>
        <v>64990</v>
      </c>
      <c r="R207" s="13" t="str">
        <f t="shared" si="53"/>
        <v>шт</v>
      </c>
      <c r="S207" s="10" t="str">
        <f t="shared" si="51"/>
        <v>OK</v>
      </c>
      <c r="T207" s="10" t="str">
        <f t="shared" si="52"/>
        <v>уникален</v>
      </c>
    </row>
    <row r="208" ht="15" customHeight="1">
      <c r="A208" s="10">
        <v>206</v>
      </c>
      <c r="B208" s="11" t="str">
        <f>RAW_Товары!A207</f>
        <v>АРТ_206</v>
      </c>
      <c r="C208" s="11" t="str">
        <f>RAW_Товары!B207</f>
        <v xml:space="preserve">монитор MSI OPTIX MAG274QRF</v>
      </c>
      <c r="D208" s="11" t="str">
        <f>RAW_Товары!C207</f>
        <v>Мониторы</v>
      </c>
      <c r="E208" s="11" t="str">
        <f>RAW_Товары!D207</f>
        <v>msi</v>
      </c>
      <c r="F208" s="11" t="str">
        <f>RAW_Товары!E207</f>
        <v xml:space="preserve">39 500</v>
      </c>
      <c r="G208" s="11" t="str">
        <f>RAW_Товары!F207</f>
        <v xml:space="preserve">62 500</v>
      </c>
      <c r="H208" s="11" t="str">
        <f>RAW_Товары!G207</f>
        <v>штуки</v>
      </c>
      <c r="I208" s="12" t="str">
        <f t="shared" si="43"/>
        <v>206</v>
      </c>
      <c r="J208" s="12" t="str">
        <f t="shared" si="44"/>
        <v xml:space="preserve">монитор MSI OPTIX MAG274QRF</v>
      </c>
      <c r="K208" s="12" t="str">
        <f t="shared" si="45"/>
        <v>Мониторы</v>
      </c>
      <c r="L208" s="13" t="str">
        <f t="shared" si="46"/>
        <v>АРТ-206</v>
      </c>
      <c r="M208" s="13" t="str">
        <f t="shared" si="47"/>
        <v xml:space="preserve">Монитор Msi Optix Mag274Qrf</v>
      </c>
      <c r="N208" s="13" t="str">
        <f>IFERROR(VLOOKUP(K208,Справочники!$A$6:$B$16,2,0),"НЕТ В СПРАВОЧНИКЕ")</f>
        <v>Мониторы</v>
      </c>
      <c r="O208" s="13" t="str">
        <f t="shared" si="48"/>
        <v>Msi</v>
      </c>
      <c r="P208" s="14">
        <f t="shared" si="49"/>
        <v>39500</v>
      </c>
      <c r="Q208" s="14">
        <f t="shared" si="50"/>
        <v>62500</v>
      </c>
      <c r="R208" s="13" t="str">
        <f t="shared" si="53"/>
        <v>шт</v>
      </c>
      <c r="S208" s="10" t="str">
        <f t="shared" si="51"/>
        <v>OK</v>
      </c>
      <c r="T208" s="10" t="str">
        <f t="shared" si="52"/>
        <v>уникален</v>
      </c>
    </row>
    <row r="209" ht="15" customHeight="1">
      <c r="A209" s="10">
        <v>207</v>
      </c>
      <c r="B209" s="11" t="str">
        <f>RAW_Товары!A208</f>
        <v>207/24</v>
      </c>
      <c r="C209" s="11" t="str">
        <f>RAW_Товары!B208</f>
        <v xml:space="preserve">Монитор MSI Optix MAG274QRF (QD)</v>
      </c>
      <c r="D209" s="11" t="str">
        <f>RAW_Товары!C208</f>
        <v>Мониторы</v>
      </c>
      <c r="E209" s="11" t="str">
        <f>RAW_Товары!D208</f>
        <v>MSI</v>
      </c>
      <c r="F209" s="11" t="str">
        <f>RAW_Товары!E208</f>
        <v xml:space="preserve">42 500</v>
      </c>
      <c r="G209" s="11" t="str">
        <f>RAW_Товары!F208</f>
        <v xml:space="preserve">67 000</v>
      </c>
      <c r="H209" s="11" t="str">
        <f>RAW_Товары!G208</f>
        <v>шт</v>
      </c>
      <c r="I209" s="12" t="str">
        <f t="shared" si="43"/>
        <v>207/24</v>
      </c>
      <c r="J209" s="12" t="str">
        <f t="shared" si="44"/>
        <v xml:space="preserve">Монитор MSI Optix MAG274QRF</v>
      </c>
      <c r="K209" s="12" t="str">
        <f t="shared" si="45"/>
        <v>Мониторы</v>
      </c>
      <c r="L209" s="13" t="str">
        <f t="shared" si="46"/>
        <v>АРТ-207</v>
      </c>
      <c r="M209" s="13" t="str">
        <f t="shared" si="47"/>
        <v xml:space="preserve">Монитор Msi Optix Mag274Qrf</v>
      </c>
      <c r="N209" s="13" t="str">
        <f>IFERROR(VLOOKUP(K209,Справочники!$A$6:$B$16,2,0),"НЕТ В СПРАВОЧНИКЕ")</f>
        <v>Мониторы</v>
      </c>
      <c r="O209" s="13" t="str">
        <f t="shared" si="48"/>
        <v>Msi</v>
      </c>
      <c r="P209" s="14">
        <f t="shared" si="49"/>
        <v>42500</v>
      </c>
      <c r="Q209" s="14">
        <f t="shared" si="50"/>
        <v>67000</v>
      </c>
      <c r="R209" s="13" t="str">
        <f t="shared" si="53"/>
        <v>шт</v>
      </c>
      <c r="S209" s="10" t="str">
        <f t="shared" si="51"/>
        <v>OK</v>
      </c>
      <c r="T209" s="10" t="str">
        <f t="shared" si="52"/>
        <v>уникален</v>
      </c>
    </row>
    <row r="210" ht="15" customHeight="1">
      <c r="A210" s="10">
        <v>208</v>
      </c>
      <c r="B210" s="11" t="str">
        <f>RAW_Товары!A209</f>
        <v>№АРТ-208</v>
      </c>
      <c r="C210" s="11" t="str">
        <f>RAW_Товары!B209</f>
        <v xml:space="preserve">Клавиатура Corsair K70 RGB</v>
      </c>
      <c r="D210" s="11" t="str">
        <f>RAW_Товары!C209</f>
        <v>Аксессуары</v>
      </c>
      <c r="E210" s="11" t="str">
        <f>RAW_Товары!D209</f>
        <v>Corsair</v>
      </c>
      <c r="F210" s="11" t="str">
        <f>RAW_Товары!E209</f>
        <v xml:space="preserve">6 500</v>
      </c>
      <c r="G210" s="11" t="str">
        <f>RAW_Товары!F209</f>
        <v xml:space="preserve">10 990</v>
      </c>
      <c r="H210" s="11" t="str">
        <f>RAW_Товары!G209</f>
        <v>шт.</v>
      </c>
      <c r="I210" s="12" t="str">
        <f t="shared" si="43"/>
        <v>208</v>
      </c>
      <c r="J210" s="12" t="str">
        <f t="shared" si="44"/>
        <v xml:space="preserve">Клавиатура Corsair K70 RGB</v>
      </c>
      <c r="K210" s="12" t="str">
        <f t="shared" si="45"/>
        <v>Аксессуары</v>
      </c>
      <c r="L210" s="13" t="str">
        <f t="shared" si="46"/>
        <v>АРТ-208</v>
      </c>
      <c r="M210" s="13" t="str">
        <f t="shared" si="47"/>
        <v xml:space="preserve">Клавиатура Corsair K70 Rgb</v>
      </c>
      <c r="N210" s="13" t="str">
        <f>IFERROR(VLOOKUP(K210,Справочники!$A$6:$B$16,2,0),"НЕТ В СПРАВОЧНИКЕ")</f>
        <v>Аксессуары</v>
      </c>
      <c r="O210" s="13" t="str">
        <f t="shared" si="48"/>
        <v>Corsair</v>
      </c>
      <c r="P210" s="14">
        <f t="shared" si="49"/>
        <v>6500</v>
      </c>
      <c r="Q210" s="14">
        <f t="shared" si="50"/>
        <v>10990</v>
      </c>
      <c r="R210" s="13" t="str">
        <f t="shared" si="53"/>
        <v>шт</v>
      </c>
      <c r="S210" s="10" t="str">
        <f t="shared" si="51"/>
        <v>OK</v>
      </c>
      <c r="T210" s="10" t="str">
        <f t="shared" si="52"/>
        <v>уникален</v>
      </c>
    </row>
    <row r="211" ht="15" customHeight="1">
      <c r="A211" s="10">
        <v>209</v>
      </c>
      <c r="B211" s="11" t="str">
        <f>RAW_Товары!A210</f>
        <v>АРТ_209</v>
      </c>
      <c r="C211" s="11" t="str">
        <f>RAW_Товары!B210</f>
        <v xml:space="preserve">клавиатура CORSAIR K70 RGB</v>
      </c>
      <c r="D211" s="11" t="str">
        <f>RAW_Товары!C210</f>
        <v>Аксессуары</v>
      </c>
      <c r="E211" s="11" t="str">
        <f>RAW_Товары!D210</f>
        <v>corsair</v>
      </c>
      <c r="F211" s="11" t="str">
        <f>RAW_Товары!E210</f>
        <v xml:space="preserve">6 000</v>
      </c>
      <c r="G211" s="11" t="str">
        <f>RAW_Товары!F210</f>
        <v xml:space="preserve">10 500</v>
      </c>
      <c r="H211" s="11" t="str">
        <f>RAW_Товары!G210</f>
        <v>штука</v>
      </c>
      <c r="I211" s="12" t="str">
        <f t="shared" si="43"/>
        <v>209</v>
      </c>
      <c r="J211" s="12" t="str">
        <f t="shared" si="44"/>
        <v xml:space="preserve">клавиатура CORSAIR K70 RGB</v>
      </c>
      <c r="K211" s="12" t="str">
        <f t="shared" si="45"/>
        <v>Аксессуары</v>
      </c>
      <c r="L211" s="13" t="str">
        <f t="shared" si="46"/>
        <v>АРТ-209</v>
      </c>
      <c r="M211" s="13" t="str">
        <f t="shared" si="47"/>
        <v xml:space="preserve">Клавиатура Corsair K70 Rgb</v>
      </c>
      <c r="N211" s="13" t="str">
        <f>IFERROR(VLOOKUP(K211,Справочники!$A$6:$B$16,2,0),"НЕТ В СПРАВОЧНИКЕ")</f>
        <v>Аксессуары</v>
      </c>
      <c r="O211" s="13" t="str">
        <f t="shared" si="48"/>
        <v>Corsair</v>
      </c>
      <c r="P211" s="14">
        <f t="shared" si="49"/>
        <v>6000</v>
      </c>
      <c r="Q211" s="14">
        <f t="shared" si="50"/>
        <v>10500</v>
      </c>
      <c r="R211" s="13" t="str">
        <f t="shared" si="53"/>
        <v>шт</v>
      </c>
      <c r="S211" s="10" t="str">
        <f t="shared" si="51"/>
        <v>OK</v>
      </c>
      <c r="T211" s="10" t="str">
        <f t="shared" si="52"/>
        <v>уникален</v>
      </c>
    </row>
    <row r="212" ht="15" customHeight="1">
      <c r="A212" s="10">
        <v>210</v>
      </c>
      <c r="B212" s="11" t="str">
        <f>RAW_Товары!A211</f>
        <v>210-24</v>
      </c>
      <c r="C212" s="11" t="str">
        <f>RAW_Товары!B211</f>
        <v xml:space="preserve">Клавиатура Corsair K70 RGB (Pro)</v>
      </c>
      <c r="D212" s="11" t="str">
        <f>RAW_Товары!C211</f>
        <v>Аксессуары</v>
      </c>
      <c r="E212" s="11" t="str">
        <f>RAW_Товары!D211</f>
        <v>CORSAIR</v>
      </c>
      <c r="F212" s="11" t="str">
        <f>RAW_Товары!E211</f>
        <v xml:space="preserve">7 000</v>
      </c>
      <c r="G212" s="11" t="str">
        <f>RAW_Товары!F211</f>
        <v xml:space="preserve">11 500</v>
      </c>
      <c r="H212" s="11" t="str">
        <f>RAW_Товары!G211</f>
        <v>шт</v>
      </c>
      <c r="I212" s="12" t="str">
        <f t="shared" si="43"/>
        <v>210-24</v>
      </c>
      <c r="J212" s="12" t="str">
        <f t="shared" si="44"/>
        <v xml:space="preserve">Клавиатура Corsair K70 RGB</v>
      </c>
      <c r="K212" s="12" t="str">
        <f t="shared" si="45"/>
        <v>Аксессуары</v>
      </c>
      <c r="L212" s="13" t="str">
        <f t="shared" si="46"/>
        <v>АРТ-210</v>
      </c>
      <c r="M212" s="13" t="str">
        <f t="shared" si="47"/>
        <v xml:space="preserve">Клавиатура Corsair K70 Rgb</v>
      </c>
      <c r="N212" s="13" t="str">
        <f>IFERROR(VLOOKUP(K212,Справочники!$A$6:$B$16,2,0),"НЕТ В СПРАВОЧНИКЕ")</f>
        <v>Аксессуары</v>
      </c>
      <c r="O212" s="13" t="str">
        <f t="shared" si="48"/>
        <v>Corsair</v>
      </c>
      <c r="P212" s="14">
        <f t="shared" si="49"/>
        <v>7000</v>
      </c>
      <c r="Q212" s="14">
        <f t="shared" si="50"/>
        <v>11500</v>
      </c>
      <c r="R212" s="13" t="str">
        <f t="shared" si="53"/>
        <v>шт</v>
      </c>
      <c r="S212" s="10" t="str">
        <f t="shared" si="51"/>
        <v>OK</v>
      </c>
      <c r="T212" s="10" t="str">
        <f t="shared" si="52"/>
        <v>уникален</v>
      </c>
    </row>
    <row r="213" ht="15" customHeight="1">
      <c r="A213" s="10">
        <v>211</v>
      </c>
      <c r="B213" s="11" t="str">
        <f>RAW_Товары!A212</f>
        <v>№АРТ-211</v>
      </c>
      <c r="C213" s="11" t="str">
        <f>RAW_Товары!B212</f>
        <v xml:space="preserve">Смартфон Honor Magic 5</v>
      </c>
      <c r="D213" s="11" t="str">
        <f>RAW_Товары!C212</f>
        <v>Смартфоны</v>
      </c>
      <c r="E213" s="11" t="str">
        <f>RAW_Товары!D212</f>
        <v>Honor</v>
      </c>
      <c r="F213" s="11" t="str">
        <f>RAW_Товары!E212</f>
        <v xml:space="preserve">36 000</v>
      </c>
      <c r="G213" s="11" t="str">
        <f>RAW_Товары!F212</f>
        <v xml:space="preserve">59 990</v>
      </c>
      <c r="H213" s="11" t="str">
        <f>RAW_Товары!G212</f>
        <v>шт.</v>
      </c>
      <c r="I213" s="12" t="str">
        <f t="shared" si="43"/>
        <v>211</v>
      </c>
      <c r="J213" s="12" t="str">
        <f t="shared" si="44"/>
        <v xml:space="preserve">Смартфон Honor Magic 5</v>
      </c>
      <c r="K213" s="12" t="str">
        <f t="shared" si="45"/>
        <v>Смартфоны</v>
      </c>
      <c r="L213" s="13" t="str">
        <f t="shared" si="46"/>
        <v>АРТ-211</v>
      </c>
      <c r="M213" s="13" t="str">
        <f t="shared" si="47"/>
        <v xml:space="preserve">Смартфон Honor Magic 5</v>
      </c>
      <c r="N213" s="13" t="str">
        <f>IFERROR(VLOOKUP(K213,Справочники!$A$6:$B$16,2,0),"НЕТ В СПРАВОЧНИКЕ")</f>
        <v>Смартфоны</v>
      </c>
      <c r="O213" s="13" t="str">
        <f t="shared" si="48"/>
        <v>Honor</v>
      </c>
      <c r="P213" s="14">
        <f t="shared" si="49"/>
        <v>36000</v>
      </c>
      <c r="Q213" s="14">
        <f t="shared" si="50"/>
        <v>59990</v>
      </c>
      <c r="R213" s="13" t="str">
        <f t="shared" si="53"/>
        <v>шт</v>
      </c>
      <c r="S213" s="10" t="str">
        <f t="shared" si="51"/>
        <v>OK</v>
      </c>
      <c r="T213" s="10" t="str">
        <f t="shared" si="52"/>
        <v>уникален</v>
      </c>
    </row>
    <row r="214" ht="15" customHeight="1">
      <c r="A214" s="10">
        <v>212</v>
      </c>
      <c r="B214" s="11" t="str">
        <f>RAW_Товары!A213</f>
        <v>АРТ_212</v>
      </c>
      <c r="C214" s="11" t="str">
        <f>RAW_Товары!B213</f>
        <v xml:space="preserve">смартфон HONOR MAGIC 5</v>
      </c>
      <c r="D214" s="11" t="str">
        <f>RAW_Товары!C213</f>
        <v>Телефоны</v>
      </c>
      <c r="E214" s="11" t="str">
        <f>RAW_Товары!D213</f>
        <v>honor</v>
      </c>
      <c r="F214" s="11" t="str">
        <f>RAW_Товары!E213</f>
        <v xml:space="preserve">35 000</v>
      </c>
      <c r="G214" s="11" t="str">
        <f>RAW_Товары!F213</f>
        <v xml:space="preserve">58 500</v>
      </c>
      <c r="H214" s="11" t="str">
        <f>RAW_Товары!G213</f>
        <v>штуки</v>
      </c>
      <c r="I214" s="12" t="str">
        <f t="shared" si="43"/>
        <v>212</v>
      </c>
      <c r="J214" s="12" t="str">
        <f t="shared" si="44"/>
        <v xml:space="preserve">смартфон HONOR MAGIC 5</v>
      </c>
      <c r="K214" s="12" t="str">
        <f t="shared" si="45"/>
        <v>Телефоны</v>
      </c>
      <c r="L214" s="13" t="str">
        <f t="shared" si="46"/>
        <v>АРТ-212</v>
      </c>
      <c r="M214" s="13" t="str">
        <f t="shared" si="47"/>
        <v xml:space="preserve">Смартфон Honor Magic 5</v>
      </c>
      <c r="N214" s="13" t="str">
        <f>IFERROR(VLOOKUP(K214,Справочники!$A$6:$B$16,2,0),"НЕТ В СПРАВОЧНИКЕ")</f>
        <v>Смартфоны</v>
      </c>
      <c r="O214" s="13" t="str">
        <f t="shared" si="48"/>
        <v>Honor</v>
      </c>
      <c r="P214" s="14">
        <f t="shared" si="49"/>
        <v>35000</v>
      </c>
      <c r="Q214" s="14">
        <f t="shared" si="50"/>
        <v>58500</v>
      </c>
      <c r="R214" s="13" t="str">
        <f t="shared" si="53"/>
        <v>шт</v>
      </c>
      <c r="S214" s="10" t="str">
        <f t="shared" si="51"/>
        <v>OK</v>
      </c>
      <c r="T214" s="10" t="str">
        <f t="shared" si="52"/>
        <v>уникален</v>
      </c>
    </row>
    <row r="215" ht="15" customHeight="1">
      <c r="A215" s="10">
        <v>213</v>
      </c>
      <c r="B215" s="11" t="str">
        <f>RAW_Товары!A214</f>
        <v>213/24</v>
      </c>
      <c r="C215" s="11" t="str">
        <f>RAW_Товары!B214</f>
        <v xml:space="preserve">Смартфон Honor Magic 5 (Pro)</v>
      </c>
      <c r="D215" s="11" t="str">
        <f>RAW_Товары!C214</f>
        <v xml:space="preserve">Мобильные телефоны</v>
      </c>
      <c r="E215" s="11" t="str">
        <f>RAW_Товары!D214</f>
        <v>HONOR</v>
      </c>
      <c r="F215" s="11" t="str">
        <f>RAW_Товары!E214</f>
        <v xml:space="preserve">37 000</v>
      </c>
      <c r="G215" s="11" t="str">
        <f>RAW_Товары!F214</f>
        <v xml:space="preserve">61 500</v>
      </c>
      <c r="H215" s="11" t="str">
        <f>RAW_Товары!G214</f>
        <v>шт</v>
      </c>
      <c r="I215" s="12" t="str">
        <f t="shared" si="43"/>
        <v>213/24</v>
      </c>
      <c r="J215" s="12" t="str">
        <f t="shared" si="44"/>
        <v xml:space="preserve">Смартфон Honor Magic 5</v>
      </c>
      <c r="K215" s="12" t="str">
        <f t="shared" si="45"/>
        <v xml:space="preserve">Мобильные телефоны</v>
      </c>
      <c r="L215" s="13" t="str">
        <f t="shared" si="46"/>
        <v>АРТ-213</v>
      </c>
      <c r="M215" s="13" t="str">
        <f t="shared" si="47"/>
        <v xml:space="preserve">Смартфон Honor Magic 5</v>
      </c>
      <c r="N215" s="13" t="str">
        <f>IFERROR(VLOOKUP(K215,Справочники!$A$6:$B$16,2,0),"НЕТ В СПРАВОЧНИКЕ")</f>
        <v>Смартфоны</v>
      </c>
      <c r="O215" s="13" t="str">
        <f t="shared" si="48"/>
        <v>Honor</v>
      </c>
      <c r="P215" s="14">
        <f t="shared" si="49"/>
        <v>37000</v>
      </c>
      <c r="Q215" s="14">
        <f t="shared" si="50"/>
        <v>61500</v>
      </c>
      <c r="R215" s="13" t="str">
        <f t="shared" si="53"/>
        <v>шт</v>
      </c>
      <c r="S215" s="10" t="str">
        <f t="shared" si="51"/>
        <v>OK</v>
      </c>
      <c r="T215" s="10" t="str">
        <f t="shared" si="52"/>
        <v>уникален</v>
      </c>
    </row>
    <row r="216" ht="15" customHeight="1">
      <c r="A216" s="10">
        <v>214</v>
      </c>
      <c r="B216" s="11" t="str">
        <f>RAW_Товары!A215</f>
        <v>№АРТ-214</v>
      </c>
      <c r="C216" s="11" t="str">
        <f>RAW_Товары!B215</f>
        <v xml:space="preserve">Планшет Samsung Galaxy A8</v>
      </c>
      <c r="D216" s="11" t="str">
        <f>RAW_Товары!C215</f>
        <v>Планшеты</v>
      </c>
      <c r="E216" s="11" t="str">
        <f>RAW_Товары!D215</f>
        <v>Samsung</v>
      </c>
      <c r="F216" s="11" t="str">
        <f>RAW_Товары!E215</f>
        <v xml:space="preserve">16 000</v>
      </c>
      <c r="G216" s="11" t="str">
        <f>RAW_Товары!F215</f>
        <v xml:space="preserve">26 990</v>
      </c>
      <c r="H216" s="11" t="str">
        <f>RAW_Товары!G215</f>
        <v>шт.</v>
      </c>
      <c r="I216" s="12" t="str">
        <f t="shared" si="43"/>
        <v>214</v>
      </c>
      <c r="J216" s="12" t="str">
        <f t="shared" si="44"/>
        <v xml:space="preserve">Планшет Samsung Galaxy A8</v>
      </c>
      <c r="K216" s="12" t="str">
        <f t="shared" si="45"/>
        <v>Планшеты</v>
      </c>
      <c r="L216" s="13" t="str">
        <f t="shared" si="46"/>
        <v>АРТ-214</v>
      </c>
      <c r="M216" s="13" t="str">
        <f t="shared" si="47"/>
        <v xml:space="preserve">Планшет Samsung Galaxy A8</v>
      </c>
      <c r="N216" s="13" t="str">
        <f>IFERROR(VLOOKUP(K216,Справочники!$A$6:$B$16,2,0),"НЕТ В СПРАВОЧНИКЕ")</f>
        <v>Планшеты</v>
      </c>
      <c r="O216" s="13" t="str">
        <f t="shared" si="48"/>
        <v>Samsung</v>
      </c>
      <c r="P216" s="14">
        <f t="shared" si="49"/>
        <v>16000</v>
      </c>
      <c r="Q216" s="14">
        <f t="shared" si="50"/>
        <v>26990</v>
      </c>
      <c r="R216" s="13" t="str">
        <f t="shared" si="53"/>
        <v>шт</v>
      </c>
      <c r="S216" s="10" t="str">
        <f t="shared" si="51"/>
        <v>OK</v>
      </c>
      <c r="T216" s="10" t="str">
        <f t="shared" si="52"/>
        <v>уникален</v>
      </c>
    </row>
    <row r="217" ht="15" customHeight="1">
      <c r="A217" s="10">
        <v>215</v>
      </c>
      <c r="B217" s="11" t="str">
        <f>RAW_Товары!A216</f>
        <v>АРТ_215</v>
      </c>
      <c r="C217" s="11" t="str">
        <f>RAW_Товары!B216</f>
        <v xml:space="preserve">планшет SAMSUNG GALAXY A8</v>
      </c>
      <c r="D217" s="11" t="str">
        <f>RAW_Товары!C216</f>
        <v>Планшеты</v>
      </c>
      <c r="E217" s="11" t="str">
        <f>RAW_Товары!D216</f>
        <v>samsung</v>
      </c>
      <c r="F217" s="11" t="str">
        <f>RAW_Товары!E216</f>
        <v xml:space="preserve">15 000</v>
      </c>
      <c r="G217" s="11" t="str">
        <f>RAW_Товары!F216</f>
        <v xml:space="preserve">25 500</v>
      </c>
      <c r="H217" s="11" t="str">
        <f>RAW_Товары!G216</f>
        <v>штука</v>
      </c>
      <c r="I217" s="12" t="str">
        <f t="shared" si="43"/>
        <v>215</v>
      </c>
      <c r="J217" s="12" t="str">
        <f t="shared" si="44"/>
        <v xml:space="preserve">планшет SAMSUNG GALAXY A8</v>
      </c>
      <c r="K217" s="12" t="str">
        <f t="shared" si="45"/>
        <v>Планшеты</v>
      </c>
      <c r="L217" s="13" t="str">
        <f t="shared" si="46"/>
        <v>АРТ-215</v>
      </c>
      <c r="M217" s="13" t="str">
        <f t="shared" si="47"/>
        <v xml:space="preserve">Планшет Samsung Galaxy A8</v>
      </c>
      <c r="N217" s="13" t="str">
        <f>IFERROR(VLOOKUP(K217,Справочники!$A$6:$B$16,2,0),"НЕТ В СПРАВОЧНИКЕ")</f>
        <v>Планшеты</v>
      </c>
      <c r="O217" s="13" t="str">
        <f t="shared" si="48"/>
        <v>Samsung</v>
      </c>
      <c r="P217" s="14">
        <f t="shared" si="49"/>
        <v>15000</v>
      </c>
      <c r="Q217" s="14">
        <f t="shared" si="50"/>
        <v>25500</v>
      </c>
      <c r="R217" s="13" t="str">
        <f t="shared" si="53"/>
        <v>шт</v>
      </c>
      <c r="S217" s="10" t="str">
        <f t="shared" si="51"/>
        <v>OK</v>
      </c>
      <c r="T217" s="10" t="str">
        <f t="shared" si="52"/>
        <v>уникален</v>
      </c>
    </row>
    <row r="218" ht="15" customHeight="1">
      <c r="A218" s="10">
        <v>216</v>
      </c>
      <c r="B218" s="11" t="str">
        <f>RAW_Товары!A217</f>
        <v>216-24</v>
      </c>
      <c r="C218" s="11" t="str">
        <f>RAW_Товары!B217</f>
        <v xml:space="preserve">Планшет Samsung Galaxy A8 (Wi-Fi)</v>
      </c>
      <c r="D218" s="11" t="str">
        <f>RAW_Товары!C217</f>
        <v>Планшеты</v>
      </c>
      <c r="E218" s="11" t="str">
        <f>RAW_Товары!D217</f>
        <v>SAMSUNG</v>
      </c>
      <c r="F218" s="11" t="str">
        <f>RAW_Товары!E217</f>
        <v xml:space="preserve">17 000</v>
      </c>
      <c r="G218" s="11" t="str">
        <f>RAW_Товары!F217</f>
        <v xml:space="preserve">28 500</v>
      </c>
      <c r="H218" s="11" t="str">
        <f>RAW_Товары!G217</f>
        <v>шт</v>
      </c>
      <c r="I218" s="12" t="str">
        <f t="shared" si="43"/>
        <v>216-24</v>
      </c>
      <c r="J218" s="12" t="str">
        <f t="shared" si="44"/>
        <v xml:space="preserve">Планшет Samsung Galaxy A8</v>
      </c>
      <c r="K218" s="12" t="str">
        <f t="shared" si="45"/>
        <v>Планшеты</v>
      </c>
      <c r="L218" s="13" t="str">
        <f t="shared" si="46"/>
        <v>АРТ-216</v>
      </c>
      <c r="M218" s="13" t="str">
        <f t="shared" si="47"/>
        <v xml:space="preserve">Планшет Samsung Galaxy A8</v>
      </c>
      <c r="N218" s="13" t="str">
        <f>IFERROR(VLOOKUP(K218,Справочники!$A$6:$B$16,2,0),"НЕТ В СПРАВОЧНИКЕ")</f>
        <v>Планшеты</v>
      </c>
      <c r="O218" s="13" t="str">
        <f t="shared" si="48"/>
        <v>Samsung</v>
      </c>
      <c r="P218" s="14">
        <f t="shared" si="49"/>
        <v>17000</v>
      </c>
      <c r="Q218" s="14">
        <f t="shared" si="50"/>
        <v>28500</v>
      </c>
      <c r="R218" s="13" t="str">
        <f t="shared" si="53"/>
        <v>шт</v>
      </c>
      <c r="S218" s="10" t="str">
        <f t="shared" si="51"/>
        <v>OK</v>
      </c>
      <c r="T218" s="10" t="str">
        <f t="shared" si="52"/>
        <v>уникален</v>
      </c>
    </row>
    <row r="219" ht="15" customHeight="1">
      <c r="A219" s="10">
        <v>217</v>
      </c>
      <c r="B219" s="11" t="str">
        <f>RAW_Товары!A218</f>
        <v>№АРТ-217</v>
      </c>
      <c r="C219" s="11" t="str">
        <f>RAW_Товары!B218</f>
        <v xml:space="preserve">Телевизор LG UQ8000</v>
      </c>
      <c r="D219" s="11" t="str">
        <f>RAW_Товары!C218</f>
        <v>Телевизоры</v>
      </c>
      <c r="E219" s="11" t="str">
        <f>RAW_Товары!D218</f>
        <v>LG</v>
      </c>
      <c r="F219" s="11" t="str">
        <f>RAW_Товары!E218</f>
        <v xml:space="preserve">45 000</v>
      </c>
      <c r="G219" s="11" t="str">
        <f>RAW_Товары!F218</f>
        <v xml:space="preserve">69 990</v>
      </c>
      <c r="H219" s="11" t="str">
        <f>RAW_Товары!G218</f>
        <v>шт.</v>
      </c>
      <c r="I219" s="12" t="str">
        <f t="shared" si="43"/>
        <v>217</v>
      </c>
      <c r="J219" s="12" t="str">
        <f t="shared" si="44"/>
        <v xml:space="preserve">Телевизор LG UQ8000</v>
      </c>
      <c r="K219" s="12" t="str">
        <f t="shared" si="45"/>
        <v>Телевизоры</v>
      </c>
      <c r="L219" s="13" t="str">
        <f t="shared" si="46"/>
        <v>АРТ-217</v>
      </c>
      <c r="M219" s="13" t="str">
        <f t="shared" si="47"/>
        <v xml:space="preserve">Телевизор Lg Uq8000</v>
      </c>
      <c r="N219" s="13" t="str">
        <f>IFERROR(VLOOKUP(K219,Справочники!$A$6:$B$16,2,0),"НЕТ В СПРАВОЧНИКЕ")</f>
        <v>Телевизоры</v>
      </c>
      <c r="O219" s="13" t="str">
        <f t="shared" si="48"/>
        <v>Lg</v>
      </c>
      <c r="P219" s="14">
        <f t="shared" si="49"/>
        <v>45000</v>
      </c>
      <c r="Q219" s="14">
        <f t="shared" si="50"/>
        <v>69990</v>
      </c>
      <c r="R219" s="13" t="str">
        <f t="shared" si="53"/>
        <v>шт</v>
      </c>
      <c r="S219" s="10" t="str">
        <f t="shared" si="51"/>
        <v>OK</v>
      </c>
      <c r="T219" s="10" t="str">
        <f t="shared" si="52"/>
        <v>уникален</v>
      </c>
    </row>
    <row r="220" ht="15" customHeight="1">
      <c r="A220" s="10">
        <v>218</v>
      </c>
      <c r="B220" s="11" t="str">
        <f>RAW_Товары!A219</f>
        <v>АРТ_218</v>
      </c>
      <c r="C220" s="11" t="str">
        <f>RAW_Товары!B219</f>
        <v xml:space="preserve">телевизор LG UQ8000</v>
      </c>
      <c r="D220" s="11" t="str">
        <f>RAW_Товары!C219</f>
        <v>Телевизоры</v>
      </c>
      <c r="E220" s="11" t="str">
        <f>RAW_Товары!D219</f>
        <v>lg</v>
      </c>
      <c r="F220" s="11" t="str">
        <f>RAW_Товары!E219</f>
        <v xml:space="preserve">43 500</v>
      </c>
      <c r="G220" s="11" t="str">
        <f>RAW_Товары!F219</f>
        <v xml:space="preserve">67 500</v>
      </c>
      <c r="H220" s="11" t="str">
        <f>RAW_Товары!G219</f>
        <v>штуки</v>
      </c>
      <c r="I220" s="12" t="str">
        <f t="shared" si="43"/>
        <v>218</v>
      </c>
      <c r="J220" s="12" t="str">
        <f t="shared" si="44"/>
        <v xml:space="preserve">телевизор LG UQ8000</v>
      </c>
      <c r="K220" s="12" t="str">
        <f t="shared" si="45"/>
        <v>Телевизоры</v>
      </c>
      <c r="L220" s="13" t="str">
        <f t="shared" si="46"/>
        <v>АРТ-218</v>
      </c>
      <c r="M220" s="13" t="str">
        <f t="shared" si="47"/>
        <v xml:space="preserve">Телевизор Lg Uq8000</v>
      </c>
      <c r="N220" s="13" t="str">
        <f>IFERROR(VLOOKUP(K220,Справочники!$A$6:$B$16,2,0),"НЕТ В СПРАВОЧНИКЕ")</f>
        <v>Телевизоры</v>
      </c>
      <c r="O220" s="13" t="str">
        <f t="shared" si="48"/>
        <v>Lg</v>
      </c>
      <c r="P220" s="14">
        <f t="shared" si="49"/>
        <v>43500</v>
      </c>
      <c r="Q220" s="14">
        <f t="shared" si="50"/>
        <v>67500</v>
      </c>
      <c r="R220" s="13" t="str">
        <f t="shared" si="53"/>
        <v>шт</v>
      </c>
      <c r="S220" s="10" t="str">
        <f t="shared" si="51"/>
        <v>OK</v>
      </c>
      <c r="T220" s="10" t="str">
        <f t="shared" si="52"/>
        <v>уникален</v>
      </c>
    </row>
    <row r="221" ht="15" customHeight="1">
      <c r="A221" s="10">
        <v>219</v>
      </c>
      <c r="B221" s="11" t="str">
        <f>RAW_Товары!A220</f>
        <v>219/24</v>
      </c>
      <c r="C221" s="11" t="str">
        <f>RAW_Товары!B220</f>
        <v xml:space="preserve">Телевизор LG UQ8000 (65")</v>
      </c>
      <c r="D221" s="11" t="str">
        <f>RAW_Товары!C220</f>
        <v>Телевизоры</v>
      </c>
      <c r="E221" s="11" t="str">
        <f>RAW_Товары!D220</f>
        <v>LG</v>
      </c>
      <c r="F221" s="11" t="str">
        <f>RAW_Товары!E220</f>
        <v xml:space="preserve">46 500</v>
      </c>
      <c r="G221" s="11" t="str">
        <f>RAW_Товары!F220</f>
        <v xml:space="preserve">72 000</v>
      </c>
      <c r="H221" s="11" t="str">
        <f>RAW_Товары!G220</f>
        <v>шт</v>
      </c>
      <c r="I221" s="12" t="str">
        <f t="shared" si="43"/>
        <v>219/24</v>
      </c>
      <c r="J221" s="12" t="str">
        <f t="shared" si="44"/>
        <v xml:space="preserve">Телевизор LG UQ8000</v>
      </c>
      <c r="K221" s="12" t="str">
        <f t="shared" si="45"/>
        <v>Телевизоры</v>
      </c>
      <c r="L221" s="13" t="str">
        <f t="shared" si="46"/>
        <v>АРТ-219</v>
      </c>
      <c r="M221" s="13" t="str">
        <f t="shared" si="47"/>
        <v xml:space="preserve">Телевизор Lg Uq8000</v>
      </c>
      <c r="N221" s="13" t="str">
        <f>IFERROR(VLOOKUP(K221,Справочники!$A$6:$B$16,2,0),"НЕТ В СПРАВОЧНИКЕ")</f>
        <v>Телевизоры</v>
      </c>
      <c r="O221" s="13" t="str">
        <f t="shared" si="48"/>
        <v>Lg</v>
      </c>
      <c r="P221" s="14">
        <f t="shared" si="49"/>
        <v>46500</v>
      </c>
      <c r="Q221" s="14">
        <f t="shared" si="50"/>
        <v>72000</v>
      </c>
      <c r="R221" s="13" t="str">
        <f t="shared" si="53"/>
        <v>шт</v>
      </c>
      <c r="S221" s="10" t="str">
        <f t="shared" si="51"/>
        <v>OK</v>
      </c>
      <c r="T221" s="10" t="str">
        <f t="shared" si="52"/>
        <v>уникален</v>
      </c>
    </row>
    <row r="222" ht="15" customHeight="1">
      <c r="A222" s="10">
        <v>220</v>
      </c>
      <c r="B222" s="11" t="str">
        <f>RAW_Товары!A221</f>
        <v>№АРТ-220</v>
      </c>
      <c r="C222" s="11" t="str">
        <f>RAW_Товары!B221</f>
        <v xml:space="preserve">Наушники Beats Studio Pro</v>
      </c>
      <c r="D222" s="11" t="str">
        <f>RAW_Товары!C221</f>
        <v>Наушники</v>
      </c>
      <c r="E222" s="11" t="str">
        <f>RAW_Товары!D221</f>
        <v>Beats</v>
      </c>
      <c r="F222" s="11" t="str">
        <f>RAW_Товары!E221</f>
        <v xml:space="preserve">15 000</v>
      </c>
      <c r="G222" s="11" t="str">
        <f>RAW_Товары!F221</f>
        <v xml:space="preserve">24 990</v>
      </c>
      <c r="H222" s="11" t="str">
        <f>RAW_Товары!G221</f>
        <v>шт.</v>
      </c>
      <c r="I222" s="12" t="str">
        <f t="shared" si="43"/>
        <v>220</v>
      </c>
      <c r="J222" s="12" t="str">
        <f t="shared" si="44"/>
        <v xml:space="preserve">Наушники Beats Studio Pro</v>
      </c>
      <c r="K222" s="12" t="str">
        <f t="shared" si="45"/>
        <v>Наушники</v>
      </c>
      <c r="L222" s="13" t="str">
        <f t="shared" si="46"/>
        <v>АРТ-220</v>
      </c>
      <c r="M222" s="13" t="str">
        <f t="shared" si="47"/>
        <v xml:space="preserve">Наушники Beats Studio Pro</v>
      </c>
      <c r="N222" s="13" t="str">
        <f>IFERROR(VLOOKUP(K222,Справочники!$A$6:$B$16,2,0),"НЕТ В СПРАВОЧНИКЕ")</f>
        <v>Наушники</v>
      </c>
      <c r="O222" s="13" t="str">
        <f t="shared" si="48"/>
        <v>Beats</v>
      </c>
      <c r="P222" s="14">
        <f t="shared" si="49"/>
        <v>15000</v>
      </c>
      <c r="Q222" s="14">
        <f t="shared" si="50"/>
        <v>24990</v>
      </c>
      <c r="R222" s="13" t="str">
        <f t="shared" si="53"/>
        <v>шт</v>
      </c>
      <c r="S222" s="10" t="str">
        <f t="shared" si="51"/>
        <v>OK</v>
      </c>
      <c r="T222" s="10" t="str">
        <f t="shared" si="52"/>
        <v>уникален</v>
      </c>
    </row>
    <row r="223" ht="15" customHeight="1">
      <c r="A223" s="10">
        <v>221</v>
      </c>
      <c r="B223" s="11" t="str">
        <f>RAW_Товары!A222</f>
        <v>АРТ_221</v>
      </c>
      <c r="C223" s="11" t="str">
        <f>RAW_Товары!B222</f>
        <v xml:space="preserve">наушники BEATS STUDIO PRO</v>
      </c>
      <c r="D223" s="11" t="str">
        <f>RAW_Товары!C222</f>
        <v>Наушники</v>
      </c>
      <c r="E223" s="11" t="str">
        <f>RAW_Товары!D222</f>
        <v>beats</v>
      </c>
      <c r="F223" s="11" t="str">
        <f>RAW_Товары!E222</f>
        <v xml:space="preserve">14 500</v>
      </c>
      <c r="G223" s="11" t="str">
        <f>RAW_Товары!F222</f>
        <v xml:space="preserve">24 000</v>
      </c>
      <c r="H223" s="11" t="str">
        <f>RAW_Товары!G222</f>
        <v>штука</v>
      </c>
      <c r="I223" s="12" t="str">
        <f t="shared" si="43"/>
        <v>221</v>
      </c>
      <c r="J223" s="12" t="str">
        <f t="shared" si="44"/>
        <v xml:space="preserve">наушники BEATS STUDIO PRO</v>
      </c>
      <c r="K223" s="12" t="str">
        <f t="shared" si="45"/>
        <v>Наушники</v>
      </c>
      <c r="L223" s="13" t="str">
        <f t="shared" si="46"/>
        <v>АРТ-221</v>
      </c>
      <c r="M223" s="13" t="str">
        <f t="shared" si="47"/>
        <v xml:space="preserve">Наушники Beats Studio Pro</v>
      </c>
      <c r="N223" s="13" t="str">
        <f>IFERROR(VLOOKUP(K223,Справочники!$A$6:$B$16,2,0),"НЕТ В СПРАВОЧНИКЕ")</f>
        <v>Наушники</v>
      </c>
      <c r="O223" s="13" t="str">
        <f t="shared" si="48"/>
        <v>Beats</v>
      </c>
      <c r="P223" s="14">
        <f t="shared" si="49"/>
        <v>14500</v>
      </c>
      <c r="Q223" s="14">
        <f t="shared" si="50"/>
        <v>24000</v>
      </c>
      <c r="R223" s="13" t="str">
        <f t="shared" si="53"/>
        <v>шт</v>
      </c>
      <c r="S223" s="10" t="str">
        <f t="shared" si="51"/>
        <v>OK</v>
      </c>
      <c r="T223" s="10" t="str">
        <f t="shared" si="52"/>
        <v>уникален</v>
      </c>
    </row>
    <row r="224" ht="15" customHeight="1">
      <c r="A224" s="10">
        <v>222</v>
      </c>
      <c r="B224" s="11" t="str">
        <f>RAW_Товары!A223</f>
        <v>222-24</v>
      </c>
      <c r="C224" s="11" t="str">
        <f>RAW_Товары!B223</f>
        <v xml:space="preserve">Наушники Beats Studio Pro (Black)</v>
      </c>
      <c r="D224" s="11" t="str">
        <f>RAW_Товары!C223</f>
        <v>Наушники</v>
      </c>
      <c r="E224" s="11" t="str">
        <f>RAW_Товары!D223</f>
        <v>BEATS</v>
      </c>
      <c r="F224" s="11" t="str">
        <f>RAW_Товары!E223</f>
        <v xml:space="preserve">15 800</v>
      </c>
      <c r="G224" s="11" t="str">
        <f>RAW_Товары!F223</f>
        <v xml:space="preserve">26 000</v>
      </c>
      <c r="H224" s="11" t="str">
        <f>RAW_Товары!G223</f>
        <v>шт</v>
      </c>
      <c r="I224" s="12" t="str">
        <f t="shared" si="43"/>
        <v>222-24</v>
      </c>
      <c r="J224" s="12" t="str">
        <f t="shared" si="44"/>
        <v xml:space="preserve">Наушники Beats Studio Pro</v>
      </c>
      <c r="K224" s="12" t="str">
        <f t="shared" si="45"/>
        <v>Наушники</v>
      </c>
      <c r="L224" s="13" t="str">
        <f t="shared" si="46"/>
        <v>АРТ-222</v>
      </c>
      <c r="M224" s="13" t="str">
        <f t="shared" si="47"/>
        <v xml:space="preserve">Наушники Beats Studio Pro</v>
      </c>
      <c r="N224" s="13" t="str">
        <f>IFERROR(VLOOKUP(K224,Справочники!$A$6:$B$16,2,0),"НЕТ В СПРАВОЧНИКЕ")</f>
        <v>Наушники</v>
      </c>
      <c r="O224" s="13" t="str">
        <f t="shared" si="48"/>
        <v>Beats</v>
      </c>
      <c r="P224" s="14">
        <f t="shared" si="49"/>
        <v>15800</v>
      </c>
      <c r="Q224" s="14">
        <f t="shared" si="50"/>
        <v>26000</v>
      </c>
      <c r="R224" s="13" t="str">
        <f t="shared" si="53"/>
        <v>шт</v>
      </c>
      <c r="S224" s="10" t="str">
        <f t="shared" si="51"/>
        <v>OK</v>
      </c>
      <c r="T224" s="10" t="str">
        <f t="shared" si="52"/>
        <v>уникален</v>
      </c>
    </row>
    <row r="225" ht="15" customHeight="1">
      <c r="A225" s="10">
        <v>223</v>
      </c>
      <c r="B225" s="11" t="str">
        <f>RAW_Товары!A224</f>
        <v>№АРТ-223</v>
      </c>
      <c r="C225" s="11" t="str">
        <f>RAW_Товары!B224</f>
        <v xml:space="preserve">Монитор HP E27m G4</v>
      </c>
      <c r="D225" s="11" t="str">
        <f>RAW_Товары!C224</f>
        <v>Мониторы</v>
      </c>
      <c r="E225" s="11" t="str">
        <f>RAW_Товары!D224</f>
        <v>HP</v>
      </c>
      <c r="F225" s="11" t="str">
        <f>RAW_Товары!E224</f>
        <v xml:space="preserve">35 000</v>
      </c>
      <c r="G225" s="11" t="str">
        <f>RAW_Товары!F224</f>
        <v xml:space="preserve">54 990</v>
      </c>
      <c r="H225" s="11" t="str">
        <f>RAW_Товары!G224</f>
        <v>шт.</v>
      </c>
      <c r="I225" s="12" t="str">
        <f t="shared" si="43"/>
        <v>223</v>
      </c>
      <c r="J225" s="12" t="str">
        <f t="shared" si="44"/>
        <v xml:space="preserve">Монитор HP E27m G4</v>
      </c>
      <c r="K225" s="12" t="str">
        <f t="shared" si="45"/>
        <v>Мониторы</v>
      </c>
      <c r="L225" s="13" t="str">
        <f t="shared" si="46"/>
        <v>АРТ-223</v>
      </c>
      <c r="M225" s="13" t="str">
        <f t="shared" si="47"/>
        <v xml:space="preserve">Монитор Hp E27M G4</v>
      </c>
      <c r="N225" s="13" t="str">
        <f>IFERROR(VLOOKUP(K225,Справочники!$A$6:$B$16,2,0),"НЕТ В СПРАВОЧНИКЕ")</f>
        <v>Мониторы</v>
      </c>
      <c r="O225" s="13" t="str">
        <f t="shared" si="48"/>
        <v>Hp</v>
      </c>
      <c r="P225" s="14">
        <f t="shared" si="49"/>
        <v>35000</v>
      </c>
      <c r="Q225" s="14">
        <f t="shared" si="50"/>
        <v>54990</v>
      </c>
      <c r="R225" s="13" t="str">
        <f t="shared" si="53"/>
        <v>шт</v>
      </c>
      <c r="S225" s="10" t="str">
        <f t="shared" si="51"/>
        <v>OK</v>
      </c>
      <c r="T225" s="10" t="str">
        <f t="shared" si="52"/>
        <v>уникален</v>
      </c>
    </row>
    <row r="226" ht="15" customHeight="1">
      <c r="A226" s="10">
        <v>224</v>
      </c>
      <c r="B226" s="11" t="str">
        <f>RAW_Товары!A225</f>
        <v>АРТ_224</v>
      </c>
      <c r="C226" s="11" t="str">
        <f>RAW_Товары!B225</f>
        <v xml:space="preserve">монитор HP E27M G4</v>
      </c>
      <c r="D226" s="11" t="str">
        <f>RAW_Товары!C225</f>
        <v>Мониторы</v>
      </c>
      <c r="E226" s="11" t="str">
        <f>RAW_Товары!D225</f>
        <v>hp</v>
      </c>
      <c r="F226" s="11" t="str">
        <f>RAW_Товары!E225</f>
        <v xml:space="preserve">33 500</v>
      </c>
      <c r="G226" s="11" t="str">
        <f>RAW_Товары!F225</f>
        <v xml:space="preserve">52 500</v>
      </c>
      <c r="H226" s="11" t="str">
        <f>RAW_Товары!G225</f>
        <v>штуки</v>
      </c>
      <c r="I226" s="12" t="str">
        <f t="shared" si="43"/>
        <v>224</v>
      </c>
      <c r="J226" s="12" t="str">
        <f t="shared" si="44"/>
        <v xml:space="preserve">монитор HP E27M G4</v>
      </c>
      <c r="K226" s="12" t="str">
        <f t="shared" si="45"/>
        <v>Мониторы</v>
      </c>
      <c r="L226" s="13" t="str">
        <f t="shared" si="46"/>
        <v>АРТ-224</v>
      </c>
      <c r="M226" s="13" t="str">
        <f t="shared" si="47"/>
        <v xml:space="preserve">Монитор Hp E27M G4</v>
      </c>
      <c r="N226" s="13" t="str">
        <f>IFERROR(VLOOKUP(K226,Справочники!$A$6:$B$16,2,0),"НЕТ В СПРАВОЧНИКЕ")</f>
        <v>Мониторы</v>
      </c>
      <c r="O226" s="13" t="str">
        <f t="shared" si="48"/>
        <v>Hp</v>
      </c>
      <c r="P226" s="14">
        <f t="shared" si="49"/>
        <v>33500</v>
      </c>
      <c r="Q226" s="14">
        <f t="shared" si="50"/>
        <v>52500</v>
      </c>
      <c r="R226" s="13" t="str">
        <f t="shared" si="53"/>
        <v>шт</v>
      </c>
      <c r="S226" s="10" t="str">
        <f t="shared" si="51"/>
        <v>OK</v>
      </c>
      <c r="T226" s="10" t="str">
        <f t="shared" si="52"/>
        <v>уникален</v>
      </c>
    </row>
    <row r="227" ht="15" customHeight="1">
      <c r="A227" s="10">
        <v>225</v>
      </c>
      <c r="B227" s="11" t="str">
        <f>RAW_Товары!A226</f>
        <v>225/24</v>
      </c>
      <c r="C227" s="11" t="str">
        <f>RAW_Товары!B226</f>
        <v xml:space="preserve">Монитор HP E27m G4 (4K)</v>
      </c>
      <c r="D227" s="11" t="str">
        <f>RAW_Товары!C226</f>
        <v>Мониторы</v>
      </c>
      <c r="E227" s="11" t="str">
        <f>RAW_Товары!D226</f>
        <v>HP</v>
      </c>
      <c r="F227" s="11" t="str">
        <f>RAW_Товары!E226</f>
        <v xml:space="preserve">36 500</v>
      </c>
      <c r="G227" s="11" t="str">
        <f>RAW_Товары!F226</f>
        <v xml:space="preserve">57 000</v>
      </c>
      <c r="H227" s="11" t="str">
        <f>RAW_Товары!G226</f>
        <v>шт</v>
      </c>
      <c r="I227" s="12" t="str">
        <f t="shared" si="43"/>
        <v>225/24</v>
      </c>
      <c r="J227" s="12" t="str">
        <f t="shared" si="44"/>
        <v xml:space="preserve">Монитор HP E27m G4</v>
      </c>
      <c r="K227" s="12" t="str">
        <f t="shared" si="45"/>
        <v>Мониторы</v>
      </c>
      <c r="L227" s="13" t="str">
        <f t="shared" si="46"/>
        <v>АРТ-225</v>
      </c>
      <c r="M227" s="13" t="str">
        <f t="shared" si="47"/>
        <v xml:space="preserve">Монитор Hp E27M G4</v>
      </c>
      <c r="N227" s="13" t="str">
        <f>IFERROR(VLOOKUP(K227,Справочники!$A$6:$B$16,2,0),"НЕТ В СПРАВОЧНИКЕ")</f>
        <v>Мониторы</v>
      </c>
      <c r="O227" s="13" t="str">
        <f t="shared" si="48"/>
        <v>Hp</v>
      </c>
      <c r="P227" s="14">
        <f t="shared" si="49"/>
        <v>36500</v>
      </c>
      <c r="Q227" s="14">
        <f t="shared" si="50"/>
        <v>57000</v>
      </c>
      <c r="R227" s="13" t="str">
        <f t="shared" si="53"/>
        <v>шт</v>
      </c>
      <c r="S227" s="10" t="str">
        <f t="shared" si="51"/>
        <v>OK</v>
      </c>
      <c r="T227" s="10" t="str">
        <f t="shared" si="52"/>
        <v>уникален</v>
      </c>
    </row>
    <row r="228" ht="15" customHeight="1">
      <c r="A228" s="10">
        <v>226</v>
      </c>
      <c r="B228" s="11" t="str">
        <f>RAW_Товары!A227</f>
        <v>№АРТ-226</v>
      </c>
      <c r="C228" s="11" t="str">
        <f>RAW_Товары!B227</f>
        <v xml:space="preserve">Мышь SteelSeries Aerox 3</v>
      </c>
      <c r="D228" s="11" t="str">
        <f>RAW_Товары!C227</f>
        <v>Аксессуары</v>
      </c>
      <c r="E228" s="11" t="str">
        <f>RAW_Товары!D227</f>
        <v>SteelSeries</v>
      </c>
      <c r="F228" s="11" t="str">
        <f>RAW_Товары!E227</f>
        <v xml:space="preserve">3 000</v>
      </c>
      <c r="G228" s="11" t="str">
        <f>RAW_Товары!F227</f>
        <v xml:space="preserve">5 990</v>
      </c>
      <c r="H228" s="11" t="str">
        <f>RAW_Товары!G227</f>
        <v>шт.</v>
      </c>
      <c r="I228" s="12" t="str">
        <f t="shared" ref="I228:I291" si="54">SUBSTITUTE(SUBSTITUTE(B228,"№АРТ-",""),"АРТ_","")</f>
        <v>226</v>
      </c>
      <c r="J228" s="12" t="str">
        <f t="shared" ref="J228:J291" si="55">TRIM(LEFT(C228,IFERROR(FIND("(",C228)-1,LEN(C228))))</f>
        <v xml:space="preserve">Мышь SteelSeries Aerox 3</v>
      </c>
      <c r="K228" s="12" t="str">
        <f t="shared" ref="K228:K291" si="56">TRIM(D228)</f>
        <v>Аксессуары</v>
      </c>
      <c r="L228" s="13" t="str">
        <f t="shared" ref="L228:L291" si="57">"АРТ-"&amp;LEFT(I228,3)</f>
        <v>АРТ-226</v>
      </c>
      <c r="M228" s="13" t="str">
        <f t="shared" ref="M228:M291" si="58">PROPER(TRIM(J228))</f>
        <v xml:space="preserve">Мышь Steelseries Aerox 3</v>
      </c>
      <c r="N228" s="13" t="str">
        <f>IFERROR(VLOOKUP(K228,Справочники!$A$6:$B$16,2,0),"НЕТ В СПРАВОЧНИКЕ")</f>
        <v>Аксессуары</v>
      </c>
      <c r="O228" s="13" t="str">
        <f t="shared" ref="O228:O291" si="59">PROPER(TRIM(E228))</f>
        <v>Steelseries</v>
      </c>
      <c r="P228" s="14">
        <f t="shared" ref="P228:P291" si="60">ROUND(VALUE(SUBSTITUTE(SUBSTITUTE(F228," ",""),",",".")),2)</f>
        <v>3000</v>
      </c>
      <c r="Q228" s="14">
        <f t="shared" ref="Q228:Q291" si="61">ROUND(VALUE(SUBSTITUTE(SUBSTITUTE(G228," ",""),",",".")),2)</f>
        <v>5990</v>
      </c>
      <c r="R228" s="13" t="str">
        <f t="shared" si="53"/>
        <v>шт</v>
      </c>
      <c r="S228" s="10" t="str">
        <f t="shared" ref="S228:S291" si="62">IF(Q228&gt;=P228,"OK","ОШИБКА: розница &lt; закупки")</f>
        <v>OK</v>
      </c>
      <c r="T228" s="10" t="str">
        <f t="shared" ref="T228:T291" si="63">IF(COUNTIF($L$3:$L$503,L228)=1,"уникален","ДУБЛЬ")</f>
        <v>уникален</v>
      </c>
    </row>
    <row r="229" ht="15" customHeight="1">
      <c r="A229" s="10">
        <v>227</v>
      </c>
      <c r="B229" s="11" t="str">
        <f>RAW_Товары!A228</f>
        <v>АРТ_227</v>
      </c>
      <c r="C229" s="11" t="str">
        <f>RAW_Товары!B228</f>
        <v xml:space="preserve">мышь STEELSERIES AEROX 3</v>
      </c>
      <c r="D229" s="11" t="str">
        <f>RAW_Товары!C228</f>
        <v>Аксессуары</v>
      </c>
      <c r="E229" s="11" t="str">
        <f>RAW_Товары!D228</f>
        <v>steelseries</v>
      </c>
      <c r="F229" s="11" t="str">
        <f>RAW_Товары!E228</f>
        <v xml:space="preserve">2 800</v>
      </c>
      <c r="G229" s="11" t="str">
        <f>RAW_Товары!F228</f>
        <v xml:space="preserve">5 500</v>
      </c>
      <c r="H229" s="11" t="str">
        <f>RAW_Товары!G228</f>
        <v>штука</v>
      </c>
      <c r="I229" s="12" t="str">
        <f t="shared" si="54"/>
        <v>227</v>
      </c>
      <c r="J229" s="12" t="str">
        <f t="shared" si="55"/>
        <v xml:space="preserve">мышь STEELSERIES AEROX 3</v>
      </c>
      <c r="K229" s="12" t="str">
        <f t="shared" si="56"/>
        <v>Аксессуары</v>
      </c>
      <c r="L229" s="13" t="str">
        <f t="shared" si="57"/>
        <v>АРТ-227</v>
      </c>
      <c r="M229" s="13" t="str">
        <f t="shared" si="58"/>
        <v xml:space="preserve">Мышь Steelseries Aerox 3</v>
      </c>
      <c r="N229" s="13" t="str">
        <f>IFERROR(VLOOKUP(K229,Справочники!$A$6:$B$16,2,0),"НЕТ В СПРАВОЧНИКЕ")</f>
        <v>Аксессуары</v>
      </c>
      <c r="O229" s="13" t="str">
        <f t="shared" si="59"/>
        <v>Steelseries</v>
      </c>
      <c r="P229" s="14">
        <f t="shared" si="60"/>
        <v>2800</v>
      </c>
      <c r="Q229" s="14">
        <f t="shared" si="61"/>
        <v>5500</v>
      </c>
      <c r="R229" s="13" t="str">
        <f t="shared" si="53"/>
        <v>шт</v>
      </c>
      <c r="S229" s="10" t="str">
        <f t="shared" si="62"/>
        <v>OK</v>
      </c>
      <c r="T229" s="10" t="str">
        <f t="shared" si="63"/>
        <v>уникален</v>
      </c>
    </row>
    <row r="230" ht="15" customHeight="1">
      <c r="A230" s="10">
        <v>228</v>
      </c>
      <c r="B230" s="11" t="str">
        <f>RAW_Товары!A229</f>
        <v>228-24</v>
      </c>
      <c r="C230" s="11" t="str">
        <f>RAW_Товары!B229</f>
        <v xml:space="preserve">Мышь SteelSeries Aerox 3 (White)</v>
      </c>
      <c r="D230" s="11" t="str">
        <f>RAW_Товары!C229</f>
        <v>Аксессуары</v>
      </c>
      <c r="E230" s="11" t="str">
        <f>RAW_Товары!D229</f>
        <v>STEELSERIES</v>
      </c>
      <c r="F230" s="11" t="str">
        <f>RAW_Товары!E229</f>
        <v xml:space="preserve">3 200</v>
      </c>
      <c r="G230" s="11" t="str">
        <f>RAW_Товары!F229</f>
        <v xml:space="preserve">6 500</v>
      </c>
      <c r="H230" s="11" t="str">
        <f>RAW_Товары!G229</f>
        <v>шт</v>
      </c>
      <c r="I230" s="12" t="str">
        <f t="shared" si="54"/>
        <v>228-24</v>
      </c>
      <c r="J230" s="12" t="str">
        <f t="shared" si="55"/>
        <v xml:space="preserve">Мышь SteelSeries Aerox 3</v>
      </c>
      <c r="K230" s="12" t="str">
        <f t="shared" si="56"/>
        <v>Аксессуары</v>
      </c>
      <c r="L230" s="13" t="str">
        <f t="shared" si="57"/>
        <v>АРТ-228</v>
      </c>
      <c r="M230" s="13" t="str">
        <f t="shared" si="58"/>
        <v xml:space="preserve">Мышь Steelseries Aerox 3</v>
      </c>
      <c r="N230" s="13" t="str">
        <f>IFERROR(VLOOKUP(K230,Справочники!$A$6:$B$16,2,0),"НЕТ В СПРАВОЧНИКЕ")</f>
        <v>Аксессуары</v>
      </c>
      <c r="O230" s="13" t="str">
        <f t="shared" si="59"/>
        <v>Steelseries</v>
      </c>
      <c r="P230" s="14">
        <f t="shared" si="60"/>
        <v>3200</v>
      </c>
      <c r="Q230" s="14">
        <f t="shared" si="61"/>
        <v>6500</v>
      </c>
      <c r="R230" s="13" t="str">
        <f t="shared" si="53"/>
        <v>шт</v>
      </c>
      <c r="S230" s="10" t="str">
        <f t="shared" si="62"/>
        <v>OK</v>
      </c>
      <c r="T230" s="10" t="str">
        <f t="shared" si="63"/>
        <v>уникален</v>
      </c>
    </row>
    <row r="231" ht="15" customHeight="1">
      <c r="A231" s="10">
        <v>229</v>
      </c>
      <c r="B231" s="11" t="str">
        <f>RAW_Товары!A230</f>
        <v>№АРТ-229</v>
      </c>
      <c r="C231" s="11" t="str">
        <f>RAW_Товары!B230</f>
        <v xml:space="preserve">Ноутбук Lenovo Yoga 9i</v>
      </c>
      <c r="D231" s="11" t="str">
        <f>RAW_Товары!C230</f>
        <v>Ноутбуки</v>
      </c>
      <c r="E231" s="11" t="str">
        <f>RAW_Товары!D230</f>
        <v>Lenovo</v>
      </c>
      <c r="F231" s="11" t="str">
        <f>RAW_Товары!E230</f>
        <v xml:space="preserve">78 000</v>
      </c>
      <c r="G231" s="11" t="str">
        <f>RAW_Товары!F230</f>
        <v xml:space="preserve">119 990</v>
      </c>
      <c r="H231" s="11" t="str">
        <f>RAW_Товары!G230</f>
        <v>шт.</v>
      </c>
      <c r="I231" s="12" t="str">
        <f t="shared" si="54"/>
        <v>229</v>
      </c>
      <c r="J231" s="12" t="str">
        <f t="shared" si="55"/>
        <v xml:space="preserve">Ноутбук Lenovo Yoga 9i</v>
      </c>
      <c r="K231" s="12" t="str">
        <f t="shared" si="56"/>
        <v>Ноутбуки</v>
      </c>
      <c r="L231" s="13" t="str">
        <f t="shared" si="57"/>
        <v>АРТ-229</v>
      </c>
      <c r="M231" s="13" t="str">
        <f t="shared" si="58"/>
        <v xml:space="preserve">Ноутбук Lenovo Yoga 9I</v>
      </c>
      <c r="N231" s="13" t="str">
        <f>IFERROR(VLOOKUP(K231,Справочники!$A$6:$B$16,2,0),"НЕТ В СПРАВОЧНИКЕ")</f>
        <v>Ноутбуки</v>
      </c>
      <c r="O231" s="13" t="str">
        <f t="shared" si="59"/>
        <v>Lenovo</v>
      </c>
      <c r="P231" s="14">
        <f t="shared" si="60"/>
        <v>78000</v>
      </c>
      <c r="Q231" s="14">
        <f t="shared" si="61"/>
        <v>119990</v>
      </c>
      <c r="R231" s="13" t="str">
        <f t="shared" si="53"/>
        <v>шт</v>
      </c>
      <c r="S231" s="10" t="str">
        <f t="shared" si="62"/>
        <v>OK</v>
      </c>
      <c r="T231" s="10" t="str">
        <f t="shared" si="63"/>
        <v>уникален</v>
      </c>
    </row>
    <row r="232" ht="15" customHeight="1">
      <c r="A232" s="10">
        <v>230</v>
      </c>
      <c r="B232" s="11" t="str">
        <f>RAW_Товары!A231</f>
        <v>АРТ_230</v>
      </c>
      <c r="C232" s="11" t="str">
        <f>RAW_Товары!B231</f>
        <v xml:space="preserve">ноутбук LENOVO YOGA 9I</v>
      </c>
      <c r="D232" s="11" t="str">
        <f>RAW_Товары!C231</f>
        <v>Лэптопы</v>
      </c>
      <c r="E232" s="11" t="str">
        <f>RAW_Товары!D231</f>
        <v>lenovo</v>
      </c>
      <c r="F232" s="11" t="str">
        <f>RAW_Товары!E231</f>
        <v xml:space="preserve">76 000</v>
      </c>
      <c r="G232" s="11" t="str">
        <f>RAW_Товары!F231</f>
        <v xml:space="preserve">117 000</v>
      </c>
      <c r="H232" s="11" t="str">
        <f>RAW_Товары!G231</f>
        <v>штуки</v>
      </c>
      <c r="I232" s="12" t="str">
        <f t="shared" si="54"/>
        <v>230</v>
      </c>
      <c r="J232" s="12" t="str">
        <f t="shared" si="55"/>
        <v xml:space="preserve">ноутбук LENOVO YOGA 9I</v>
      </c>
      <c r="K232" s="12" t="str">
        <f t="shared" si="56"/>
        <v>Лэптопы</v>
      </c>
      <c r="L232" s="13" t="str">
        <f t="shared" si="57"/>
        <v>АРТ-230</v>
      </c>
      <c r="M232" s="13" t="str">
        <f t="shared" si="58"/>
        <v xml:space="preserve">Ноутбук Lenovo Yoga 9I</v>
      </c>
      <c r="N232" s="13" t="str">
        <f>IFERROR(VLOOKUP(K232,Справочники!$A$6:$B$16,2,0),"НЕТ В СПРАВОЧНИКЕ")</f>
        <v>Ноутбуки</v>
      </c>
      <c r="O232" s="13" t="str">
        <f t="shared" si="59"/>
        <v>Lenovo</v>
      </c>
      <c r="P232" s="14">
        <f t="shared" si="60"/>
        <v>76000</v>
      </c>
      <c r="Q232" s="14">
        <f t="shared" si="61"/>
        <v>117000</v>
      </c>
      <c r="R232" s="13" t="str">
        <f t="shared" si="53"/>
        <v>шт</v>
      </c>
      <c r="S232" s="10" t="str">
        <f t="shared" si="62"/>
        <v>OK</v>
      </c>
      <c r="T232" s="10" t="str">
        <f t="shared" si="63"/>
        <v>уникален</v>
      </c>
    </row>
    <row r="233" ht="15" customHeight="1">
      <c r="A233" s="10">
        <v>231</v>
      </c>
      <c r="B233" s="11" t="str">
        <f>RAW_Товары!A232</f>
        <v>231/24</v>
      </c>
      <c r="C233" s="11" t="str">
        <f>RAW_Товары!B232</f>
        <v xml:space="preserve">Ноутбук Lenovo Yoga 9i (OLED)</v>
      </c>
      <c r="D233" s="11" t="str">
        <f>RAW_Товары!C232</f>
        <v>Ноутбуки</v>
      </c>
      <c r="E233" s="11" t="str">
        <f>RAW_Товары!D232</f>
        <v>LENOVO</v>
      </c>
      <c r="F233" s="11" t="str">
        <f>RAW_Товары!E232</f>
        <v xml:space="preserve">79 500</v>
      </c>
      <c r="G233" s="11" t="str">
        <f>RAW_Товары!F232</f>
        <v xml:space="preserve">122 500</v>
      </c>
      <c r="H233" s="11" t="str">
        <f>RAW_Товары!G232</f>
        <v>шт</v>
      </c>
      <c r="I233" s="12" t="str">
        <f t="shared" si="54"/>
        <v>231/24</v>
      </c>
      <c r="J233" s="12" t="str">
        <f t="shared" si="55"/>
        <v xml:space="preserve">Ноутбук Lenovo Yoga 9i</v>
      </c>
      <c r="K233" s="12" t="str">
        <f t="shared" si="56"/>
        <v>Ноутбуки</v>
      </c>
      <c r="L233" s="13" t="str">
        <f t="shared" si="57"/>
        <v>АРТ-231</v>
      </c>
      <c r="M233" s="13" t="str">
        <f t="shared" si="58"/>
        <v xml:space="preserve">Ноутбук Lenovo Yoga 9I</v>
      </c>
      <c r="N233" s="13" t="str">
        <f>IFERROR(VLOOKUP(K233,Справочники!$A$6:$B$16,2,0),"НЕТ В СПРАВОЧНИКЕ")</f>
        <v>Ноутбуки</v>
      </c>
      <c r="O233" s="13" t="str">
        <f t="shared" si="59"/>
        <v>Lenovo</v>
      </c>
      <c r="P233" s="14">
        <f t="shared" si="60"/>
        <v>79500</v>
      </c>
      <c r="Q233" s="14">
        <f t="shared" si="61"/>
        <v>122500</v>
      </c>
      <c r="R233" s="13" t="str">
        <f t="shared" si="53"/>
        <v>шт</v>
      </c>
      <c r="S233" s="10" t="str">
        <f t="shared" si="62"/>
        <v>OK</v>
      </c>
      <c r="T233" s="10" t="str">
        <f t="shared" si="63"/>
        <v>уникален</v>
      </c>
    </row>
    <row r="234" ht="15" customHeight="1">
      <c r="A234" s="10">
        <v>232</v>
      </c>
      <c r="B234" s="11" t="str">
        <f>RAW_Товары!A233</f>
        <v>№АРТ-232</v>
      </c>
      <c r="C234" s="11" t="str">
        <f>RAW_Товары!B233</f>
        <v xml:space="preserve">Смартфон Google Pixel 7a</v>
      </c>
      <c r="D234" s="11" t="str">
        <f>RAW_Товары!C233</f>
        <v>Смартфоны</v>
      </c>
      <c r="E234" s="11" t="str">
        <f>RAW_Товары!D233</f>
        <v>Google</v>
      </c>
      <c r="F234" s="11" t="str">
        <f>RAW_Товары!E233</f>
        <v xml:space="preserve">25 000</v>
      </c>
      <c r="G234" s="11" t="str">
        <f>RAW_Товары!F233</f>
        <v xml:space="preserve">42 990</v>
      </c>
      <c r="H234" s="11" t="str">
        <f>RAW_Товары!G233</f>
        <v>шт.</v>
      </c>
      <c r="I234" s="12" t="str">
        <f t="shared" si="54"/>
        <v>232</v>
      </c>
      <c r="J234" s="12" t="str">
        <f t="shared" si="55"/>
        <v xml:space="preserve">Смартфон Google Pixel 7a</v>
      </c>
      <c r="K234" s="12" t="str">
        <f t="shared" si="56"/>
        <v>Смартфоны</v>
      </c>
      <c r="L234" s="13" t="str">
        <f t="shared" si="57"/>
        <v>АРТ-232</v>
      </c>
      <c r="M234" s="13" t="str">
        <f t="shared" si="58"/>
        <v xml:space="preserve">Смартфон Google Pixel 7A</v>
      </c>
      <c r="N234" s="13" t="str">
        <f>IFERROR(VLOOKUP(K234,Справочники!$A$6:$B$16,2,0),"НЕТ В СПРАВОЧНИКЕ")</f>
        <v>Смартфоны</v>
      </c>
      <c r="O234" s="13" t="str">
        <f t="shared" si="59"/>
        <v>Google</v>
      </c>
      <c r="P234" s="14">
        <f t="shared" si="60"/>
        <v>25000</v>
      </c>
      <c r="Q234" s="14">
        <f t="shared" si="61"/>
        <v>42990</v>
      </c>
      <c r="R234" s="13" t="str">
        <f t="shared" si="53"/>
        <v>шт</v>
      </c>
      <c r="S234" s="10" t="str">
        <f t="shared" si="62"/>
        <v>OK</v>
      </c>
      <c r="T234" s="10" t="str">
        <f t="shared" si="63"/>
        <v>уникален</v>
      </c>
    </row>
    <row r="235" ht="15" customHeight="1">
      <c r="A235" s="10">
        <v>233</v>
      </c>
      <c r="B235" s="11" t="str">
        <f>RAW_Товары!A234</f>
        <v>АРТ_233</v>
      </c>
      <c r="C235" s="11" t="str">
        <f>RAW_Товары!B234</f>
        <v xml:space="preserve">смартфон GOOGLE PIXEL 7A</v>
      </c>
      <c r="D235" s="11" t="str">
        <f>RAW_Товары!C234</f>
        <v>Телефоны</v>
      </c>
      <c r="E235" s="11" t="str">
        <f>RAW_Товары!D234</f>
        <v>google</v>
      </c>
      <c r="F235" s="11" t="str">
        <f>RAW_Товары!E234</f>
        <v xml:space="preserve">24 000</v>
      </c>
      <c r="G235" s="11" t="str">
        <f>RAW_Товары!F234</f>
        <v xml:space="preserve">41 500</v>
      </c>
      <c r="H235" s="11" t="str">
        <f>RAW_Товары!G234</f>
        <v>штука</v>
      </c>
      <c r="I235" s="12" t="str">
        <f t="shared" si="54"/>
        <v>233</v>
      </c>
      <c r="J235" s="12" t="str">
        <f t="shared" si="55"/>
        <v xml:space="preserve">смартфон GOOGLE PIXEL 7A</v>
      </c>
      <c r="K235" s="12" t="str">
        <f t="shared" si="56"/>
        <v>Телефоны</v>
      </c>
      <c r="L235" s="13" t="str">
        <f t="shared" si="57"/>
        <v>АРТ-233</v>
      </c>
      <c r="M235" s="13" t="str">
        <f t="shared" si="58"/>
        <v xml:space="preserve">Смартфон Google Pixel 7A</v>
      </c>
      <c r="N235" s="13" t="str">
        <f>IFERROR(VLOOKUP(K235,Справочники!$A$6:$B$16,2,0),"НЕТ В СПРАВОЧНИКЕ")</f>
        <v>Смартфоны</v>
      </c>
      <c r="O235" s="13" t="str">
        <f t="shared" si="59"/>
        <v>Google</v>
      </c>
      <c r="P235" s="14">
        <f t="shared" si="60"/>
        <v>24000</v>
      </c>
      <c r="Q235" s="14">
        <f t="shared" si="61"/>
        <v>41500</v>
      </c>
      <c r="R235" s="13" t="str">
        <f t="shared" si="53"/>
        <v>шт</v>
      </c>
      <c r="S235" s="10" t="str">
        <f t="shared" si="62"/>
        <v>OK</v>
      </c>
      <c r="T235" s="10" t="str">
        <f t="shared" si="63"/>
        <v>уникален</v>
      </c>
    </row>
    <row r="236" ht="15" customHeight="1">
      <c r="A236" s="10">
        <v>234</v>
      </c>
      <c r="B236" s="11" t="str">
        <f>RAW_Товары!A235</f>
        <v>234-24</v>
      </c>
      <c r="C236" s="11" t="str">
        <f>RAW_Товары!B235</f>
        <v xml:space="preserve">Смартфон Google Pixel 7a (Charcoal)</v>
      </c>
      <c r="D236" s="11" t="str">
        <f>RAW_Товары!C235</f>
        <v xml:space="preserve">Мобильные телефоны</v>
      </c>
      <c r="E236" s="11" t="str">
        <f>RAW_Товары!D235</f>
        <v>GOOGLE</v>
      </c>
      <c r="F236" s="11" t="str">
        <f>RAW_Товары!E235</f>
        <v xml:space="preserve">26 000</v>
      </c>
      <c r="G236" s="11" t="str">
        <f>RAW_Товары!F235</f>
        <v xml:space="preserve">44 500</v>
      </c>
      <c r="H236" s="11" t="str">
        <f>RAW_Товары!G235</f>
        <v>шт</v>
      </c>
      <c r="I236" s="12" t="str">
        <f t="shared" si="54"/>
        <v>234-24</v>
      </c>
      <c r="J236" s="12" t="str">
        <f t="shared" si="55"/>
        <v xml:space="preserve">Смартфон Google Pixel 7a</v>
      </c>
      <c r="K236" s="12" t="str">
        <f t="shared" si="56"/>
        <v xml:space="preserve">Мобильные телефоны</v>
      </c>
      <c r="L236" s="13" t="str">
        <f t="shared" si="57"/>
        <v>АРТ-234</v>
      </c>
      <c r="M236" s="13" t="str">
        <f t="shared" si="58"/>
        <v xml:space="preserve">Смартфон Google Pixel 7A</v>
      </c>
      <c r="N236" s="13" t="str">
        <f>IFERROR(VLOOKUP(K236,Справочники!$A$6:$B$16,2,0),"НЕТ В СПРАВОЧНИКЕ")</f>
        <v>Смартфоны</v>
      </c>
      <c r="O236" s="13" t="str">
        <f t="shared" si="59"/>
        <v>Google</v>
      </c>
      <c r="P236" s="14">
        <f t="shared" si="60"/>
        <v>26000</v>
      </c>
      <c r="Q236" s="14">
        <f t="shared" si="61"/>
        <v>44500</v>
      </c>
      <c r="R236" s="13" t="str">
        <f t="shared" si="53"/>
        <v>шт</v>
      </c>
      <c r="S236" s="10" t="str">
        <f t="shared" si="62"/>
        <v>OK</v>
      </c>
      <c r="T236" s="10" t="str">
        <f t="shared" si="63"/>
        <v>уникален</v>
      </c>
    </row>
    <row r="237" ht="15" customHeight="1">
      <c r="A237" s="10">
        <v>235</v>
      </c>
      <c r="B237" s="11" t="str">
        <f>RAW_Товары!A236</f>
        <v>№АРТ-235</v>
      </c>
      <c r="C237" s="11" t="str">
        <f>RAW_Товары!B236</f>
        <v xml:space="preserve">Планшет Huawei MateBook E</v>
      </c>
      <c r="D237" s="11" t="str">
        <f>RAW_Товары!C236</f>
        <v>Планшеты</v>
      </c>
      <c r="E237" s="11" t="str">
        <f>RAW_Товары!D236</f>
        <v>Huawei</v>
      </c>
      <c r="F237" s="11" t="str">
        <f>RAW_Товары!E236</f>
        <v xml:space="preserve">38 000</v>
      </c>
      <c r="G237" s="11" t="str">
        <f>RAW_Товары!F236</f>
        <v xml:space="preserve">59 990</v>
      </c>
      <c r="H237" s="11" t="str">
        <f>RAW_Товары!G236</f>
        <v>шт.</v>
      </c>
      <c r="I237" s="12" t="str">
        <f t="shared" si="54"/>
        <v>235</v>
      </c>
      <c r="J237" s="12" t="str">
        <f t="shared" si="55"/>
        <v xml:space="preserve">Планшет Huawei MateBook E</v>
      </c>
      <c r="K237" s="12" t="str">
        <f t="shared" si="56"/>
        <v>Планшеты</v>
      </c>
      <c r="L237" s="13" t="str">
        <f t="shared" si="57"/>
        <v>АРТ-235</v>
      </c>
      <c r="M237" s="13" t="str">
        <f t="shared" si="58"/>
        <v xml:space="preserve">Планшет Huawei Matebook E</v>
      </c>
      <c r="N237" s="13" t="str">
        <f>IFERROR(VLOOKUP(K237,Справочники!$A$6:$B$16,2,0),"НЕТ В СПРАВОЧНИКЕ")</f>
        <v>Планшеты</v>
      </c>
      <c r="O237" s="13" t="str">
        <f t="shared" si="59"/>
        <v>Huawei</v>
      </c>
      <c r="P237" s="14">
        <f t="shared" si="60"/>
        <v>38000</v>
      </c>
      <c r="Q237" s="14">
        <f t="shared" si="61"/>
        <v>59990</v>
      </c>
      <c r="R237" s="13" t="str">
        <f t="shared" si="53"/>
        <v>шт</v>
      </c>
      <c r="S237" s="10" t="str">
        <f t="shared" si="62"/>
        <v>OK</v>
      </c>
      <c r="T237" s="10" t="str">
        <f t="shared" si="63"/>
        <v>уникален</v>
      </c>
    </row>
    <row r="238" ht="15" customHeight="1">
      <c r="A238" s="10">
        <v>236</v>
      </c>
      <c r="B238" s="11" t="str">
        <f>RAW_Товары!A237</f>
        <v>АРТ_236</v>
      </c>
      <c r="C238" s="11" t="str">
        <f>RAW_Товары!B237</f>
        <v xml:space="preserve">планшет HUAWEI MATEBOOK E</v>
      </c>
      <c r="D238" s="11" t="str">
        <f>RAW_Товары!C237</f>
        <v>Планшеты</v>
      </c>
      <c r="E238" s="11" t="str">
        <f>RAW_Товары!D237</f>
        <v>huawei</v>
      </c>
      <c r="F238" s="11" t="str">
        <f>RAW_Товары!E237</f>
        <v xml:space="preserve">36 500</v>
      </c>
      <c r="G238" s="11" t="str">
        <f>RAW_Товары!F237</f>
        <v xml:space="preserve">58 000</v>
      </c>
      <c r="H238" s="11" t="str">
        <f>RAW_Товары!G237</f>
        <v>штуки</v>
      </c>
      <c r="I238" s="12" t="str">
        <f t="shared" si="54"/>
        <v>236</v>
      </c>
      <c r="J238" s="12" t="str">
        <f t="shared" si="55"/>
        <v xml:space="preserve">планшет HUAWEI MATEBOOK E</v>
      </c>
      <c r="K238" s="12" t="str">
        <f t="shared" si="56"/>
        <v>Планшеты</v>
      </c>
      <c r="L238" s="13" t="str">
        <f t="shared" si="57"/>
        <v>АРТ-236</v>
      </c>
      <c r="M238" s="13" t="str">
        <f t="shared" si="58"/>
        <v xml:space="preserve">Планшет Huawei Matebook E</v>
      </c>
      <c r="N238" s="13" t="str">
        <f>IFERROR(VLOOKUP(K238,Справочники!$A$6:$B$16,2,0),"НЕТ В СПРАВОЧНИКЕ")</f>
        <v>Планшеты</v>
      </c>
      <c r="O238" s="13" t="str">
        <f t="shared" si="59"/>
        <v>Huawei</v>
      </c>
      <c r="P238" s="14">
        <f t="shared" si="60"/>
        <v>36500</v>
      </c>
      <c r="Q238" s="14">
        <f t="shared" si="61"/>
        <v>58000</v>
      </c>
      <c r="R238" s="13" t="str">
        <f t="shared" si="53"/>
        <v>шт</v>
      </c>
      <c r="S238" s="10" t="str">
        <f t="shared" si="62"/>
        <v>OK</v>
      </c>
      <c r="T238" s="10" t="str">
        <f t="shared" si="63"/>
        <v>уникален</v>
      </c>
    </row>
    <row r="239" ht="15" customHeight="1">
      <c r="A239" s="10">
        <v>237</v>
      </c>
      <c r="B239" s="11" t="str">
        <f>RAW_Товары!A238</f>
        <v>237/24</v>
      </c>
      <c r="C239" s="11" t="str">
        <f>RAW_Товары!B238</f>
        <v xml:space="preserve">Планшет Huawei MateBook E (i5)</v>
      </c>
      <c r="D239" s="11" t="str">
        <f>RAW_Товары!C238</f>
        <v>Планшеты</v>
      </c>
      <c r="E239" s="11" t="str">
        <f>RAW_Товары!D238</f>
        <v>HUAWEI</v>
      </c>
      <c r="F239" s="11" t="str">
        <f>RAW_Товары!E238</f>
        <v xml:space="preserve">39 500</v>
      </c>
      <c r="G239" s="11" t="str">
        <f>RAW_Товары!F238</f>
        <v xml:space="preserve">62 000</v>
      </c>
      <c r="H239" s="11" t="str">
        <f>RAW_Товары!G238</f>
        <v>шт</v>
      </c>
      <c r="I239" s="12" t="str">
        <f t="shared" si="54"/>
        <v>237/24</v>
      </c>
      <c r="J239" s="12" t="str">
        <f t="shared" si="55"/>
        <v xml:space="preserve">Планшет Huawei MateBook E</v>
      </c>
      <c r="K239" s="12" t="str">
        <f t="shared" si="56"/>
        <v>Планшеты</v>
      </c>
      <c r="L239" s="13" t="str">
        <f t="shared" si="57"/>
        <v>АРТ-237</v>
      </c>
      <c r="M239" s="13" t="str">
        <f t="shared" si="58"/>
        <v xml:space="preserve">Планшет Huawei Matebook E</v>
      </c>
      <c r="N239" s="13" t="str">
        <f>IFERROR(VLOOKUP(K239,Справочники!$A$6:$B$16,2,0),"НЕТ В СПРАВОЧНИКЕ")</f>
        <v>Планшеты</v>
      </c>
      <c r="O239" s="13" t="str">
        <f t="shared" si="59"/>
        <v>Huawei</v>
      </c>
      <c r="P239" s="14">
        <f t="shared" si="60"/>
        <v>39500</v>
      </c>
      <c r="Q239" s="14">
        <f t="shared" si="61"/>
        <v>62000</v>
      </c>
      <c r="R239" s="13" t="str">
        <f t="shared" si="53"/>
        <v>шт</v>
      </c>
      <c r="S239" s="10" t="str">
        <f t="shared" si="62"/>
        <v>OK</v>
      </c>
      <c r="T239" s="10" t="str">
        <f t="shared" si="63"/>
        <v>уникален</v>
      </c>
    </row>
    <row r="240" ht="15" customHeight="1">
      <c r="A240" s="10">
        <v>238</v>
      </c>
      <c r="B240" s="11" t="str">
        <f>RAW_Товары!A239</f>
        <v>№АРТ-238</v>
      </c>
      <c r="C240" s="11" t="str">
        <f>RAW_Товары!B239</f>
        <v xml:space="preserve">Телевизор Sony X90L</v>
      </c>
      <c r="D240" s="11" t="str">
        <f>RAW_Товары!C239</f>
        <v>Телевизоры</v>
      </c>
      <c r="E240" s="11" t="str">
        <f>RAW_Товары!D239</f>
        <v>Sony</v>
      </c>
      <c r="F240" s="11" t="str">
        <f>RAW_Товары!E239</f>
        <v xml:space="preserve">72 000</v>
      </c>
      <c r="G240" s="11" t="str">
        <f>RAW_Товары!F239</f>
        <v xml:space="preserve">110 990</v>
      </c>
      <c r="H240" s="11" t="str">
        <f>RAW_Товары!G239</f>
        <v>шт.</v>
      </c>
      <c r="I240" s="12" t="str">
        <f t="shared" si="54"/>
        <v>238</v>
      </c>
      <c r="J240" s="12" t="str">
        <f t="shared" si="55"/>
        <v xml:space="preserve">Телевизор Sony X90L</v>
      </c>
      <c r="K240" s="12" t="str">
        <f t="shared" si="56"/>
        <v>Телевизоры</v>
      </c>
      <c r="L240" s="13" t="str">
        <f t="shared" si="57"/>
        <v>АРТ-238</v>
      </c>
      <c r="M240" s="13" t="str">
        <f t="shared" si="58"/>
        <v xml:space="preserve">Телевизор Sony X90L</v>
      </c>
      <c r="N240" s="13" t="str">
        <f>IFERROR(VLOOKUP(K240,Справочники!$A$6:$B$16,2,0),"НЕТ В СПРАВОЧНИКЕ")</f>
        <v>Телевизоры</v>
      </c>
      <c r="O240" s="13" t="str">
        <f t="shared" si="59"/>
        <v>Sony</v>
      </c>
      <c r="P240" s="14">
        <f t="shared" si="60"/>
        <v>72000</v>
      </c>
      <c r="Q240" s="14">
        <f t="shared" si="61"/>
        <v>110990</v>
      </c>
      <c r="R240" s="13" t="str">
        <f t="shared" si="53"/>
        <v>шт</v>
      </c>
      <c r="S240" s="10" t="str">
        <f t="shared" si="62"/>
        <v>OK</v>
      </c>
      <c r="T240" s="10" t="str">
        <f t="shared" si="63"/>
        <v>уникален</v>
      </c>
    </row>
    <row r="241" ht="15" customHeight="1">
      <c r="A241" s="10">
        <v>239</v>
      </c>
      <c r="B241" s="11" t="str">
        <f>RAW_Товары!A240</f>
        <v>АРТ_239</v>
      </c>
      <c r="C241" s="11" t="str">
        <f>RAW_Товары!B240</f>
        <v xml:space="preserve">телевизор SONY X90L</v>
      </c>
      <c r="D241" s="11" t="str">
        <f>RAW_Товары!C240</f>
        <v>Телевизоры</v>
      </c>
      <c r="E241" s="11" t="str">
        <f>RAW_Товары!D240</f>
        <v>sony</v>
      </c>
      <c r="F241" s="11" t="str">
        <f>RAW_Товары!E240</f>
        <v xml:space="preserve">70 000</v>
      </c>
      <c r="G241" s="11" t="str">
        <f>RAW_Товары!F240</f>
        <v xml:space="preserve">108 000</v>
      </c>
      <c r="H241" s="11" t="str">
        <f>RAW_Товары!G240</f>
        <v>штука</v>
      </c>
      <c r="I241" s="12" t="str">
        <f t="shared" si="54"/>
        <v>239</v>
      </c>
      <c r="J241" s="12" t="str">
        <f t="shared" si="55"/>
        <v xml:space="preserve">телевизор SONY X90L</v>
      </c>
      <c r="K241" s="12" t="str">
        <f t="shared" si="56"/>
        <v>Телевизоры</v>
      </c>
      <c r="L241" s="13" t="str">
        <f t="shared" si="57"/>
        <v>АРТ-239</v>
      </c>
      <c r="M241" s="13" t="str">
        <f t="shared" si="58"/>
        <v xml:space="preserve">Телевизор Sony X90L</v>
      </c>
      <c r="N241" s="13" t="str">
        <f>IFERROR(VLOOKUP(K241,Справочники!$A$6:$B$16,2,0),"НЕТ В СПРАВОЧНИКЕ")</f>
        <v>Телевизоры</v>
      </c>
      <c r="O241" s="13" t="str">
        <f t="shared" si="59"/>
        <v>Sony</v>
      </c>
      <c r="P241" s="14">
        <f t="shared" si="60"/>
        <v>70000</v>
      </c>
      <c r="Q241" s="14">
        <f t="shared" si="61"/>
        <v>108000</v>
      </c>
      <c r="R241" s="13" t="str">
        <f t="shared" si="53"/>
        <v>шт</v>
      </c>
      <c r="S241" s="10" t="str">
        <f t="shared" si="62"/>
        <v>OK</v>
      </c>
      <c r="T241" s="10" t="str">
        <f t="shared" si="63"/>
        <v>уникален</v>
      </c>
    </row>
    <row r="242" ht="15" customHeight="1">
      <c r="A242" s="10">
        <v>240</v>
      </c>
      <c r="B242" s="11" t="str">
        <f>RAW_Товары!A241</f>
        <v>240-24</v>
      </c>
      <c r="C242" s="11" t="str">
        <f>RAW_Товары!B241</f>
        <v xml:space="preserve">Телевизор Sony X90L (55")</v>
      </c>
      <c r="D242" s="11" t="str">
        <f>RAW_Товары!C241</f>
        <v>Телевизоры</v>
      </c>
      <c r="E242" s="11" t="str">
        <f>RAW_Товары!D241</f>
        <v>SONY</v>
      </c>
      <c r="F242" s="11" t="str">
        <f>RAW_Товары!E241</f>
        <v xml:space="preserve">73 500</v>
      </c>
      <c r="G242" s="11" t="str">
        <f>RAW_Товары!F241</f>
        <v xml:space="preserve">113 500</v>
      </c>
      <c r="H242" s="11" t="str">
        <f>RAW_Товары!G241</f>
        <v>шт</v>
      </c>
      <c r="I242" s="12" t="str">
        <f t="shared" si="54"/>
        <v>240-24</v>
      </c>
      <c r="J242" s="12" t="str">
        <f t="shared" si="55"/>
        <v xml:space="preserve">Телевизор Sony X90L</v>
      </c>
      <c r="K242" s="12" t="str">
        <f t="shared" si="56"/>
        <v>Телевизоры</v>
      </c>
      <c r="L242" s="13" t="str">
        <f t="shared" si="57"/>
        <v>АРТ-240</v>
      </c>
      <c r="M242" s="13" t="str">
        <f t="shared" si="58"/>
        <v xml:space="preserve">Телевизор Sony X90L</v>
      </c>
      <c r="N242" s="13" t="str">
        <f>IFERROR(VLOOKUP(K242,Справочники!$A$6:$B$16,2,0),"НЕТ В СПРАВОЧНИКЕ")</f>
        <v>Телевизоры</v>
      </c>
      <c r="O242" s="13" t="str">
        <f t="shared" si="59"/>
        <v>Sony</v>
      </c>
      <c r="P242" s="14">
        <f t="shared" si="60"/>
        <v>73500</v>
      </c>
      <c r="Q242" s="14">
        <f t="shared" si="61"/>
        <v>113500</v>
      </c>
      <c r="R242" s="13" t="str">
        <f t="shared" si="53"/>
        <v>шт</v>
      </c>
      <c r="S242" s="10" t="str">
        <f t="shared" si="62"/>
        <v>OK</v>
      </c>
      <c r="T242" s="10" t="str">
        <f t="shared" si="63"/>
        <v>уникален</v>
      </c>
    </row>
    <row r="243" ht="15" customHeight="1">
      <c r="A243" s="10">
        <v>241</v>
      </c>
      <c r="B243" s="11" t="str">
        <f>RAW_Товары!A242</f>
        <v>№АРТ-241</v>
      </c>
      <c r="C243" s="11" t="str">
        <f>RAW_Товары!B242</f>
        <v xml:space="preserve">Наушники Focal Bathys</v>
      </c>
      <c r="D243" s="11" t="str">
        <f>RAW_Товары!C242</f>
        <v>Наушники</v>
      </c>
      <c r="E243" s="11" t="str">
        <f>RAW_Товары!D242</f>
        <v>Focal</v>
      </c>
      <c r="F243" s="11" t="str">
        <f>RAW_Товары!E242</f>
        <v xml:space="preserve">38 000</v>
      </c>
      <c r="G243" s="11" t="str">
        <f>RAW_Товары!F242</f>
        <v xml:space="preserve">59 990</v>
      </c>
      <c r="H243" s="11" t="str">
        <f>RAW_Товары!G242</f>
        <v>шт.</v>
      </c>
      <c r="I243" s="12" t="str">
        <f t="shared" si="54"/>
        <v>241</v>
      </c>
      <c r="J243" s="12" t="str">
        <f t="shared" si="55"/>
        <v xml:space="preserve">Наушники Focal Bathys</v>
      </c>
      <c r="K243" s="12" t="str">
        <f t="shared" si="56"/>
        <v>Наушники</v>
      </c>
      <c r="L243" s="13" t="str">
        <f t="shared" si="57"/>
        <v>АРТ-241</v>
      </c>
      <c r="M243" s="13" t="str">
        <f t="shared" si="58"/>
        <v xml:space="preserve">Наушники Focal Bathys</v>
      </c>
      <c r="N243" s="13" t="str">
        <f>IFERROR(VLOOKUP(K243,Справочники!$A$6:$B$16,2,0),"НЕТ В СПРАВОЧНИКЕ")</f>
        <v>Наушники</v>
      </c>
      <c r="O243" s="13" t="str">
        <f t="shared" si="59"/>
        <v>Focal</v>
      </c>
      <c r="P243" s="14">
        <f t="shared" si="60"/>
        <v>38000</v>
      </c>
      <c r="Q243" s="14">
        <f t="shared" si="61"/>
        <v>59990</v>
      </c>
      <c r="R243" s="13" t="str">
        <f t="shared" si="53"/>
        <v>шт</v>
      </c>
      <c r="S243" s="10" t="str">
        <f t="shared" si="62"/>
        <v>OK</v>
      </c>
      <c r="T243" s="10" t="str">
        <f t="shared" si="63"/>
        <v>уникален</v>
      </c>
    </row>
    <row r="244" ht="15" customHeight="1">
      <c r="A244" s="10">
        <v>242</v>
      </c>
      <c r="B244" s="11" t="str">
        <f>RAW_Товары!A243</f>
        <v>АРТ_242</v>
      </c>
      <c r="C244" s="11" t="str">
        <f>RAW_Товары!B243</f>
        <v xml:space="preserve">наушники FOCAL BATHYS</v>
      </c>
      <c r="D244" s="11" t="str">
        <f>RAW_Товары!C243</f>
        <v>Наушники</v>
      </c>
      <c r="E244" s="11" t="str">
        <f>RAW_Товары!D243</f>
        <v>focal</v>
      </c>
      <c r="F244" s="11" t="str">
        <f>RAW_Товары!E243</f>
        <v xml:space="preserve">37 000</v>
      </c>
      <c r="G244" s="11" t="str">
        <f>RAW_Товары!F243</f>
        <v xml:space="preserve">58 000</v>
      </c>
      <c r="H244" s="11" t="str">
        <f>RAW_Товары!G243</f>
        <v>штуки</v>
      </c>
      <c r="I244" s="12" t="str">
        <f t="shared" si="54"/>
        <v>242</v>
      </c>
      <c r="J244" s="12" t="str">
        <f t="shared" si="55"/>
        <v xml:space="preserve">наушники FOCAL BATHYS</v>
      </c>
      <c r="K244" s="12" t="str">
        <f t="shared" si="56"/>
        <v>Наушники</v>
      </c>
      <c r="L244" s="13" t="str">
        <f t="shared" si="57"/>
        <v>АРТ-242</v>
      </c>
      <c r="M244" s="13" t="str">
        <f t="shared" si="58"/>
        <v xml:space="preserve">Наушники Focal Bathys</v>
      </c>
      <c r="N244" s="13" t="str">
        <f>IFERROR(VLOOKUP(K244,Справочники!$A$6:$B$16,2,0),"НЕТ В СПРАВОЧНИКЕ")</f>
        <v>Наушники</v>
      </c>
      <c r="O244" s="13" t="str">
        <f t="shared" si="59"/>
        <v>Focal</v>
      </c>
      <c r="P244" s="14">
        <f t="shared" si="60"/>
        <v>37000</v>
      </c>
      <c r="Q244" s="14">
        <f t="shared" si="61"/>
        <v>58000</v>
      </c>
      <c r="R244" s="13" t="str">
        <f t="shared" si="53"/>
        <v>шт</v>
      </c>
      <c r="S244" s="10" t="str">
        <f t="shared" si="62"/>
        <v>OK</v>
      </c>
      <c r="T244" s="10" t="str">
        <f t="shared" si="63"/>
        <v>уникален</v>
      </c>
    </row>
    <row r="245" ht="15" customHeight="1">
      <c r="A245" s="10">
        <v>243</v>
      </c>
      <c r="B245" s="11" t="str">
        <f>RAW_Товары!A244</f>
        <v>243/24</v>
      </c>
      <c r="C245" s="11" t="str">
        <f>RAW_Товары!B244</f>
        <v xml:space="preserve">Наушники Focal Bathys (Беспроводные)</v>
      </c>
      <c r="D245" s="11" t="str">
        <f>RAW_Товары!C244</f>
        <v>Наушники</v>
      </c>
      <c r="E245" s="11" t="str">
        <f>RAW_Товары!D244</f>
        <v>FOCAL</v>
      </c>
      <c r="F245" s="11" t="str">
        <f>RAW_Товары!E244</f>
        <v xml:space="preserve">39 000</v>
      </c>
      <c r="G245" s="11" t="str">
        <f>RAW_Товары!F244</f>
        <v xml:space="preserve">62 000</v>
      </c>
      <c r="H245" s="11" t="str">
        <f>RAW_Товары!G244</f>
        <v>шт</v>
      </c>
      <c r="I245" s="12" t="str">
        <f t="shared" si="54"/>
        <v>243/24</v>
      </c>
      <c r="J245" s="12" t="str">
        <f t="shared" si="55"/>
        <v xml:space="preserve">Наушники Focal Bathys</v>
      </c>
      <c r="K245" s="12" t="str">
        <f t="shared" si="56"/>
        <v>Наушники</v>
      </c>
      <c r="L245" s="13" t="str">
        <f t="shared" si="57"/>
        <v>АРТ-243</v>
      </c>
      <c r="M245" s="13" t="str">
        <f t="shared" si="58"/>
        <v xml:space="preserve">Наушники Focal Bathys</v>
      </c>
      <c r="N245" s="13" t="str">
        <f>IFERROR(VLOOKUP(K245,Справочники!$A$6:$B$16,2,0),"НЕТ В СПРАВОЧНИКЕ")</f>
        <v>Наушники</v>
      </c>
      <c r="O245" s="13" t="str">
        <f t="shared" si="59"/>
        <v>Focal</v>
      </c>
      <c r="P245" s="14">
        <f t="shared" si="60"/>
        <v>39000</v>
      </c>
      <c r="Q245" s="14">
        <f t="shared" si="61"/>
        <v>62000</v>
      </c>
      <c r="R245" s="13" t="str">
        <f t="shared" si="53"/>
        <v>шт</v>
      </c>
      <c r="S245" s="10" t="str">
        <f t="shared" si="62"/>
        <v>OK</v>
      </c>
      <c r="T245" s="10" t="str">
        <f t="shared" si="63"/>
        <v>уникален</v>
      </c>
    </row>
    <row r="246" ht="15" customHeight="1">
      <c r="A246" s="10">
        <v>244</v>
      </c>
      <c r="B246" s="11" t="str">
        <f>RAW_Товары!A245</f>
        <v>№АРТ-244</v>
      </c>
      <c r="C246" s="11" t="str">
        <f>RAW_Товары!B245</f>
        <v xml:space="preserve">Монитор Samsung Smart Monitor M8</v>
      </c>
      <c r="D246" s="11" t="str">
        <f>RAW_Товары!C245</f>
        <v>Мониторы</v>
      </c>
      <c r="E246" s="11" t="str">
        <f>RAW_Товары!D245</f>
        <v>Samsung</v>
      </c>
      <c r="F246" s="11" t="str">
        <f>RAW_Товары!E245</f>
        <v xml:space="preserve">50 000</v>
      </c>
      <c r="G246" s="11" t="str">
        <f>RAW_Товары!F245</f>
        <v xml:space="preserve">77 990</v>
      </c>
      <c r="H246" s="11" t="str">
        <f>RAW_Товары!G245</f>
        <v>шт.</v>
      </c>
      <c r="I246" s="12" t="str">
        <f t="shared" si="54"/>
        <v>244</v>
      </c>
      <c r="J246" s="12" t="str">
        <f t="shared" si="55"/>
        <v xml:space="preserve">Монитор Samsung Smart Monitor M8</v>
      </c>
      <c r="K246" s="12" t="str">
        <f t="shared" si="56"/>
        <v>Мониторы</v>
      </c>
      <c r="L246" s="13" t="str">
        <f t="shared" si="57"/>
        <v>АРТ-244</v>
      </c>
      <c r="M246" s="13" t="str">
        <f t="shared" si="58"/>
        <v xml:space="preserve">Монитор Samsung Smart Monitor M8</v>
      </c>
      <c r="N246" s="13" t="str">
        <f>IFERROR(VLOOKUP(K246,Справочники!$A$6:$B$16,2,0),"НЕТ В СПРАВОЧНИКЕ")</f>
        <v>Мониторы</v>
      </c>
      <c r="O246" s="13" t="str">
        <f t="shared" si="59"/>
        <v>Samsung</v>
      </c>
      <c r="P246" s="14">
        <f t="shared" si="60"/>
        <v>50000</v>
      </c>
      <c r="Q246" s="14">
        <f t="shared" si="61"/>
        <v>77990</v>
      </c>
      <c r="R246" s="13" t="str">
        <f t="shared" si="53"/>
        <v>шт</v>
      </c>
      <c r="S246" s="10" t="str">
        <f t="shared" si="62"/>
        <v>OK</v>
      </c>
      <c r="T246" s="10" t="str">
        <f t="shared" si="63"/>
        <v>уникален</v>
      </c>
    </row>
    <row r="247" ht="15" customHeight="1">
      <c r="A247" s="10">
        <v>245</v>
      </c>
      <c r="B247" s="11" t="str">
        <f>RAW_Товары!A246</f>
        <v>АРТ_245</v>
      </c>
      <c r="C247" s="11" t="str">
        <f>RAW_Товары!B246</f>
        <v xml:space="preserve">монитор SAMSUNG SMART MONITOR M8</v>
      </c>
      <c r="D247" s="11" t="str">
        <f>RAW_Товары!C246</f>
        <v>Мониторы</v>
      </c>
      <c r="E247" s="11" t="str">
        <f>RAW_Товары!D246</f>
        <v>samsung</v>
      </c>
      <c r="F247" s="11" t="str">
        <f>RAW_Товары!E246</f>
        <v xml:space="preserve">48 000</v>
      </c>
      <c r="G247" s="11" t="str">
        <f>RAW_Товары!F246</f>
        <v xml:space="preserve">75 000</v>
      </c>
      <c r="H247" s="11" t="str">
        <f>RAW_Товары!G246</f>
        <v>штука</v>
      </c>
      <c r="I247" s="12" t="str">
        <f t="shared" si="54"/>
        <v>245</v>
      </c>
      <c r="J247" s="12" t="str">
        <f t="shared" si="55"/>
        <v xml:space="preserve">монитор SAMSUNG SMART MONITOR M8</v>
      </c>
      <c r="K247" s="12" t="str">
        <f t="shared" si="56"/>
        <v>Мониторы</v>
      </c>
      <c r="L247" s="13" t="str">
        <f t="shared" si="57"/>
        <v>АРТ-245</v>
      </c>
      <c r="M247" s="13" t="str">
        <f t="shared" si="58"/>
        <v xml:space="preserve">Монитор Samsung Smart Monitor M8</v>
      </c>
      <c r="N247" s="13" t="str">
        <f>IFERROR(VLOOKUP(K247,Справочники!$A$6:$B$16,2,0),"НЕТ В СПРАВОЧНИКЕ")</f>
        <v>Мониторы</v>
      </c>
      <c r="O247" s="13" t="str">
        <f t="shared" si="59"/>
        <v>Samsung</v>
      </c>
      <c r="P247" s="14">
        <f t="shared" si="60"/>
        <v>48000</v>
      </c>
      <c r="Q247" s="14">
        <f t="shared" si="61"/>
        <v>75000</v>
      </c>
      <c r="R247" s="13" t="str">
        <f t="shared" si="53"/>
        <v>шт</v>
      </c>
      <c r="S247" s="10" t="str">
        <f t="shared" si="62"/>
        <v>OK</v>
      </c>
      <c r="T247" s="10" t="str">
        <f t="shared" si="63"/>
        <v>уникален</v>
      </c>
    </row>
    <row r="248" ht="15" customHeight="1">
      <c r="A248" s="10">
        <v>246</v>
      </c>
      <c r="B248" s="11" t="str">
        <f>RAW_Товары!A247</f>
        <v>246-24</v>
      </c>
      <c r="C248" s="11" t="str">
        <f>RAW_Товары!B247</f>
        <v xml:space="preserve">Монитор Samsung Smart Monitor M8 (32")</v>
      </c>
      <c r="D248" s="11" t="str">
        <f>RAW_Товары!C247</f>
        <v>Мониторы</v>
      </c>
      <c r="E248" s="11" t="str">
        <f>RAW_Товары!D247</f>
        <v>SAMSUNG</v>
      </c>
      <c r="F248" s="11" t="str">
        <f>RAW_Товары!E247</f>
        <v xml:space="preserve">51 500</v>
      </c>
      <c r="G248" s="11" t="str">
        <f>RAW_Товары!F247</f>
        <v xml:space="preserve">80 000</v>
      </c>
      <c r="H248" s="11" t="str">
        <f>RAW_Товары!G247</f>
        <v>шт</v>
      </c>
      <c r="I248" s="12" t="str">
        <f t="shared" si="54"/>
        <v>246-24</v>
      </c>
      <c r="J248" s="12" t="str">
        <f t="shared" si="55"/>
        <v xml:space="preserve">Монитор Samsung Smart Monitor M8</v>
      </c>
      <c r="K248" s="12" t="str">
        <f t="shared" si="56"/>
        <v>Мониторы</v>
      </c>
      <c r="L248" s="13" t="str">
        <f t="shared" si="57"/>
        <v>АРТ-246</v>
      </c>
      <c r="M248" s="13" t="str">
        <f t="shared" si="58"/>
        <v xml:space="preserve">Монитор Samsung Smart Monitor M8</v>
      </c>
      <c r="N248" s="13" t="str">
        <f>IFERROR(VLOOKUP(K248,Справочники!$A$6:$B$16,2,0),"НЕТ В СПРАВОЧНИКЕ")</f>
        <v>Мониторы</v>
      </c>
      <c r="O248" s="13" t="str">
        <f t="shared" si="59"/>
        <v>Samsung</v>
      </c>
      <c r="P248" s="14">
        <f t="shared" si="60"/>
        <v>51500</v>
      </c>
      <c r="Q248" s="14">
        <f t="shared" si="61"/>
        <v>80000</v>
      </c>
      <c r="R248" s="13" t="str">
        <f t="shared" si="53"/>
        <v>шт</v>
      </c>
      <c r="S248" s="10" t="str">
        <f t="shared" si="62"/>
        <v>OK</v>
      </c>
      <c r="T248" s="10" t="str">
        <f t="shared" si="63"/>
        <v>уникален</v>
      </c>
    </row>
    <row r="249" ht="15" customHeight="1">
      <c r="A249" s="10">
        <v>247</v>
      </c>
      <c r="B249" s="11" t="str">
        <f>RAW_Товары!A248</f>
        <v>№АРТ-247</v>
      </c>
      <c r="C249" s="11" t="str">
        <f>RAW_Товары!B248</f>
        <v xml:space="preserve">Клавиатура Logitech G Pro X</v>
      </c>
      <c r="D249" s="11" t="str">
        <f>RAW_Товары!C248</f>
        <v>Аксессуары</v>
      </c>
      <c r="E249" s="11" t="str">
        <f>RAW_Товары!D248</f>
        <v>Logitech</v>
      </c>
      <c r="F249" s="11" t="str">
        <f>RAW_Товары!E248</f>
        <v xml:space="preserve">6 000</v>
      </c>
      <c r="G249" s="11" t="str">
        <f>RAW_Товары!F248</f>
        <v xml:space="preserve">9 990</v>
      </c>
      <c r="H249" s="11" t="str">
        <f>RAW_Товары!G248</f>
        <v>шт.</v>
      </c>
      <c r="I249" s="12" t="str">
        <f t="shared" si="54"/>
        <v>247</v>
      </c>
      <c r="J249" s="12" t="str">
        <f t="shared" si="55"/>
        <v xml:space="preserve">Клавиатура Logitech G Pro X</v>
      </c>
      <c r="K249" s="12" t="str">
        <f t="shared" si="56"/>
        <v>Аксессуары</v>
      </c>
      <c r="L249" s="13" t="str">
        <f t="shared" si="57"/>
        <v>АРТ-247</v>
      </c>
      <c r="M249" s="13" t="str">
        <f t="shared" si="58"/>
        <v xml:space="preserve">Клавиатура Logitech G Pro X</v>
      </c>
      <c r="N249" s="13" t="str">
        <f>IFERROR(VLOOKUP(K249,Справочники!$A$6:$B$16,2,0),"НЕТ В СПРАВОЧНИКЕ")</f>
        <v>Аксессуары</v>
      </c>
      <c r="O249" s="13" t="str">
        <f t="shared" si="59"/>
        <v>Logitech</v>
      </c>
      <c r="P249" s="14">
        <f t="shared" si="60"/>
        <v>6000</v>
      </c>
      <c r="Q249" s="14">
        <f t="shared" si="61"/>
        <v>9990</v>
      </c>
      <c r="R249" s="13" t="str">
        <f t="shared" si="53"/>
        <v>шт</v>
      </c>
      <c r="S249" s="10" t="str">
        <f t="shared" si="62"/>
        <v>OK</v>
      </c>
      <c r="T249" s="10" t="str">
        <f t="shared" si="63"/>
        <v>уникален</v>
      </c>
    </row>
    <row r="250" ht="15" customHeight="1">
      <c r="A250" s="10">
        <v>248</v>
      </c>
      <c r="B250" s="11" t="str">
        <f>RAW_Товары!A249</f>
        <v>АРТ_248</v>
      </c>
      <c r="C250" s="11" t="str">
        <f>RAW_Товары!B249</f>
        <v xml:space="preserve">клавиатура LOGITECH G PRO X</v>
      </c>
      <c r="D250" s="11" t="str">
        <f>RAW_Товары!C249</f>
        <v>Аксессуары</v>
      </c>
      <c r="E250" s="11" t="str">
        <f>RAW_Товары!D249</f>
        <v>logitech</v>
      </c>
      <c r="F250" s="11" t="str">
        <f>RAW_Товары!E249</f>
        <v xml:space="preserve">5 500</v>
      </c>
      <c r="G250" s="11" t="str">
        <f>RAW_Товары!F249</f>
        <v xml:space="preserve">9 500</v>
      </c>
      <c r="H250" s="11" t="str">
        <f>RAW_Товары!G249</f>
        <v>штуки</v>
      </c>
      <c r="I250" s="12" t="str">
        <f t="shared" si="54"/>
        <v>248</v>
      </c>
      <c r="J250" s="12" t="str">
        <f t="shared" si="55"/>
        <v xml:space="preserve">клавиатура LOGITECH G PRO X</v>
      </c>
      <c r="K250" s="12" t="str">
        <f t="shared" si="56"/>
        <v>Аксессуары</v>
      </c>
      <c r="L250" s="13" t="str">
        <f t="shared" si="57"/>
        <v>АРТ-248</v>
      </c>
      <c r="M250" s="13" t="str">
        <f t="shared" si="58"/>
        <v xml:space="preserve">Клавиатура Logitech G Pro X</v>
      </c>
      <c r="N250" s="13" t="str">
        <f>IFERROR(VLOOKUP(K250,Справочники!$A$6:$B$16,2,0),"НЕТ В СПРАВОЧНИКЕ")</f>
        <v>Аксессуары</v>
      </c>
      <c r="O250" s="13" t="str">
        <f t="shared" si="59"/>
        <v>Logitech</v>
      </c>
      <c r="P250" s="14">
        <f t="shared" si="60"/>
        <v>5500</v>
      </c>
      <c r="Q250" s="14">
        <f t="shared" si="61"/>
        <v>9500</v>
      </c>
      <c r="R250" s="13" t="str">
        <f t="shared" si="53"/>
        <v>шт</v>
      </c>
      <c r="S250" s="10" t="str">
        <f t="shared" si="62"/>
        <v>OK</v>
      </c>
      <c r="T250" s="10" t="str">
        <f t="shared" si="63"/>
        <v>уникален</v>
      </c>
    </row>
    <row r="251" ht="15" customHeight="1">
      <c r="A251" s="10">
        <v>249</v>
      </c>
      <c r="B251" s="11" t="str">
        <f>RAW_Товары!A250</f>
        <v>249/24</v>
      </c>
      <c r="C251" s="11" t="str">
        <f>RAW_Товары!B250</f>
        <v xml:space="preserve">Клавиатура Logitech G Pro X (Rapid)</v>
      </c>
      <c r="D251" s="11" t="str">
        <f>RAW_Товары!C250</f>
        <v>Аксессуары</v>
      </c>
      <c r="E251" s="11" t="str">
        <f>RAW_Товары!D250</f>
        <v>LOGITECH</v>
      </c>
      <c r="F251" s="11" t="str">
        <f>RAW_Товары!E250</f>
        <v xml:space="preserve">6 500</v>
      </c>
      <c r="G251" s="11" t="str">
        <f>RAW_Товары!F250</f>
        <v xml:space="preserve">10 800</v>
      </c>
      <c r="H251" s="11" t="str">
        <f>RAW_Товары!G250</f>
        <v>шт</v>
      </c>
      <c r="I251" s="12" t="str">
        <f t="shared" si="54"/>
        <v>249/24</v>
      </c>
      <c r="J251" s="12" t="str">
        <f t="shared" si="55"/>
        <v xml:space="preserve">Клавиатура Logitech G Pro X</v>
      </c>
      <c r="K251" s="12" t="str">
        <f t="shared" si="56"/>
        <v>Аксессуары</v>
      </c>
      <c r="L251" s="13" t="str">
        <f t="shared" si="57"/>
        <v>АРТ-249</v>
      </c>
      <c r="M251" s="13" t="str">
        <f t="shared" si="58"/>
        <v xml:space="preserve">Клавиатура Logitech G Pro X</v>
      </c>
      <c r="N251" s="13" t="str">
        <f>IFERROR(VLOOKUP(K251,Справочники!$A$6:$B$16,2,0),"НЕТ В СПРАВОЧНИКЕ")</f>
        <v>Аксессуары</v>
      </c>
      <c r="O251" s="13" t="str">
        <f t="shared" si="59"/>
        <v>Logitech</v>
      </c>
      <c r="P251" s="14">
        <f t="shared" si="60"/>
        <v>6500</v>
      </c>
      <c r="Q251" s="14">
        <f t="shared" si="61"/>
        <v>10800</v>
      </c>
      <c r="R251" s="13" t="str">
        <f t="shared" si="53"/>
        <v>шт</v>
      </c>
      <c r="S251" s="10" t="str">
        <f t="shared" si="62"/>
        <v>OK</v>
      </c>
      <c r="T251" s="10" t="str">
        <f t="shared" si="63"/>
        <v>уникален</v>
      </c>
    </row>
    <row r="252" ht="15" customHeight="1">
      <c r="A252" s="10">
        <v>250</v>
      </c>
      <c r="B252" s="11" t="str">
        <f>RAW_Товары!A251</f>
        <v>№АРТ-250</v>
      </c>
      <c r="C252" s="11" t="str">
        <f>RAW_Товары!B251</f>
        <v xml:space="preserve">Смарт-часы Garmin Venu 3</v>
      </c>
      <c r="D252" s="11" t="str">
        <f>RAW_Товары!C251</f>
        <v>Часы</v>
      </c>
      <c r="E252" s="11" t="str">
        <f>RAW_Товары!D251</f>
        <v>Garmin</v>
      </c>
      <c r="F252" s="11" t="str">
        <f>RAW_Товары!E251</f>
        <v xml:space="preserve">35 000</v>
      </c>
      <c r="G252" s="11" t="str">
        <f>RAW_Товары!F251</f>
        <v xml:space="preserve">54 990</v>
      </c>
      <c r="H252" s="11" t="str">
        <f>RAW_Товары!G251</f>
        <v>шт.</v>
      </c>
      <c r="I252" s="12" t="str">
        <f t="shared" si="54"/>
        <v>250</v>
      </c>
      <c r="J252" s="12" t="str">
        <f t="shared" si="55"/>
        <v xml:space="preserve">Смарт-часы Garmin Venu 3</v>
      </c>
      <c r="K252" s="12" t="str">
        <f t="shared" si="56"/>
        <v>Часы</v>
      </c>
      <c r="L252" s="13" t="str">
        <f t="shared" si="57"/>
        <v>АРТ-250</v>
      </c>
      <c r="M252" s="13" t="str">
        <f t="shared" si="58"/>
        <v xml:space="preserve">Смарт-Часы Garmin Venu 3</v>
      </c>
      <c r="N252" s="13" t="str">
        <f>IFERROR(VLOOKUP(K252,Справочники!$A$6:$B$16,2,0),"НЕТ В СПРАВОЧНИКЕ")</f>
        <v>Часы</v>
      </c>
      <c r="O252" s="13" t="str">
        <f t="shared" si="59"/>
        <v>Garmin</v>
      </c>
      <c r="P252" s="14">
        <f t="shared" si="60"/>
        <v>35000</v>
      </c>
      <c r="Q252" s="14">
        <f t="shared" si="61"/>
        <v>54990</v>
      </c>
      <c r="R252" s="13" t="str">
        <f t="shared" si="53"/>
        <v>шт</v>
      </c>
      <c r="S252" s="10" t="str">
        <f t="shared" si="62"/>
        <v>OK</v>
      </c>
      <c r="T252" s="10" t="str">
        <f t="shared" si="63"/>
        <v>уникален</v>
      </c>
    </row>
    <row r="253" ht="15" customHeight="1">
      <c r="A253" s="10">
        <v>251</v>
      </c>
      <c r="B253" s="11" t="str">
        <f>RAW_Товары!A252</f>
        <v>АРТ_251</v>
      </c>
      <c r="C253" s="11" t="str">
        <f>RAW_Товары!B252</f>
        <v xml:space="preserve">смарт-часы GARMIN VENU 3</v>
      </c>
      <c r="D253" s="11" t="str">
        <f>RAW_Товары!C252</f>
        <v>Часы</v>
      </c>
      <c r="E253" s="11" t="str">
        <f>RAW_Товары!D252</f>
        <v>garmin</v>
      </c>
      <c r="F253" s="11" t="str">
        <f>RAW_Товары!E252</f>
        <v xml:space="preserve">34 000</v>
      </c>
      <c r="G253" s="11" t="str">
        <f>RAW_Товары!F252</f>
        <v xml:space="preserve">53 500</v>
      </c>
      <c r="H253" s="11" t="str">
        <f>RAW_Товары!G252</f>
        <v>штука</v>
      </c>
      <c r="I253" s="12" t="str">
        <f t="shared" si="54"/>
        <v>251</v>
      </c>
      <c r="J253" s="12" t="str">
        <f t="shared" si="55"/>
        <v xml:space="preserve">смарт-часы GARMIN VENU 3</v>
      </c>
      <c r="K253" s="12" t="str">
        <f t="shared" si="56"/>
        <v>Часы</v>
      </c>
      <c r="L253" s="13" t="str">
        <f t="shared" si="57"/>
        <v>АРТ-251</v>
      </c>
      <c r="M253" s="13" t="str">
        <f t="shared" si="58"/>
        <v xml:space="preserve">Смарт-Часы Garmin Venu 3</v>
      </c>
      <c r="N253" s="13" t="str">
        <f>IFERROR(VLOOKUP(K253,Справочники!$A$6:$B$16,2,0),"НЕТ В СПРАВОЧНИКЕ")</f>
        <v>Часы</v>
      </c>
      <c r="O253" s="13" t="str">
        <f t="shared" si="59"/>
        <v>Garmin</v>
      </c>
      <c r="P253" s="14">
        <f t="shared" si="60"/>
        <v>34000</v>
      </c>
      <c r="Q253" s="14">
        <f t="shared" si="61"/>
        <v>53500</v>
      </c>
      <c r="R253" s="13" t="str">
        <f t="shared" si="53"/>
        <v>шт</v>
      </c>
      <c r="S253" s="10" t="str">
        <f t="shared" si="62"/>
        <v>OK</v>
      </c>
      <c r="T253" s="10" t="str">
        <f t="shared" si="63"/>
        <v>уникален</v>
      </c>
    </row>
    <row r="254" ht="15" customHeight="1">
      <c r="A254" s="10">
        <v>252</v>
      </c>
      <c r="B254" s="11" t="str">
        <f>RAW_Товары!A253</f>
        <v>252-24</v>
      </c>
      <c r="C254" s="11" t="str">
        <f>RAW_Товары!B253</f>
        <v xml:space="preserve">Смарт-часы Garmin Venu 3 (Sapphire)</v>
      </c>
      <c r="D254" s="11" t="str">
        <f>RAW_Товары!C253</f>
        <v>Часы</v>
      </c>
      <c r="E254" s="11" t="str">
        <f>RAW_Товары!D253</f>
        <v>GARMIN</v>
      </c>
      <c r="F254" s="11" t="str">
        <f>RAW_Товары!E253</f>
        <v xml:space="preserve">36 000</v>
      </c>
      <c r="G254" s="11" t="str">
        <f>RAW_Товары!F253</f>
        <v xml:space="preserve">56 500</v>
      </c>
      <c r="H254" s="11" t="str">
        <f>RAW_Товары!G253</f>
        <v>шт</v>
      </c>
      <c r="I254" s="12" t="str">
        <f t="shared" si="54"/>
        <v>252-24</v>
      </c>
      <c r="J254" s="12" t="str">
        <f t="shared" si="55"/>
        <v xml:space="preserve">Смарт-часы Garmin Venu 3</v>
      </c>
      <c r="K254" s="12" t="str">
        <f t="shared" si="56"/>
        <v>Часы</v>
      </c>
      <c r="L254" s="13" t="str">
        <f t="shared" si="57"/>
        <v>АРТ-252</v>
      </c>
      <c r="M254" s="13" t="str">
        <f t="shared" si="58"/>
        <v xml:space="preserve">Смарт-Часы Garmin Venu 3</v>
      </c>
      <c r="N254" s="13" t="str">
        <f>IFERROR(VLOOKUP(K254,Справочники!$A$6:$B$16,2,0),"НЕТ В СПРАВОЧНИКЕ")</f>
        <v>Часы</v>
      </c>
      <c r="O254" s="13" t="str">
        <f t="shared" si="59"/>
        <v>Garmin</v>
      </c>
      <c r="P254" s="14">
        <f t="shared" si="60"/>
        <v>36000</v>
      </c>
      <c r="Q254" s="14">
        <f t="shared" si="61"/>
        <v>56500</v>
      </c>
      <c r="R254" s="13" t="str">
        <f t="shared" si="53"/>
        <v>шт</v>
      </c>
      <c r="S254" s="10" t="str">
        <f t="shared" si="62"/>
        <v>OK</v>
      </c>
      <c r="T254" s="10" t="str">
        <f t="shared" si="63"/>
        <v>уникален</v>
      </c>
    </row>
    <row r="255" ht="15" customHeight="1">
      <c r="A255" s="10">
        <v>253</v>
      </c>
      <c r="B255" s="11" t="str">
        <f>RAW_Товары!A254</f>
        <v>№АРТ-253</v>
      </c>
      <c r="C255" s="11" t="str">
        <f>RAW_Товары!B254</f>
        <v xml:space="preserve">Ноутбук Dell Alienware m18</v>
      </c>
      <c r="D255" s="11" t="str">
        <f>RAW_Товары!C254</f>
        <v>Ноутбуки</v>
      </c>
      <c r="E255" s="11" t="str">
        <f>RAW_Товары!D254</f>
        <v>Dell</v>
      </c>
      <c r="F255" s="11" t="str">
        <f>RAW_Товары!E254</f>
        <v xml:space="preserve">105 000</v>
      </c>
      <c r="G255" s="11" t="str">
        <f>RAW_Товары!F254</f>
        <v xml:space="preserve">159 990</v>
      </c>
      <c r="H255" s="11" t="str">
        <f>RAW_Товары!G254</f>
        <v>шт.</v>
      </c>
      <c r="I255" s="12" t="str">
        <f t="shared" si="54"/>
        <v>253</v>
      </c>
      <c r="J255" s="12" t="str">
        <f t="shared" si="55"/>
        <v xml:space="preserve">Ноутбук Dell Alienware m18</v>
      </c>
      <c r="K255" s="12" t="str">
        <f t="shared" si="56"/>
        <v>Ноутбуки</v>
      </c>
      <c r="L255" s="13" t="str">
        <f t="shared" si="57"/>
        <v>АРТ-253</v>
      </c>
      <c r="M255" s="13" t="str">
        <f t="shared" si="58"/>
        <v xml:space="preserve">Ноутбук Dell Alienware M18</v>
      </c>
      <c r="N255" s="13" t="str">
        <f>IFERROR(VLOOKUP(K255,Справочники!$A$6:$B$16,2,0),"НЕТ В СПРАВОЧНИКЕ")</f>
        <v>Ноутбуки</v>
      </c>
      <c r="O255" s="13" t="str">
        <f t="shared" si="59"/>
        <v>Dell</v>
      </c>
      <c r="P255" s="14">
        <f t="shared" si="60"/>
        <v>105000</v>
      </c>
      <c r="Q255" s="14">
        <f t="shared" si="61"/>
        <v>159990</v>
      </c>
      <c r="R255" s="13" t="str">
        <f t="shared" si="53"/>
        <v>шт</v>
      </c>
      <c r="S255" s="10" t="str">
        <f t="shared" si="62"/>
        <v>OK</v>
      </c>
      <c r="T255" s="10" t="str">
        <f t="shared" si="63"/>
        <v>уникален</v>
      </c>
    </row>
    <row r="256" ht="15" customHeight="1">
      <c r="A256" s="10">
        <v>254</v>
      </c>
      <c r="B256" s="11" t="str">
        <f>RAW_Товары!A255</f>
        <v>АРТ_254</v>
      </c>
      <c r="C256" s="11" t="str">
        <f>RAW_Товары!B255</f>
        <v xml:space="preserve">ноутбук DELL ALIENWARE M18</v>
      </c>
      <c r="D256" s="11" t="str">
        <f>RAW_Товары!C255</f>
        <v>Лэптопы</v>
      </c>
      <c r="E256" s="11" t="str">
        <f>RAW_Товары!D255</f>
        <v>dell</v>
      </c>
      <c r="F256" s="11" t="str">
        <f>RAW_Товары!E255</f>
        <v xml:space="preserve">103 000</v>
      </c>
      <c r="G256" s="11" t="str">
        <f>RAW_Товары!F255</f>
        <v xml:space="preserve">157 000</v>
      </c>
      <c r="H256" s="11" t="str">
        <f>RAW_Товары!G255</f>
        <v>штуки</v>
      </c>
      <c r="I256" s="12" t="str">
        <f t="shared" si="54"/>
        <v>254</v>
      </c>
      <c r="J256" s="12" t="str">
        <f t="shared" si="55"/>
        <v xml:space="preserve">ноутбук DELL ALIENWARE M18</v>
      </c>
      <c r="K256" s="12" t="str">
        <f t="shared" si="56"/>
        <v>Лэптопы</v>
      </c>
      <c r="L256" s="13" t="str">
        <f t="shared" si="57"/>
        <v>АРТ-254</v>
      </c>
      <c r="M256" s="13" t="str">
        <f t="shared" si="58"/>
        <v xml:space="preserve">Ноутбук Dell Alienware M18</v>
      </c>
      <c r="N256" s="13" t="str">
        <f>IFERROR(VLOOKUP(K256,Справочники!$A$6:$B$16,2,0),"НЕТ В СПРАВОЧНИКЕ")</f>
        <v>Ноутбуки</v>
      </c>
      <c r="O256" s="13" t="str">
        <f t="shared" si="59"/>
        <v>Dell</v>
      </c>
      <c r="P256" s="14">
        <f t="shared" si="60"/>
        <v>103000</v>
      </c>
      <c r="Q256" s="14">
        <f t="shared" si="61"/>
        <v>157000</v>
      </c>
      <c r="R256" s="13" t="str">
        <f t="shared" si="53"/>
        <v>шт</v>
      </c>
      <c r="S256" s="10" t="str">
        <f t="shared" si="62"/>
        <v>OK</v>
      </c>
      <c r="T256" s="10" t="str">
        <f t="shared" si="63"/>
        <v>уникален</v>
      </c>
    </row>
    <row r="257" ht="15" customHeight="1">
      <c r="A257" s="10">
        <v>255</v>
      </c>
      <c r="B257" s="11" t="str">
        <f>RAW_Товары!A256</f>
        <v>255/24</v>
      </c>
      <c r="C257" s="11" t="str">
        <f>RAW_Товары!B256</f>
        <v xml:space="preserve">Ноутбук Dell Alienware m18 (Gaming)</v>
      </c>
      <c r="D257" s="11" t="str">
        <f>RAW_Товары!C256</f>
        <v>Ноутбуки</v>
      </c>
      <c r="E257" s="11" t="str">
        <f>RAW_Товары!D256</f>
        <v>DELL</v>
      </c>
      <c r="F257" s="11" t="str">
        <f>RAW_Товары!E256</f>
        <v xml:space="preserve">107 000</v>
      </c>
      <c r="G257" s="11" t="str">
        <f>RAW_Товары!F256</f>
        <v xml:space="preserve">163 000</v>
      </c>
      <c r="H257" s="11" t="str">
        <f>RAW_Товары!G256</f>
        <v>шт</v>
      </c>
      <c r="I257" s="12" t="str">
        <f t="shared" si="54"/>
        <v>255/24</v>
      </c>
      <c r="J257" s="12" t="str">
        <f t="shared" si="55"/>
        <v xml:space="preserve">Ноутбук Dell Alienware m18</v>
      </c>
      <c r="K257" s="12" t="str">
        <f t="shared" si="56"/>
        <v>Ноутбуки</v>
      </c>
      <c r="L257" s="13" t="str">
        <f t="shared" si="57"/>
        <v>АРТ-255</v>
      </c>
      <c r="M257" s="13" t="str">
        <f t="shared" si="58"/>
        <v xml:space="preserve">Ноутбук Dell Alienware M18</v>
      </c>
      <c r="N257" s="13" t="str">
        <f>IFERROR(VLOOKUP(K257,Справочники!$A$6:$B$16,2,0),"НЕТ В СПРАВОЧНИКЕ")</f>
        <v>Ноутбуки</v>
      </c>
      <c r="O257" s="13" t="str">
        <f t="shared" si="59"/>
        <v>Dell</v>
      </c>
      <c r="P257" s="14">
        <f t="shared" si="60"/>
        <v>107000</v>
      </c>
      <c r="Q257" s="14">
        <f t="shared" si="61"/>
        <v>163000</v>
      </c>
      <c r="R257" s="13" t="str">
        <f t="shared" si="53"/>
        <v>шт</v>
      </c>
      <c r="S257" s="10" t="str">
        <f t="shared" si="62"/>
        <v>OK</v>
      </c>
      <c r="T257" s="10" t="str">
        <f t="shared" si="63"/>
        <v>уникален</v>
      </c>
    </row>
    <row r="258" ht="15" customHeight="1">
      <c r="A258" s="10">
        <v>256</v>
      </c>
      <c r="B258" s="11" t="str">
        <f>RAW_Товары!A257</f>
        <v>№АРТ-256</v>
      </c>
      <c r="C258" s="11" t="str">
        <f>RAW_Товары!B257</f>
        <v xml:space="preserve">Смартфон Nokia XR21</v>
      </c>
      <c r="D258" s="11" t="str">
        <f>RAW_Товары!C257</f>
        <v>Смартфоны</v>
      </c>
      <c r="E258" s="11" t="str">
        <f>RAW_Товары!D257</f>
        <v>Nokia</v>
      </c>
      <c r="F258" s="11" t="str">
        <f>RAW_Товары!E257</f>
        <v xml:space="preserve">22 000</v>
      </c>
      <c r="G258" s="11" t="str">
        <f>RAW_Товары!F257</f>
        <v xml:space="preserve">37 990</v>
      </c>
      <c r="H258" s="11" t="str">
        <f>RAW_Товары!G257</f>
        <v>шт.</v>
      </c>
      <c r="I258" s="12" t="str">
        <f t="shared" si="54"/>
        <v>256</v>
      </c>
      <c r="J258" s="12" t="str">
        <f t="shared" si="55"/>
        <v xml:space="preserve">Смартфон Nokia XR21</v>
      </c>
      <c r="K258" s="12" t="str">
        <f t="shared" si="56"/>
        <v>Смартфоны</v>
      </c>
      <c r="L258" s="13" t="str">
        <f t="shared" si="57"/>
        <v>АРТ-256</v>
      </c>
      <c r="M258" s="13" t="str">
        <f t="shared" si="58"/>
        <v xml:space="preserve">Смартфон Nokia Xr21</v>
      </c>
      <c r="N258" s="13" t="str">
        <f>IFERROR(VLOOKUP(K258,Справочники!$A$6:$B$16,2,0),"НЕТ В СПРАВОЧНИКЕ")</f>
        <v>Смартфоны</v>
      </c>
      <c r="O258" s="13" t="str">
        <f t="shared" si="59"/>
        <v>Nokia</v>
      </c>
      <c r="P258" s="14">
        <f t="shared" si="60"/>
        <v>22000</v>
      </c>
      <c r="Q258" s="14">
        <f t="shared" si="61"/>
        <v>37990</v>
      </c>
      <c r="R258" s="13" t="str">
        <f t="shared" si="53"/>
        <v>шт</v>
      </c>
      <c r="S258" s="10" t="str">
        <f t="shared" si="62"/>
        <v>OK</v>
      </c>
      <c r="T258" s="10" t="str">
        <f t="shared" si="63"/>
        <v>уникален</v>
      </c>
    </row>
    <row r="259" ht="15" customHeight="1">
      <c r="A259" s="10">
        <v>257</v>
      </c>
      <c r="B259" s="11" t="str">
        <f>RAW_Товары!A258</f>
        <v>АРТ_257</v>
      </c>
      <c r="C259" s="11" t="str">
        <f>RAW_Товары!B258</f>
        <v xml:space="preserve">смартфон NOKIA XR21</v>
      </c>
      <c r="D259" s="11" t="str">
        <f>RAW_Товары!C258</f>
        <v>Телефоны</v>
      </c>
      <c r="E259" s="11" t="str">
        <f>RAW_Товары!D258</f>
        <v>nokia</v>
      </c>
      <c r="F259" s="11" t="str">
        <f>RAW_Товары!E258</f>
        <v xml:space="preserve">21 000</v>
      </c>
      <c r="G259" s="11" t="str">
        <f>RAW_Товары!F258</f>
        <v xml:space="preserve">36 500</v>
      </c>
      <c r="H259" s="11" t="str">
        <f>RAW_Товары!G258</f>
        <v>штука</v>
      </c>
      <c r="I259" s="12" t="str">
        <f t="shared" si="54"/>
        <v>257</v>
      </c>
      <c r="J259" s="12" t="str">
        <f t="shared" si="55"/>
        <v xml:space="preserve">смартфон NOKIA XR21</v>
      </c>
      <c r="K259" s="12" t="str">
        <f t="shared" si="56"/>
        <v>Телефоны</v>
      </c>
      <c r="L259" s="13" t="str">
        <f t="shared" si="57"/>
        <v>АРТ-257</v>
      </c>
      <c r="M259" s="13" t="str">
        <f t="shared" si="58"/>
        <v xml:space="preserve">Смартфон Nokia Xr21</v>
      </c>
      <c r="N259" s="13" t="str">
        <f>IFERROR(VLOOKUP(K259,Справочники!$A$6:$B$16,2,0),"НЕТ В СПРАВОЧНИКЕ")</f>
        <v>Смартфоны</v>
      </c>
      <c r="O259" s="13" t="str">
        <f t="shared" si="59"/>
        <v>Nokia</v>
      </c>
      <c r="P259" s="14">
        <f t="shared" si="60"/>
        <v>21000</v>
      </c>
      <c r="Q259" s="14">
        <f t="shared" si="61"/>
        <v>36500</v>
      </c>
      <c r="R259" s="13" t="str">
        <f t="shared" ref="R259:R322" si="64">"шт"</f>
        <v>шт</v>
      </c>
      <c r="S259" s="10" t="str">
        <f t="shared" si="62"/>
        <v>OK</v>
      </c>
      <c r="T259" s="10" t="str">
        <f t="shared" si="63"/>
        <v>уникален</v>
      </c>
    </row>
    <row r="260" ht="15" customHeight="1">
      <c r="A260" s="10">
        <v>258</v>
      </c>
      <c r="B260" s="11" t="str">
        <f>RAW_Товары!A259</f>
        <v>258-24</v>
      </c>
      <c r="C260" s="11" t="str">
        <f>RAW_Товары!B259</f>
        <v xml:space="preserve">Смартфон Nokia XR21 (Black)</v>
      </c>
      <c r="D260" s="11" t="str">
        <f>RAW_Товары!C259</f>
        <v xml:space="preserve">Мобильные телефоны</v>
      </c>
      <c r="E260" s="11" t="str">
        <f>RAW_Товары!D259</f>
        <v>NOKIA</v>
      </c>
      <c r="F260" s="11" t="str">
        <f>RAW_Товары!E259</f>
        <v xml:space="preserve">23 000</v>
      </c>
      <c r="G260" s="11" t="str">
        <f>RAW_Товары!F259</f>
        <v xml:space="preserve">39 500</v>
      </c>
      <c r="H260" s="11" t="str">
        <f>RAW_Товары!G259</f>
        <v>шт</v>
      </c>
      <c r="I260" s="12" t="str">
        <f t="shared" si="54"/>
        <v>258-24</v>
      </c>
      <c r="J260" s="12" t="str">
        <f t="shared" si="55"/>
        <v xml:space="preserve">Смартфон Nokia XR21</v>
      </c>
      <c r="K260" s="12" t="str">
        <f t="shared" si="56"/>
        <v xml:space="preserve">Мобильные телефоны</v>
      </c>
      <c r="L260" s="13" t="str">
        <f t="shared" si="57"/>
        <v>АРТ-258</v>
      </c>
      <c r="M260" s="13" t="str">
        <f t="shared" si="58"/>
        <v xml:space="preserve">Смартфон Nokia Xr21</v>
      </c>
      <c r="N260" s="13" t="str">
        <f>IFERROR(VLOOKUP(K260,Справочники!$A$6:$B$16,2,0),"НЕТ В СПРАВОЧНИКЕ")</f>
        <v>Смартфоны</v>
      </c>
      <c r="O260" s="13" t="str">
        <f t="shared" si="59"/>
        <v>Nokia</v>
      </c>
      <c r="P260" s="14">
        <f t="shared" si="60"/>
        <v>23000</v>
      </c>
      <c r="Q260" s="14">
        <f t="shared" si="61"/>
        <v>39500</v>
      </c>
      <c r="R260" s="13" t="str">
        <f t="shared" si="64"/>
        <v>шт</v>
      </c>
      <c r="S260" s="10" t="str">
        <f t="shared" si="62"/>
        <v>OK</v>
      </c>
      <c r="T260" s="10" t="str">
        <f t="shared" si="63"/>
        <v>уникален</v>
      </c>
    </row>
    <row r="261" ht="15" customHeight="1">
      <c r="A261" s="10">
        <v>259</v>
      </c>
      <c r="B261" s="11" t="str">
        <f>RAW_Товары!A260</f>
        <v>№АРТ-259</v>
      </c>
      <c r="C261" s="11" t="str">
        <f>RAW_Товары!B260</f>
        <v xml:space="preserve">Телевизор Philips 55PUS8888</v>
      </c>
      <c r="D261" s="11" t="str">
        <f>RAW_Товары!C260</f>
        <v>Телевизоры</v>
      </c>
      <c r="E261" s="11" t="str">
        <f>RAW_Товары!D260</f>
        <v>Philips</v>
      </c>
      <c r="F261" s="11" t="str">
        <f>RAW_Товары!E260</f>
        <v xml:space="preserve">60 000</v>
      </c>
      <c r="G261" s="11" t="str">
        <f>RAW_Товары!F260</f>
        <v xml:space="preserve">92 990</v>
      </c>
      <c r="H261" s="11" t="str">
        <f>RAW_Товары!G260</f>
        <v>шт.</v>
      </c>
      <c r="I261" s="12" t="str">
        <f t="shared" si="54"/>
        <v>259</v>
      </c>
      <c r="J261" s="12" t="str">
        <f t="shared" si="55"/>
        <v xml:space="preserve">Телевизор Philips 55PUS8888</v>
      </c>
      <c r="K261" s="12" t="str">
        <f t="shared" si="56"/>
        <v>Телевизоры</v>
      </c>
      <c r="L261" s="13" t="str">
        <f t="shared" si="57"/>
        <v>АРТ-259</v>
      </c>
      <c r="M261" s="13" t="str">
        <f t="shared" si="58"/>
        <v xml:space="preserve">Телевизор Philips 55Pus8888</v>
      </c>
      <c r="N261" s="13" t="str">
        <f>IFERROR(VLOOKUP(K261,Справочники!$A$6:$B$16,2,0),"НЕТ В СПРАВОЧНИКЕ")</f>
        <v>Телевизоры</v>
      </c>
      <c r="O261" s="13" t="str">
        <f t="shared" si="59"/>
        <v>Philips</v>
      </c>
      <c r="P261" s="14">
        <f t="shared" si="60"/>
        <v>60000</v>
      </c>
      <c r="Q261" s="14">
        <f t="shared" si="61"/>
        <v>92990</v>
      </c>
      <c r="R261" s="13" t="str">
        <f t="shared" si="64"/>
        <v>шт</v>
      </c>
      <c r="S261" s="10" t="str">
        <f t="shared" si="62"/>
        <v>OK</v>
      </c>
      <c r="T261" s="10" t="str">
        <f t="shared" si="63"/>
        <v>уникален</v>
      </c>
    </row>
    <row r="262" ht="15" customHeight="1">
      <c r="A262" s="10">
        <v>260</v>
      </c>
      <c r="B262" s="11" t="str">
        <f>RAW_Товары!A261</f>
        <v>АРТ_260</v>
      </c>
      <c r="C262" s="11" t="str">
        <f>RAW_Товары!B261</f>
        <v xml:space="preserve">телевизор PHILIPS 55PUS8888</v>
      </c>
      <c r="D262" s="11" t="str">
        <f>RAW_Товары!C261</f>
        <v>Телевизоры</v>
      </c>
      <c r="E262" s="11" t="str">
        <f>RAW_Товары!D261</f>
        <v>philips</v>
      </c>
      <c r="F262" s="11" t="str">
        <f>RAW_Товары!E261</f>
        <v xml:space="preserve">58 000</v>
      </c>
      <c r="G262" s="11" t="str">
        <f>RAW_Товары!F261</f>
        <v xml:space="preserve">90 000</v>
      </c>
      <c r="H262" s="11" t="str">
        <f>RAW_Товары!G261</f>
        <v>штуки</v>
      </c>
      <c r="I262" s="12" t="str">
        <f t="shared" si="54"/>
        <v>260</v>
      </c>
      <c r="J262" s="12" t="str">
        <f t="shared" si="55"/>
        <v xml:space="preserve">телевизор PHILIPS 55PUS8888</v>
      </c>
      <c r="K262" s="12" t="str">
        <f t="shared" si="56"/>
        <v>Телевизоры</v>
      </c>
      <c r="L262" s="13" t="str">
        <f t="shared" si="57"/>
        <v>АРТ-260</v>
      </c>
      <c r="M262" s="13" t="str">
        <f t="shared" si="58"/>
        <v xml:space="preserve">Телевизор Philips 55Pus8888</v>
      </c>
      <c r="N262" s="13" t="str">
        <f>IFERROR(VLOOKUP(K262,Справочники!$A$6:$B$16,2,0),"НЕТ В СПРАВОЧНИКЕ")</f>
        <v>Телевизоры</v>
      </c>
      <c r="O262" s="13" t="str">
        <f t="shared" si="59"/>
        <v>Philips</v>
      </c>
      <c r="P262" s="14">
        <f t="shared" si="60"/>
        <v>58000</v>
      </c>
      <c r="Q262" s="14">
        <f t="shared" si="61"/>
        <v>90000</v>
      </c>
      <c r="R262" s="13" t="str">
        <f t="shared" si="64"/>
        <v>шт</v>
      </c>
      <c r="S262" s="10" t="str">
        <f t="shared" si="62"/>
        <v>OK</v>
      </c>
      <c r="T262" s="10" t="str">
        <f t="shared" si="63"/>
        <v>уникален</v>
      </c>
    </row>
    <row r="263" ht="15" customHeight="1">
      <c r="A263" s="10">
        <v>261</v>
      </c>
      <c r="B263" s="11" t="str">
        <f>RAW_Товары!A262</f>
        <v>261/24</v>
      </c>
      <c r="C263" s="11" t="str">
        <f>RAW_Товары!B262</f>
        <v xml:space="preserve">Телевизор Philips 55PUS8888 (The One)</v>
      </c>
      <c r="D263" s="11" t="str">
        <f>RAW_Товары!C262</f>
        <v>Телевизоры</v>
      </c>
      <c r="E263" s="11" t="str">
        <f>RAW_Товары!D262</f>
        <v>PHILIPS</v>
      </c>
      <c r="F263" s="11" t="str">
        <f>RAW_Товары!E262</f>
        <v xml:space="preserve">61 500</v>
      </c>
      <c r="G263" s="11" t="str">
        <f>RAW_Товары!F262</f>
        <v xml:space="preserve">95 500</v>
      </c>
      <c r="H263" s="11" t="str">
        <f>RAW_Товары!G262</f>
        <v>шт</v>
      </c>
      <c r="I263" s="12" t="str">
        <f t="shared" si="54"/>
        <v>261/24</v>
      </c>
      <c r="J263" s="12" t="str">
        <f t="shared" si="55"/>
        <v xml:space="preserve">Телевизор Philips 55PUS8888</v>
      </c>
      <c r="K263" s="12" t="str">
        <f t="shared" si="56"/>
        <v>Телевизоры</v>
      </c>
      <c r="L263" s="13" t="str">
        <f t="shared" si="57"/>
        <v>АРТ-261</v>
      </c>
      <c r="M263" s="13" t="str">
        <f t="shared" si="58"/>
        <v xml:space="preserve">Телевизор Philips 55Pus8888</v>
      </c>
      <c r="N263" s="13" t="str">
        <f>IFERROR(VLOOKUP(K263,Справочники!$A$6:$B$16,2,0),"НЕТ В СПРАВОЧНИКЕ")</f>
        <v>Телевизоры</v>
      </c>
      <c r="O263" s="13" t="str">
        <f t="shared" si="59"/>
        <v>Philips</v>
      </c>
      <c r="P263" s="14">
        <f t="shared" si="60"/>
        <v>61500</v>
      </c>
      <c r="Q263" s="14">
        <f t="shared" si="61"/>
        <v>95500</v>
      </c>
      <c r="R263" s="13" t="str">
        <f t="shared" si="64"/>
        <v>шт</v>
      </c>
      <c r="S263" s="10" t="str">
        <f t="shared" si="62"/>
        <v>OK</v>
      </c>
      <c r="T263" s="10" t="str">
        <f t="shared" si="63"/>
        <v>уникален</v>
      </c>
    </row>
    <row r="264" ht="15" customHeight="1">
      <c r="A264" s="10">
        <v>262</v>
      </c>
      <c r="B264" s="11" t="str">
        <f>RAW_Товары!A263</f>
        <v>№АРТ-262</v>
      </c>
      <c r="C264" s="11" t="str">
        <f>RAW_Товары!B263</f>
        <v xml:space="preserve">Наушники AKG K371</v>
      </c>
      <c r="D264" s="11" t="str">
        <f>RAW_Товары!C263</f>
        <v>Наушники</v>
      </c>
      <c r="E264" s="11" t="str">
        <f>RAW_Товары!D263</f>
        <v>AKG</v>
      </c>
      <c r="F264" s="11" t="str">
        <f>RAW_Товары!E263</f>
        <v xml:space="preserve">7 000</v>
      </c>
      <c r="G264" s="11" t="str">
        <f>RAW_Товары!F263</f>
        <v xml:space="preserve">11 990</v>
      </c>
      <c r="H264" s="11" t="str">
        <f>RAW_Товары!G263</f>
        <v>шт.</v>
      </c>
      <c r="I264" s="12" t="str">
        <f t="shared" si="54"/>
        <v>262</v>
      </c>
      <c r="J264" s="12" t="str">
        <f t="shared" si="55"/>
        <v xml:space="preserve">Наушники AKG K371</v>
      </c>
      <c r="K264" s="12" t="str">
        <f t="shared" si="56"/>
        <v>Наушники</v>
      </c>
      <c r="L264" s="13" t="str">
        <f t="shared" si="57"/>
        <v>АРТ-262</v>
      </c>
      <c r="M264" s="13" t="str">
        <f t="shared" si="58"/>
        <v xml:space="preserve">Наушники Akg K371</v>
      </c>
      <c r="N264" s="13" t="str">
        <f>IFERROR(VLOOKUP(K264,Справочники!$A$6:$B$16,2,0),"НЕТ В СПРАВОЧНИКЕ")</f>
        <v>Наушники</v>
      </c>
      <c r="O264" s="13" t="str">
        <f t="shared" si="59"/>
        <v>Akg</v>
      </c>
      <c r="P264" s="14">
        <f t="shared" si="60"/>
        <v>7000</v>
      </c>
      <c r="Q264" s="14">
        <f t="shared" si="61"/>
        <v>11990</v>
      </c>
      <c r="R264" s="13" t="str">
        <f t="shared" si="64"/>
        <v>шт</v>
      </c>
      <c r="S264" s="10" t="str">
        <f t="shared" si="62"/>
        <v>OK</v>
      </c>
      <c r="T264" s="10" t="str">
        <f t="shared" si="63"/>
        <v>уникален</v>
      </c>
    </row>
    <row r="265" ht="15" customHeight="1">
      <c r="A265" s="10">
        <v>263</v>
      </c>
      <c r="B265" s="11" t="str">
        <f>RAW_Товары!A264</f>
        <v>АРТ_263</v>
      </c>
      <c r="C265" s="11" t="str">
        <f>RAW_Товары!B264</f>
        <v xml:space="preserve">наушники AKG K371</v>
      </c>
      <c r="D265" s="11" t="str">
        <f>RAW_Товары!C264</f>
        <v>Наушники</v>
      </c>
      <c r="E265" s="11" t="str">
        <f>RAW_Товары!D264</f>
        <v>akg</v>
      </c>
      <c r="F265" s="11" t="str">
        <f>RAW_Товары!E264</f>
        <v xml:space="preserve">6 500</v>
      </c>
      <c r="G265" s="11" t="str">
        <f>RAW_Товары!F264</f>
        <v xml:space="preserve">11 000</v>
      </c>
      <c r="H265" s="11" t="str">
        <f>RAW_Товары!G264</f>
        <v>штука</v>
      </c>
      <c r="I265" s="12" t="str">
        <f t="shared" si="54"/>
        <v>263</v>
      </c>
      <c r="J265" s="12" t="str">
        <f t="shared" si="55"/>
        <v xml:space="preserve">наушники AKG K371</v>
      </c>
      <c r="K265" s="12" t="str">
        <f t="shared" si="56"/>
        <v>Наушники</v>
      </c>
      <c r="L265" s="13" t="str">
        <f t="shared" si="57"/>
        <v>АРТ-263</v>
      </c>
      <c r="M265" s="13" t="str">
        <f t="shared" si="58"/>
        <v xml:space="preserve">Наушники Akg K371</v>
      </c>
      <c r="N265" s="13" t="str">
        <f>IFERROR(VLOOKUP(K265,Справочники!$A$6:$B$16,2,0),"НЕТ В СПРАВОЧНИКЕ")</f>
        <v>Наушники</v>
      </c>
      <c r="O265" s="13" t="str">
        <f t="shared" si="59"/>
        <v>Akg</v>
      </c>
      <c r="P265" s="14">
        <f t="shared" si="60"/>
        <v>6500</v>
      </c>
      <c r="Q265" s="14">
        <f t="shared" si="61"/>
        <v>11000</v>
      </c>
      <c r="R265" s="13" t="str">
        <f t="shared" si="64"/>
        <v>шт</v>
      </c>
      <c r="S265" s="10" t="str">
        <f t="shared" si="62"/>
        <v>OK</v>
      </c>
      <c r="T265" s="10" t="str">
        <f t="shared" si="63"/>
        <v>уникален</v>
      </c>
    </row>
    <row r="266" ht="15" customHeight="1">
      <c r="A266" s="10">
        <v>264</v>
      </c>
      <c r="B266" s="11" t="str">
        <f>RAW_Товары!A265</f>
        <v>264-24</v>
      </c>
      <c r="C266" s="11" t="str">
        <f>RAW_Товары!B265</f>
        <v xml:space="preserve">Наушники AKG K371 (BT)</v>
      </c>
      <c r="D266" s="11" t="str">
        <f>RAW_Товары!C265</f>
        <v>Наушники</v>
      </c>
      <c r="E266" s="11" t="str">
        <f>RAW_Товары!D265</f>
        <v>AKG</v>
      </c>
      <c r="F266" s="11" t="str">
        <f>RAW_Товары!E265</f>
        <v xml:space="preserve">7 500</v>
      </c>
      <c r="G266" s="11" t="str">
        <f>RAW_Товары!F265</f>
        <v xml:space="preserve">12 800</v>
      </c>
      <c r="H266" s="11" t="str">
        <f>RAW_Товары!G265</f>
        <v>шт</v>
      </c>
      <c r="I266" s="12" t="str">
        <f t="shared" si="54"/>
        <v>264-24</v>
      </c>
      <c r="J266" s="12" t="str">
        <f t="shared" si="55"/>
        <v xml:space="preserve">Наушники AKG K371</v>
      </c>
      <c r="K266" s="12" t="str">
        <f t="shared" si="56"/>
        <v>Наушники</v>
      </c>
      <c r="L266" s="13" t="str">
        <f t="shared" si="57"/>
        <v>АРТ-264</v>
      </c>
      <c r="M266" s="13" t="str">
        <f t="shared" si="58"/>
        <v xml:space="preserve">Наушники Akg K371</v>
      </c>
      <c r="N266" s="13" t="str">
        <f>IFERROR(VLOOKUP(K266,Справочники!$A$6:$B$16,2,0),"НЕТ В СПРАВОЧНИКЕ")</f>
        <v>Наушники</v>
      </c>
      <c r="O266" s="13" t="str">
        <f t="shared" si="59"/>
        <v>Akg</v>
      </c>
      <c r="P266" s="14">
        <f t="shared" si="60"/>
        <v>7500</v>
      </c>
      <c r="Q266" s="14">
        <f t="shared" si="61"/>
        <v>12800</v>
      </c>
      <c r="R266" s="13" t="str">
        <f t="shared" si="64"/>
        <v>шт</v>
      </c>
      <c r="S266" s="10" t="str">
        <f t="shared" si="62"/>
        <v>OK</v>
      </c>
      <c r="T266" s="10" t="str">
        <f t="shared" si="63"/>
        <v>уникален</v>
      </c>
    </row>
    <row r="267" ht="15" customHeight="1">
      <c r="A267" s="10">
        <v>265</v>
      </c>
      <c r="B267" s="11" t="str">
        <f>RAW_Товары!A266</f>
        <v>№АРТ-265</v>
      </c>
      <c r="C267" s="11" t="str">
        <f>RAW_Товары!B266</f>
        <v xml:space="preserve">Монитор AOC U32U1</v>
      </c>
      <c r="D267" s="11" t="str">
        <f>RAW_Товары!C266</f>
        <v>Мониторы</v>
      </c>
      <c r="E267" s="11" t="str">
        <f>RAW_Товары!D266</f>
        <v>AOC</v>
      </c>
      <c r="F267" s="11" t="str">
        <f>RAW_Товары!E266</f>
        <v xml:space="preserve">44 000</v>
      </c>
      <c r="G267" s="11" t="str">
        <f>RAW_Товары!F266</f>
        <v xml:space="preserve">67 990</v>
      </c>
      <c r="H267" s="11" t="str">
        <f>RAW_Товары!G266</f>
        <v>шт.</v>
      </c>
      <c r="I267" s="12" t="str">
        <f t="shared" si="54"/>
        <v>265</v>
      </c>
      <c r="J267" s="12" t="str">
        <f t="shared" si="55"/>
        <v xml:space="preserve">Монитор AOC U32U1</v>
      </c>
      <c r="K267" s="12" t="str">
        <f t="shared" si="56"/>
        <v>Мониторы</v>
      </c>
      <c r="L267" s="13" t="str">
        <f t="shared" si="57"/>
        <v>АРТ-265</v>
      </c>
      <c r="M267" s="13" t="str">
        <f t="shared" si="58"/>
        <v xml:space="preserve">Монитор Aoc U32U1</v>
      </c>
      <c r="N267" s="13" t="str">
        <f>IFERROR(VLOOKUP(K267,Справочники!$A$6:$B$16,2,0),"НЕТ В СПРАВОЧНИКЕ")</f>
        <v>Мониторы</v>
      </c>
      <c r="O267" s="13" t="str">
        <f t="shared" si="59"/>
        <v>Aoc</v>
      </c>
      <c r="P267" s="14">
        <f t="shared" si="60"/>
        <v>44000</v>
      </c>
      <c r="Q267" s="14">
        <f t="shared" si="61"/>
        <v>67990</v>
      </c>
      <c r="R267" s="13" t="str">
        <f t="shared" si="64"/>
        <v>шт</v>
      </c>
      <c r="S267" s="10" t="str">
        <f t="shared" si="62"/>
        <v>OK</v>
      </c>
      <c r="T267" s="10" t="str">
        <f t="shared" si="63"/>
        <v>уникален</v>
      </c>
    </row>
    <row r="268" ht="15" customHeight="1">
      <c r="A268" s="10">
        <v>266</v>
      </c>
      <c r="B268" s="11" t="str">
        <f>RAW_Товары!A267</f>
        <v>АРТ_266</v>
      </c>
      <c r="C268" s="11" t="str">
        <f>RAW_Товары!B267</f>
        <v xml:space="preserve">монитор AOC U32U1</v>
      </c>
      <c r="D268" s="11" t="str">
        <f>RAW_Товары!C267</f>
        <v>Мониторы</v>
      </c>
      <c r="E268" s="11" t="str">
        <f>RAW_Товары!D267</f>
        <v>aoc</v>
      </c>
      <c r="F268" s="11" t="str">
        <f>RAW_Товары!E267</f>
        <v xml:space="preserve">42 500</v>
      </c>
      <c r="G268" s="11" t="str">
        <f>RAW_Товары!F267</f>
        <v xml:space="preserve">65 500</v>
      </c>
      <c r="H268" s="11" t="str">
        <f>RAW_Товары!G267</f>
        <v>штуки</v>
      </c>
      <c r="I268" s="12" t="str">
        <f t="shared" si="54"/>
        <v>266</v>
      </c>
      <c r="J268" s="12" t="str">
        <f t="shared" si="55"/>
        <v xml:space="preserve">монитор AOC U32U1</v>
      </c>
      <c r="K268" s="12" t="str">
        <f t="shared" si="56"/>
        <v>Мониторы</v>
      </c>
      <c r="L268" s="13" t="str">
        <f t="shared" si="57"/>
        <v>АРТ-266</v>
      </c>
      <c r="M268" s="13" t="str">
        <f t="shared" si="58"/>
        <v xml:space="preserve">Монитор Aoc U32U1</v>
      </c>
      <c r="N268" s="13" t="str">
        <f>IFERROR(VLOOKUP(K268,Справочники!$A$6:$B$16,2,0),"НЕТ В СПРАВОЧНИКЕ")</f>
        <v>Мониторы</v>
      </c>
      <c r="O268" s="13" t="str">
        <f t="shared" si="59"/>
        <v>Aoc</v>
      </c>
      <c r="P268" s="14">
        <f t="shared" si="60"/>
        <v>42500</v>
      </c>
      <c r="Q268" s="14">
        <f t="shared" si="61"/>
        <v>65500</v>
      </c>
      <c r="R268" s="13" t="str">
        <f t="shared" si="64"/>
        <v>шт</v>
      </c>
      <c r="S268" s="10" t="str">
        <f t="shared" si="62"/>
        <v>OK</v>
      </c>
      <c r="T268" s="10" t="str">
        <f t="shared" si="63"/>
        <v>уникален</v>
      </c>
    </row>
    <row r="269" ht="15" customHeight="1">
      <c r="A269" s="10">
        <v>267</v>
      </c>
      <c r="B269" s="11" t="str">
        <f>RAW_Товары!A268</f>
        <v>267/24</v>
      </c>
      <c r="C269" s="11" t="str">
        <f>RAW_Товары!B268</f>
        <v xml:space="preserve">Монитор AOC U32U1 (4K)</v>
      </c>
      <c r="D269" s="11" t="str">
        <f>RAW_Товары!C268</f>
        <v>Мониторы</v>
      </c>
      <c r="E269" s="11" t="str">
        <f>RAW_Товары!D268</f>
        <v>AOC</v>
      </c>
      <c r="F269" s="11" t="str">
        <f>RAW_Товары!E268</f>
        <v xml:space="preserve">45 500</v>
      </c>
      <c r="G269" s="11" t="str">
        <f>RAW_Товары!F268</f>
        <v xml:space="preserve">70 000</v>
      </c>
      <c r="H269" s="11" t="str">
        <f>RAW_Товары!G268</f>
        <v>шт</v>
      </c>
      <c r="I269" s="12" t="str">
        <f t="shared" si="54"/>
        <v>267/24</v>
      </c>
      <c r="J269" s="12" t="str">
        <f t="shared" si="55"/>
        <v xml:space="preserve">Монитор AOC U32U1</v>
      </c>
      <c r="K269" s="12" t="str">
        <f t="shared" si="56"/>
        <v>Мониторы</v>
      </c>
      <c r="L269" s="13" t="str">
        <f t="shared" si="57"/>
        <v>АРТ-267</v>
      </c>
      <c r="M269" s="13" t="str">
        <f t="shared" si="58"/>
        <v xml:space="preserve">Монитор Aoc U32U1</v>
      </c>
      <c r="N269" s="13" t="str">
        <f>IFERROR(VLOOKUP(K269,Справочники!$A$6:$B$16,2,0),"НЕТ В СПРАВОЧНИКЕ")</f>
        <v>Мониторы</v>
      </c>
      <c r="O269" s="13" t="str">
        <f t="shared" si="59"/>
        <v>Aoc</v>
      </c>
      <c r="P269" s="14">
        <f t="shared" si="60"/>
        <v>45500</v>
      </c>
      <c r="Q269" s="14">
        <f t="shared" si="61"/>
        <v>70000</v>
      </c>
      <c r="R269" s="13" t="str">
        <f t="shared" si="64"/>
        <v>шт</v>
      </c>
      <c r="S269" s="10" t="str">
        <f t="shared" si="62"/>
        <v>OK</v>
      </c>
      <c r="T269" s="10" t="str">
        <f t="shared" si="63"/>
        <v>уникален</v>
      </c>
    </row>
    <row r="270" ht="15" customHeight="1">
      <c r="A270" s="10">
        <v>268</v>
      </c>
      <c r="B270" s="11" t="str">
        <f>RAW_Товары!A269</f>
        <v>№АРТ-268</v>
      </c>
      <c r="C270" s="11" t="str">
        <f>RAW_Товары!B269</f>
        <v xml:space="preserve">Колонка Marshall Stanmore II</v>
      </c>
      <c r="D270" s="11" t="str">
        <f>RAW_Товары!C269</f>
        <v>Аксессуары</v>
      </c>
      <c r="E270" s="11" t="str">
        <f>RAW_Товары!D269</f>
        <v>Marshall</v>
      </c>
      <c r="F270" s="11" t="str">
        <f>RAW_Товары!E269</f>
        <v xml:space="preserve">14 000</v>
      </c>
      <c r="G270" s="11" t="str">
        <f>RAW_Товары!F269</f>
        <v xml:space="preserve">22 990</v>
      </c>
      <c r="H270" s="11" t="str">
        <f>RAW_Товары!G269</f>
        <v>шт.</v>
      </c>
      <c r="I270" s="12" t="str">
        <f t="shared" si="54"/>
        <v>268</v>
      </c>
      <c r="J270" s="12" t="str">
        <f t="shared" si="55"/>
        <v xml:space="preserve">Колонка Marshall Stanmore II</v>
      </c>
      <c r="K270" s="12" t="str">
        <f t="shared" si="56"/>
        <v>Аксессуары</v>
      </c>
      <c r="L270" s="13" t="str">
        <f t="shared" si="57"/>
        <v>АРТ-268</v>
      </c>
      <c r="M270" s="13" t="str">
        <f t="shared" si="58"/>
        <v xml:space="preserve">Колонка Marshall Stanmore Ii</v>
      </c>
      <c r="N270" s="13" t="str">
        <f>IFERROR(VLOOKUP(K270,Справочники!$A$6:$B$16,2,0),"НЕТ В СПРАВОЧНИКЕ")</f>
        <v>Аксессуары</v>
      </c>
      <c r="O270" s="13" t="str">
        <f t="shared" si="59"/>
        <v>Marshall</v>
      </c>
      <c r="P270" s="14">
        <f t="shared" si="60"/>
        <v>14000</v>
      </c>
      <c r="Q270" s="14">
        <f t="shared" si="61"/>
        <v>22990</v>
      </c>
      <c r="R270" s="13" t="str">
        <f t="shared" si="64"/>
        <v>шт</v>
      </c>
      <c r="S270" s="10" t="str">
        <f t="shared" si="62"/>
        <v>OK</v>
      </c>
      <c r="T270" s="10" t="str">
        <f t="shared" si="63"/>
        <v>уникален</v>
      </c>
    </row>
    <row r="271" ht="15" customHeight="1">
      <c r="A271" s="10">
        <v>269</v>
      </c>
      <c r="B271" s="11" t="str">
        <f>RAW_Товары!A270</f>
        <v>АРТ_269</v>
      </c>
      <c r="C271" s="11" t="str">
        <f>RAW_Товары!B270</f>
        <v xml:space="preserve">колонка MARSHALL STANMORE II</v>
      </c>
      <c r="D271" s="11" t="str">
        <f>RAW_Товары!C270</f>
        <v>Аксессуары</v>
      </c>
      <c r="E271" s="11" t="str">
        <f>RAW_Товары!D270</f>
        <v>marshall</v>
      </c>
      <c r="F271" s="11" t="str">
        <f>RAW_Товары!E270</f>
        <v xml:space="preserve">13 000</v>
      </c>
      <c r="G271" s="11" t="str">
        <f>RAW_Товары!F270</f>
        <v xml:space="preserve">21 500</v>
      </c>
      <c r="H271" s="11" t="str">
        <f>RAW_Товары!G270</f>
        <v>штука</v>
      </c>
      <c r="I271" s="12" t="str">
        <f t="shared" si="54"/>
        <v>269</v>
      </c>
      <c r="J271" s="12" t="str">
        <f t="shared" si="55"/>
        <v xml:space="preserve">колонка MARSHALL STANMORE II</v>
      </c>
      <c r="K271" s="12" t="str">
        <f t="shared" si="56"/>
        <v>Аксессуары</v>
      </c>
      <c r="L271" s="13" t="str">
        <f t="shared" si="57"/>
        <v>АРТ-269</v>
      </c>
      <c r="M271" s="13" t="str">
        <f t="shared" si="58"/>
        <v xml:space="preserve">Колонка Marshall Stanmore Ii</v>
      </c>
      <c r="N271" s="13" t="str">
        <f>IFERROR(VLOOKUP(K271,Справочники!$A$6:$B$16,2,0),"НЕТ В СПРАВОЧНИКЕ")</f>
        <v>Аксессуары</v>
      </c>
      <c r="O271" s="13" t="str">
        <f t="shared" si="59"/>
        <v>Marshall</v>
      </c>
      <c r="P271" s="14">
        <f t="shared" si="60"/>
        <v>13000</v>
      </c>
      <c r="Q271" s="14">
        <f t="shared" si="61"/>
        <v>21500</v>
      </c>
      <c r="R271" s="13" t="str">
        <f t="shared" si="64"/>
        <v>шт</v>
      </c>
      <c r="S271" s="10" t="str">
        <f t="shared" si="62"/>
        <v>OK</v>
      </c>
      <c r="T271" s="10" t="str">
        <f t="shared" si="63"/>
        <v>уникален</v>
      </c>
    </row>
    <row r="272" ht="15" customHeight="1">
      <c r="A272" s="10">
        <v>270</v>
      </c>
      <c r="B272" s="11" t="str">
        <f>RAW_Товары!A271</f>
        <v>270-24</v>
      </c>
      <c r="C272" s="11" t="str">
        <f>RAW_Товары!B271</f>
        <v xml:space="preserve">Колонка Marshall Stanmore II (Black)</v>
      </c>
      <c r="D272" s="11" t="str">
        <f>RAW_Товары!C271</f>
        <v>Аксессуары</v>
      </c>
      <c r="E272" s="11" t="str">
        <f>RAW_Товары!D271</f>
        <v>MARSHALL</v>
      </c>
      <c r="F272" s="11" t="str">
        <f>RAW_Товары!E271</f>
        <v xml:space="preserve">15 000</v>
      </c>
      <c r="G272" s="11" t="str">
        <f>RAW_Товары!F271</f>
        <v xml:space="preserve">24 500</v>
      </c>
      <c r="H272" s="11" t="str">
        <f>RAW_Товары!G271</f>
        <v>шт</v>
      </c>
      <c r="I272" s="12" t="str">
        <f t="shared" si="54"/>
        <v>270-24</v>
      </c>
      <c r="J272" s="12" t="str">
        <f t="shared" si="55"/>
        <v xml:space="preserve">Колонка Marshall Stanmore II</v>
      </c>
      <c r="K272" s="12" t="str">
        <f t="shared" si="56"/>
        <v>Аксессуары</v>
      </c>
      <c r="L272" s="13" t="str">
        <f t="shared" si="57"/>
        <v>АРТ-270</v>
      </c>
      <c r="M272" s="13" t="str">
        <f t="shared" si="58"/>
        <v xml:space="preserve">Колонка Marshall Stanmore Ii</v>
      </c>
      <c r="N272" s="13" t="str">
        <f>IFERROR(VLOOKUP(K272,Справочники!$A$6:$B$16,2,0),"НЕТ В СПРАВОЧНИКЕ")</f>
        <v>Аксессуары</v>
      </c>
      <c r="O272" s="13" t="str">
        <f t="shared" si="59"/>
        <v>Marshall</v>
      </c>
      <c r="P272" s="14">
        <f t="shared" si="60"/>
        <v>15000</v>
      </c>
      <c r="Q272" s="14">
        <f t="shared" si="61"/>
        <v>24500</v>
      </c>
      <c r="R272" s="13" t="str">
        <f t="shared" si="64"/>
        <v>шт</v>
      </c>
      <c r="S272" s="10" t="str">
        <f t="shared" si="62"/>
        <v>OK</v>
      </c>
      <c r="T272" s="10" t="str">
        <f t="shared" si="63"/>
        <v>уникален</v>
      </c>
    </row>
    <row r="273" ht="15" customHeight="1">
      <c r="A273" s="10">
        <v>271</v>
      </c>
      <c r="B273" s="11" t="str">
        <f>RAW_Товары!A272</f>
        <v>№АРТ-271</v>
      </c>
      <c r="C273" s="11" t="str">
        <f>RAW_Товары!B272</f>
        <v xml:space="preserve">Смартфон ZTE Axon 40</v>
      </c>
      <c r="D273" s="11" t="str">
        <f>RAW_Товары!C272</f>
        <v>Смартфоны</v>
      </c>
      <c r="E273" s="11" t="str">
        <f>RAW_Товары!D272</f>
        <v>ZTE</v>
      </c>
      <c r="F273" s="11" t="str">
        <f>RAW_Товары!E272</f>
        <v xml:space="preserve">26 000</v>
      </c>
      <c r="G273" s="11" t="str">
        <f>RAW_Товары!F272</f>
        <v xml:space="preserve">44 990</v>
      </c>
      <c r="H273" s="11" t="str">
        <f>RAW_Товары!G272</f>
        <v>шт.</v>
      </c>
      <c r="I273" s="12" t="str">
        <f t="shared" si="54"/>
        <v>271</v>
      </c>
      <c r="J273" s="12" t="str">
        <f t="shared" si="55"/>
        <v xml:space="preserve">Смартфон ZTE Axon 40</v>
      </c>
      <c r="K273" s="12" t="str">
        <f t="shared" si="56"/>
        <v>Смартфоны</v>
      </c>
      <c r="L273" s="13" t="str">
        <f t="shared" si="57"/>
        <v>АРТ-271</v>
      </c>
      <c r="M273" s="13" t="str">
        <f t="shared" si="58"/>
        <v xml:space="preserve">Смартфон Zte Axon 40</v>
      </c>
      <c r="N273" s="13" t="str">
        <f>IFERROR(VLOOKUP(K273,Справочники!$A$6:$B$16,2,0),"НЕТ В СПРАВОЧНИКЕ")</f>
        <v>Смартфоны</v>
      </c>
      <c r="O273" s="13" t="str">
        <f t="shared" si="59"/>
        <v>Zte</v>
      </c>
      <c r="P273" s="14">
        <f t="shared" si="60"/>
        <v>26000</v>
      </c>
      <c r="Q273" s="14">
        <f t="shared" si="61"/>
        <v>44990</v>
      </c>
      <c r="R273" s="13" t="str">
        <f t="shared" si="64"/>
        <v>шт</v>
      </c>
      <c r="S273" s="10" t="str">
        <f t="shared" si="62"/>
        <v>OK</v>
      </c>
      <c r="T273" s="10" t="str">
        <f t="shared" si="63"/>
        <v>уникален</v>
      </c>
    </row>
    <row r="274" ht="15" customHeight="1">
      <c r="A274" s="10">
        <v>272</v>
      </c>
      <c r="B274" s="11" t="str">
        <f>RAW_Товары!A273</f>
        <v>АРТ_272</v>
      </c>
      <c r="C274" s="11" t="str">
        <f>RAW_Товары!B273</f>
        <v xml:space="preserve">смартфон ZTE AXON 40</v>
      </c>
      <c r="D274" s="11" t="str">
        <f>RAW_Товары!C273</f>
        <v>Телефоны</v>
      </c>
      <c r="E274" s="11" t="str">
        <f>RAW_Товары!D273</f>
        <v>zte</v>
      </c>
      <c r="F274" s="11" t="str">
        <f>RAW_Товары!E273</f>
        <v xml:space="preserve">25 000</v>
      </c>
      <c r="G274" s="11" t="str">
        <f>RAW_Товары!F273</f>
        <v xml:space="preserve">43 500</v>
      </c>
      <c r="H274" s="11" t="str">
        <f>RAW_Товары!G273</f>
        <v>штуки</v>
      </c>
      <c r="I274" s="12" t="str">
        <f t="shared" si="54"/>
        <v>272</v>
      </c>
      <c r="J274" s="12" t="str">
        <f t="shared" si="55"/>
        <v xml:space="preserve">смартфон ZTE AXON 40</v>
      </c>
      <c r="K274" s="12" t="str">
        <f t="shared" si="56"/>
        <v>Телефоны</v>
      </c>
      <c r="L274" s="13" t="str">
        <f t="shared" si="57"/>
        <v>АРТ-272</v>
      </c>
      <c r="M274" s="13" t="str">
        <f t="shared" si="58"/>
        <v xml:space="preserve">Смартфон Zte Axon 40</v>
      </c>
      <c r="N274" s="13" t="str">
        <f>IFERROR(VLOOKUP(K274,Справочники!$A$6:$B$16,2,0),"НЕТ В СПРАВОЧНИКЕ")</f>
        <v>Смартфоны</v>
      </c>
      <c r="O274" s="13" t="str">
        <f t="shared" si="59"/>
        <v>Zte</v>
      </c>
      <c r="P274" s="14">
        <f t="shared" si="60"/>
        <v>25000</v>
      </c>
      <c r="Q274" s="14">
        <f t="shared" si="61"/>
        <v>43500</v>
      </c>
      <c r="R274" s="13" t="str">
        <f t="shared" si="64"/>
        <v>шт</v>
      </c>
      <c r="S274" s="10" t="str">
        <f t="shared" si="62"/>
        <v>OK</v>
      </c>
      <c r="T274" s="10" t="str">
        <f t="shared" si="63"/>
        <v>уникален</v>
      </c>
    </row>
    <row r="275" ht="15" customHeight="1">
      <c r="A275" s="10">
        <v>273</v>
      </c>
      <c r="B275" s="11" t="str">
        <f>RAW_Товары!A274</f>
        <v>273/24</v>
      </c>
      <c r="C275" s="11" t="str">
        <f>RAW_Товары!B274</f>
        <v xml:space="preserve">Смартфон ZTE Axon 40 (Ultra)</v>
      </c>
      <c r="D275" s="11" t="str">
        <f>RAW_Товары!C274</f>
        <v xml:space="preserve">Мобильные телефоны</v>
      </c>
      <c r="E275" s="11" t="str">
        <f>RAW_Товары!D274</f>
        <v>ZTE</v>
      </c>
      <c r="F275" s="11" t="str">
        <f>RAW_Товары!E274</f>
        <v xml:space="preserve">27 000</v>
      </c>
      <c r="G275" s="11" t="str">
        <f>RAW_Товары!F274</f>
        <v xml:space="preserve">46 500</v>
      </c>
      <c r="H275" s="11" t="str">
        <f>RAW_Товары!G274</f>
        <v>шт</v>
      </c>
      <c r="I275" s="12" t="str">
        <f t="shared" si="54"/>
        <v>273/24</v>
      </c>
      <c r="J275" s="12" t="str">
        <f t="shared" si="55"/>
        <v xml:space="preserve">Смартфон ZTE Axon 40</v>
      </c>
      <c r="K275" s="12" t="str">
        <f t="shared" si="56"/>
        <v xml:space="preserve">Мобильные телефоны</v>
      </c>
      <c r="L275" s="13" t="str">
        <f t="shared" si="57"/>
        <v>АРТ-273</v>
      </c>
      <c r="M275" s="13" t="str">
        <f t="shared" si="58"/>
        <v xml:space="preserve">Смартфон Zte Axon 40</v>
      </c>
      <c r="N275" s="13" t="str">
        <f>IFERROR(VLOOKUP(K275,Справочники!$A$6:$B$16,2,0),"НЕТ В СПРАВОЧНИКЕ")</f>
        <v>Смартфоны</v>
      </c>
      <c r="O275" s="13" t="str">
        <f t="shared" si="59"/>
        <v>Zte</v>
      </c>
      <c r="P275" s="14">
        <f t="shared" si="60"/>
        <v>27000</v>
      </c>
      <c r="Q275" s="14">
        <f t="shared" si="61"/>
        <v>46500</v>
      </c>
      <c r="R275" s="13" t="str">
        <f t="shared" si="64"/>
        <v>шт</v>
      </c>
      <c r="S275" s="10" t="str">
        <f t="shared" si="62"/>
        <v>OK</v>
      </c>
      <c r="T275" s="10" t="str">
        <f t="shared" si="63"/>
        <v>уникален</v>
      </c>
    </row>
    <row r="276" ht="15" customHeight="1">
      <c r="A276" s="10">
        <v>274</v>
      </c>
      <c r="B276" s="11" t="str">
        <f>RAW_Товары!A275</f>
        <v>№АРТ-274</v>
      </c>
      <c r="C276" s="11" t="str">
        <f>RAW_Товары!B275</f>
        <v xml:space="preserve">Планшет Lenovo Yoga Tab 13</v>
      </c>
      <c r="D276" s="11" t="str">
        <f>RAW_Товары!C275</f>
        <v>Планшеты</v>
      </c>
      <c r="E276" s="11" t="str">
        <f>RAW_Товары!D275</f>
        <v>Lenovo</v>
      </c>
      <c r="F276" s="11" t="str">
        <f>RAW_Товары!E275</f>
        <v xml:space="preserve">30 000</v>
      </c>
      <c r="G276" s="11" t="str">
        <f>RAW_Товары!F275</f>
        <v xml:space="preserve">48 990</v>
      </c>
      <c r="H276" s="11" t="str">
        <f>RAW_Товары!G275</f>
        <v>шт.</v>
      </c>
      <c r="I276" s="12" t="str">
        <f t="shared" si="54"/>
        <v>274</v>
      </c>
      <c r="J276" s="12" t="str">
        <f t="shared" si="55"/>
        <v xml:space="preserve">Планшет Lenovo Yoga Tab 13</v>
      </c>
      <c r="K276" s="12" t="str">
        <f t="shared" si="56"/>
        <v>Планшеты</v>
      </c>
      <c r="L276" s="13" t="str">
        <f t="shared" si="57"/>
        <v>АРТ-274</v>
      </c>
      <c r="M276" s="13" t="str">
        <f t="shared" si="58"/>
        <v xml:space="preserve">Планшет Lenovo Yoga Tab 13</v>
      </c>
      <c r="N276" s="13" t="str">
        <f>IFERROR(VLOOKUP(K276,Справочники!$A$6:$B$16,2,0),"НЕТ В СПРАВОЧНИКЕ")</f>
        <v>Планшеты</v>
      </c>
      <c r="O276" s="13" t="str">
        <f t="shared" si="59"/>
        <v>Lenovo</v>
      </c>
      <c r="P276" s="14">
        <f t="shared" si="60"/>
        <v>30000</v>
      </c>
      <c r="Q276" s="14">
        <f t="shared" si="61"/>
        <v>48990</v>
      </c>
      <c r="R276" s="13" t="str">
        <f t="shared" si="64"/>
        <v>шт</v>
      </c>
      <c r="S276" s="10" t="str">
        <f t="shared" si="62"/>
        <v>OK</v>
      </c>
      <c r="T276" s="10" t="str">
        <f t="shared" si="63"/>
        <v>уникален</v>
      </c>
    </row>
    <row r="277" ht="15" customHeight="1">
      <c r="A277" s="10">
        <v>275</v>
      </c>
      <c r="B277" s="11" t="str">
        <f>RAW_Товары!A276</f>
        <v>АРТ_275</v>
      </c>
      <c r="C277" s="11" t="str">
        <f>RAW_Товары!B276</f>
        <v xml:space="preserve">планшет LENOVO YOGA TAB 13</v>
      </c>
      <c r="D277" s="11" t="str">
        <f>RAW_Товары!C276</f>
        <v>Планшеты</v>
      </c>
      <c r="E277" s="11" t="str">
        <f>RAW_Товары!D276</f>
        <v>lenovo</v>
      </c>
      <c r="F277" s="11" t="str">
        <f>RAW_Товары!E276</f>
        <v xml:space="preserve">28 500</v>
      </c>
      <c r="G277" s="11" t="str">
        <f>RAW_Товары!F276</f>
        <v xml:space="preserve">47 000</v>
      </c>
      <c r="H277" s="11" t="str">
        <f>RAW_Товары!G276</f>
        <v>штука</v>
      </c>
      <c r="I277" s="12" t="str">
        <f t="shared" si="54"/>
        <v>275</v>
      </c>
      <c r="J277" s="12" t="str">
        <f t="shared" si="55"/>
        <v xml:space="preserve">планшет LENOVO YOGA TAB 13</v>
      </c>
      <c r="K277" s="12" t="str">
        <f t="shared" si="56"/>
        <v>Планшеты</v>
      </c>
      <c r="L277" s="13" t="str">
        <f t="shared" si="57"/>
        <v>АРТ-275</v>
      </c>
      <c r="M277" s="13" t="str">
        <f t="shared" si="58"/>
        <v xml:space="preserve">Планшет Lenovo Yoga Tab 13</v>
      </c>
      <c r="N277" s="13" t="str">
        <f>IFERROR(VLOOKUP(K277,Справочники!$A$6:$B$16,2,0),"НЕТ В СПРАВОЧНИКЕ")</f>
        <v>Планшеты</v>
      </c>
      <c r="O277" s="13" t="str">
        <f t="shared" si="59"/>
        <v>Lenovo</v>
      </c>
      <c r="P277" s="14">
        <f t="shared" si="60"/>
        <v>28500</v>
      </c>
      <c r="Q277" s="14">
        <f t="shared" si="61"/>
        <v>47000</v>
      </c>
      <c r="R277" s="13" t="str">
        <f t="shared" si="64"/>
        <v>шт</v>
      </c>
      <c r="S277" s="10" t="str">
        <f t="shared" si="62"/>
        <v>OK</v>
      </c>
      <c r="T277" s="10" t="str">
        <f t="shared" si="63"/>
        <v>уникален</v>
      </c>
    </row>
    <row r="278" ht="15" customHeight="1">
      <c r="A278" s="10">
        <v>276</v>
      </c>
      <c r="B278" s="11" t="str">
        <f>RAW_Товары!A277</f>
        <v>276-24</v>
      </c>
      <c r="C278" s="11" t="str">
        <f>RAW_Товары!B277</f>
        <v xml:space="preserve">Планшет Lenovo Yoga Tab 13 (Pro)</v>
      </c>
      <c r="D278" s="11" t="str">
        <f>RAW_Товары!C277</f>
        <v>Планшеты</v>
      </c>
      <c r="E278" s="11" t="str">
        <f>RAW_Товары!D277</f>
        <v>LENOVO</v>
      </c>
      <c r="F278" s="11" t="str">
        <f>RAW_Товары!E277</f>
        <v xml:space="preserve">31 500</v>
      </c>
      <c r="G278" s="11" t="str">
        <f>RAW_Товары!F277</f>
        <v xml:space="preserve">50 500</v>
      </c>
      <c r="H278" s="11" t="str">
        <f>RAW_Товары!G277</f>
        <v>шт</v>
      </c>
      <c r="I278" s="12" t="str">
        <f t="shared" si="54"/>
        <v>276-24</v>
      </c>
      <c r="J278" s="12" t="str">
        <f t="shared" si="55"/>
        <v xml:space="preserve">Планшет Lenovo Yoga Tab 13</v>
      </c>
      <c r="K278" s="12" t="str">
        <f t="shared" si="56"/>
        <v>Планшеты</v>
      </c>
      <c r="L278" s="13" t="str">
        <f t="shared" si="57"/>
        <v>АРТ-276</v>
      </c>
      <c r="M278" s="13" t="str">
        <f t="shared" si="58"/>
        <v xml:space="preserve">Планшет Lenovo Yoga Tab 13</v>
      </c>
      <c r="N278" s="13" t="str">
        <f>IFERROR(VLOOKUP(K278,Справочники!$A$6:$B$16,2,0),"НЕТ В СПРАВОЧНИКЕ")</f>
        <v>Планшеты</v>
      </c>
      <c r="O278" s="13" t="str">
        <f t="shared" si="59"/>
        <v>Lenovo</v>
      </c>
      <c r="P278" s="14">
        <f t="shared" si="60"/>
        <v>31500</v>
      </c>
      <c r="Q278" s="14">
        <f t="shared" si="61"/>
        <v>50500</v>
      </c>
      <c r="R278" s="13" t="str">
        <f t="shared" si="64"/>
        <v>шт</v>
      </c>
      <c r="S278" s="10" t="str">
        <f t="shared" si="62"/>
        <v>OK</v>
      </c>
      <c r="T278" s="10" t="str">
        <f t="shared" si="63"/>
        <v>уникален</v>
      </c>
    </row>
    <row r="279" ht="15" customHeight="1">
      <c r="A279" s="10">
        <v>277</v>
      </c>
      <c r="B279" s="11" t="str">
        <f>RAW_Товары!A278</f>
        <v>№АРТ-277</v>
      </c>
      <c r="C279" s="11" t="str">
        <f>RAW_Товары!B278</f>
        <v xml:space="preserve">Телевизор Samsung QLED Q80B</v>
      </c>
      <c r="D279" s="11" t="str">
        <f>RAW_Товары!C278</f>
        <v>Телевизоры</v>
      </c>
      <c r="E279" s="11" t="str">
        <f>RAW_Товары!D278</f>
        <v>Samsung</v>
      </c>
      <c r="F279" s="11" t="str">
        <f>RAW_Товары!E278</f>
        <v xml:space="preserve">75 000</v>
      </c>
      <c r="G279" s="11" t="str">
        <f>RAW_Товары!F278</f>
        <v xml:space="preserve">114 990</v>
      </c>
      <c r="H279" s="11" t="str">
        <f>RAW_Товары!G278</f>
        <v>шт.</v>
      </c>
      <c r="I279" s="12" t="str">
        <f t="shared" si="54"/>
        <v>277</v>
      </c>
      <c r="J279" s="12" t="str">
        <f t="shared" si="55"/>
        <v xml:space="preserve">Телевизор Samsung QLED Q80B</v>
      </c>
      <c r="K279" s="12" t="str">
        <f t="shared" si="56"/>
        <v>Телевизоры</v>
      </c>
      <c r="L279" s="13" t="str">
        <f t="shared" si="57"/>
        <v>АРТ-277</v>
      </c>
      <c r="M279" s="13" t="str">
        <f t="shared" si="58"/>
        <v xml:space="preserve">Телевизор Samsung Qled Q80B</v>
      </c>
      <c r="N279" s="13" t="str">
        <f>IFERROR(VLOOKUP(K279,Справочники!$A$6:$B$16,2,0),"НЕТ В СПРАВОЧНИКЕ")</f>
        <v>Телевизоры</v>
      </c>
      <c r="O279" s="13" t="str">
        <f t="shared" si="59"/>
        <v>Samsung</v>
      </c>
      <c r="P279" s="14">
        <f t="shared" si="60"/>
        <v>75000</v>
      </c>
      <c r="Q279" s="14">
        <f t="shared" si="61"/>
        <v>114990</v>
      </c>
      <c r="R279" s="13" t="str">
        <f t="shared" si="64"/>
        <v>шт</v>
      </c>
      <c r="S279" s="10" t="str">
        <f t="shared" si="62"/>
        <v>OK</v>
      </c>
      <c r="T279" s="10" t="str">
        <f t="shared" si="63"/>
        <v>уникален</v>
      </c>
    </row>
    <row r="280" ht="15" customHeight="1">
      <c r="A280" s="10">
        <v>278</v>
      </c>
      <c r="B280" s="11" t="str">
        <f>RAW_Товары!A279</f>
        <v>АРТ_278</v>
      </c>
      <c r="C280" s="11" t="str">
        <f>RAW_Товары!B279</f>
        <v xml:space="preserve">телевизор SAMSUNG QLED Q80B</v>
      </c>
      <c r="D280" s="11" t="str">
        <f>RAW_Товары!C279</f>
        <v>Телевизоры</v>
      </c>
      <c r="E280" s="11" t="str">
        <f>RAW_Товары!D279</f>
        <v>samsung</v>
      </c>
      <c r="F280" s="11" t="str">
        <f>RAW_Товары!E279</f>
        <v xml:space="preserve">73 000</v>
      </c>
      <c r="G280" s="11" t="str">
        <f>RAW_Товары!F279</f>
        <v xml:space="preserve">112 000</v>
      </c>
      <c r="H280" s="11" t="str">
        <f>RAW_Товары!G279</f>
        <v>штуки</v>
      </c>
      <c r="I280" s="12" t="str">
        <f t="shared" si="54"/>
        <v>278</v>
      </c>
      <c r="J280" s="12" t="str">
        <f t="shared" si="55"/>
        <v xml:space="preserve">телевизор SAMSUNG QLED Q80B</v>
      </c>
      <c r="K280" s="12" t="str">
        <f t="shared" si="56"/>
        <v>Телевизоры</v>
      </c>
      <c r="L280" s="13" t="str">
        <f t="shared" si="57"/>
        <v>АРТ-278</v>
      </c>
      <c r="M280" s="13" t="str">
        <f t="shared" si="58"/>
        <v xml:space="preserve">Телевизор Samsung Qled Q80B</v>
      </c>
      <c r="N280" s="13" t="str">
        <f>IFERROR(VLOOKUP(K280,Справочники!$A$6:$B$16,2,0),"НЕТ В СПРАВОЧНИКЕ")</f>
        <v>Телевизоры</v>
      </c>
      <c r="O280" s="13" t="str">
        <f t="shared" si="59"/>
        <v>Samsung</v>
      </c>
      <c r="P280" s="14">
        <f t="shared" si="60"/>
        <v>73000</v>
      </c>
      <c r="Q280" s="14">
        <f t="shared" si="61"/>
        <v>112000</v>
      </c>
      <c r="R280" s="13" t="str">
        <f t="shared" si="64"/>
        <v>шт</v>
      </c>
      <c r="S280" s="10" t="str">
        <f t="shared" si="62"/>
        <v>OK</v>
      </c>
      <c r="T280" s="10" t="str">
        <f t="shared" si="63"/>
        <v>уникален</v>
      </c>
    </row>
    <row r="281" ht="15" customHeight="1">
      <c r="A281" s="10">
        <v>279</v>
      </c>
      <c r="B281" s="11" t="str">
        <f>RAW_Товары!A280</f>
        <v>279/24</v>
      </c>
      <c r="C281" s="11" t="str">
        <f>RAW_Товары!B280</f>
        <v xml:space="preserve">Телевизор Samsung QLED Q80B (65")</v>
      </c>
      <c r="D281" s="11" t="str">
        <f>RAW_Товары!C280</f>
        <v>Телевизоры</v>
      </c>
      <c r="E281" s="11" t="str">
        <f>RAW_Товары!D280</f>
        <v>SAMSUNG</v>
      </c>
      <c r="F281" s="11" t="str">
        <f>RAW_Товары!E280</f>
        <v xml:space="preserve">76 500</v>
      </c>
      <c r="G281" s="11" t="str">
        <f>RAW_Товары!F280</f>
        <v xml:space="preserve">117 500</v>
      </c>
      <c r="H281" s="11" t="str">
        <f>RAW_Товары!G280</f>
        <v>шт</v>
      </c>
      <c r="I281" s="12" t="str">
        <f t="shared" si="54"/>
        <v>279/24</v>
      </c>
      <c r="J281" s="12" t="str">
        <f t="shared" si="55"/>
        <v xml:space="preserve">Телевизор Samsung QLED Q80B</v>
      </c>
      <c r="K281" s="12" t="str">
        <f t="shared" si="56"/>
        <v>Телевизоры</v>
      </c>
      <c r="L281" s="13" t="str">
        <f t="shared" si="57"/>
        <v>АРТ-279</v>
      </c>
      <c r="M281" s="13" t="str">
        <f t="shared" si="58"/>
        <v xml:space="preserve">Телевизор Samsung Qled Q80B</v>
      </c>
      <c r="N281" s="13" t="str">
        <f>IFERROR(VLOOKUP(K281,Справочники!$A$6:$B$16,2,0),"НЕТ В СПРАВОЧНИКЕ")</f>
        <v>Телевизоры</v>
      </c>
      <c r="O281" s="13" t="str">
        <f t="shared" si="59"/>
        <v>Samsung</v>
      </c>
      <c r="P281" s="14">
        <f t="shared" si="60"/>
        <v>76500</v>
      </c>
      <c r="Q281" s="14">
        <f t="shared" si="61"/>
        <v>117500</v>
      </c>
      <c r="R281" s="13" t="str">
        <f t="shared" si="64"/>
        <v>шт</v>
      </c>
      <c r="S281" s="10" t="str">
        <f t="shared" si="62"/>
        <v>OK</v>
      </c>
      <c r="T281" s="10" t="str">
        <f t="shared" si="63"/>
        <v>уникален</v>
      </c>
    </row>
    <row r="282" ht="15" customHeight="1">
      <c r="A282" s="10">
        <v>280</v>
      </c>
      <c r="B282" s="11" t="str">
        <f>RAW_Товары!A281</f>
        <v>№АРТ-280</v>
      </c>
      <c r="C282" s="11" t="str">
        <f>RAW_Товары!B281</f>
        <v xml:space="preserve">Наушники Sony WF-1000XM5</v>
      </c>
      <c r="D282" s="11" t="str">
        <f>RAW_Товары!C281</f>
        <v>Наушники</v>
      </c>
      <c r="E282" s="11" t="str">
        <f>RAW_Товары!D281</f>
        <v>Sony</v>
      </c>
      <c r="F282" s="11" t="str">
        <f>RAW_Товары!E281</f>
        <v xml:space="preserve">20 000</v>
      </c>
      <c r="G282" s="11" t="str">
        <f>RAW_Товары!F281</f>
        <v xml:space="preserve">32 990</v>
      </c>
      <c r="H282" s="11" t="str">
        <f>RAW_Товары!G281</f>
        <v>шт.</v>
      </c>
      <c r="I282" s="12" t="str">
        <f t="shared" si="54"/>
        <v>280</v>
      </c>
      <c r="J282" s="12" t="str">
        <f t="shared" si="55"/>
        <v xml:space="preserve">Наушники Sony WF-1000XM5</v>
      </c>
      <c r="K282" s="12" t="str">
        <f t="shared" si="56"/>
        <v>Наушники</v>
      </c>
      <c r="L282" s="13" t="str">
        <f t="shared" si="57"/>
        <v>АРТ-280</v>
      </c>
      <c r="M282" s="13" t="str">
        <f t="shared" si="58"/>
        <v xml:space="preserve">Наушники Sony Wf-1000Xm5</v>
      </c>
      <c r="N282" s="13" t="str">
        <f>IFERROR(VLOOKUP(K282,Справочники!$A$6:$B$16,2,0),"НЕТ В СПРАВОЧНИКЕ")</f>
        <v>Наушники</v>
      </c>
      <c r="O282" s="13" t="str">
        <f t="shared" si="59"/>
        <v>Sony</v>
      </c>
      <c r="P282" s="14">
        <f t="shared" si="60"/>
        <v>20000</v>
      </c>
      <c r="Q282" s="14">
        <f t="shared" si="61"/>
        <v>32990</v>
      </c>
      <c r="R282" s="13" t="str">
        <f t="shared" si="64"/>
        <v>шт</v>
      </c>
      <c r="S282" s="10" t="str">
        <f t="shared" si="62"/>
        <v>OK</v>
      </c>
      <c r="T282" s="10" t="str">
        <f t="shared" si="63"/>
        <v>уникален</v>
      </c>
    </row>
    <row r="283" ht="15" customHeight="1">
      <c r="A283" s="10">
        <v>281</v>
      </c>
      <c r="B283" s="11" t="str">
        <f>RAW_Товары!A282</f>
        <v>АРТ_281</v>
      </c>
      <c r="C283" s="11" t="str">
        <f>RAW_Товары!B282</f>
        <v xml:space="preserve">наушники SONY WF-1000XM5</v>
      </c>
      <c r="D283" s="11" t="str">
        <f>RAW_Товары!C282</f>
        <v>Наушники</v>
      </c>
      <c r="E283" s="11" t="str">
        <f>RAW_Товары!D282</f>
        <v>sony</v>
      </c>
      <c r="F283" s="11" t="str">
        <f>RAW_Товары!E282</f>
        <v xml:space="preserve">19 000</v>
      </c>
      <c r="G283" s="11" t="str">
        <f>RAW_Товары!F282</f>
        <v xml:space="preserve">31 500</v>
      </c>
      <c r="H283" s="11" t="str">
        <f>RAW_Товары!G282</f>
        <v>штука</v>
      </c>
      <c r="I283" s="12" t="str">
        <f t="shared" si="54"/>
        <v>281</v>
      </c>
      <c r="J283" s="12" t="str">
        <f t="shared" si="55"/>
        <v xml:space="preserve">наушники SONY WF-1000XM5</v>
      </c>
      <c r="K283" s="12" t="str">
        <f t="shared" si="56"/>
        <v>Наушники</v>
      </c>
      <c r="L283" s="13" t="str">
        <f t="shared" si="57"/>
        <v>АРТ-281</v>
      </c>
      <c r="M283" s="13" t="str">
        <f t="shared" si="58"/>
        <v xml:space="preserve">Наушники Sony Wf-1000Xm5</v>
      </c>
      <c r="N283" s="13" t="str">
        <f>IFERROR(VLOOKUP(K283,Справочники!$A$6:$B$16,2,0),"НЕТ В СПРАВОЧНИКЕ")</f>
        <v>Наушники</v>
      </c>
      <c r="O283" s="13" t="str">
        <f t="shared" si="59"/>
        <v>Sony</v>
      </c>
      <c r="P283" s="14">
        <f t="shared" si="60"/>
        <v>19000</v>
      </c>
      <c r="Q283" s="14">
        <f t="shared" si="61"/>
        <v>31500</v>
      </c>
      <c r="R283" s="13" t="str">
        <f t="shared" si="64"/>
        <v>шт</v>
      </c>
      <c r="S283" s="10" t="str">
        <f t="shared" si="62"/>
        <v>OK</v>
      </c>
      <c r="T283" s="10" t="str">
        <f t="shared" si="63"/>
        <v>уникален</v>
      </c>
    </row>
    <row r="284" ht="15" customHeight="1">
      <c r="A284" s="10">
        <v>282</v>
      </c>
      <c r="B284" s="11" t="str">
        <f>RAW_Товары!A283</f>
        <v>282-24</v>
      </c>
      <c r="C284" s="11" t="str">
        <f>RAW_Товары!B283</f>
        <v xml:space="preserve">Наушники Sony WF-1000XM5 (Black)</v>
      </c>
      <c r="D284" s="11" t="str">
        <f>RAW_Товары!C283</f>
        <v>Наушники</v>
      </c>
      <c r="E284" s="11" t="str">
        <f>RAW_Товары!D283</f>
        <v>SONY</v>
      </c>
      <c r="F284" s="11" t="str">
        <f>RAW_Товары!E283</f>
        <v xml:space="preserve">21 000</v>
      </c>
      <c r="G284" s="11" t="str">
        <f>RAW_Товары!F283</f>
        <v xml:space="preserve">34 500</v>
      </c>
      <c r="H284" s="11" t="str">
        <f>RAW_Товары!G283</f>
        <v>шт</v>
      </c>
      <c r="I284" s="12" t="str">
        <f t="shared" si="54"/>
        <v>282-24</v>
      </c>
      <c r="J284" s="12" t="str">
        <f t="shared" si="55"/>
        <v xml:space="preserve">Наушники Sony WF-1000XM5</v>
      </c>
      <c r="K284" s="12" t="str">
        <f t="shared" si="56"/>
        <v>Наушники</v>
      </c>
      <c r="L284" s="13" t="str">
        <f t="shared" si="57"/>
        <v>АРТ-282</v>
      </c>
      <c r="M284" s="13" t="str">
        <f t="shared" si="58"/>
        <v xml:space="preserve">Наушники Sony Wf-1000Xm5</v>
      </c>
      <c r="N284" s="13" t="str">
        <f>IFERROR(VLOOKUP(K284,Справочники!$A$6:$B$16,2,0),"НЕТ В СПРАВОЧНИКЕ")</f>
        <v>Наушники</v>
      </c>
      <c r="O284" s="13" t="str">
        <f t="shared" si="59"/>
        <v>Sony</v>
      </c>
      <c r="P284" s="14">
        <f t="shared" si="60"/>
        <v>21000</v>
      </c>
      <c r="Q284" s="14">
        <f t="shared" si="61"/>
        <v>34500</v>
      </c>
      <c r="R284" s="13" t="str">
        <f t="shared" si="64"/>
        <v>шт</v>
      </c>
      <c r="S284" s="10" t="str">
        <f t="shared" si="62"/>
        <v>OK</v>
      </c>
      <c r="T284" s="10" t="str">
        <f t="shared" si="63"/>
        <v>уникален</v>
      </c>
    </row>
    <row r="285" ht="15" customHeight="1">
      <c r="A285" s="10">
        <v>283</v>
      </c>
      <c r="B285" s="11" t="str">
        <f>RAW_Товары!A284</f>
        <v>№АРТ-283</v>
      </c>
      <c r="C285" s="11" t="str">
        <f>RAW_Товары!B284</f>
        <v xml:space="preserve">Монитор LG 34WP88C</v>
      </c>
      <c r="D285" s="11" t="str">
        <f>RAW_Товары!C284</f>
        <v>Мониторы</v>
      </c>
      <c r="E285" s="11" t="str">
        <f>RAW_Товары!D284</f>
        <v>LG</v>
      </c>
      <c r="F285" s="11" t="str">
        <f>RAW_Товары!E284</f>
        <v xml:space="preserve">55 000</v>
      </c>
      <c r="G285" s="11" t="str">
        <f>RAW_Товары!F284</f>
        <v xml:space="preserve">84 990</v>
      </c>
      <c r="H285" s="11" t="str">
        <f>RAW_Товары!G284</f>
        <v>шт.</v>
      </c>
      <c r="I285" s="12" t="str">
        <f t="shared" si="54"/>
        <v>283</v>
      </c>
      <c r="J285" s="12" t="str">
        <f t="shared" si="55"/>
        <v xml:space="preserve">Монитор LG 34WP88C</v>
      </c>
      <c r="K285" s="12" t="str">
        <f t="shared" si="56"/>
        <v>Мониторы</v>
      </c>
      <c r="L285" s="13" t="str">
        <f t="shared" si="57"/>
        <v>АРТ-283</v>
      </c>
      <c r="M285" s="13" t="str">
        <f t="shared" si="58"/>
        <v xml:space="preserve">Монитор Lg 34Wp88C</v>
      </c>
      <c r="N285" s="13" t="str">
        <f>IFERROR(VLOOKUP(K285,Справочники!$A$6:$B$16,2,0),"НЕТ В СПРАВОЧНИКЕ")</f>
        <v>Мониторы</v>
      </c>
      <c r="O285" s="13" t="str">
        <f t="shared" si="59"/>
        <v>Lg</v>
      </c>
      <c r="P285" s="14">
        <f t="shared" si="60"/>
        <v>55000</v>
      </c>
      <c r="Q285" s="14">
        <f t="shared" si="61"/>
        <v>84990</v>
      </c>
      <c r="R285" s="13" t="str">
        <f t="shared" si="64"/>
        <v>шт</v>
      </c>
      <c r="S285" s="10" t="str">
        <f t="shared" si="62"/>
        <v>OK</v>
      </c>
      <c r="T285" s="10" t="str">
        <f t="shared" si="63"/>
        <v>уникален</v>
      </c>
    </row>
    <row r="286" ht="15" customHeight="1">
      <c r="A286" s="10">
        <v>284</v>
      </c>
      <c r="B286" s="11" t="str">
        <f>RAW_Товары!A285</f>
        <v>АРТ_284</v>
      </c>
      <c r="C286" s="11" t="str">
        <f>RAW_Товары!B285</f>
        <v xml:space="preserve">монитор LG 34WP88C</v>
      </c>
      <c r="D286" s="11" t="str">
        <f>RAW_Товары!C285</f>
        <v>Мониторы</v>
      </c>
      <c r="E286" s="11" t="str">
        <f>RAW_Товары!D285</f>
        <v>lg</v>
      </c>
      <c r="F286" s="11" t="str">
        <f>RAW_Товары!E285</f>
        <v xml:space="preserve">53 000</v>
      </c>
      <c r="G286" s="11" t="str">
        <f>RAW_Товары!F285</f>
        <v xml:space="preserve">82 000</v>
      </c>
      <c r="H286" s="11" t="str">
        <f>RAW_Товары!G285</f>
        <v>штуки</v>
      </c>
      <c r="I286" s="12" t="str">
        <f t="shared" si="54"/>
        <v>284</v>
      </c>
      <c r="J286" s="12" t="str">
        <f t="shared" si="55"/>
        <v xml:space="preserve">монитор LG 34WP88C</v>
      </c>
      <c r="K286" s="12" t="str">
        <f t="shared" si="56"/>
        <v>Мониторы</v>
      </c>
      <c r="L286" s="13" t="str">
        <f t="shared" si="57"/>
        <v>АРТ-284</v>
      </c>
      <c r="M286" s="13" t="str">
        <f t="shared" si="58"/>
        <v xml:space="preserve">Монитор Lg 34Wp88C</v>
      </c>
      <c r="N286" s="13" t="str">
        <f>IFERROR(VLOOKUP(K286,Справочники!$A$6:$B$16,2,0),"НЕТ В СПРАВОЧНИКЕ")</f>
        <v>Мониторы</v>
      </c>
      <c r="O286" s="13" t="str">
        <f t="shared" si="59"/>
        <v>Lg</v>
      </c>
      <c r="P286" s="14">
        <f t="shared" si="60"/>
        <v>53000</v>
      </c>
      <c r="Q286" s="14">
        <f t="shared" si="61"/>
        <v>82000</v>
      </c>
      <c r="R286" s="13" t="str">
        <f t="shared" si="64"/>
        <v>шт</v>
      </c>
      <c r="S286" s="10" t="str">
        <f t="shared" si="62"/>
        <v>OK</v>
      </c>
      <c r="T286" s="10" t="str">
        <f t="shared" si="63"/>
        <v>уникален</v>
      </c>
    </row>
    <row r="287" ht="15" customHeight="1">
      <c r="A287" s="10">
        <v>285</v>
      </c>
      <c r="B287" s="11" t="str">
        <f>RAW_Товары!A286</f>
        <v>285/24</v>
      </c>
      <c r="C287" s="11" t="str">
        <f>RAW_Товары!B286</f>
        <v xml:space="preserve">Монитор LG 34WP88C (UltraWide)</v>
      </c>
      <c r="D287" s="11" t="str">
        <f>RAW_Товары!C286</f>
        <v>Мониторы</v>
      </c>
      <c r="E287" s="11" t="str">
        <f>RAW_Товары!D286</f>
        <v>LG</v>
      </c>
      <c r="F287" s="11" t="str">
        <f>RAW_Товары!E286</f>
        <v xml:space="preserve">56 500</v>
      </c>
      <c r="G287" s="11" t="str">
        <f>RAW_Товары!F286</f>
        <v xml:space="preserve">87 500</v>
      </c>
      <c r="H287" s="11" t="str">
        <f>RAW_Товары!G286</f>
        <v>шт</v>
      </c>
      <c r="I287" s="12" t="str">
        <f t="shared" si="54"/>
        <v>285/24</v>
      </c>
      <c r="J287" s="12" t="str">
        <f t="shared" si="55"/>
        <v xml:space="preserve">Монитор LG 34WP88C</v>
      </c>
      <c r="K287" s="12" t="str">
        <f t="shared" si="56"/>
        <v>Мониторы</v>
      </c>
      <c r="L287" s="13" t="str">
        <f t="shared" si="57"/>
        <v>АРТ-285</v>
      </c>
      <c r="M287" s="13" t="str">
        <f t="shared" si="58"/>
        <v xml:space="preserve">Монитор Lg 34Wp88C</v>
      </c>
      <c r="N287" s="13" t="str">
        <f>IFERROR(VLOOKUP(K287,Справочники!$A$6:$B$16,2,0),"НЕТ В СПРАВОЧНИКЕ")</f>
        <v>Мониторы</v>
      </c>
      <c r="O287" s="13" t="str">
        <f t="shared" si="59"/>
        <v>Lg</v>
      </c>
      <c r="P287" s="14">
        <f t="shared" si="60"/>
        <v>56500</v>
      </c>
      <c r="Q287" s="14">
        <f t="shared" si="61"/>
        <v>87500</v>
      </c>
      <c r="R287" s="13" t="str">
        <f t="shared" si="64"/>
        <v>шт</v>
      </c>
      <c r="S287" s="10" t="str">
        <f t="shared" si="62"/>
        <v>OK</v>
      </c>
      <c r="T287" s="10" t="str">
        <f t="shared" si="63"/>
        <v>уникален</v>
      </c>
    </row>
    <row r="288" ht="15" customHeight="1">
      <c r="A288" s="10">
        <v>286</v>
      </c>
      <c r="B288" s="11" t="str">
        <f>RAW_Товары!A287</f>
        <v>№АРТ-286</v>
      </c>
      <c r="C288" s="11" t="str">
        <f>RAW_Товары!B287</f>
        <v xml:space="preserve">Клавиатура NuPhy Air75</v>
      </c>
      <c r="D288" s="11" t="str">
        <f>RAW_Товары!C287</f>
        <v>Аксессуары</v>
      </c>
      <c r="E288" s="11" t="str">
        <f>RAW_Товары!D287</f>
        <v>NuPhy</v>
      </c>
      <c r="F288" s="11" t="str">
        <f>RAW_Товары!E287</f>
        <v xml:space="preserve">4 500</v>
      </c>
      <c r="G288" s="11" t="str">
        <f>RAW_Товары!F287</f>
        <v xml:space="preserve">7 490</v>
      </c>
      <c r="H288" s="11" t="str">
        <f>RAW_Товары!G287</f>
        <v>шт.</v>
      </c>
      <c r="I288" s="12" t="str">
        <f t="shared" si="54"/>
        <v>286</v>
      </c>
      <c r="J288" s="12" t="str">
        <f t="shared" si="55"/>
        <v xml:space="preserve">Клавиатура NuPhy Air75</v>
      </c>
      <c r="K288" s="12" t="str">
        <f t="shared" si="56"/>
        <v>Аксессуары</v>
      </c>
      <c r="L288" s="13" t="str">
        <f t="shared" si="57"/>
        <v>АРТ-286</v>
      </c>
      <c r="M288" s="13" t="str">
        <f t="shared" si="58"/>
        <v xml:space="preserve">Клавиатура Nuphy Air75</v>
      </c>
      <c r="N288" s="13" t="str">
        <f>IFERROR(VLOOKUP(K288,Справочники!$A$6:$B$16,2,0),"НЕТ В СПРАВОЧНИКЕ")</f>
        <v>Аксессуары</v>
      </c>
      <c r="O288" s="13" t="str">
        <f t="shared" si="59"/>
        <v>Nuphy</v>
      </c>
      <c r="P288" s="14">
        <f t="shared" si="60"/>
        <v>4500</v>
      </c>
      <c r="Q288" s="14">
        <f t="shared" si="61"/>
        <v>7490</v>
      </c>
      <c r="R288" s="13" t="str">
        <f t="shared" si="64"/>
        <v>шт</v>
      </c>
      <c r="S288" s="10" t="str">
        <f t="shared" si="62"/>
        <v>OK</v>
      </c>
      <c r="T288" s="10" t="str">
        <f t="shared" si="63"/>
        <v>уникален</v>
      </c>
    </row>
    <row r="289" ht="15" customHeight="1">
      <c r="A289" s="10">
        <v>287</v>
      </c>
      <c r="B289" s="11" t="str">
        <f>RAW_Товары!A288</f>
        <v>АРТ_287</v>
      </c>
      <c r="C289" s="11" t="str">
        <f>RAW_Товары!B288</f>
        <v xml:space="preserve">клавиатура NUPHY AIR75</v>
      </c>
      <c r="D289" s="11" t="str">
        <f>RAW_Товары!C288</f>
        <v>Аксессуары</v>
      </c>
      <c r="E289" s="11" t="str">
        <f>RAW_Товары!D288</f>
        <v>nuphy</v>
      </c>
      <c r="F289" s="11" t="str">
        <f>RAW_Товары!E288</f>
        <v xml:space="preserve">4 200</v>
      </c>
      <c r="G289" s="11" t="str">
        <f>RAW_Товары!F288</f>
        <v xml:space="preserve">7 000</v>
      </c>
      <c r="H289" s="11" t="str">
        <f>RAW_Товары!G288</f>
        <v>штука</v>
      </c>
      <c r="I289" s="12" t="str">
        <f t="shared" si="54"/>
        <v>287</v>
      </c>
      <c r="J289" s="12" t="str">
        <f t="shared" si="55"/>
        <v xml:space="preserve">клавиатура NUPHY AIR75</v>
      </c>
      <c r="K289" s="12" t="str">
        <f t="shared" si="56"/>
        <v>Аксессуары</v>
      </c>
      <c r="L289" s="13" t="str">
        <f t="shared" si="57"/>
        <v>АРТ-287</v>
      </c>
      <c r="M289" s="13" t="str">
        <f t="shared" si="58"/>
        <v xml:space="preserve">Клавиатура Nuphy Air75</v>
      </c>
      <c r="N289" s="13" t="str">
        <f>IFERROR(VLOOKUP(K289,Справочники!$A$6:$B$16,2,0),"НЕТ В СПРАВОЧНИКЕ")</f>
        <v>Аксессуары</v>
      </c>
      <c r="O289" s="13" t="str">
        <f t="shared" si="59"/>
        <v>Nuphy</v>
      </c>
      <c r="P289" s="14">
        <f t="shared" si="60"/>
        <v>4200</v>
      </c>
      <c r="Q289" s="14">
        <f t="shared" si="61"/>
        <v>7000</v>
      </c>
      <c r="R289" s="13" t="str">
        <f t="shared" si="64"/>
        <v>шт</v>
      </c>
      <c r="S289" s="10" t="str">
        <f t="shared" si="62"/>
        <v>OK</v>
      </c>
      <c r="T289" s="10" t="str">
        <f t="shared" si="63"/>
        <v>уникален</v>
      </c>
    </row>
    <row r="290" ht="15" customHeight="1">
      <c r="A290" s="10">
        <v>288</v>
      </c>
      <c r="B290" s="11" t="str">
        <f>RAW_Товары!A289</f>
        <v>288-24</v>
      </c>
      <c r="C290" s="11" t="str">
        <f>RAW_Товары!B289</f>
        <v xml:space="preserve">Клавиатура NuPhy Air75 (RGB)</v>
      </c>
      <c r="D290" s="11" t="str">
        <f>RAW_Товары!C289</f>
        <v>Аксессуары</v>
      </c>
      <c r="E290" s="11" t="str">
        <f>RAW_Товары!D289</f>
        <v>NUPHY</v>
      </c>
      <c r="F290" s="11" t="str">
        <f>RAW_Товары!E289</f>
        <v xml:space="preserve">4 800</v>
      </c>
      <c r="G290" s="11" t="str">
        <f>RAW_Товары!F289</f>
        <v xml:space="preserve">8 000</v>
      </c>
      <c r="H290" s="11" t="str">
        <f>RAW_Товары!G289</f>
        <v>шт</v>
      </c>
      <c r="I290" s="12" t="str">
        <f t="shared" si="54"/>
        <v>288-24</v>
      </c>
      <c r="J290" s="12" t="str">
        <f t="shared" si="55"/>
        <v xml:space="preserve">Клавиатура NuPhy Air75</v>
      </c>
      <c r="K290" s="12" t="str">
        <f t="shared" si="56"/>
        <v>Аксессуары</v>
      </c>
      <c r="L290" s="13" t="str">
        <f t="shared" si="57"/>
        <v>АРТ-288</v>
      </c>
      <c r="M290" s="13" t="str">
        <f t="shared" si="58"/>
        <v xml:space="preserve">Клавиатура Nuphy Air75</v>
      </c>
      <c r="N290" s="13" t="str">
        <f>IFERROR(VLOOKUP(K290,Справочники!$A$6:$B$16,2,0),"НЕТ В СПРАВОЧНИКЕ")</f>
        <v>Аксессуары</v>
      </c>
      <c r="O290" s="13" t="str">
        <f t="shared" si="59"/>
        <v>Nuphy</v>
      </c>
      <c r="P290" s="14">
        <f t="shared" si="60"/>
        <v>4800</v>
      </c>
      <c r="Q290" s="14">
        <f t="shared" si="61"/>
        <v>8000</v>
      </c>
      <c r="R290" s="13" t="str">
        <f t="shared" si="64"/>
        <v>шт</v>
      </c>
      <c r="S290" s="10" t="str">
        <f t="shared" si="62"/>
        <v>OK</v>
      </c>
      <c r="T290" s="10" t="str">
        <f t="shared" si="63"/>
        <v>уникален</v>
      </c>
    </row>
    <row r="291" ht="15" customHeight="1">
      <c r="A291" s="10">
        <v>289</v>
      </c>
      <c r="B291" s="11" t="str">
        <f>RAW_Товары!A290</f>
        <v>№АРТ-289</v>
      </c>
      <c r="C291" s="11" t="str">
        <f>RAW_Товары!B290</f>
        <v xml:space="preserve">Смарт-часы Polar Vantage V3</v>
      </c>
      <c r="D291" s="11" t="str">
        <f>RAW_Товары!C290</f>
        <v>Часы</v>
      </c>
      <c r="E291" s="11" t="str">
        <f>RAW_Товары!D290</f>
        <v>Polar</v>
      </c>
      <c r="F291" s="11" t="str">
        <f>RAW_Товары!E290</f>
        <v xml:space="preserve">40 000</v>
      </c>
      <c r="G291" s="11" t="str">
        <f>RAW_Товары!F290</f>
        <v xml:space="preserve">62 990</v>
      </c>
      <c r="H291" s="11" t="str">
        <f>RAW_Товары!G290</f>
        <v>шт.</v>
      </c>
      <c r="I291" s="12" t="str">
        <f t="shared" si="54"/>
        <v>289</v>
      </c>
      <c r="J291" s="12" t="str">
        <f t="shared" si="55"/>
        <v xml:space="preserve">Смарт-часы Polar Vantage V3</v>
      </c>
      <c r="K291" s="12" t="str">
        <f t="shared" si="56"/>
        <v>Часы</v>
      </c>
      <c r="L291" s="13" t="str">
        <f t="shared" si="57"/>
        <v>АРТ-289</v>
      </c>
      <c r="M291" s="13" t="str">
        <f t="shared" si="58"/>
        <v xml:space="preserve">Смарт-Часы Polar Vantage V3</v>
      </c>
      <c r="N291" s="13" t="str">
        <f>IFERROR(VLOOKUP(K291,Справочники!$A$6:$B$16,2,0),"НЕТ В СПРАВОЧНИКЕ")</f>
        <v>Часы</v>
      </c>
      <c r="O291" s="13" t="str">
        <f t="shared" si="59"/>
        <v>Polar</v>
      </c>
      <c r="P291" s="14">
        <f t="shared" si="60"/>
        <v>40000</v>
      </c>
      <c r="Q291" s="14">
        <f t="shared" si="61"/>
        <v>62990</v>
      </c>
      <c r="R291" s="13" t="str">
        <f t="shared" si="64"/>
        <v>шт</v>
      </c>
      <c r="S291" s="10" t="str">
        <f t="shared" si="62"/>
        <v>OK</v>
      </c>
      <c r="T291" s="10" t="str">
        <f t="shared" si="63"/>
        <v>уникален</v>
      </c>
    </row>
    <row r="292" ht="15" customHeight="1">
      <c r="A292" s="10">
        <v>290</v>
      </c>
      <c r="B292" s="11" t="str">
        <f>RAW_Товары!A291</f>
        <v>АРТ_290</v>
      </c>
      <c r="C292" s="11" t="str">
        <f>RAW_Товары!B291</f>
        <v xml:space="preserve">смарт-часы POLAR VANTAGE V3</v>
      </c>
      <c r="D292" s="11" t="str">
        <f>RAW_Товары!C291</f>
        <v>Часы</v>
      </c>
      <c r="E292" s="11" t="str">
        <f>RAW_Товары!D291</f>
        <v>polar</v>
      </c>
      <c r="F292" s="11" t="str">
        <f>RAW_Товары!E291</f>
        <v xml:space="preserve">38 500</v>
      </c>
      <c r="G292" s="11" t="str">
        <f>RAW_Товары!F291</f>
        <v xml:space="preserve">60 500</v>
      </c>
      <c r="H292" s="11" t="str">
        <f>RAW_Товары!G291</f>
        <v>штуки</v>
      </c>
      <c r="I292" s="12" t="str">
        <f t="shared" ref="I292:I355" si="65">SUBSTITUTE(SUBSTITUTE(B292,"№АРТ-",""),"АРТ_","")</f>
        <v>290</v>
      </c>
      <c r="J292" s="12" t="str">
        <f t="shared" ref="J292:J355" si="66">TRIM(LEFT(C292,IFERROR(FIND("(",C292)-1,LEN(C292))))</f>
        <v xml:space="preserve">смарт-часы POLAR VANTAGE V3</v>
      </c>
      <c r="K292" s="12" t="str">
        <f t="shared" ref="K292:K355" si="67">TRIM(D292)</f>
        <v>Часы</v>
      </c>
      <c r="L292" s="13" t="str">
        <f t="shared" ref="L292:L355" si="68">"АРТ-"&amp;LEFT(I292,3)</f>
        <v>АРТ-290</v>
      </c>
      <c r="M292" s="13" t="str">
        <f t="shared" ref="M292:M355" si="69">PROPER(TRIM(J292))</f>
        <v xml:space="preserve">Смарт-Часы Polar Vantage V3</v>
      </c>
      <c r="N292" s="13" t="str">
        <f>IFERROR(VLOOKUP(K292,Справочники!$A$6:$B$16,2,0),"НЕТ В СПРАВОЧНИКЕ")</f>
        <v>Часы</v>
      </c>
      <c r="O292" s="13" t="str">
        <f t="shared" ref="O292:O355" si="70">PROPER(TRIM(E292))</f>
        <v>Polar</v>
      </c>
      <c r="P292" s="14">
        <f t="shared" ref="P292:P355" si="71">ROUND(VALUE(SUBSTITUTE(SUBSTITUTE(F292," ",""),",",".")),2)</f>
        <v>38500</v>
      </c>
      <c r="Q292" s="14">
        <f t="shared" ref="Q292:Q355" si="72">ROUND(VALUE(SUBSTITUTE(SUBSTITUTE(G292," ",""),",",".")),2)</f>
        <v>60500</v>
      </c>
      <c r="R292" s="13" t="str">
        <f t="shared" si="64"/>
        <v>шт</v>
      </c>
      <c r="S292" s="10" t="str">
        <f t="shared" ref="S292:S355" si="73">IF(Q292&gt;=P292,"OK","ОШИБКА: розница &lt; закупки")</f>
        <v>OK</v>
      </c>
      <c r="T292" s="10" t="str">
        <f t="shared" ref="T292:T355" si="74">IF(COUNTIF($L$3:$L$503,L292)=1,"уникален","ДУБЛЬ")</f>
        <v>уникален</v>
      </c>
    </row>
    <row r="293" ht="15" customHeight="1">
      <c r="A293" s="10">
        <v>291</v>
      </c>
      <c r="B293" s="11" t="str">
        <f>RAW_Товары!A292</f>
        <v>291/24</v>
      </c>
      <c r="C293" s="11" t="str">
        <f>RAW_Товары!B292</f>
        <v xml:space="preserve">Смарт-часы Polar Vantage V3 (Titanium)</v>
      </c>
      <c r="D293" s="11" t="str">
        <f>RAW_Товары!C292</f>
        <v>Часы</v>
      </c>
      <c r="E293" s="11" t="str">
        <f>RAW_Товары!D292</f>
        <v>POLAR</v>
      </c>
      <c r="F293" s="11" t="str">
        <f>RAW_Товары!E292</f>
        <v xml:space="preserve">41 500</v>
      </c>
      <c r="G293" s="11" t="str">
        <f>RAW_Товары!F292</f>
        <v xml:space="preserve">65 000</v>
      </c>
      <c r="H293" s="11" t="str">
        <f>RAW_Товары!G292</f>
        <v>шт</v>
      </c>
      <c r="I293" s="12" t="str">
        <f t="shared" si="65"/>
        <v>291/24</v>
      </c>
      <c r="J293" s="12" t="str">
        <f t="shared" si="66"/>
        <v xml:space="preserve">Смарт-часы Polar Vantage V3</v>
      </c>
      <c r="K293" s="12" t="str">
        <f t="shared" si="67"/>
        <v>Часы</v>
      </c>
      <c r="L293" s="13" t="str">
        <f t="shared" si="68"/>
        <v>АРТ-291</v>
      </c>
      <c r="M293" s="13" t="str">
        <f t="shared" si="69"/>
        <v xml:space="preserve">Смарт-Часы Polar Vantage V3</v>
      </c>
      <c r="N293" s="13" t="str">
        <f>IFERROR(VLOOKUP(K293,Справочники!$A$6:$B$16,2,0),"НЕТ В СПРАВОЧНИКЕ")</f>
        <v>Часы</v>
      </c>
      <c r="O293" s="13" t="str">
        <f t="shared" si="70"/>
        <v>Polar</v>
      </c>
      <c r="P293" s="14">
        <f t="shared" si="71"/>
        <v>41500</v>
      </c>
      <c r="Q293" s="14">
        <f t="shared" si="72"/>
        <v>65000</v>
      </c>
      <c r="R293" s="13" t="str">
        <f t="shared" si="64"/>
        <v>шт</v>
      </c>
      <c r="S293" s="10" t="str">
        <f t="shared" si="73"/>
        <v>OK</v>
      </c>
      <c r="T293" s="10" t="str">
        <f t="shared" si="74"/>
        <v>уникален</v>
      </c>
    </row>
    <row r="294" ht="15" customHeight="1">
      <c r="A294" s="10">
        <v>292</v>
      </c>
      <c r="B294" s="11" t="str">
        <f>RAW_Товары!A293</f>
        <v>№АРТ-292</v>
      </c>
      <c r="C294" s="11" t="str">
        <f>RAW_Товары!B293</f>
        <v xml:space="preserve">Ноутбук Microsoft Surface Laptop 5</v>
      </c>
      <c r="D294" s="11" t="str">
        <f>RAW_Товары!C293</f>
        <v>Ноутбуки</v>
      </c>
      <c r="E294" s="11" t="str">
        <f>RAW_Товары!D293</f>
        <v>Microsoft</v>
      </c>
      <c r="F294" s="11" t="str">
        <f>RAW_Товары!E293</f>
        <v xml:space="preserve">88 000</v>
      </c>
      <c r="G294" s="11" t="str">
        <f>RAW_Товары!F293</f>
        <v xml:space="preserve">134 990</v>
      </c>
      <c r="H294" s="11" t="str">
        <f>RAW_Товары!G293</f>
        <v>шт.</v>
      </c>
      <c r="I294" s="12" t="str">
        <f t="shared" si="65"/>
        <v>292</v>
      </c>
      <c r="J294" s="12" t="str">
        <f t="shared" si="66"/>
        <v xml:space="preserve">Ноутбук Microsoft Surface Laptop 5</v>
      </c>
      <c r="K294" s="12" t="str">
        <f t="shared" si="67"/>
        <v>Ноутбуки</v>
      </c>
      <c r="L294" s="13" t="str">
        <f t="shared" si="68"/>
        <v>АРТ-292</v>
      </c>
      <c r="M294" s="13" t="str">
        <f t="shared" si="69"/>
        <v xml:space="preserve">Ноутбук Microsoft Surface Laptop 5</v>
      </c>
      <c r="N294" s="13" t="str">
        <f>IFERROR(VLOOKUP(K294,Справочники!$A$6:$B$16,2,0),"НЕТ В СПРАВОЧНИКЕ")</f>
        <v>Ноутбуки</v>
      </c>
      <c r="O294" s="13" t="str">
        <f t="shared" si="70"/>
        <v>Microsoft</v>
      </c>
      <c r="P294" s="14">
        <f t="shared" si="71"/>
        <v>88000</v>
      </c>
      <c r="Q294" s="14">
        <f t="shared" si="72"/>
        <v>134990</v>
      </c>
      <c r="R294" s="13" t="str">
        <f t="shared" si="64"/>
        <v>шт</v>
      </c>
      <c r="S294" s="10" t="str">
        <f t="shared" si="73"/>
        <v>OK</v>
      </c>
      <c r="T294" s="10" t="str">
        <f t="shared" si="74"/>
        <v>уникален</v>
      </c>
    </row>
    <row r="295" ht="15" customHeight="1">
      <c r="A295" s="10">
        <v>293</v>
      </c>
      <c r="B295" s="11" t="str">
        <f>RAW_Товары!A294</f>
        <v>АРТ_293</v>
      </c>
      <c r="C295" s="11" t="str">
        <f>RAW_Товары!B294</f>
        <v xml:space="preserve">ноутбук MICROSOFT SURFACE LAPTOP 5</v>
      </c>
      <c r="D295" s="11" t="str">
        <f>RAW_Товары!C294</f>
        <v>Лэптопы</v>
      </c>
      <c r="E295" s="11" t="str">
        <f>RAW_Товары!D294</f>
        <v>microsoft</v>
      </c>
      <c r="F295" s="11" t="str">
        <f>RAW_Товары!E294</f>
        <v xml:space="preserve">86 000</v>
      </c>
      <c r="G295" s="11" t="str">
        <f>RAW_Товары!F294</f>
        <v xml:space="preserve">132 000</v>
      </c>
      <c r="H295" s="11" t="str">
        <f>RAW_Товары!G294</f>
        <v>штука</v>
      </c>
      <c r="I295" s="12" t="str">
        <f t="shared" si="65"/>
        <v>293</v>
      </c>
      <c r="J295" s="12" t="str">
        <f t="shared" si="66"/>
        <v xml:space="preserve">ноутбук MICROSOFT SURFACE LAPTOP 5</v>
      </c>
      <c r="K295" s="12" t="str">
        <f t="shared" si="67"/>
        <v>Лэптопы</v>
      </c>
      <c r="L295" s="13" t="str">
        <f t="shared" si="68"/>
        <v>АРТ-293</v>
      </c>
      <c r="M295" s="13" t="str">
        <f t="shared" si="69"/>
        <v xml:space="preserve">Ноутбук Microsoft Surface Laptop 5</v>
      </c>
      <c r="N295" s="13" t="str">
        <f>IFERROR(VLOOKUP(K295,Справочники!$A$6:$B$16,2,0),"НЕТ В СПРАВОЧНИКЕ")</f>
        <v>Ноутбуки</v>
      </c>
      <c r="O295" s="13" t="str">
        <f t="shared" si="70"/>
        <v>Microsoft</v>
      </c>
      <c r="P295" s="14">
        <f t="shared" si="71"/>
        <v>86000</v>
      </c>
      <c r="Q295" s="14">
        <f t="shared" si="72"/>
        <v>132000</v>
      </c>
      <c r="R295" s="13" t="str">
        <f t="shared" si="64"/>
        <v>шт</v>
      </c>
      <c r="S295" s="10" t="str">
        <f t="shared" si="73"/>
        <v>OK</v>
      </c>
      <c r="T295" s="10" t="str">
        <f t="shared" si="74"/>
        <v>уникален</v>
      </c>
    </row>
    <row r="296" ht="15" customHeight="1">
      <c r="A296" s="10">
        <v>294</v>
      </c>
      <c r="B296" s="11" t="str">
        <f>RAW_Товары!A295</f>
        <v>294-24</v>
      </c>
      <c r="C296" s="11" t="str">
        <f>RAW_Товары!B295</f>
        <v xml:space="preserve">Ноутбук Microsoft Surface Laptop 5 (15")</v>
      </c>
      <c r="D296" s="11" t="str">
        <f>RAW_Товары!C295</f>
        <v>Ноутбуки</v>
      </c>
      <c r="E296" s="11" t="str">
        <f>RAW_Товары!D295</f>
        <v>MICROSOFT</v>
      </c>
      <c r="F296" s="11" t="str">
        <f>RAW_Товары!E295</f>
        <v xml:space="preserve">89 500</v>
      </c>
      <c r="G296" s="11" t="str">
        <f>RAW_Товары!F295</f>
        <v xml:space="preserve">137 500</v>
      </c>
      <c r="H296" s="11" t="str">
        <f>RAW_Товары!G295</f>
        <v>шт</v>
      </c>
      <c r="I296" s="12" t="str">
        <f t="shared" si="65"/>
        <v>294-24</v>
      </c>
      <c r="J296" s="12" t="str">
        <f t="shared" si="66"/>
        <v xml:space="preserve">Ноутбук Microsoft Surface Laptop 5</v>
      </c>
      <c r="K296" s="12" t="str">
        <f t="shared" si="67"/>
        <v>Ноутбуки</v>
      </c>
      <c r="L296" s="13" t="str">
        <f t="shared" si="68"/>
        <v>АРТ-294</v>
      </c>
      <c r="M296" s="13" t="str">
        <f t="shared" si="69"/>
        <v xml:space="preserve">Ноутбук Microsoft Surface Laptop 5</v>
      </c>
      <c r="N296" s="13" t="str">
        <f>IFERROR(VLOOKUP(K296,Справочники!$A$6:$B$16,2,0),"НЕТ В СПРАВОЧНИКЕ")</f>
        <v>Ноутбуки</v>
      </c>
      <c r="O296" s="13" t="str">
        <f t="shared" si="70"/>
        <v>Microsoft</v>
      </c>
      <c r="P296" s="14">
        <f t="shared" si="71"/>
        <v>89500</v>
      </c>
      <c r="Q296" s="14">
        <f t="shared" si="72"/>
        <v>137500</v>
      </c>
      <c r="R296" s="13" t="str">
        <f t="shared" si="64"/>
        <v>шт</v>
      </c>
      <c r="S296" s="10" t="str">
        <f t="shared" si="73"/>
        <v>OK</v>
      </c>
      <c r="T296" s="10" t="str">
        <f t="shared" si="74"/>
        <v>уникален</v>
      </c>
    </row>
    <row r="297" ht="15" customHeight="1">
      <c r="A297" s="10">
        <v>295</v>
      </c>
      <c r="B297" s="11" t="str">
        <f>RAW_Товары!A296</f>
        <v>№АРТ-295</v>
      </c>
      <c r="C297" s="11" t="str">
        <f>RAW_Товары!B296</f>
        <v xml:space="preserve">Смартфон Infinix Zero 30</v>
      </c>
      <c r="D297" s="11" t="str">
        <f>RAW_Товары!C296</f>
        <v>Смартфоны</v>
      </c>
      <c r="E297" s="11" t="str">
        <f>RAW_Товары!D296</f>
        <v>Infinix</v>
      </c>
      <c r="F297" s="11" t="str">
        <f>RAW_Товары!E296</f>
        <v xml:space="preserve">20 000</v>
      </c>
      <c r="G297" s="11" t="str">
        <f>RAW_Товары!F296</f>
        <v xml:space="preserve">34 990</v>
      </c>
      <c r="H297" s="11" t="str">
        <f>RAW_Товары!G296</f>
        <v>шт.</v>
      </c>
      <c r="I297" s="12" t="str">
        <f t="shared" si="65"/>
        <v>295</v>
      </c>
      <c r="J297" s="12" t="str">
        <f t="shared" si="66"/>
        <v xml:space="preserve">Смартфон Infinix Zero 30</v>
      </c>
      <c r="K297" s="12" t="str">
        <f t="shared" si="67"/>
        <v>Смартфоны</v>
      </c>
      <c r="L297" s="13" t="str">
        <f t="shared" si="68"/>
        <v>АРТ-295</v>
      </c>
      <c r="M297" s="13" t="str">
        <f t="shared" si="69"/>
        <v xml:space="preserve">Смартфон Infinix Zero 30</v>
      </c>
      <c r="N297" s="13" t="str">
        <f>IFERROR(VLOOKUP(K297,Справочники!$A$6:$B$16,2,0),"НЕТ В СПРАВОЧНИКЕ")</f>
        <v>Смартфоны</v>
      </c>
      <c r="O297" s="13" t="str">
        <f t="shared" si="70"/>
        <v>Infinix</v>
      </c>
      <c r="P297" s="14">
        <f t="shared" si="71"/>
        <v>20000</v>
      </c>
      <c r="Q297" s="14">
        <f t="shared" si="72"/>
        <v>34990</v>
      </c>
      <c r="R297" s="13" t="str">
        <f t="shared" si="64"/>
        <v>шт</v>
      </c>
      <c r="S297" s="10" t="str">
        <f t="shared" si="73"/>
        <v>OK</v>
      </c>
      <c r="T297" s="10" t="str">
        <f t="shared" si="74"/>
        <v>уникален</v>
      </c>
    </row>
    <row r="298" ht="15" customHeight="1">
      <c r="A298" s="10">
        <v>296</v>
      </c>
      <c r="B298" s="11" t="str">
        <f>RAW_Товары!A297</f>
        <v>АРТ_296</v>
      </c>
      <c r="C298" s="11" t="str">
        <f>RAW_Товары!B297</f>
        <v xml:space="preserve">смартфон INFINIX ZERO 30</v>
      </c>
      <c r="D298" s="11" t="str">
        <f>RAW_Товары!C297</f>
        <v>Телефоны</v>
      </c>
      <c r="E298" s="11" t="str">
        <f>RAW_Товары!D297</f>
        <v>infinix</v>
      </c>
      <c r="F298" s="11" t="str">
        <f>RAW_Товары!E297</f>
        <v xml:space="preserve">19 000</v>
      </c>
      <c r="G298" s="11" t="str">
        <f>RAW_Товары!F297</f>
        <v xml:space="preserve">33 500</v>
      </c>
      <c r="H298" s="11" t="str">
        <f>RAW_Товары!G297</f>
        <v>штуки</v>
      </c>
      <c r="I298" s="12" t="str">
        <f t="shared" si="65"/>
        <v>296</v>
      </c>
      <c r="J298" s="12" t="str">
        <f t="shared" si="66"/>
        <v xml:space="preserve">смартфон INFINIX ZERO 30</v>
      </c>
      <c r="K298" s="12" t="str">
        <f t="shared" si="67"/>
        <v>Телефоны</v>
      </c>
      <c r="L298" s="13" t="str">
        <f t="shared" si="68"/>
        <v>АРТ-296</v>
      </c>
      <c r="M298" s="13" t="str">
        <f t="shared" si="69"/>
        <v xml:space="preserve">Смартфон Infinix Zero 30</v>
      </c>
      <c r="N298" s="13" t="str">
        <f>IFERROR(VLOOKUP(K298,Справочники!$A$6:$B$16,2,0),"НЕТ В СПРАВОЧНИКЕ")</f>
        <v>Смартфоны</v>
      </c>
      <c r="O298" s="13" t="str">
        <f t="shared" si="70"/>
        <v>Infinix</v>
      </c>
      <c r="P298" s="14">
        <f t="shared" si="71"/>
        <v>19000</v>
      </c>
      <c r="Q298" s="14">
        <f t="shared" si="72"/>
        <v>33500</v>
      </c>
      <c r="R298" s="13" t="str">
        <f t="shared" si="64"/>
        <v>шт</v>
      </c>
      <c r="S298" s="10" t="str">
        <f t="shared" si="73"/>
        <v>OK</v>
      </c>
      <c r="T298" s="10" t="str">
        <f t="shared" si="74"/>
        <v>уникален</v>
      </c>
    </row>
    <row r="299" ht="15" customHeight="1">
      <c r="A299" s="10">
        <v>297</v>
      </c>
      <c r="B299" s="11" t="str">
        <f>RAW_Товары!A298</f>
        <v>297/24</v>
      </c>
      <c r="C299" s="11" t="str">
        <f>RAW_Товары!B298</f>
        <v xml:space="preserve">Смартфон Infinix Zero 30 (5G)</v>
      </c>
      <c r="D299" s="11" t="str">
        <f>RAW_Товары!C298</f>
        <v xml:space="preserve">Мобильные телефоны</v>
      </c>
      <c r="E299" s="11" t="str">
        <f>RAW_Товары!D298</f>
        <v>INFINIX</v>
      </c>
      <c r="F299" s="11" t="str">
        <f>RAW_Товары!E298</f>
        <v xml:space="preserve">21 000</v>
      </c>
      <c r="G299" s="11" t="str">
        <f>RAW_Товары!F298</f>
        <v xml:space="preserve">36 500</v>
      </c>
      <c r="H299" s="11" t="str">
        <f>RAW_Товары!G298</f>
        <v>шт</v>
      </c>
      <c r="I299" s="12" t="str">
        <f t="shared" si="65"/>
        <v>297/24</v>
      </c>
      <c r="J299" s="12" t="str">
        <f t="shared" si="66"/>
        <v xml:space="preserve">Смартфон Infinix Zero 30</v>
      </c>
      <c r="K299" s="12" t="str">
        <f t="shared" si="67"/>
        <v xml:space="preserve">Мобильные телефоны</v>
      </c>
      <c r="L299" s="13" t="str">
        <f t="shared" si="68"/>
        <v>АРТ-297</v>
      </c>
      <c r="M299" s="13" t="str">
        <f t="shared" si="69"/>
        <v xml:space="preserve">Смартфон Infinix Zero 30</v>
      </c>
      <c r="N299" s="13" t="str">
        <f>IFERROR(VLOOKUP(K299,Справочники!$A$6:$B$16,2,0),"НЕТ В СПРАВОЧНИКЕ")</f>
        <v>Смартфоны</v>
      </c>
      <c r="O299" s="13" t="str">
        <f t="shared" si="70"/>
        <v>Infinix</v>
      </c>
      <c r="P299" s="14">
        <f t="shared" si="71"/>
        <v>21000</v>
      </c>
      <c r="Q299" s="14">
        <f t="shared" si="72"/>
        <v>36500</v>
      </c>
      <c r="R299" s="13" t="str">
        <f t="shared" si="64"/>
        <v>шт</v>
      </c>
      <c r="S299" s="10" t="str">
        <f t="shared" si="73"/>
        <v>OK</v>
      </c>
      <c r="T299" s="10" t="str">
        <f t="shared" si="74"/>
        <v>уникален</v>
      </c>
    </row>
    <row r="300" ht="15" customHeight="1">
      <c r="A300" s="10">
        <v>298</v>
      </c>
      <c r="B300" s="11" t="str">
        <f>RAW_Товары!A299</f>
        <v>№АРТ-298</v>
      </c>
      <c r="C300" s="11" t="str">
        <f>RAW_Товары!B299</f>
        <v xml:space="preserve">Телевизор Hisense A6K</v>
      </c>
      <c r="D300" s="11" t="str">
        <f>RAW_Товары!C299</f>
        <v>Телевизоры</v>
      </c>
      <c r="E300" s="11" t="str">
        <f>RAW_Товары!D299</f>
        <v>Hisense</v>
      </c>
      <c r="F300" s="11" t="str">
        <f>RAW_Товары!E299</f>
        <v xml:space="preserve">42 000</v>
      </c>
      <c r="G300" s="11" t="str">
        <f>RAW_Товары!F299</f>
        <v xml:space="preserve">65 990</v>
      </c>
      <c r="H300" s="11" t="str">
        <f>RAW_Товары!G299</f>
        <v>шт.</v>
      </c>
      <c r="I300" s="12" t="str">
        <f t="shared" si="65"/>
        <v>298</v>
      </c>
      <c r="J300" s="12" t="str">
        <f t="shared" si="66"/>
        <v xml:space="preserve">Телевизор Hisense A6K</v>
      </c>
      <c r="K300" s="12" t="str">
        <f t="shared" si="67"/>
        <v>Телевизоры</v>
      </c>
      <c r="L300" s="13" t="str">
        <f t="shared" si="68"/>
        <v>АРТ-298</v>
      </c>
      <c r="M300" s="13" t="str">
        <f t="shared" si="69"/>
        <v xml:space="preserve">Телевизор Hisense A6K</v>
      </c>
      <c r="N300" s="13" t="str">
        <f>IFERROR(VLOOKUP(K300,Справочники!$A$6:$B$16,2,0),"НЕТ В СПРАВОЧНИКЕ")</f>
        <v>Телевизоры</v>
      </c>
      <c r="O300" s="13" t="str">
        <f t="shared" si="70"/>
        <v>Hisense</v>
      </c>
      <c r="P300" s="14">
        <f t="shared" si="71"/>
        <v>42000</v>
      </c>
      <c r="Q300" s="14">
        <f t="shared" si="72"/>
        <v>65990</v>
      </c>
      <c r="R300" s="13" t="str">
        <f t="shared" si="64"/>
        <v>шт</v>
      </c>
      <c r="S300" s="10" t="str">
        <f t="shared" si="73"/>
        <v>OK</v>
      </c>
      <c r="T300" s="10" t="str">
        <f t="shared" si="74"/>
        <v>уникален</v>
      </c>
    </row>
    <row r="301" ht="15" customHeight="1">
      <c r="A301" s="10">
        <v>299</v>
      </c>
      <c r="B301" s="11" t="str">
        <f>RAW_Товары!A300</f>
        <v>АРТ_299</v>
      </c>
      <c r="C301" s="11" t="str">
        <f>RAW_Товары!B300</f>
        <v xml:space="preserve">телевизор HISENSE A6K</v>
      </c>
      <c r="D301" s="11" t="str">
        <f>RAW_Товары!C300</f>
        <v>Телевизоры</v>
      </c>
      <c r="E301" s="11" t="str">
        <f>RAW_Товары!D300</f>
        <v>hisense</v>
      </c>
      <c r="F301" s="11" t="str">
        <f>RAW_Товары!E300</f>
        <v xml:space="preserve">40 500</v>
      </c>
      <c r="G301" s="11" t="str">
        <f>RAW_Товары!F300</f>
        <v xml:space="preserve">63 500</v>
      </c>
      <c r="H301" s="11" t="str">
        <f>RAW_Товары!G300</f>
        <v>штука</v>
      </c>
      <c r="I301" s="12" t="str">
        <f t="shared" si="65"/>
        <v>299</v>
      </c>
      <c r="J301" s="12" t="str">
        <f t="shared" si="66"/>
        <v xml:space="preserve">телевизор HISENSE A6K</v>
      </c>
      <c r="K301" s="12" t="str">
        <f t="shared" si="67"/>
        <v>Телевизоры</v>
      </c>
      <c r="L301" s="13" t="str">
        <f t="shared" si="68"/>
        <v>АРТ-299</v>
      </c>
      <c r="M301" s="13" t="str">
        <f t="shared" si="69"/>
        <v xml:space="preserve">Телевизор Hisense A6K</v>
      </c>
      <c r="N301" s="13" t="str">
        <f>IFERROR(VLOOKUP(K301,Справочники!$A$6:$B$16,2,0),"НЕТ В СПРАВОЧНИКЕ")</f>
        <v>Телевизоры</v>
      </c>
      <c r="O301" s="13" t="str">
        <f t="shared" si="70"/>
        <v>Hisense</v>
      </c>
      <c r="P301" s="14">
        <f t="shared" si="71"/>
        <v>40500</v>
      </c>
      <c r="Q301" s="14">
        <f t="shared" si="72"/>
        <v>63500</v>
      </c>
      <c r="R301" s="13" t="str">
        <f t="shared" si="64"/>
        <v>шт</v>
      </c>
      <c r="S301" s="10" t="str">
        <f t="shared" si="73"/>
        <v>OK</v>
      </c>
      <c r="T301" s="10" t="str">
        <f t="shared" si="74"/>
        <v>уникален</v>
      </c>
    </row>
    <row r="302" ht="15" customHeight="1">
      <c r="A302" s="10">
        <v>300</v>
      </c>
      <c r="B302" s="11" t="str">
        <f>RAW_Товары!A301</f>
        <v>300-24</v>
      </c>
      <c r="C302" s="11" t="str">
        <f>RAW_Товары!B301</f>
        <v xml:space="preserve">Телевизор Hisense A6K (50")</v>
      </c>
      <c r="D302" s="11" t="str">
        <f>RAW_Товары!C301</f>
        <v>Телевизоры</v>
      </c>
      <c r="E302" s="11" t="str">
        <f>RAW_Товары!D301</f>
        <v>HISENSE</v>
      </c>
      <c r="F302" s="11" t="str">
        <f>RAW_Товары!E301</f>
        <v xml:space="preserve">43 500</v>
      </c>
      <c r="G302" s="11" t="str">
        <f>RAW_Товары!F301</f>
        <v xml:space="preserve">68 000</v>
      </c>
      <c r="H302" s="11" t="str">
        <f>RAW_Товары!G301</f>
        <v>шт</v>
      </c>
      <c r="I302" s="12" t="str">
        <f t="shared" si="65"/>
        <v>300-24</v>
      </c>
      <c r="J302" s="12" t="str">
        <f t="shared" si="66"/>
        <v xml:space="preserve">Телевизор Hisense A6K</v>
      </c>
      <c r="K302" s="12" t="str">
        <f t="shared" si="67"/>
        <v>Телевизоры</v>
      </c>
      <c r="L302" s="13" t="str">
        <f t="shared" si="68"/>
        <v>АРТ-300</v>
      </c>
      <c r="M302" s="13" t="str">
        <f t="shared" si="69"/>
        <v xml:space="preserve">Телевизор Hisense A6K</v>
      </c>
      <c r="N302" s="13" t="str">
        <f>IFERROR(VLOOKUP(K302,Справочники!$A$6:$B$16,2,0),"НЕТ В СПРАВОЧНИКЕ")</f>
        <v>Телевизоры</v>
      </c>
      <c r="O302" s="13" t="str">
        <f t="shared" si="70"/>
        <v>Hisense</v>
      </c>
      <c r="P302" s="14">
        <f t="shared" si="71"/>
        <v>43500</v>
      </c>
      <c r="Q302" s="14">
        <f t="shared" si="72"/>
        <v>68000</v>
      </c>
      <c r="R302" s="13" t="str">
        <f t="shared" si="64"/>
        <v>шт</v>
      </c>
      <c r="S302" s="10" t="str">
        <f t="shared" si="73"/>
        <v>OK</v>
      </c>
      <c r="T302" s="10" t="str">
        <f t="shared" si="74"/>
        <v>уникален</v>
      </c>
    </row>
    <row r="303" ht="15" customHeight="1">
      <c r="A303" s="10">
        <v>301</v>
      </c>
      <c r="B303" s="11" t="str">
        <f>RAW_Товары!A302</f>
        <v>№АРТ-301</v>
      </c>
      <c r="C303" s="11" t="str">
        <f>RAW_Товары!B302</f>
        <v xml:space="preserve">Наушники Edifier W820NB</v>
      </c>
      <c r="D303" s="11" t="str">
        <f>RAW_Товары!C302</f>
        <v>Наушники</v>
      </c>
      <c r="E303" s="11" t="str">
        <f>RAW_Товары!D302</f>
        <v>Edifier</v>
      </c>
      <c r="F303" s="11" t="str">
        <f>RAW_Товары!E302</f>
        <v xml:space="preserve">4 500</v>
      </c>
      <c r="G303" s="11" t="str">
        <f>RAW_Товары!F302</f>
        <v xml:space="preserve">7 990</v>
      </c>
      <c r="H303" s="11" t="str">
        <f>RAW_Товары!G302</f>
        <v>шт.</v>
      </c>
      <c r="I303" s="12" t="str">
        <f t="shared" si="65"/>
        <v>301</v>
      </c>
      <c r="J303" s="12" t="str">
        <f t="shared" si="66"/>
        <v xml:space="preserve">Наушники Edifier W820NB</v>
      </c>
      <c r="K303" s="12" t="str">
        <f t="shared" si="67"/>
        <v>Наушники</v>
      </c>
      <c r="L303" s="13" t="str">
        <f t="shared" si="68"/>
        <v>АРТ-301</v>
      </c>
      <c r="M303" s="13" t="str">
        <f t="shared" si="69"/>
        <v xml:space="preserve">Наушники Edifier W820Nb</v>
      </c>
      <c r="N303" s="13" t="str">
        <f>IFERROR(VLOOKUP(K303,Справочники!$A$6:$B$16,2,0),"НЕТ В СПРАВОЧНИКЕ")</f>
        <v>Наушники</v>
      </c>
      <c r="O303" s="13" t="str">
        <f t="shared" si="70"/>
        <v>Edifier</v>
      </c>
      <c r="P303" s="14">
        <f t="shared" si="71"/>
        <v>4500</v>
      </c>
      <c r="Q303" s="14">
        <f t="shared" si="72"/>
        <v>7990</v>
      </c>
      <c r="R303" s="13" t="str">
        <f t="shared" si="64"/>
        <v>шт</v>
      </c>
      <c r="S303" s="10" t="str">
        <f t="shared" si="73"/>
        <v>OK</v>
      </c>
      <c r="T303" s="10" t="str">
        <f t="shared" si="74"/>
        <v>уникален</v>
      </c>
    </row>
    <row r="304" ht="15" customHeight="1">
      <c r="A304" s="10">
        <v>302</v>
      </c>
      <c r="B304" s="11" t="str">
        <f>RAW_Товары!A303</f>
        <v>АРТ_302</v>
      </c>
      <c r="C304" s="11" t="str">
        <f>RAW_Товары!B303</f>
        <v xml:space="preserve">наушники EDIFIER W820NB</v>
      </c>
      <c r="D304" s="11" t="str">
        <f>RAW_Товары!C303</f>
        <v>Наушники</v>
      </c>
      <c r="E304" s="11" t="str">
        <f>RAW_Товары!D303</f>
        <v>edifier</v>
      </c>
      <c r="F304" s="11" t="str">
        <f>RAW_Товары!E303</f>
        <v xml:space="preserve">4 000</v>
      </c>
      <c r="G304" s="11" t="str">
        <f>RAW_Товары!F303</f>
        <v xml:space="preserve">7 500</v>
      </c>
      <c r="H304" s="11" t="str">
        <f>RAW_Товары!G303</f>
        <v>штуки</v>
      </c>
      <c r="I304" s="12" t="str">
        <f t="shared" si="65"/>
        <v>302</v>
      </c>
      <c r="J304" s="12" t="str">
        <f t="shared" si="66"/>
        <v xml:space="preserve">наушники EDIFIER W820NB</v>
      </c>
      <c r="K304" s="12" t="str">
        <f t="shared" si="67"/>
        <v>Наушники</v>
      </c>
      <c r="L304" s="13" t="str">
        <f t="shared" si="68"/>
        <v>АРТ-302</v>
      </c>
      <c r="M304" s="13" t="str">
        <f t="shared" si="69"/>
        <v xml:space="preserve">Наушники Edifier W820Nb</v>
      </c>
      <c r="N304" s="13" t="str">
        <f>IFERROR(VLOOKUP(K304,Справочники!$A$6:$B$16,2,0),"НЕТ В СПРАВОЧНИКЕ")</f>
        <v>Наушники</v>
      </c>
      <c r="O304" s="13" t="str">
        <f t="shared" si="70"/>
        <v>Edifier</v>
      </c>
      <c r="P304" s="14">
        <f t="shared" si="71"/>
        <v>4000</v>
      </c>
      <c r="Q304" s="14">
        <f t="shared" si="72"/>
        <v>7500</v>
      </c>
      <c r="R304" s="13" t="str">
        <f t="shared" si="64"/>
        <v>шт</v>
      </c>
      <c r="S304" s="10" t="str">
        <f t="shared" si="73"/>
        <v>OK</v>
      </c>
      <c r="T304" s="10" t="str">
        <f t="shared" si="74"/>
        <v>уникален</v>
      </c>
    </row>
    <row r="305" ht="15" customHeight="1">
      <c r="A305" s="10">
        <v>303</v>
      </c>
      <c r="B305" s="11" t="str">
        <f>RAW_Товары!A304</f>
        <v>303/24</v>
      </c>
      <c r="C305" s="11" t="str">
        <f>RAW_Товары!B304</f>
        <v xml:space="preserve">Наушники Edifier W820NB (Pro)</v>
      </c>
      <c r="D305" s="11" t="str">
        <f>RAW_Товары!C304</f>
        <v>Наушники</v>
      </c>
      <c r="E305" s="11" t="str">
        <f>RAW_Товары!D304</f>
        <v>EDIFIER</v>
      </c>
      <c r="F305" s="11" t="str">
        <f>RAW_Товары!E304</f>
        <v xml:space="preserve">5 000</v>
      </c>
      <c r="G305" s="11" t="str">
        <f>RAW_Товары!F304</f>
        <v xml:space="preserve">8 800</v>
      </c>
      <c r="H305" s="11" t="str">
        <f>RAW_Товары!G304</f>
        <v>шт</v>
      </c>
      <c r="I305" s="12" t="str">
        <f t="shared" si="65"/>
        <v>303/24</v>
      </c>
      <c r="J305" s="12" t="str">
        <f t="shared" si="66"/>
        <v xml:space="preserve">Наушники Edifier W820NB</v>
      </c>
      <c r="K305" s="12" t="str">
        <f t="shared" si="67"/>
        <v>Наушники</v>
      </c>
      <c r="L305" s="13" t="str">
        <f t="shared" si="68"/>
        <v>АРТ-303</v>
      </c>
      <c r="M305" s="13" t="str">
        <f t="shared" si="69"/>
        <v xml:space="preserve">Наушники Edifier W820Nb</v>
      </c>
      <c r="N305" s="13" t="str">
        <f>IFERROR(VLOOKUP(K305,Справочники!$A$6:$B$16,2,0),"НЕТ В СПРАВОЧНИКЕ")</f>
        <v>Наушники</v>
      </c>
      <c r="O305" s="13" t="str">
        <f t="shared" si="70"/>
        <v>Edifier</v>
      </c>
      <c r="P305" s="14">
        <f t="shared" si="71"/>
        <v>5000</v>
      </c>
      <c r="Q305" s="14">
        <f t="shared" si="72"/>
        <v>8800</v>
      </c>
      <c r="R305" s="13" t="str">
        <f t="shared" si="64"/>
        <v>шт</v>
      </c>
      <c r="S305" s="10" t="str">
        <f t="shared" si="73"/>
        <v>OK</v>
      </c>
      <c r="T305" s="10" t="str">
        <f t="shared" si="74"/>
        <v>уникален</v>
      </c>
    </row>
    <row r="306" ht="15" customHeight="1">
      <c r="A306" s="10">
        <v>304</v>
      </c>
      <c r="B306" s="11" t="str">
        <f>RAW_Товары!A305</f>
        <v>№АРТ-304</v>
      </c>
      <c r="C306" s="11" t="str">
        <f>RAW_Товары!B305</f>
        <v xml:space="preserve">Монитор Acer Nitro XV282K</v>
      </c>
      <c r="D306" s="11" t="str">
        <f>RAW_Товары!C305</f>
        <v>Мониторы</v>
      </c>
      <c r="E306" s="11" t="str">
        <f>RAW_Товары!D305</f>
        <v>Acer</v>
      </c>
      <c r="F306" s="11" t="str">
        <f>RAW_Товары!E305</f>
        <v xml:space="preserve">38 000</v>
      </c>
      <c r="G306" s="11" t="str">
        <f>RAW_Товары!F305</f>
        <v xml:space="preserve">59 990</v>
      </c>
      <c r="H306" s="11" t="str">
        <f>RAW_Товары!G305</f>
        <v>шт.</v>
      </c>
      <c r="I306" s="12" t="str">
        <f t="shared" si="65"/>
        <v>304</v>
      </c>
      <c r="J306" s="12" t="str">
        <f t="shared" si="66"/>
        <v xml:space="preserve">Монитор Acer Nitro XV282K</v>
      </c>
      <c r="K306" s="12" t="str">
        <f t="shared" si="67"/>
        <v>Мониторы</v>
      </c>
      <c r="L306" s="13" t="str">
        <f t="shared" si="68"/>
        <v>АРТ-304</v>
      </c>
      <c r="M306" s="13" t="str">
        <f t="shared" si="69"/>
        <v xml:space="preserve">Монитор Acer Nitro Xv282K</v>
      </c>
      <c r="N306" s="13" t="str">
        <f>IFERROR(VLOOKUP(K306,Справочники!$A$6:$B$16,2,0),"НЕТ В СПРАВОЧНИКЕ")</f>
        <v>Мониторы</v>
      </c>
      <c r="O306" s="13" t="str">
        <f t="shared" si="70"/>
        <v>Acer</v>
      </c>
      <c r="P306" s="14">
        <f t="shared" si="71"/>
        <v>38000</v>
      </c>
      <c r="Q306" s="14">
        <f t="shared" si="72"/>
        <v>59990</v>
      </c>
      <c r="R306" s="13" t="str">
        <f t="shared" si="64"/>
        <v>шт</v>
      </c>
      <c r="S306" s="10" t="str">
        <f t="shared" si="73"/>
        <v>OK</v>
      </c>
      <c r="T306" s="10" t="str">
        <f t="shared" si="74"/>
        <v>уникален</v>
      </c>
    </row>
    <row r="307" ht="15" customHeight="1">
      <c r="A307" s="10">
        <v>305</v>
      </c>
      <c r="B307" s="11" t="str">
        <f>RAW_Товары!A306</f>
        <v>АРТ_305</v>
      </c>
      <c r="C307" s="11" t="str">
        <f>RAW_Товары!B306</f>
        <v xml:space="preserve">монитор ACER NITRO XV282K</v>
      </c>
      <c r="D307" s="11" t="str">
        <f>RAW_Товары!C306</f>
        <v>Мониторы</v>
      </c>
      <c r="E307" s="11" t="str">
        <f>RAW_Товары!D306</f>
        <v>acer</v>
      </c>
      <c r="F307" s="11" t="str">
        <f>RAW_Товары!E306</f>
        <v xml:space="preserve">36 500</v>
      </c>
      <c r="G307" s="11" t="str">
        <f>RAW_Товары!F306</f>
        <v xml:space="preserve">57 500</v>
      </c>
      <c r="H307" s="11" t="str">
        <f>RAW_Товары!G306</f>
        <v>штука</v>
      </c>
      <c r="I307" s="12" t="str">
        <f t="shared" si="65"/>
        <v>305</v>
      </c>
      <c r="J307" s="12" t="str">
        <f t="shared" si="66"/>
        <v xml:space="preserve">монитор ACER NITRO XV282K</v>
      </c>
      <c r="K307" s="12" t="str">
        <f t="shared" si="67"/>
        <v>Мониторы</v>
      </c>
      <c r="L307" s="13" t="str">
        <f t="shared" si="68"/>
        <v>АРТ-305</v>
      </c>
      <c r="M307" s="13" t="str">
        <f t="shared" si="69"/>
        <v xml:space="preserve">Монитор Acer Nitro Xv282K</v>
      </c>
      <c r="N307" s="13" t="str">
        <f>IFERROR(VLOOKUP(K307,Справочники!$A$6:$B$16,2,0),"НЕТ В СПРАВОЧНИКЕ")</f>
        <v>Мониторы</v>
      </c>
      <c r="O307" s="13" t="str">
        <f t="shared" si="70"/>
        <v>Acer</v>
      </c>
      <c r="P307" s="14">
        <f t="shared" si="71"/>
        <v>36500</v>
      </c>
      <c r="Q307" s="14">
        <f t="shared" si="72"/>
        <v>57500</v>
      </c>
      <c r="R307" s="13" t="str">
        <f t="shared" si="64"/>
        <v>шт</v>
      </c>
      <c r="S307" s="10" t="str">
        <f t="shared" si="73"/>
        <v>OK</v>
      </c>
      <c r="T307" s="10" t="str">
        <f t="shared" si="74"/>
        <v>уникален</v>
      </c>
    </row>
    <row r="308" ht="15" customHeight="1">
      <c r="A308" s="10">
        <v>306</v>
      </c>
      <c r="B308" s="11" t="str">
        <f>RAW_Товары!A307</f>
        <v>306-24</v>
      </c>
      <c r="C308" s="11" t="str">
        <f>RAW_Товары!B307</f>
        <v xml:space="preserve">Монитор Acer Nitro XV282K (4K)</v>
      </c>
      <c r="D308" s="11" t="str">
        <f>RAW_Товары!C307</f>
        <v>Мониторы</v>
      </c>
      <c r="E308" s="11" t="str">
        <f>RAW_Товары!D307</f>
        <v>ACER</v>
      </c>
      <c r="F308" s="11" t="str">
        <f>RAW_Товары!E307</f>
        <v xml:space="preserve">39 500</v>
      </c>
      <c r="G308" s="11" t="str">
        <f>RAW_Товары!F307</f>
        <v xml:space="preserve">62 000</v>
      </c>
      <c r="H308" s="11" t="str">
        <f>RAW_Товары!G307</f>
        <v>шт</v>
      </c>
      <c r="I308" s="12" t="str">
        <f t="shared" si="65"/>
        <v>306-24</v>
      </c>
      <c r="J308" s="12" t="str">
        <f t="shared" si="66"/>
        <v xml:space="preserve">Монитор Acer Nitro XV282K</v>
      </c>
      <c r="K308" s="12" t="str">
        <f t="shared" si="67"/>
        <v>Мониторы</v>
      </c>
      <c r="L308" s="13" t="str">
        <f t="shared" si="68"/>
        <v>АРТ-306</v>
      </c>
      <c r="M308" s="13" t="str">
        <f t="shared" si="69"/>
        <v xml:space="preserve">Монитор Acer Nitro Xv282K</v>
      </c>
      <c r="N308" s="13" t="str">
        <f>IFERROR(VLOOKUP(K308,Справочники!$A$6:$B$16,2,0),"НЕТ В СПРАВОЧНИКЕ")</f>
        <v>Мониторы</v>
      </c>
      <c r="O308" s="13" t="str">
        <f t="shared" si="70"/>
        <v>Acer</v>
      </c>
      <c r="P308" s="14">
        <f t="shared" si="71"/>
        <v>39500</v>
      </c>
      <c r="Q308" s="14">
        <f t="shared" si="72"/>
        <v>62000</v>
      </c>
      <c r="R308" s="13" t="str">
        <f t="shared" si="64"/>
        <v>шт</v>
      </c>
      <c r="S308" s="10" t="str">
        <f t="shared" si="73"/>
        <v>OK</v>
      </c>
      <c r="T308" s="10" t="str">
        <f t="shared" si="74"/>
        <v>уникален</v>
      </c>
    </row>
    <row r="309" ht="15" customHeight="1">
      <c r="A309" s="10">
        <v>307</v>
      </c>
      <c r="B309" s="11" t="str">
        <f>RAW_Товары!A308</f>
        <v>№АРТ-307</v>
      </c>
      <c r="C309" s="11" t="str">
        <f>RAW_Товары!B308</f>
        <v xml:space="preserve">Мышь Razer Viper V2 Pro</v>
      </c>
      <c r="D309" s="11" t="str">
        <f>RAW_Товары!C308</f>
        <v>Аксессуары</v>
      </c>
      <c r="E309" s="11" t="str">
        <f>RAW_Товары!D308</f>
        <v>Razer</v>
      </c>
      <c r="F309" s="11" t="str">
        <f>RAW_Товары!E308</f>
        <v xml:space="preserve">5 000</v>
      </c>
      <c r="G309" s="11" t="str">
        <f>RAW_Товары!F308</f>
        <v xml:space="preserve">8 990</v>
      </c>
      <c r="H309" s="11" t="str">
        <f>RAW_Товары!G308</f>
        <v>шт.</v>
      </c>
      <c r="I309" s="12" t="str">
        <f t="shared" si="65"/>
        <v>307</v>
      </c>
      <c r="J309" s="12" t="str">
        <f t="shared" si="66"/>
        <v xml:space="preserve">Мышь Razer Viper V2 Pro</v>
      </c>
      <c r="K309" s="12" t="str">
        <f t="shared" si="67"/>
        <v>Аксессуары</v>
      </c>
      <c r="L309" s="13" t="str">
        <f t="shared" si="68"/>
        <v>АРТ-307</v>
      </c>
      <c r="M309" s="13" t="str">
        <f t="shared" si="69"/>
        <v xml:space="preserve">Мышь Razer Viper V2 Pro</v>
      </c>
      <c r="N309" s="13" t="str">
        <f>IFERROR(VLOOKUP(K309,Справочники!$A$6:$B$16,2,0),"НЕТ В СПРАВОЧНИКЕ")</f>
        <v>Аксессуары</v>
      </c>
      <c r="O309" s="13" t="str">
        <f t="shared" si="70"/>
        <v>Razer</v>
      </c>
      <c r="P309" s="14">
        <f t="shared" si="71"/>
        <v>5000</v>
      </c>
      <c r="Q309" s="14">
        <f t="shared" si="72"/>
        <v>8990</v>
      </c>
      <c r="R309" s="13" t="str">
        <f t="shared" si="64"/>
        <v>шт</v>
      </c>
      <c r="S309" s="10" t="str">
        <f t="shared" si="73"/>
        <v>OK</v>
      </c>
      <c r="T309" s="10" t="str">
        <f t="shared" si="74"/>
        <v>уникален</v>
      </c>
    </row>
    <row r="310" ht="15" customHeight="1">
      <c r="A310" s="10">
        <v>308</v>
      </c>
      <c r="B310" s="11" t="str">
        <f>RAW_Товары!A309</f>
        <v>АРТ_308</v>
      </c>
      <c r="C310" s="11" t="str">
        <f>RAW_Товары!B309</f>
        <v xml:space="preserve">мышь RAZER VIPER V2 PRO</v>
      </c>
      <c r="D310" s="11" t="str">
        <f>RAW_Товары!C309</f>
        <v>Аксессуары</v>
      </c>
      <c r="E310" s="11" t="str">
        <f>RAW_Товары!D309</f>
        <v>razer</v>
      </c>
      <c r="F310" s="11" t="str">
        <f>RAW_Товары!E309</f>
        <v xml:space="preserve">4 500</v>
      </c>
      <c r="G310" s="11" t="str">
        <f>RAW_Товары!F309</f>
        <v xml:space="preserve">8 500</v>
      </c>
      <c r="H310" s="11" t="str">
        <f>RAW_Товары!G309</f>
        <v>штуки</v>
      </c>
      <c r="I310" s="12" t="str">
        <f t="shared" si="65"/>
        <v>308</v>
      </c>
      <c r="J310" s="12" t="str">
        <f t="shared" si="66"/>
        <v xml:space="preserve">мышь RAZER VIPER V2 PRO</v>
      </c>
      <c r="K310" s="12" t="str">
        <f t="shared" si="67"/>
        <v>Аксессуары</v>
      </c>
      <c r="L310" s="13" t="str">
        <f t="shared" si="68"/>
        <v>АРТ-308</v>
      </c>
      <c r="M310" s="13" t="str">
        <f t="shared" si="69"/>
        <v xml:space="preserve">Мышь Razer Viper V2 Pro</v>
      </c>
      <c r="N310" s="13" t="str">
        <f>IFERROR(VLOOKUP(K310,Справочники!$A$6:$B$16,2,0),"НЕТ В СПРАВОЧНИКЕ")</f>
        <v>Аксессуары</v>
      </c>
      <c r="O310" s="13" t="str">
        <f t="shared" si="70"/>
        <v>Razer</v>
      </c>
      <c r="P310" s="14">
        <f t="shared" si="71"/>
        <v>4500</v>
      </c>
      <c r="Q310" s="14">
        <f t="shared" si="72"/>
        <v>8500</v>
      </c>
      <c r="R310" s="13" t="str">
        <f t="shared" si="64"/>
        <v>шт</v>
      </c>
      <c r="S310" s="10" t="str">
        <f t="shared" si="73"/>
        <v>OK</v>
      </c>
      <c r="T310" s="10" t="str">
        <f t="shared" si="74"/>
        <v>уникален</v>
      </c>
    </row>
    <row r="311" ht="15" customHeight="1">
      <c r="A311" s="10">
        <v>309</v>
      </c>
      <c r="B311" s="11" t="str">
        <f>RAW_Товары!A310</f>
        <v>309/24</v>
      </c>
      <c r="C311" s="11" t="str">
        <f>RAW_Товары!B310</f>
        <v xml:space="preserve">Мышь Razer Viper V2 Pro (White)</v>
      </c>
      <c r="D311" s="11" t="str">
        <f>RAW_Товары!C310</f>
        <v>Аксессуары</v>
      </c>
      <c r="E311" s="11" t="str">
        <f>RAW_Товары!D310</f>
        <v>RAZER</v>
      </c>
      <c r="F311" s="11" t="str">
        <f>RAW_Товары!E310</f>
        <v xml:space="preserve">5 500</v>
      </c>
      <c r="G311" s="11" t="str">
        <f>RAW_Товары!F310</f>
        <v xml:space="preserve">9 800</v>
      </c>
      <c r="H311" s="11" t="str">
        <f>RAW_Товары!G310</f>
        <v>шт</v>
      </c>
      <c r="I311" s="12" t="str">
        <f t="shared" si="65"/>
        <v>309/24</v>
      </c>
      <c r="J311" s="12" t="str">
        <f t="shared" si="66"/>
        <v xml:space="preserve">Мышь Razer Viper V2 Pro</v>
      </c>
      <c r="K311" s="12" t="str">
        <f t="shared" si="67"/>
        <v>Аксессуары</v>
      </c>
      <c r="L311" s="13" t="str">
        <f t="shared" si="68"/>
        <v>АРТ-309</v>
      </c>
      <c r="M311" s="13" t="str">
        <f t="shared" si="69"/>
        <v xml:space="preserve">Мышь Razer Viper V2 Pro</v>
      </c>
      <c r="N311" s="13" t="str">
        <f>IFERROR(VLOOKUP(K311,Справочники!$A$6:$B$16,2,0),"НЕТ В СПРАВОЧНИКЕ")</f>
        <v>Аксессуары</v>
      </c>
      <c r="O311" s="13" t="str">
        <f t="shared" si="70"/>
        <v>Razer</v>
      </c>
      <c r="P311" s="14">
        <f t="shared" si="71"/>
        <v>5500</v>
      </c>
      <c r="Q311" s="14">
        <f t="shared" si="72"/>
        <v>9800</v>
      </c>
      <c r="R311" s="13" t="str">
        <f t="shared" si="64"/>
        <v>шт</v>
      </c>
      <c r="S311" s="10" t="str">
        <f t="shared" si="73"/>
        <v>OK</v>
      </c>
      <c r="T311" s="10" t="str">
        <f t="shared" si="74"/>
        <v>уникален</v>
      </c>
    </row>
    <row r="312" ht="15" customHeight="1">
      <c r="A312" s="10">
        <v>310</v>
      </c>
      <c r="B312" s="11" t="str">
        <f>RAW_Товары!A311</f>
        <v>№АРТ-310</v>
      </c>
      <c r="C312" s="11" t="str">
        <f>RAW_Товары!B311</f>
        <v xml:space="preserve">Планшет Samsung Galaxy Tab S8</v>
      </c>
      <c r="D312" s="11" t="str">
        <f>RAW_Товары!C311</f>
        <v>Планшеты</v>
      </c>
      <c r="E312" s="11" t="str">
        <f>RAW_Товары!D311</f>
        <v>Samsung</v>
      </c>
      <c r="F312" s="11" t="str">
        <f>RAW_Товары!E311</f>
        <v xml:space="preserve">40 000</v>
      </c>
      <c r="G312" s="11" t="str">
        <f>RAW_Товары!F311</f>
        <v xml:space="preserve">64 990</v>
      </c>
      <c r="H312" s="11" t="str">
        <f>RAW_Товары!G311</f>
        <v>шт.</v>
      </c>
      <c r="I312" s="12" t="str">
        <f t="shared" si="65"/>
        <v>310</v>
      </c>
      <c r="J312" s="12" t="str">
        <f t="shared" si="66"/>
        <v xml:space="preserve">Планшет Samsung Galaxy Tab S8</v>
      </c>
      <c r="K312" s="12" t="str">
        <f t="shared" si="67"/>
        <v>Планшеты</v>
      </c>
      <c r="L312" s="13" t="str">
        <f t="shared" si="68"/>
        <v>АРТ-310</v>
      </c>
      <c r="M312" s="13" t="str">
        <f t="shared" si="69"/>
        <v xml:space="preserve">Планшет Samsung Galaxy Tab S8</v>
      </c>
      <c r="N312" s="13" t="str">
        <f>IFERROR(VLOOKUP(K312,Справочники!$A$6:$B$16,2,0),"НЕТ В СПРАВОЧНИКЕ")</f>
        <v>Планшеты</v>
      </c>
      <c r="O312" s="13" t="str">
        <f t="shared" si="70"/>
        <v>Samsung</v>
      </c>
      <c r="P312" s="14">
        <f t="shared" si="71"/>
        <v>40000</v>
      </c>
      <c r="Q312" s="14">
        <f t="shared" si="72"/>
        <v>64990</v>
      </c>
      <c r="R312" s="13" t="str">
        <f t="shared" si="64"/>
        <v>шт</v>
      </c>
      <c r="S312" s="10" t="str">
        <f t="shared" si="73"/>
        <v>OK</v>
      </c>
      <c r="T312" s="10" t="str">
        <f t="shared" si="74"/>
        <v>уникален</v>
      </c>
    </row>
    <row r="313" ht="15" customHeight="1">
      <c r="A313" s="10">
        <v>311</v>
      </c>
      <c r="B313" s="11" t="str">
        <f>RAW_Товары!A312</f>
        <v>АРТ_311</v>
      </c>
      <c r="C313" s="11" t="str">
        <f>RAW_Товары!B312</f>
        <v xml:space="preserve">планшет SAMSUNG GALAXY TAB S8</v>
      </c>
      <c r="D313" s="11" t="str">
        <f>RAW_Товары!C312</f>
        <v>Планшеты</v>
      </c>
      <c r="E313" s="11" t="str">
        <f>RAW_Товары!D312</f>
        <v>samsung</v>
      </c>
      <c r="F313" s="11" t="str">
        <f>RAW_Товары!E312</f>
        <v xml:space="preserve">38 500</v>
      </c>
      <c r="G313" s="11" t="str">
        <f>RAW_Товары!F312</f>
        <v xml:space="preserve">62 500</v>
      </c>
      <c r="H313" s="11" t="str">
        <f>RAW_Товары!G312</f>
        <v>штука</v>
      </c>
      <c r="I313" s="12" t="str">
        <f t="shared" si="65"/>
        <v>311</v>
      </c>
      <c r="J313" s="12" t="str">
        <f t="shared" si="66"/>
        <v xml:space="preserve">планшет SAMSUNG GALAXY TAB S8</v>
      </c>
      <c r="K313" s="12" t="str">
        <f t="shared" si="67"/>
        <v>Планшеты</v>
      </c>
      <c r="L313" s="13" t="str">
        <f t="shared" si="68"/>
        <v>АРТ-311</v>
      </c>
      <c r="M313" s="13" t="str">
        <f t="shared" si="69"/>
        <v xml:space="preserve">Планшет Samsung Galaxy Tab S8</v>
      </c>
      <c r="N313" s="13" t="str">
        <f>IFERROR(VLOOKUP(K313,Справочники!$A$6:$B$16,2,0),"НЕТ В СПРАВОЧНИКЕ")</f>
        <v>Планшеты</v>
      </c>
      <c r="O313" s="13" t="str">
        <f t="shared" si="70"/>
        <v>Samsung</v>
      </c>
      <c r="P313" s="14">
        <f t="shared" si="71"/>
        <v>38500</v>
      </c>
      <c r="Q313" s="14">
        <f t="shared" si="72"/>
        <v>62500</v>
      </c>
      <c r="R313" s="13" t="str">
        <f t="shared" si="64"/>
        <v>шт</v>
      </c>
      <c r="S313" s="10" t="str">
        <f t="shared" si="73"/>
        <v>OK</v>
      </c>
      <c r="T313" s="10" t="str">
        <f t="shared" si="74"/>
        <v>уникален</v>
      </c>
    </row>
    <row r="314" ht="15" customHeight="1">
      <c r="A314" s="10">
        <v>312</v>
      </c>
      <c r="B314" s="11" t="str">
        <f>RAW_Товары!A313</f>
        <v>312-24</v>
      </c>
      <c r="C314" s="11" t="str">
        <f>RAW_Товары!B313</f>
        <v xml:space="preserve">Планшет Samsung Galaxy Tab S8 (Ultra)</v>
      </c>
      <c r="D314" s="11" t="str">
        <f>RAW_Товары!C313</f>
        <v>Планшеты</v>
      </c>
      <c r="E314" s="11" t="str">
        <f>RAW_Товары!D313</f>
        <v>SAMSUNG</v>
      </c>
      <c r="F314" s="11" t="str">
        <f>RAW_Товары!E313</f>
        <v xml:space="preserve">41 500</v>
      </c>
      <c r="G314" s="11" t="str">
        <f>RAW_Товары!F313</f>
        <v xml:space="preserve">67 000</v>
      </c>
      <c r="H314" s="11" t="str">
        <f>RAW_Товары!G313</f>
        <v>шт</v>
      </c>
      <c r="I314" s="12" t="str">
        <f t="shared" si="65"/>
        <v>312-24</v>
      </c>
      <c r="J314" s="12" t="str">
        <f t="shared" si="66"/>
        <v xml:space="preserve">Планшет Samsung Galaxy Tab S8</v>
      </c>
      <c r="K314" s="12" t="str">
        <f t="shared" si="67"/>
        <v>Планшеты</v>
      </c>
      <c r="L314" s="13" t="str">
        <f t="shared" si="68"/>
        <v>АРТ-312</v>
      </c>
      <c r="M314" s="13" t="str">
        <f t="shared" si="69"/>
        <v xml:space="preserve">Планшет Samsung Galaxy Tab S8</v>
      </c>
      <c r="N314" s="13" t="str">
        <f>IFERROR(VLOOKUP(K314,Справочники!$A$6:$B$16,2,0),"НЕТ В СПРАВОЧНИКЕ")</f>
        <v>Планшеты</v>
      </c>
      <c r="O314" s="13" t="str">
        <f t="shared" si="70"/>
        <v>Samsung</v>
      </c>
      <c r="P314" s="14">
        <f t="shared" si="71"/>
        <v>41500</v>
      </c>
      <c r="Q314" s="14">
        <f t="shared" si="72"/>
        <v>67000</v>
      </c>
      <c r="R314" s="13" t="str">
        <f t="shared" si="64"/>
        <v>шт</v>
      </c>
      <c r="S314" s="10" t="str">
        <f t="shared" si="73"/>
        <v>OK</v>
      </c>
      <c r="T314" s="10" t="str">
        <f t="shared" si="74"/>
        <v>уникален</v>
      </c>
    </row>
    <row r="315" ht="15" customHeight="1">
      <c r="A315" s="10">
        <v>313</v>
      </c>
      <c r="B315" s="11" t="str">
        <f>RAW_Товары!A314</f>
        <v>№АРТ-313</v>
      </c>
      <c r="C315" s="11" t="str">
        <f>RAW_Товары!B314</f>
        <v xml:space="preserve">Смартфон Apple iPhone 14</v>
      </c>
      <c r="D315" s="11" t="str">
        <f>RAW_Товары!C314</f>
        <v>Смартфоны</v>
      </c>
      <c r="E315" s="11" t="str">
        <f>RAW_Товары!D314</f>
        <v>Apple</v>
      </c>
      <c r="F315" s="11" t="str">
        <f>RAW_Товары!E314</f>
        <v xml:space="preserve">42 000</v>
      </c>
      <c r="G315" s="11" t="str">
        <f>RAW_Товары!F314</f>
        <v xml:space="preserve">69 990</v>
      </c>
      <c r="H315" s="11" t="str">
        <f>RAW_Товары!G314</f>
        <v>шт.</v>
      </c>
      <c r="I315" s="12" t="str">
        <f t="shared" si="65"/>
        <v>313</v>
      </c>
      <c r="J315" s="12" t="str">
        <f t="shared" si="66"/>
        <v xml:space="preserve">Смартфон Apple iPhone 14</v>
      </c>
      <c r="K315" s="12" t="str">
        <f t="shared" si="67"/>
        <v>Смартфоны</v>
      </c>
      <c r="L315" s="13" t="str">
        <f t="shared" si="68"/>
        <v>АРТ-313</v>
      </c>
      <c r="M315" s="13" t="str">
        <f t="shared" si="69"/>
        <v xml:space="preserve">Смартфон Apple Iphone 14</v>
      </c>
      <c r="N315" s="13" t="str">
        <f>IFERROR(VLOOKUP(K315,Справочники!$A$6:$B$16,2,0),"НЕТ В СПРАВОЧНИКЕ")</f>
        <v>Смартфоны</v>
      </c>
      <c r="O315" s="13" t="str">
        <f t="shared" si="70"/>
        <v>Apple</v>
      </c>
      <c r="P315" s="14">
        <f t="shared" si="71"/>
        <v>42000</v>
      </c>
      <c r="Q315" s="14">
        <f t="shared" si="72"/>
        <v>69990</v>
      </c>
      <c r="R315" s="13" t="str">
        <f t="shared" si="64"/>
        <v>шт</v>
      </c>
      <c r="S315" s="10" t="str">
        <f t="shared" si="73"/>
        <v>OK</v>
      </c>
      <c r="T315" s="10" t="str">
        <f t="shared" si="74"/>
        <v>уникален</v>
      </c>
    </row>
    <row r="316" ht="15" customHeight="1">
      <c r="A316" s="10">
        <v>314</v>
      </c>
      <c r="B316" s="11" t="str">
        <f>RAW_Товары!A315</f>
        <v>АРТ_314</v>
      </c>
      <c r="C316" s="11" t="str">
        <f>RAW_Товары!B315</f>
        <v xml:space="preserve">смартфон APPLE IPHONE 14</v>
      </c>
      <c r="D316" s="11" t="str">
        <f>RAW_Товары!C315</f>
        <v>Телефоны</v>
      </c>
      <c r="E316" s="11" t="str">
        <f>RAW_Товары!D315</f>
        <v>apple</v>
      </c>
      <c r="F316" s="11" t="str">
        <f>RAW_Товары!E315</f>
        <v xml:space="preserve">40 500</v>
      </c>
      <c r="G316" s="11" t="str">
        <f>RAW_Товары!F315</f>
        <v xml:space="preserve">67 500</v>
      </c>
      <c r="H316" s="11" t="str">
        <f>RAW_Товары!G315</f>
        <v>штуки</v>
      </c>
      <c r="I316" s="12" t="str">
        <f t="shared" si="65"/>
        <v>314</v>
      </c>
      <c r="J316" s="12" t="str">
        <f t="shared" si="66"/>
        <v xml:space="preserve">смартфон APPLE IPHONE 14</v>
      </c>
      <c r="K316" s="12" t="str">
        <f t="shared" si="67"/>
        <v>Телефоны</v>
      </c>
      <c r="L316" s="13" t="str">
        <f t="shared" si="68"/>
        <v>АРТ-314</v>
      </c>
      <c r="M316" s="13" t="str">
        <f t="shared" si="69"/>
        <v xml:space="preserve">Смартфон Apple Iphone 14</v>
      </c>
      <c r="N316" s="13" t="str">
        <f>IFERROR(VLOOKUP(K316,Справочники!$A$6:$B$16,2,0),"НЕТ В СПРАВОЧНИКЕ")</f>
        <v>Смартфоны</v>
      </c>
      <c r="O316" s="13" t="str">
        <f t="shared" si="70"/>
        <v>Apple</v>
      </c>
      <c r="P316" s="14">
        <f t="shared" si="71"/>
        <v>40500</v>
      </c>
      <c r="Q316" s="14">
        <f t="shared" si="72"/>
        <v>67500</v>
      </c>
      <c r="R316" s="13" t="str">
        <f t="shared" si="64"/>
        <v>шт</v>
      </c>
      <c r="S316" s="10" t="str">
        <f t="shared" si="73"/>
        <v>OK</v>
      </c>
      <c r="T316" s="10" t="str">
        <f t="shared" si="74"/>
        <v>уникален</v>
      </c>
    </row>
    <row r="317" ht="15" customHeight="1">
      <c r="A317" s="10">
        <v>315</v>
      </c>
      <c r="B317" s="11" t="str">
        <f>RAW_Товары!A316</f>
        <v>315/24</v>
      </c>
      <c r="C317" s="11" t="str">
        <f>RAW_Товары!B316</f>
        <v xml:space="preserve">Смартфон Apple iPhone 14 (Blue)</v>
      </c>
      <c r="D317" s="11" t="str">
        <f>RAW_Товары!C316</f>
        <v xml:space="preserve">Мобильные телефоны</v>
      </c>
      <c r="E317" s="11" t="str">
        <f>RAW_Товары!D316</f>
        <v>APPLE</v>
      </c>
      <c r="F317" s="11" t="str">
        <f>RAW_Товары!E316</f>
        <v xml:space="preserve">43 500</v>
      </c>
      <c r="G317" s="11" t="str">
        <f>RAW_Товары!F316</f>
        <v xml:space="preserve">72 000</v>
      </c>
      <c r="H317" s="11" t="str">
        <f>RAW_Товары!G316</f>
        <v>шт</v>
      </c>
      <c r="I317" s="12" t="str">
        <f t="shared" si="65"/>
        <v>315/24</v>
      </c>
      <c r="J317" s="12" t="str">
        <f t="shared" si="66"/>
        <v xml:space="preserve">Смартфон Apple iPhone 14</v>
      </c>
      <c r="K317" s="12" t="str">
        <f t="shared" si="67"/>
        <v xml:space="preserve">Мобильные телефоны</v>
      </c>
      <c r="L317" s="13" t="str">
        <f t="shared" si="68"/>
        <v>АРТ-315</v>
      </c>
      <c r="M317" s="13" t="str">
        <f t="shared" si="69"/>
        <v xml:space="preserve">Смартфон Apple Iphone 14</v>
      </c>
      <c r="N317" s="13" t="str">
        <f>IFERROR(VLOOKUP(K317,Справочники!$A$6:$B$16,2,0),"НЕТ В СПРАВОЧНИКЕ")</f>
        <v>Смартфоны</v>
      </c>
      <c r="O317" s="13" t="str">
        <f t="shared" si="70"/>
        <v>Apple</v>
      </c>
      <c r="P317" s="14">
        <f t="shared" si="71"/>
        <v>43500</v>
      </c>
      <c r="Q317" s="14">
        <f t="shared" si="72"/>
        <v>72000</v>
      </c>
      <c r="R317" s="13" t="str">
        <f t="shared" si="64"/>
        <v>шт</v>
      </c>
      <c r="S317" s="10" t="str">
        <f t="shared" si="73"/>
        <v>OK</v>
      </c>
      <c r="T317" s="10" t="str">
        <f t="shared" si="74"/>
        <v>уникален</v>
      </c>
    </row>
    <row r="318" ht="15" customHeight="1">
      <c r="A318" s="10">
        <v>316</v>
      </c>
      <c r="B318" s="11" t="str">
        <f>RAW_Товары!A317</f>
        <v>№АРТ-316</v>
      </c>
      <c r="C318" s="11" t="str">
        <f>RAW_Товары!B317</f>
        <v xml:space="preserve">Ноутбук ASUS TUF Gaming F15</v>
      </c>
      <c r="D318" s="11" t="str">
        <f>RAW_Товары!C317</f>
        <v>Ноутбуки</v>
      </c>
      <c r="E318" s="11" t="str">
        <f>RAW_Товары!D317</f>
        <v>ASUS</v>
      </c>
      <c r="F318" s="11" t="str">
        <f>RAW_Товары!E317</f>
        <v xml:space="preserve">70 000</v>
      </c>
      <c r="G318" s="11" t="str">
        <f>RAW_Товары!F317</f>
        <v xml:space="preserve">109 990</v>
      </c>
      <c r="H318" s="11" t="str">
        <f>RAW_Товары!G317</f>
        <v>шт.</v>
      </c>
      <c r="I318" s="12" t="str">
        <f t="shared" si="65"/>
        <v>316</v>
      </c>
      <c r="J318" s="12" t="str">
        <f t="shared" si="66"/>
        <v xml:space="preserve">Ноутбук ASUS TUF Gaming F15</v>
      </c>
      <c r="K318" s="12" t="str">
        <f t="shared" si="67"/>
        <v>Ноутбуки</v>
      </c>
      <c r="L318" s="13" t="str">
        <f t="shared" si="68"/>
        <v>АРТ-316</v>
      </c>
      <c r="M318" s="13" t="str">
        <f t="shared" si="69"/>
        <v xml:space="preserve">Ноутбук Asus Tuf Gaming F15</v>
      </c>
      <c r="N318" s="13" t="str">
        <f>IFERROR(VLOOKUP(K318,Справочники!$A$6:$B$16,2,0),"НЕТ В СПРАВОЧНИКЕ")</f>
        <v>Ноутбуки</v>
      </c>
      <c r="O318" s="13" t="str">
        <f t="shared" si="70"/>
        <v>Asus</v>
      </c>
      <c r="P318" s="14">
        <f t="shared" si="71"/>
        <v>70000</v>
      </c>
      <c r="Q318" s="14">
        <f t="shared" si="72"/>
        <v>109990</v>
      </c>
      <c r="R318" s="13" t="str">
        <f t="shared" si="64"/>
        <v>шт</v>
      </c>
      <c r="S318" s="10" t="str">
        <f t="shared" si="73"/>
        <v>OK</v>
      </c>
      <c r="T318" s="10" t="str">
        <f t="shared" si="74"/>
        <v>уникален</v>
      </c>
    </row>
    <row r="319" ht="15" customHeight="1">
      <c r="A319" s="10">
        <v>317</v>
      </c>
      <c r="B319" s="11" t="str">
        <f>RAW_Товары!A318</f>
        <v>АРТ_317</v>
      </c>
      <c r="C319" s="11" t="str">
        <f>RAW_Товары!B318</f>
        <v xml:space="preserve">ноутбук ASUS TUF GAMING F15</v>
      </c>
      <c r="D319" s="11" t="str">
        <f>RAW_Товары!C318</f>
        <v>Лэптопы</v>
      </c>
      <c r="E319" s="11" t="str">
        <f>RAW_Товары!D318</f>
        <v>asus</v>
      </c>
      <c r="F319" s="11" t="str">
        <f>RAW_Товары!E318</f>
        <v xml:space="preserve">68 000</v>
      </c>
      <c r="G319" s="11" t="str">
        <f>RAW_Товары!F318</f>
        <v xml:space="preserve">107 000</v>
      </c>
      <c r="H319" s="11" t="str">
        <f>RAW_Товары!G318</f>
        <v>штука</v>
      </c>
      <c r="I319" s="12" t="str">
        <f t="shared" si="65"/>
        <v>317</v>
      </c>
      <c r="J319" s="12" t="str">
        <f t="shared" si="66"/>
        <v xml:space="preserve">ноутбук ASUS TUF GAMING F15</v>
      </c>
      <c r="K319" s="12" t="str">
        <f t="shared" si="67"/>
        <v>Лэптопы</v>
      </c>
      <c r="L319" s="13" t="str">
        <f t="shared" si="68"/>
        <v>АРТ-317</v>
      </c>
      <c r="M319" s="13" t="str">
        <f t="shared" si="69"/>
        <v xml:space="preserve">Ноутбук Asus Tuf Gaming F15</v>
      </c>
      <c r="N319" s="13" t="str">
        <f>IFERROR(VLOOKUP(K319,Справочники!$A$6:$B$16,2,0),"НЕТ В СПРАВОЧНИКЕ")</f>
        <v>Ноутбуки</v>
      </c>
      <c r="O319" s="13" t="str">
        <f t="shared" si="70"/>
        <v>Asus</v>
      </c>
      <c r="P319" s="14">
        <f t="shared" si="71"/>
        <v>68000</v>
      </c>
      <c r="Q319" s="14">
        <f t="shared" si="72"/>
        <v>107000</v>
      </c>
      <c r="R319" s="13" t="str">
        <f t="shared" si="64"/>
        <v>шт</v>
      </c>
      <c r="S319" s="10" t="str">
        <f t="shared" si="73"/>
        <v>OK</v>
      </c>
      <c r="T319" s="10" t="str">
        <f t="shared" si="74"/>
        <v>уникален</v>
      </c>
    </row>
    <row r="320" ht="15" customHeight="1">
      <c r="A320" s="10">
        <v>318</v>
      </c>
      <c r="B320" s="11" t="str">
        <f>RAW_Товары!A319</f>
        <v>318-24</v>
      </c>
      <c r="C320" s="11" t="str">
        <f>RAW_Товары!B319</f>
        <v xml:space="preserve">Ноутбук ASUS TUF Gaming F15 (Gaming)</v>
      </c>
      <c r="D320" s="11" t="str">
        <f>RAW_Товары!C319</f>
        <v>Ноутбуки</v>
      </c>
      <c r="E320" s="11" t="str">
        <f>RAW_Товары!D319</f>
        <v>ASUS</v>
      </c>
      <c r="F320" s="11" t="str">
        <f>RAW_Товары!E319</f>
        <v xml:space="preserve">71 500</v>
      </c>
      <c r="G320" s="11" t="str">
        <f>RAW_Товары!F319</f>
        <v xml:space="preserve">112 500</v>
      </c>
      <c r="H320" s="11" t="str">
        <f>RAW_Товары!G319</f>
        <v>шт</v>
      </c>
      <c r="I320" s="12" t="str">
        <f t="shared" si="65"/>
        <v>318-24</v>
      </c>
      <c r="J320" s="12" t="str">
        <f t="shared" si="66"/>
        <v xml:space="preserve">Ноутбук ASUS TUF Gaming F15</v>
      </c>
      <c r="K320" s="12" t="str">
        <f t="shared" si="67"/>
        <v>Ноутбуки</v>
      </c>
      <c r="L320" s="13" t="str">
        <f t="shared" si="68"/>
        <v>АРТ-318</v>
      </c>
      <c r="M320" s="13" t="str">
        <f t="shared" si="69"/>
        <v xml:space="preserve">Ноутбук Asus Tuf Gaming F15</v>
      </c>
      <c r="N320" s="13" t="str">
        <f>IFERROR(VLOOKUP(K320,Справочники!$A$6:$B$16,2,0),"НЕТ В СПРАВОЧНИКЕ")</f>
        <v>Ноутбуки</v>
      </c>
      <c r="O320" s="13" t="str">
        <f t="shared" si="70"/>
        <v>Asus</v>
      </c>
      <c r="P320" s="14">
        <f t="shared" si="71"/>
        <v>71500</v>
      </c>
      <c r="Q320" s="14">
        <f t="shared" si="72"/>
        <v>112500</v>
      </c>
      <c r="R320" s="13" t="str">
        <f t="shared" si="64"/>
        <v>шт</v>
      </c>
      <c r="S320" s="10" t="str">
        <f t="shared" si="73"/>
        <v>OK</v>
      </c>
      <c r="T320" s="10" t="str">
        <f t="shared" si="74"/>
        <v>уникален</v>
      </c>
    </row>
    <row r="321" ht="15" customHeight="1">
      <c r="A321" s="10">
        <v>319</v>
      </c>
      <c r="B321" s="11" t="str">
        <f>RAW_Товары!A320</f>
        <v>№АРТ-319</v>
      </c>
      <c r="C321" s="11" t="str">
        <f>RAW_Товары!B320</f>
        <v xml:space="preserve">Телевизор TCL 98C735</v>
      </c>
      <c r="D321" s="11" t="str">
        <f>RAW_Товары!C320</f>
        <v>Телевизоры</v>
      </c>
      <c r="E321" s="11" t="str">
        <f>RAW_Товары!D320</f>
        <v>TCL</v>
      </c>
      <c r="F321" s="11" t="str">
        <f>RAW_Товары!E320</f>
        <v xml:space="preserve">120 000</v>
      </c>
      <c r="G321" s="11" t="str">
        <f>RAW_Товары!F320</f>
        <v xml:space="preserve">184 990</v>
      </c>
      <c r="H321" s="11" t="str">
        <f>RAW_Товары!G320</f>
        <v>шт.</v>
      </c>
      <c r="I321" s="12" t="str">
        <f t="shared" si="65"/>
        <v>319</v>
      </c>
      <c r="J321" s="12" t="str">
        <f t="shared" si="66"/>
        <v xml:space="preserve">Телевизор TCL 98C735</v>
      </c>
      <c r="K321" s="12" t="str">
        <f t="shared" si="67"/>
        <v>Телевизоры</v>
      </c>
      <c r="L321" s="13" t="str">
        <f t="shared" si="68"/>
        <v>АРТ-319</v>
      </c>
      <c r="M321" s="13" t="str">
        <f t="shared" si="69"/>
        <v xml:space="preserve">Телевизор Tcl 98C735</v>
      </c>
      <c r="N321" s="13" t="str">
        <f>IFERROR(VLOOKUP(K321,Справочники!$A$6:$B$16,2,0),"НЕТ В СПРАВОЧНИКЕ")</f>
        <v>Телевизоры</v>
      </c>
      <c r="O321" s="13" t="str">
        <f t="shared" si="70"/>
        <v>Tcl</v>
      </c>
      <c r="P321" s="14">
        <f t="shared" si="71"/>
        <v>120000</v>
      </c>
      <c r="Q321" s="14">
        <f t="shared" si="72"/>
        <v>184990</v>
      </c>
      <c r="R321" s="13" t="str">
        <f t="shared" si="64"/>
        <v>шт</v>
      </c>
      <c r="S321" s="10" t="str">
        <f t="shared" si="73"/>
        <v>OK</v>
      </c>
      <c r="T321" s="10" t="str">
        <f t="shared" si="74"/>
        <v>уникален</v>
      </c>
    </row>
    <row r="322" ht="15" customHeight="1">
      <c r="A322" s="10">
        <v>320</v>
      </c>
      <c r="B322" s="11" t="str">
        <f>RAW_Товары!A321</f>
        <v>АРТ_320</v>
      </c>
      <c r="C322" s="11" t="str">
        <f>RAW_Товары!B321</f>
        <v xml:space="preserve">телевизор TCL 98C735</v>
      </c>
      <c r="D322" s="11" t="str">
        <f>RAW_Товары!C321</f>
        <v>Телевизоры</v>
      </c>
      <c r="E322" s="11" t="str">
        <f>RAW_Товары!D321</f>
        <v>tcl</v>
      </c>
      <c r="F322" s="11" t="str">
        <f>RAW_Товары!E321</f>
        <v xml:space="preserve">118 000</v>
      </c>
      <c r="G322" s="11" t="str">
        <f>RAW_Товары!F321</f>
        <v xml:space="preserve">181 500</v>
      </c>
      <c r="H322" s="11" t="str">
        <f>RAW_Товары!G321</f>
        <v>штуки</v>
      </c>
      <c r="I322" s="12" t="str">
        <f t="shared" si="65"/>
        <v>320</v>
      </c>
      <c r="J322" s="12" t="str">
        <f t="shared" si="66"/>
        <v xml:space="preserve">телевизор TCL 98C735</v>
      </c>
      <c r="K322" s="12" t="str">
        <f t="shared" si="67"/>
        <v>Телевизоры</v>
      </c>
      <c r="L322" s="13" t="str">
        <f t="shared" si="68"/>
        <v>АРТ-320</v>
      </c>
      <c r="M322" s="13" t="str">
        <f t="shared" si="69"/>
        <v xml:space="preserve">Телевизор Tcl 98C735</v>
      </c>
      <c r="N322" s="13" t="str">
        <f>IFERROR(VLOOKUP(K322,Справочники!$A$6:$B$16,2,0),"НЕТ В СПРАВОЧНИКЕ")</f>
        <v>Телевизоры</v>
      </c>
      <c r="O322" s="13" t="str">
        <f t="shared" si="70"/>
        <v>Tcl</v>
      </c>
      <c r="P322" s="14">
        <f t="shared" si="71"/>
        <v>118000</v>
      </c>
      <c r="Q322" s="14">
        <f t="shared" si="72"/>
        <v>181500</v>
      </c>
      <c r="R322" s="13" t="str">
        <f t="shared" si="64"/>
        <v>шт</v>
      </c>
      <c r="S322" s="10" t="str">
        <f t="shared" si="73"/>
        <v>OK</v>
      </c>
      <c r="T322" s="10" t="str">
        <f t="shared" si="74"/>
        <v>уникален</v>
      </c>
    </row>
    <row r="323" ht="15" customHeight="1">
      <c r="A323" s="10">
        <v>321</v>
      </c>
      <c r="B323" s="11" t="str">
        <f>RAW_Товары!A322</f>
        <v>321/24</v>
      </c>
      <c r="C323" s="11" t="str">
        <f>RAW_Товары!B322</f>
        <v xml:space="preserve">Телевизор TCL 98C735 (QLED)</v>
      </c>
      <c r="D323" s="11" t="str">
        <f>RAW_Товары!C322</f>
        <v>Телевизоры</v>
      </c>
      <c r="E323" s="11" t="str">
        <f>RAW_Товары!D322</f>
        <v>TCL</v>
      </c>
      <c r="F323" s="11" t="str">
        <f>RAW_Товары!E322</f>
        <v xml:space="preserve">122 000</v>
      </c>
      <c r="G323" s="11" t="str">
        <f>RAW_Товары!F322</f>
        <v xml:space="preserve">188 000</v>
      </c>
      <c r="H323" s="11" t="str">
        <f>RAW_Товары!G322</f>
        <v>шт</v>
      </c>
      <c r="I323" s="12" t="str">
        <f t="shared" si="65"/>
        <v>321/24</v>
      </c>
      <c r="J323" s="12" t="str">
        <f t="shared" si="66"/>
        <v xml:space="preserve">Телевизор TCL 98C735</v>
      </c>
      <c r="K323" s="12" t="str">
        <f t="shared" si="67"/>
        <v>Телевизоры</v>
      </c>
      <c r="L323" s="13" t="str">
        <f t="shared" si="68"/>
        <v>АРТ-321</v>
      </c>
      <c r="M323" s="13" t="str">
        <f t="shared" si="69"/>
        <v xml:space="preserve">Телевизор Tcl 98C735</v>
      </c>
      <c r="N323" s="13" t="str">
        <f>IFERROR(VLOOKUP(K323,Справочники!$A$6:$B$16,2,0),"НЕТ В СПРАВОЧНИКЕ")</f>
        <v>Телевизоры</v>
      </c>
      <c r="O323" s="13" t="str">
        <f t="shared" si="70"/>
        <v>Tcl</v>
      </c>
      <c r="P323" s="14">
        <f t="shared" si="71"/>
        <v>122000</v>
      </c>
      <c r="Q323" s="14">
        <f t="shared" si="72"/>
        <v>188000</v>
      </c>
      <c r="R323" s="13" t="str">
        <f t="shared" ref="R323:R386" si="75">"шт"</f>
        <v>шт</v>
      </c>
      <c r="S323" s="10" t="str">
        <f t="shared" si="73"/>
        <v>OK</v>
      </c>
      <c r="T323" s="10" t="str">
        <f t="shared" si="74"/>
        <v>уникален</v>
      </c>
    </row>
    <row r="324" ht="15" customHeight="1">
      <c r="A324" s="10">
        <v>322</v>
      </c>
      <c r="B324" s="11" t="str">
        <f>RAW_Товары!A323</f>
        <v>№АРТ-322</v>
      </c>
      <c r="C324" s="11" t="str">
        <f>RAW_Товары!B323</f>
        <v xml:space="preserve">Наушники Sony WH-CH720N</v>
      </c>
      <c r="D324" s="11" t="str">
        <f>RAW_Товары!C323</f>
        <v>Наушники</v>
      </c>
      <c r="E324" s="11" t="str">
        <f>RAW_Товары!D323</f>
        <v>Sony</v>
      </c>
      <c r="F324" s="11" t="str">
        <f>RAW_Товары!E323</f>
        <v xml:space="preserve">8 000</v>
      </c>
      <c r="G324" s="11" t="str">
        <f>RAW_Товары!F323</f>
        <v xml:space="preserve">12 990</v>
      </c>
      <c r="H324" s="11" t="str">
        <f>RAW_Товары!G323</f>
        <v>шт.</v>
      </c>
      <c r="I324" s="12" t="str">
        <f t="shared" si="65"/>
        <v>322</v>
      </c>
      <c r="J324" s="12" t="str">
        <f t="shared" si="66"/>
        <v xml:space="preserve">Наушники Sony WH-CH720N</v>
      </c>
      <c r="K324" s="12" t="str">
        <f t="shared" si="67"/>
        <v>Наушники</v>
      </c>
      <c r="L324" s="13" t="str">
        <f t="shared" si="68"/>
        <v>АРТ-322</v>
      </c>
      <c r="M324" s="13" t="str">
        <f t="shared" si="69"/>
        <v xml:space="preserve">Наушники Sony Wh-Ch720N</v>
      </c>
      <c r="N324" s="13" t="str">
        <f>IFERROR(VLOOKUP(K324,Справочники!$A$6:$B$16,2,0),"НЕТ В СПРАВОЧНИКЕ")</f>
        <v>Наушники</v>
      </c>
      <c r="O324" s="13" t="str">
        <f t="shared" si="70"/>
        <v>Sony</v>
      </c>
      <c r="P324" s="14">
        <f t="shared" si="71"/>
        <v>8000</v>
      </c>
      <c r="Q324" s="14">
        <f t="shared" si="72"/>
        <v>12990</v>
      </c>
      <c r="R324" s="13" t="str">
        <f t="shared" si="75"/>
        <v>шт</v>
      </c>
      <c r="S324" s="10" t="str">
        <f t="shared" si="73"/>
        <v>OK</v>
      </c>
      <c r="T324" s="10" t="str">
        <f t="shared" si="74"/>
        <v>уникален</v>
      </c>
    </row>
    <row r="325" ht="15" customHeight="1">
      <c r="A325" s="10">
        <v>323</v>
      </c>
      <c r="B325" s="11" t="str">
        <f>RAW_Товары!A324</f>
        <v>АРТ_323</v>
      </c>
      <c r="C325" s="11" t="str">
        <f>RAW_Товары!B324</f>
        <v xml:space="preserve">наушники SONY WH-CH720N</v>
      </c>
      <c r="D325" s="11" t="str">
        <f>RAW_Товары!C324</f>
        <v>Наушники</v>
      </c>
      <c r="E325" s="11" t="str">
        <f>RAW_Товары!D324</f>
        <v>sony</v>
      </c>
      <c r="F325" s="11" t="str">
        <f>RAW_Товары!E324</f>
        <v xml:space="preserve">7 500</v>
      </c>
      <c r="G325" s="11" t="str">
        <f>RAW_Товары!F324</f>
        <v xml:space="preserve">12 500</v>
      </c>
      <c r="H325" s="11" t="str">
        <f>RAW_Товары!G324</f>
        <v>штука</v>
      </c>
      <c r="I325" s="12" t="str">
        <f t="shared" si="65"/>
        <v>323</v>
      </c>
      <c r="J325" s="12" t="str">
        <f t="shared" si="66"/>
        <v xml:space="preserve">наушники SONY WH-CH720N</v>
      </c>
      <c r="K325" s="12" t="str">
        <f t="shared" si="67"/>
        <v>Наушники</v>
      </c>
      <c r="L325" s="13" t="str">
        <f t="shared" si="68"/>
        <v>АРТ-323</v>
      </c>
      <c r="M325" s="13" t="str">
        <f t="shared" si="69"/>
        <v xml:space="preserve">Наушники Sony Wh-Ch720N</v>
      </c>
      <c r="N325" s="13" t="str">
        <f>IFERROR(VLOOKUP(K325,Справочники!$A$6:$B$16,2,0),"НЕТ В СПРАВОЧНИКЕ")</f>
        <v>Наушники</v>
      </c>
      <c r="O325" s="13" t="str">
        <f t="shared" si="70"/>
        <v>Sony</v>
      </c>
      <c r="P325" s="14">
        <f t="shared" si="71"/>
        <v>7500</v>
      </c>
      <c r="Q325" s="14">
        <f t="shared" si="72"/>
        <v>12500</v>
      </c>
      <c r="R325" s="13" t="str">
        <f t="shared" si="75"/>
        <v>шт</v>
      </c>
      <c r="S325" s="10" t="str">
        <f t="shared" si="73"/>
        <v>OK</v>
      </c>
      <c r="T325" s="10" t="str">
        <f t="shared" si="74"/>
        <v>уникален</v>
      </c>
    </row>
    <row r="326" ht="15" customHeight="1">
      <c r="A326" s="10">
        <v>324</v>
      </c>
      <c r="B326" s="11" t="str">
        <f>RAW_Товары!A325</f>
        <v>324-24</v>
      </c>
      <c r="C326" s="11" t="str">
        <f>RAW_Товары!B325</f>
        <v xml:space="preserve">Наушники Sony WH-CH720N (Black)</v>
      </c>
      <c r="D326" s="11" t="str">
        <f>RAW_Товары!C325</f>
        <v>Наушники</v>
      </c>
      <c r="E326" s="11" t="str">
        <f>RAW_Товары!D325</f>
        <v>SONY</v>
      </c>
      <c r="F326" s="11" t="str">
        <f>RAW_Товары!E325</f>
        <v xml:space="preserve">8 500</v>
      </c>
      <c r="G326" s="11" t="str">
        <f>RAW_Товары!F325</f>
        <v xml:space="preserve">13 800</v>
      </c>
      <c r="H326" s="11" t="str">
        <f>RAW_Товары!G325</f>
        <v>шт</v>
      </c>
      <c r="I326" s="12" t="str">
        <f t="shared" si="65"/>
        <v>324-24</v>
      </c>
      <c r="J326" s="12" t="str">
        <f t="shared" si="66"/>
        <v xml:space="preserve">Наушники Sony WH-CH720N</v>
      </c>
      <c r="K326" s="12" t="str">
        <f t="shared" si="67"/>
        <v>Наушники</v>
      </c>
      <c r="L326" s="13" t="str">
        <f t="shared" si="68"/>
        <v>АРТ-324</v>
      </c>
      <c r="M326" s="13" t="str">
        <f t="shared" si="69"/>
        <v xml:space="preserve">Наушники Sony Wh-Ch720N</v>
      </c>
      <c r="N326" s="13" t="str">
        <f>IFERROR(VLOOKUP(K326,Справочники!$A$6:$B$16,2,0),"НЕТ В СПРАВОЧНИКЕ")</f>
        <v>Наушники</v>
      </c>
      <c r="O326" s="13" t="str">
        <f t="shared" si="70"/>
        <v>Sony</v>
      </c>
      <c r="P326" s="14">
        <f t="shared" si="71"/>
        <v>8500</v>
      </c>
      <c r="Q326" s="14">
        <f t="shared" si="72"/>
        <v>13800</v>
      </c>
      <c r="R326" s="13" t="str">
        <f t="shared" si="75"/>
        <v>шт</v>
      </c>
      <c r="S326" s="10" t="str">
        <f t="shared" si="73"/>
        <v>OK</v>
      </c>
      <c r="T326" s="10" t="str">
        <f t="shared" si="74"/>
        <v>уникален</v>
      </c>
    </row>
    <row r="327" ht="15" customHeight="1">
      <c r="A327" s="10">
        <v>325</v>
      </c>
      <c r="B327" s="11" t="str">
        <f>RAW_Товары!A326</f>
        <v>№АРТ-325</v>
      </c>
      <c r="C327" s="11" t="str">
        <f>RAW_Товары!B326</f>
        <v xml:space="preserve">Монитор LG 27UP850N</v>
      </c>
      <c r="D327" s="11" t="str">
        <f>RAW_Товары!C326</f>
        <v>Мониторы</v>
      </c>
      <c r="E327" s="11" t="str">
        <f>RAW_Товары!D326</f>
        <v>LG</v>
      </c>
      <c r="F327" s="11" t="str">
        <f>RAW_Товары!E326</f>
        <v xml:space="preserve">43 000</v>
      </c>
      <c r="G327" s="11" t="str">
        <f>RAW_Товары!F326</f>
        <v xml:space="preserve">66 990</v>
      </c>
      <c r="H327" s="11" t="str">
        <f>RAW_Товары!G326</f>
        <v>шт.</v>
      </c>
      <c r="I327" s="12" t="str">
        <f t="shared" si="65"/>
        <v>325</v>
      </c>
      <c r="J327" s="12" t="str">
        <f t="shared" si="66"/>
        <v xml:space="preserve">Монитор LG 27UP850N</v>
      </c>
      <c r="K327" s="12" t="str">
        <f t="shared" si="67"/>
        <v>Мониторы</v>
      </c>
      <c r="L327" s="13" t="str">
        <f t="shared" si="68"/>
        <v>АРТ-325</v>
      </c>
      <c r="M327" s="13" t="str">
        <f t="shared" si="69"/>
        <v xml:space="preserve">Монитор Lg 27Up850N</v>
      </c>
      <c r="N327" s="13" t="str">
        <f>IFERROR(VLOOKUP(K327,Справочники!$A$6:$B$16,2,0),"НЕТ В СПРАВОЧНИКЕ")</f>
        <v>Мониторы</v>
      </c>
      <c r="O327" s="13" t="str">
        <f t="shared" si="70"/>
        <v>Lg</v>
      </c>
      <c r="P327" s="14">
        <f t="shared" si="71"/>
        <v>43000</v>
      </c>
      <c r="Q327" s="14">
        <f t="shared" si="72"/>
        <v>66990</v>
      </c>
      <c r="R327" s="13" t="str">
        <f t="shared" si="75"/>
        <v>шт</v>
      </c>
      <c r="S327" s="10" t="str">
        <f t="shared" si="73"/>
        <v>OK</v>
      </c>
      <c r="T327" s="10" t="str">
        <f t="shared" si="74"/>
        <v>уникален</v>
      </c>
    </row>
    <row r="328" ht="15" customHeight="1">
      <c r="A328" s="10">
        <v>326</v>
      </c>
      <c r="B328" s="11" t="str">
        <f>RAW_Товары!A327</f>
        <v>АРТ_326</v>
      </c>
      <c r="C328" s="11" t="str">
        <f>RAW_Товары!B327</f>
        <v xml:space="preserve">монитор LG 27UP850N</v>
      </c>
      <c r="D328" s="11" t="str">
        <f>RAW_Товары!C327</f>
        <v>Мониторы</v>
      </c>
      <c r="E328" s="11" t="str">
        <f>RAW_Товары!D327</f>
        <v>lg</v>
      </c>
      <c r="F328" s="11" t="str">
        <f>RAW_Товары!E327</f>
        <v xml:space="preserve">41 500</v>
      </c>
      <c r="G328" s="11" t="str">
        <f>RAW_Товары!F327</f>
        <v xml:space="preserve">64 500</v>
      </c>
      <c r="H328" s="11" t="str">
        <f>RAW_Товары!G327</f>
        <v>штуки</v>
      </c>
      <c r="I328" s="12" t="str">
        <f t="shared" si="65"/>
        <v>326</v>
      </c>
      <c r="J328" s="12" t="str">
        <f t="shared" si="66"/>
        <v xml:space="preserve">монитор LG 27UP850N</v>
      </c>
      <c r="K328" s="12" t="str">
        <f t="shared" si="67"/>
        <v>Мониторы</v>
      </c>
      <c r="L328" s="13" t="str">
        <f t="shared" si="68"/>
        <v>АРТ-326</v>
      </c>
      <c r="M328" s="13" t="str">
        <f t="shared" si="69"/>
        <v xml:space="preserve">Монитор Lg 27Up850N</v>
      </c>
      <c r="N328" s="13" t="str">
        <f>IFERROR(VLOOKUP(K328,Справочники!$A$6:$B$16,2,0),"НЕТ В СПРАВОЧНИКЕ")</f>
        <v>Мониторы</v>
      </c>
      <c r="O328" s="13" t="str">
        <f t="shared" si="70"/>
        <v>Lg</v>
      </c>
      <c r="P328" s="14">
        <f t="shared" si="71"/>
        <v>41500</v>
      </c>
      <c r="Q328" s="14">
        <f t="shared" si="72"/>
        <v>64500</v>
      </c>
      <c r="R328" s="13" t="str">
        <f t="shared" si="75"/>
        <v>шт</v>
      </c>
      <c r="S328" s="10" t="str">
        <f t="shared" si="73"/>
        <v>OK</v>
      </c>
      <c r="T328" s="10" t="str">
        <f t="shared" si="74"/>
        <v>уникален</v>
      </c>
    </row>
    <row r="329" ht="15" customHeight="1">
      <c r="A329" s="10">
        <v>327</v>
      </c>
      <c r="B329" s="11" t="str">
        <f>RAW_Товары!A328</f>
        <v>327/24</v>
      </c>
      <c r="C329" s="11" t="str">
        <f>RAW_Товары!B328</f>
        <v xml:space="preserve">Монитор LG 27UP850N (4K)</v>
      </c>
      <c r="D329" s="11" t="str">
        <f>RAW_Товары!C328</f>
        <v>Мониторы</v>
      </c>
      <c r="E329" s="11" t="str">
        <f>RAW_Товары!D328</f>
        <v>LG</v>
      </c>
      <c r="F329" s="11" t="str">
        <f>RAW_Товары!E328</f>
        <v xml:space="preserve">44 500</v>
      </c>
      <c r="G329" s="11" t="str">
        <f>RAW_Товары!F328</f>
        <v xml:space="preserve">69 000</v>
      </c>
      <c r="H329" s="11" t="str">
        <f>RAW_Товары!G328</f>
        <v>шт</v>
      </c>
      <c r="I329" s="12" t="str">
        <f t="shared" si="65"/>
        <v>327/24</v>
      </c>
      <c r="J329" s="12" t="str">
        <f t="shared" si="66"/>
        <v xml:space="preserve">Монитор LG 27UP850N</v>
      </c>
      <c r="K329" s="12" t="str">
        <f t="shared" si="67"/>
        <v>Мониторы</v>
      </c>
      <c r="L329" s="13" t="str">
        <f t="shared" si="68"/>
        <v>АРТ-327</v>
      </c>
      <c r="M329" s="13" t="str">
        <f t="shared" si="69"/>
        <v xml:space="preserve">Монитор Lg 27Up850N</v>
      </c>
      <c r="N329" s="13" t="str">
        <f>IFERROR(VLOOKUP(K329,Справочники!$A$6:$B$16,2,0),"НЕТ В СПРАВОЧНИКЕ")</f>
        <v>Мониторы</v>
      </c>
      <c r="O329" s="13" t="str">
        <f t="shared" si="70"/>
        <v>Lg</v>
      </c>
      <c r="P329" s="14">
        <f t="shared" si="71"/>
        <v>44500</v>
      </c>
      <c r="Q329" s="14">
        <f t="shared" si="72"/>
        <v>69000</v>
      </c>
      <c r="R329" s="13" t="str">
        <f t="shared" si="75"/>
        <v>шт</v>
      </c>
      <c r="S329" s="10" t="str">
        <f t="shared" si="73"/>
        <v>OK</v>
      </c>
      <c r="T329" s="10" t="str">
        <f t="shared" si="74"/>
        <v>уникален</v>
      </c>
    </row>
    <row r="330" ht="15" customHeight="1">
      <c r="A330" s="10">
        <v>328</v>
      </c>
      <c r="B330" s="11" t="str">
        <f>RAW_Товары!A329</f>
        <v>№АРТ-328</v>
      </c>
      <c r="C330" s="11" t="str">
        <f>RAW_Товары!B329</f>
        <v xml:space="preserve">Клавиатура Keychron Q1 Pro</v>
      </c>
      <c r="D330" s="11" t="str">
        <f>RAW_Товары!C329</f>
        <v>Аксессуары</v>
      </c>
      <c r="E330" s="11" t="str">
        <f>RAW_Товары!D329</f>
        <v>Keychron</v>
      </c>
      <c r="F330" s="11" t="str">
        <f>RAW_Товары!E329</f>
        <v xml:space="preserve">7 000</v>
      </c>
      <c r="G330" s="11" t="str">
        <f>RAW_Товары!F329</f>
        <v xml:space="preserve">11 990</v>
      </c>
      <c r="H330" s="11" t="str">
        <f>RAW_Товары!G329</f>
        <v>шт.</v>
      </c>
      <c r="I330" s="12" t="str">
        <f t="shared" si="65"/>
        <v>328</v>
      </c>
      <c r="J330" s="12" t="str">
        <f t="shared" si="66"/>
        <v xml:space="preserve">Клавиатура Keychron Q1 Pro</v>
      </c>
      <c r="K330" s="12" t="str">
        <f t="shared" si="67"/>
        <v>Аксессуары</v>
      </c>
      <c r="L330" s="13" t="str">
        <f t="shared" si="68"/>
        <v>АРТ-328</v>
      </c>
      <c r="M330" s="13" t="str">
        <f t="shared" si="69"/>
        <v xml:space="preserve">Клавиатура Keychron Q1 Pro</v>
      </c>
      <c r="N330" s="13" t="str">
        <f>IFERROR(VLOOKUP(K330,Справочники!$A$6:$B$16,2,0),"НЕТ В СПРАВОЧНИКЕ")</f>
        <v>Аксессуары</v>
      </c>
      <c r="O330" s="13" t="str">
        <f t="shared" si="70"/>
        <v>Keychron</v>
      </c>
      <c r="P330" s="14">
        <f t="shared" si="71"/>
        <v>7000</v>
      </c>
      <c r="Q330" s="14">
        <f t="shared" si="72"/>
        <v>11990</v>
      </c>
      <c r="R330" s="13" t="str">
        <f t="shared" si="75"/>
        <v>шт</v>
      </c>
      <c r="S330" s="10" t="str">
        <f t="shared" si="73"/>
        <v>OK</v>
      </c>
      <c r="T330" s="10" t="str">
        <f t="shared" si="74"/>
        <v>уникален</v>
      </c>
    </row>
    <row r="331" ht="15" customHeight="1">
      <c r="A331" s="10">
        <v>329</v>
      </c>
      <c r="B331" s="11" t="str">
        <f>RAW_Товары!A330</f>
        <v>АРТ_329</v>
      </c>
      <c r="C331" s="11" t="str">
        <f>RAW_Товары!B330</f>
        <v xml:space="preserve">клавиатура KEYCHRON Q1 PRO</v>
      </c>
      <c r="D331" s="11" t="str">
        <f>RAW_Товары!C330</f>
        <v>Аксессуары</v>
      </c>
      <c r="E331" s="11" t="str">
        <f>RAW_Товары!D330</f>
        <v>keychron</v>
      </c>
      <c r="F331" s="11" t="str">
        <f>RAW_Товары!E330</f>
        <v xml:space="preserve">6 500</v>
      </c>
      <c r="G331" s="11" t="str">
        <f>RAW_Товары!F330</f>
        <v xml:space="preserve">11 500</v>
      </c>
      <c r="H331" s="11" t="str">
        <f>RAW_Товары!G330</f>
        <v>штука</v>
      </c>
      <c r="I331" s="12" t="str">
        <f t="shared" si="65"/>
        <v>329</v>
      </c>
      <c r="J331" s="12" t="str">
        <f t="shared" si="66"/>
        <v xml:space="preserve">клавиатура KEYCHRON Q1 PRO</v>
      </c>
      <c r="K331" s="12" t="str">
        <f t="shared" si="67"/>
        <v>Аксессуары</v>
      </c>
      <c r="L331" s="13" t="str">
        <f t="shared" si="68"/>
        <v>АРТ-329</v>
      </c>
      <c r="M331" s="13" t="str">
        <f t="shared" si="69"/>
        <v xml:space="preserve">Клавиатура Keychron Q1 Pro</v>
      </c>
      <c r="N331" s="13" t="str">
        <f>IFERROR(VLOOKUP(K331,Справочники!$A$6:$B$16,2,0),"НЕТ В СПРАВОЧНИКЕ")</f>
        <v>Аксессуары</v>
      </c>
      <c r="O331" s="13" t="str">
        <f t="shared" si="70"/>
        <v>Keychron</v>
      </c>
      <c r="P331" s="14">
        <f t="shared" si="71"/>
        <v>6500</v>
      </c>
      <c r="Q331" s="14">
        <f t="shared" si="72"/>
        <v>11500</v>
      </c>
      <c r="R331" s="13" t="str">
        <f t="shared" si="75"/>
        <v>шт</v>
      </c>
      <c r="S331" s="10" t="str">
        <f t="shared" si="73"/>
        <v>OK</v>
      </c>
      <c r="T331" s="10" t="str">
        <f t="shared" si="74"/>
        <v>уникален</v>
      </c>
    </row>
    <row r="332" ht="15" customHeight="1">
      <c r="A332" s="10">
        <v>330</v>
      </c>
      <c r="B332" s="11" t="str">
        <f>RAW_Товары!A331</f>
        <v>330-24</v>
      </c>
      <c r="C332" s="11" t="str">
        <f>RAW_Товары!B331</f>
        <v xml:space="preserve">Клавиатура Keychron Q1 Pro (Knob)</v>
      </c>
      <c r="D332" s="11" t="str">
        <f>RAW_Товары!C331</f>
        <v>Аксессуары</v>
      </c>
      <c r="E332" s="11" t="str">
        <f>RAW_Товары!D331</f>
        <v>KEYCHRON</v>
      </c>
      <c r="F332" s="11" t="str">
        <f>RAW_Товары!E331</f>
        <v xml:space="preserve">7 500</v>
      </c>
      <c r="G332" s="11" t="str">
        <f>RAW_Товары!F331</f>
        <v xml:space="preserve">12 800</v>
      </c>
      <c r="H332" s="11" t="str">
        <f>RAW_Товары!G331</f>
        <v>шт</v>
      </c>
      <c r="I332" s="12" t="str">
        <f t="shared" si="65"/>
        <v>330-24</v>
      </c>
      <c r="J332" s="12" t="str">
        <f t="shared" si="66"/>
        <v xml:space="preserve">Клавиатура Keychron Q1 Pro</v>
      </c>
      <c r="K332" s="12" t="str">
        <f t="shared" si="67"/>
        <v>Аксессуары</v>
      </c>
      <c r="L332" s="13" t="str">
        <f t="shared" si="68"/>
        <v>АРТ-330</v>
      </c>
      <c r="M332" s="13" t="str">
        <f t="shared" si="69"/>
        <v xml:space="preserve">Клавиатура Keychron Q1 Pro</v>
      </c>
      <c r="N332" s="13" t="str">
        <f>IFERROR(VLOOKUP(K332,Справочники!$A$6:$B$16,2,0),"НЕТ В СПРАВОЧНИКЕ")</f>
        <v>Аксессуары</v>
      </c>
      <c r="O332" s="13" t="str">
        <f t="shared" si="70"/>
        <v>Keychron</v>
      </c>
      <c r="P332" s="14">
        <f t="shared" si="71"/>
        <v>7500</v>
      </c>
      <c r="Q332" s="14">
        <f t="shared" si="72"/>
        <v>12800</v>
      </c>
      <c r="R332" s="13" t="str">
        <f t="shared" si="75"/>
        <v>шт</v>
      </c>
      <c r="S332" s="10" t="str">
        <f t="shared" si="73"/>
        <v>OK</v>
      </c>
      <c r="T332" s="10" t="str">
        <f t="shared" si="74"/>
        <v>уникален</v>
      </c>
    </row>
    <row r="333" ht="15" customHeight="1">
      <c r="A333" s="10">
        <v>331</v>
      </c>
      <c r="B333" s="11" t="str">
        <f>RAW_Товары!A332</f>
        <v>№АРТ-331</v>
      </c>
      <c r="C333" s="11" t="str">
        <f>RAW_Товары!B332</f>
        <v xml:space="preserve">Смарт-часы Suunto 9 Peak</v>
      </c>
      <c r="D333" s="11" t="str">
        <f>RAW_Товары!C332</f>
        <v>Часы</v>
      </c>
      <c r="E333" s="11" t="str">
        <f>RAW_Товары!D332</f>
        <v>Suunto</v>
      </c>
      <c r="F333" s="11" t="str">
        <f>RAW_Товары!E332</f>
        <v xml:space="preserve">45 000</v>
      </c>
      <c r="G333" s="11" t="str">
        <f>RAW_Товары!F332</f>
        <v xml:space="preserve">69 990</v>
      </c>
      <c r="H333" s="11" t="str">
        <f>RAW_Товары!G332</f>
        <v>шт.</v>
      </c>
      <c r="I333" s="12" t="str">
        <f t="shared" si="65"/>
        <v>331</v>
      </c>
      <c r="J333" s="12" t="str">
        <f t="shared" si="66"/>
        <v xml:space="preserve">Смарт-часы Suunto 9 Peak</v>
      </c>
      <c r="K333" s="12" t="str">
        <f t="shared" si="67"/>
        <v>Часы</v>
      </c>
      <c r="L333" s="13" t="str">
        <f t="shared" si="68"/>
        <v>АРТ-331</v>
      </c>
      <c r="M333" s="13" t="str">
        <f t="shared" si="69"/>
        <v xml:space="preserve">Смарт-Часы Suunto 9 Peak</v>
      </c>
      <c r="N333" s="13" t="str">
        <f>IFERROR(VLOOKUP(K333,Справочники!$A$6:$B$16,2,0),"НЕТ В СПРАВОЧНИКЕ")</f>
        <v>Часы</v>
      </c>
      <c r="O333" s="13" t="str">
        <f t="shared" si="70"/>
        <v>Suunto</v>
      </c>
      <c r="P333" s="14">
        <f t="shared" si="71"/>
        <v>45000</v>
      </c>
      <c r="Q333" s="14">
        <f t="shared" si="72"/>
        <v>69990</v>
      </c>
      <c r="R333" s="13" t="str">
        <f t="shared" si="75"/>
        <v>шт</v>
      </c>
      <c r="S333" s="10" t="str">
        <f t="shared" si="73"/>
        <v>OK</v>
      </c>
      <c r="T333" s="10" t="str">
        <f t="shared" si="74"/>
        <v>уникален</v>
      </c>
    </row>
    <row r="334" ht="15" customHeight="1">
      <c r="A334" s="10">
        <v>332</v>
      </c>
      <c r="B334" s="11" t="str">
        <f>RAW_Товары!A333</f>
        <v>АРТ_332</v>
      </c>
      <c r="C334" s="11" t="str">
        <f>RAW_Товары!B333</f>
        <v xml:space="preserve">смарт-часы SUUNTO 9 PEAK</v>
      </c>
      <c r="D334" s="11" t="str">
        <f>RAW_Товары!C333</f>
        <v>Часы</v>
      </c>
      <c r="E334" s="11" t="str">
        <f>RAW_Товары!D333</f>
        <v>suunto</v>
      </c>
      <c r="F334" s="11" t="str">
        <f>RAW_Товары!E333</f>
        <v xml:space="preserve">43 500</v>
      </c>
      <c r="G334" s="11" t="str">
        <f>RAW_Товары!F333</f>
        <v xml:space="preserve">67 500</v>
      </c>
      <c r="H334" s="11" t="str">
        <f>RAW_Товары!G333</f>
        <v>штуки</v>
      </c>
      <c r="I334" s="12" t="str">
        <f t="shared" si="65"/>
        <v>332</v>
      </c>
      <c r="J334" s="12" t="str">
        <f t="shared" si="66"/>
        <v xml:space="preserve">смарт-часы SUUNTO 9 PEAK</v>
      </c>
      <c r="K334" s="12" t="str">
        <f t="shared" si="67"/>
        <v>Часы</v>
      </c>
      <c r="L334" s="13" t="str">
        <f t="shared" si="68"/>
        <v>АРТ-332</v>
      </c>
      <c r="M334" s="13" t="str">
        <f t="shared" si="69"/>
        <v xml:space="preserve">Смарт-Часы Suunto 9 Peak</v>
      </c>
      <c r="N334" s="13" t="str">
        <f>IFERROR(VLOOKUP(K334,Справочники!$A$6:$B$16,2,0),"НЕТ В СПРАВОЧНИКЕ")</f>
        <v>Часы</v>
      </c>
      <c r="O334" s="13" t="str">
        <f t="shared" si="70"/>
        <v>Suunto</v>
      </c>
      <c r="P334" s="14">
        <f t="shared" si="71"/>
        <v>43500</v>
      </c>
      <c r="Q334" s="14">
        <f t="shared" si="72"/>
        <v>67500</v>
      </c>
      <c r="R334" s="13" t="str">
        <f t="shared" si="75"/>
        <v>шт</v>
      </c>
      <c r="S334" s="10" t="str">
        <f t="shared" si="73"/>
        <v>OK</v>
      </c>
      <c r="T334" s="10" t="str">
        <f t="shared" si="74"/>
        <v>уникален</v>
      </c>
    </row>
    <row r="335" ht="15" customHeight="1">
      <c r="A335" s="10">
        <v>333</v>
      </c>
      <c r="B335" s="11" t="str">
        <f>RAW_Товары!A334</f>
        <v>333/24</v>
      </c>
      <c r="C335" s="11" t="str">
        <f>RAW_Товары!B334</f>
        <v xml:space="preserve">Смарт-часы Suunto 9 Peak (Titanium)</v>
      </c>
      <c r="D335" s="11" t="str">
        <f>RAW_Товары!C334</f>
        <v>Часы</v>
      </c>
      <c r="E335" s="11" t="str">
        <f>RAW_Товары!D334</f>
        <v>SUUNTO</v>
      </c>
      <c r="F335" s="11" t="str">
        <f>RAW_Товары!E334</f>
        <v xml:space="preserve">46 500</v>
      </c>
      <c r="G335" s="11" t="str">
        <f>RAW_Товары!F334</f>
        <v xml:space="preserve">72 000</v>
      </c>
      <c r="H335" s="11" t="str">
        <f>RAW_Товары!G334</f>
        <v>шт</v>
      </c>
      <c r="I335" s="12" t="str">
        <f t="shared" si="65"/>
        <v>333/24</v>
      </c>
      <c r="J335" s="12" t="str">
        <f t="shared" si="66"/>
        <v xml:space="preserve">Смарт-часы Suunto 9 Peak</v>
      </c>
      <c r="K335" s="12" t="str">
        <f t="shared" si="67"/>
        <v>Часы</v>
      </c>
      <c r="L335" s="13" t="str">
        <f t="shared" si="68"/>
        <v>АРТ-333</v>
      </c>
      <c r="M335" s="13" t="str">
        <f t="shared" si="69"/>
        <v xml:space="preserve">Смарт-Часы Suunto 9 Peak</v>
      </c>
      <c r="N335" s="13" t="str">
        <f>IFERROR(VLOOKUP(K335,Справочники!$A$6:$B$16,2,0),"НЕТ В СПРАВОЧНИКЕ")</f>
        <v>Часы</v>
      </c>
      <c r="O335" s="13" t="str">
        <f t="shared" si="70"/>
        <v>Suunto</v>
      </c>
      <c r="P335" s="14">
        <f t="shared" si="71"/>
        <v>46500</v>
      </c>
      <c r="Q335" s="14">
        <f t="shared" si="72"/>
        <v>72000</v>
      </c>
      <c r="R335" s="13" t="str">
        <f t="shared" si="75"/>
        <v>шт</v>
      </c>
      <c r="S335" s="10" t="str">
        <f t="shared" si="73"/>
        <v>OK</v>
      </c>
      <c r="T335" s="10" t="str">
        <f t="shared" si="74"/>
        <v>уникален</v>
      </c>
    </row>
    <row r="336" ht="15" customHeight="1">
      <c r="A336" s="10">
        <v>334</v>
      </c>
      <c r="B336" s="11" t="str">
        <f>RAW_Товары!A335</f>
        <v>№АРТ-334</v>
      </c>
      <c r="C336" s="11" t="str">
        <f>RAW_Товары!B335</f>
        <v xml:space="preserve">Планшет OnePlus Pad</v>
      </c>
      <c r="D336" s="11" t="str">
        <f>RAW_Товары!C335</f>
        <v>Планшеты</v>
      </c>
      <c r="E336" s="11" t="str">
        <f>RAW_Товары!D335</f>
        <v>OnePlus</v>
      </c>
      <c r="F336" s="11" t="str">
        <f>RAW_Товары!E335</f>
        <v xml:space="preserve">30 000</v>
      </c>
      <c r="G336" s="11" t="str">
        <f>RAW_Товары!F335</f>
        <v xml:space="preserve">48 990</v>
      </c>
      <c r="H336" s="11" t="str">
        <f>RAW_Товары!G335</f>
        <v>шт.</v>
      </c>
      <c r="I336" s="12" t="str">
        <f t="shared" si="65"/>
        <v>334</v>
      </c>
      <c r="J336" s="12" t="str">
        <f t="shared" si="66"/>
        <v xml:space="preserve">Планшет OnePlus Pad</v>
      </c>
      <c r="K336" s="12" t="str">
        <f t="shared" si="67"/>
        <v>Планшеты</v>
      </c>
      <c r="L336" s="13" t="str">
        <f t="shared" si="68"/>
        <v>АРТ-334</v>
      </c>
      <c r="M336" s="13" t="str">
        <f t="shared" si="69"/>
        <v xml:space="preserve">Планшет Oneplus Pad</v>
      </c>
      <c r="N336" s="13" t="str">
        <f>IFERROR(VLOOKUP(K336,Справочники!$A$6:$B$16,2,0),"НЕТ В СПРАВОЧНИКЕ")</f>
        <v>Планшеты</v>
      </c>
      <c r="O336" s="13" t="str">
        <f t="shared" si="70"/>
        <v>Oneplus</v>
      </c>
      <c r="P336" s="14">
        <f t="shared" si="71"/>
        <v>30000</v>
      </c>
      <c r="Q336" s="14">
        <f t="shared" si="72"/>
        <v>48990</v>
      </c>
      <c r="R336" s="13" t="str">
        <f t="shared" si="75"/>
        <v>шт</v>
      </c>
      <c r="S336" s="10" t="str">
        <f t="shared" si="73"/>
        <v>OK</v>
      </c>
      <c r="T336" s="10" t="str">
        <f t="shared" si="74"/>
        <v>уникален</v>
      </c>
    </row>
    <row r="337" ht="15" customHeight="1">
      <c r="A337" s="10">
        <v>335</v>
      </c>
      <c r="B337" s="11" t="str">
        <f>RAW_Товары!A336</f>
        <v>АРТ_335</v>
      </c>
      <c r="C337" s="11" t="str">
        <f>RAW_Товары!B336</f>
        <v xml:space="preserve">планшет ONEPLUS PAD</v>
      </c>
      <c r="D337" s="11" t="str">
        <f>RAW_Товары!C336</f>
        <v>Планшеты</v>
      </c>
      <c r="E337" s="11" t="str">
        <f>RAW_Товары!D336</f>
        <v>oneplus</v>
      </c>
      <c r="F337" s="11" t="str">
        <f>RAW_Товары!E336</f>
        <v xml:space="preserve">28 500</v>
      </c>
      <c r="G337" s="11" t="str">
        <f>RAW_Товары!F336</f>
        <v xml:space="preserve">47 000</v>
      </c>
      <c r="H337" s="11" t="str">
        <f>RAW_Товары!G336</f>
        <v>штука</v>
      </c>
      <c r="I337" s="12" t="str">
        <f t="shared" si="65"/>
        <v>335</v>
      </c>
      <c r="J337" s="12" t="str">
        <f t="shared" si="66"/>
        <v xml:space="preserve">планшет ONEPLUS PAD</v>
      </c>
      <c r="K337" s="12" t="str">
        <f t="shared" si="67"/>
        <v>Планшеты</v>
      </c>
      <c r="L337" s="13" t="str">
        <f t="shared" si="68"/>
        <v>АРТ-335</v>
      </c>
      <c r="M337" s="13" t="str">
        <f t="shared" si="69"/>
        <v xml:space="preserve">Планшет Oneplus Pad</v>
      </c>
      <c r="N337" s="13" t="str">
        <f>IFERROR(VLOOKUP(K337,Справочники!$A$6:$B$16,2,0),"НЕТ В СПРАВОЧНИКЕ")</f>
        <v>Планшеты</v>
      </c>
      <c r="O337" s="13" t="str">
        <f t="shared" si="70"/>
        <v>Oneplus</v>
      </c>
      <c r="P337" s="14">
        <f t="shared" si="71"/>
        <v>28500</v>
      </c>
      <c r="Q337" s="14">
        <f t="shared" si="72"/>
        <v>47000</v>
      </c>
      <c r="R337" s="13" t="str">
        <f t="shared" si="75"/>
        <v>шт</v>
      </c>
      <c r="S337" s="10" t="str">
        <f t="shared" si="73"/>
        <v>OK</v>
      </c>
      <c r="T337" s="10" t="str">
        <f t="shared" si="74"/>
        <v>уникален</v>
      </c>
    </row>
    <row r="338" ht="15" customHeight="1">
      <c r="A338" s="10">
        <v>336</v>
      </c>
      <c r="B338" s="11" t="str">
        <f>RAW_Товары!A337</f>
        <v>336-24</v>
      </c>
      <c r="C338" s="11" t="str">
        <f>RAW_Товары!B337</f>
        <v xml:space="preserve">Планшет OnePlus Pad (Green)</v>
      </c>
      <c r="D338" s="11" t="str">
        <f>RAW_Товары!C337</f>
        <v>Планшеты</v>
      </c>
      <c r="E338" s="11" t="str">
        <f>RAW_Товары!D337</f>
        <v>ONEPLUS</v>
      </c>
      <c r="F338" s="11" t="str">
        <f>RAW_Товары!E337</f>
        <v xml:space="preserve">31 500</v>
      </c>
      <c r="G338" s="11" t="str">
        <f>RAW_Товары!F337</f>
        <v xml:space="preserve">50 500</v>
      </c>
      <c r="H338" s="11" t="str">
        <f>RAW_Товары!G337</f>
        <v>шт</v>
      </c>
      <c r="I338" s="12" t="str">
        <f t="shared" si="65"/>
        <v>336-24</v>
      </c>
      <c r="J338" s="12" t="str">
        <f t="shared" si="66"/>
        <v xml:space="preserve">Планшет OnePlus Pad</v>
      </c>
      <c r="K338" s="12" t="str">
        <f t="shared" si="67"/>
        <v>Планшеты</v>
      </c>
      <c r="L338" s="13" t="str">
        <f t="shared" si="68"/>
        <v>АРТ-336</v>
      </c>
      <c r="M338" s="13" t="str">
        <f t="shared" si="69"/>
        <v xml:space="preserve">Планшет Oneplus Pad</v>
      </c>
      <c r="N338" s="13" t="str">
        <f>IFERROR(VLOOKUP(K338,Справочники!$A$6:$B$16,2,0),"НЕТ В СПРАВОЧНИКЕ")</f>
        <v>Планшеты</v>
      </c>
      <c r="O338" s="13" t="str">
        <f t="shared" si="70"/>
        <v>Oneplus</v>
      </c>
      <c r="P338" s="14">
        <f t="shared" si="71"/>
        <v>31500</v>
      </c>
      <c r="Q338" s="14">
        <f t="shared" si="72"/>
        <v>50500</v>
      </c>
      <c r="R338" s="13" t="str">
        <f t="shared" si="75"/>
        <v>шт</v>
      </c>
      <c r="S338" s="10" t="str">
        <f t="shared" si="73"/>
        <v>OK</v>
      </c>
      <c r="T338" s="10" t="str">
        <f t="shared" si="74"/>
        <v>уникален</v>
      </c>
    </row>
    <row r="339" ht="15" customHeight="1">
      <c r="A339" s="10">
        <v>337</v>
      </c>
      <c r="B339" s="11" t="str">
        <f>RAW_Товары!A338</f>
        <v>№АРТ-337</v>
      </c>
      <c r="C339" s="11" t="str">
        <f>RAW_Товары!B338</f>
        <v xml:space="preserve">Смартфон Motorola Razr 40</v>
      </c>
      <c r="D339" s="11" t="str">
        <f>RAW_Товары!C338</f>
        <v>Смартфоны</v>
      </c>
      <c r="E339" s="11" t="str">
        <f>RAW_Товары!D338</f>
        <v>Motorola</v>
      </c>
      <c r="F339" s="11" t="str">
        <f>RAW_Товары!E338</f>
        <v xml:space="preserve">40 000</v>
      </c>
      <c r="G339" s="11" t="str">
        <f>RAW_Товары!F338</f>
        <v xml:space="preserve">64 990</v>
      </c>
      <c r="H339" s="11" t="str">
        <f>RAW_Товары!G338</f>
        <v>шт.</v>
      </c>
      <c r="I339" s="12" t="str">
        <f t="shared" si="65"/>
        <v>337</v>
      </c>
      <c r="J339" s="12" t="str">
        <f t="shared" si="66"/>
        <v xml:space="preserve">Смартфон Motorola Razr 40</v>
      </c>
      <c r="K339" s="12" t="str">
        <f t="shared" si="67"/>
        <v>Смартфоны</v>
      </c>
      <c r="L339" s="13" t="str">
        <f t="shared" si="68"/>
        <v>АРТ-337</v>
      </c>
      <c r="M339" s="13" t="str">
        <f t="shared" si="69"/>
        <v xml:space="preserve">Смартфон Motorola Razr 40</v>
      </c>
      <c r="N339" s="13" t="str">
        <f>IFERROR(VLOOKUP(K339,Справочники!$A$6:$B$16,2,0),"НЕТ В СПРАВОЧНИКЕ")</f>
        <v>Смартфоны</v>
      </c>
      <c r="O339" s="13" t="str">
        <f t="shared" si="70"/>
        <v>Motorola</v>
      </c>
      <c r="P339" s="14">
        <f t="shared" si="71"/>
        <v>40000</v>
      </c>
      <c r="Q339" s="14">
        <f t="shared" si="72"/>
        <v>64990</v>
      </c>
      <c r="R339" s="13" t="str">
        <f t="shared" si="75"/>
        <v>шт</v>
      </c>
      <c r="S339" s="10" t="str">
        <f t="shared" si="73"/>
        <v>OK</v>
      </c>
      <c r="T339" s="10" t="str">
        <f t="shared" si="74"/>
        <v>уникален</v>
      </c>
    </row>
    <row r="340" ht="15" customHeight="1">
      <c r="A340" s="10">
        <v>338</v>
      </c>
      <c r="B340" s="11" t="str">
        <f>RAW_Товары!A339</f>
        <v>АРТ_338</v>
      </c>
      <c r="C340" s="11" t="str">
        <f>RAW_Товары!B339</f>
        <v xml:space="preserve">смартфон MOTOROLA RAZR 40</v>
      </c>
      <c r="D340" s="11" t="str">
        <f>RAW_Товары!C339</f>
        <v>Телефоны</v>
      </c>
      <c r="E340" s="11" t="str">
        <f>RAW_Товары!D339</f>
        <v>motorola</v>
      </c>
      <c r="F340" s="11" t="str">
        <f>RAW_Товары!E339</f>
        <v xml:space="preserve">38 500</v>
      </c>
      <c r="G340" s="11" t="str">
        <f>RAW_Товары!F339</f>
        <v xml:space="preserve">62 500</v>
      </c>
      <c r="H340" s="11" t="str">
        <f>RAW_Товары!G339</f>
        <v>штуки</v>
      </c>
      <c r="I340" s="12" t="str">
        <f t="shared" si="65"/>
        <v>338</v>
      </c>
      <c r="J340" s="12" t="str">
        <f t="shared" si="66"/>
        <v xml:space="preserve">смартфон MOTOROLA RAZR 40</v>
      </c>
      <c r="K340" s="12" t="str">
        <f t="shared" si="67"/>
        <v>Телефоны</v>
      </c>
      <c r="L340" s="13" t="str">
        <f t="shared" si="68"/>
        <v>АРТ-338</v>
      </c>
      <c r="M340" s="13" t="str">
        <f t="shared" si="69"/>
        <v xml:space="preserve">Смартфон Motorola Razr 40</v>
      </c>
      <c r="N340" s="13" t="str">
        <f>IFERROR(VLOOKUP(K340,Справочники!$A$6:$B$16,2,0),"НЕТ В СПРАВОЧНИКЕ")</f>
        <v>Смартфоны</v>
      </c>
      <c r="O340" s="13" t="str">
        <f t="shared" si="70"/>
        <v>Motorola</v>
      </c>
      <c r="P340" s="14">
        <f t="shared" si="71"/>
        <v>38500</v>
      </c>
      <c r="Q340" s="14">
        <f t="shared" si="72"/>
        <v>62500</v>
      </c>
      <c r="R340" s="13" t="str">
        <f t="shared" si="75"/>
        <v>шт</v>
      </c>
      <c r="S340" s="10" t="str">
        <f t="shared" si="73"/>
        <v>OK</v>
      </c>
      <c r="T340" s="10" t="str">
        <f t="shared" si="74"/>
        <v>уникален</v>
      </c>
    </row>
    <row r="341" ht="15" customHeight="1">
      <c r="A341" s="10">
        <v>339</v>
      </c>
      <c r="B341" s="11" t="str">
        <f>RAW_Товары!A340</f>
        <v>339/24</v>
      </c>
      <c r="C341" s="11" t="str">
        <f>RAW_Товары!B340</f>
        <v xml:space="preserve">Смартфон Motorola Razr 40 (Ultra)</v>
      </c>
      <c r="D341" s="11" t="str">
        <f>RAW_Товары!C340</f>
        <v xml:space="preserve">Мобильные телефоны</v>
      </c>
      <c r="E341" s="11" t="str">
        <f>RAW_Товары!D340</f>
        <v>MOTOROLA</v>
      </c>
      <c r="F341" s="11" t="str">
        <f>RAW_Товары!E340</f>
        <v xml:space="preserve">41 500</v>
      </c>
      <c r="G341" s="11" t="str">
        <f>RAW_Товары!F340</f>
        <v xml:space="preserve">67 000</v>
      </c>
      <c r="H341" s="11" t="str">
        <f>RAW_Товары!G340</f>
        <v>шт</v>
      </c>
      <c r="I341" s="12" t="str">
        <f t="shared" si="65"/>
        <v>339/24</v>
      </c>
      <c r="J341" s="12" t="str">
        <f t="shared" si="66"/>
        <v xml:space="preserve">Смартфон Motorola Razr 40</v>
      </c>
      <c r="K341" s="12" t="str">
        <f t="shared" si="67"/>
        <v xml:space="preserve">Мобильные телефоны</v>
      </c>
      <c r="L341" s="13" t="str">
        <f t="shared" si="68"/>
        <v>АРТ-339</v>
      </c>
      <c r="M341" s="13" t="str">
        <f t="shared" si="69"/>
        <v xml:space="preserve">Смартфон Motorola Razr 40</v>
      </c>
      <c r="N341" s="13" t="str">
        <f>IFERROR(VLOOKUP(K341,Справочники!$A$6:$B$16,2,0),"НЕТ В СПРАВОЧНИКЕ")</f>
        <v>Смартфоны</v>
      </c>
      <c r="O341" s="13" t="str">
        <f t="shared" si="70"/>
        <v>Motorola</v>
      </c>
      <c r="P341" s="14">
        <f t="shared" si="71"/>
        <v>41500</v>
      </c>
      <c r="Q341" s="14">
        <f t="shared" si="72"/>
        <v>67000</v>
      </c>
      <c r="R341" s="13" t="str">
        <f t="shared" si="75"/>
        <v>шт</v>
      </c>
      <c r="S341" s="10" t="str">
        <f t="shared" si="73"/>
        <v>OK</v>
      </c>
      <c r="T341" s="10" t="str">
        <f t="shared" si="74"/>
        <v>уникален</v>
      </c>
    </row>
    <row r="342" ht="15" customHeight="1">
      <c r="A342" s="10">
        <v>340</v>
      </c>
      <c r="B342" s="11" t="str">
        <f>RAW_Товары!A341</f>
        <v>№АРТ-340</v>
      </c>
      <c r="C342" s="11" t="str">
        <f>RAW_Товары!B341</f>
        <v xml:space="preserve">Ноутбук Gigabyte Aero 16</v>
      </c>
      <c r="D342" s="11" t="str">
        <f>RAW_Товары!C341</f>
        <v>Ноутбуки</v>
      </c>
      <c r="E342" s="11" t="str">
        <f>RAW_Товары!D341</f>
        <v>Gigabyte</v>
      </c>
      <c r="F342" s="11" t="str">
        <f>RAW_Товары!E341</f>
        <v xml:space="preserve">88 000</v>
      </c>
      <c r="G342" s="11" t="str">
        <f>RAW_Товары!F341</f>
        <v xml:space="preserve">134 990</v>
      </c>
      <c r="H342" s="11" t="str">
        <f>RAW_Товары!G341</f>
        <v>шт.</v>
      </c>
      <c r="I342" s="12" t="str">
        <f t="shared" si="65"/>
        <v>340</v>
      </c>
      <c r="J342" s="12" t="str">
        <f t="shared" si="66"/>
        <v xml:space="preserve">Ноутбук Gigabyte Aero 16</v>
      </c>
      <c r="K342" s="12" t="str">
        <f t="shared" si="67"/>
        <v>Ноутбуки</v>
      </c>
      <c r="L342" s="13" t="str">
        <f t="shared" si="68"/>
        <v>АРТ-340</v>
      </c>
      <c r="M342" s="13" t="str">
        <f t="shared" si="69"/>
        <v xml:space="preserve">Ноутбук Gigabyte Aero 16</v>
      </c>
      <c r="N342" s="13" t="str">
        <f>IFERROR(VLOOKUP(K342,Справочники!$A$6:$B$16,2,0),"НЕТ В СПРАВОЧНИКЕ")</f>
        <v>Ноутбуки</v>
      </c>
      <c r="O342" s="13" t="str">
        <f t="shared" si="70"/>
        <v>Gigabyte</v>
      </c>
      <c r="P342" s="14">
        <f t="shared" si="71"/>
        <v>88000</v>
      </c>
      <c r="Q342" s="14">
        <f t="shared" si="72"/>
        <v>134990</v>
      </c>
      <c r="R342" s="13" t="str">
        <f t="shared" si="75"/>
        <v>шт</v>
      </c>
      <c r="S342" s="10" t="str">
        <f t="shared" si="73"/>
        <v>OK</v>
      </c>
      <c r="T342" s="10" t="str">
        <f t="shared" si="74"/>
        <v>уникален</v>
      </c>
    </row>
    <row r="343" ht="15" customHeight="1">
      <c r="A343" s="10">
        <v>341</v>
      </c>
      <c r="B343" s="11" t="str">
        <f>RAW_Товары!A342</f>
        <v>АРТ_341</v>
      </c>
      <c r="C343" s="11" t="str">
        <f>RAW_Товары!B342</f>
        <v xml:space="preserve">ноутбук GIGABYTE AERO 16</v>
      </c>
      <c r="D343" s="11" t="str">
        <f>RAW_Товары!C342</f>
        <v>Лэптопы</v>
      </c>
      <c r="E343" s="11" t="str">
        <f>RAW_Товары!D342</f>
        <v>gigabyte</v>
      </c>
      <c r="F343" s="11" t="str">
        <f>RAW_Товары!E342</f>
        <v xml:space="preserve">86 000</v>
      </c>
      <c r="G343" s="11" t="str">
        <f>RAW_Товары!F342</f>
        <v xml:space="preserve">132 000</v>
      </c>
      <c r="H343" s="11" t="str">
        <f>RAW_Товары!G342</f>
        <v>штука</v>
      </c>
      <c r="I343" s="12" t="str">
        <f t="shared" si="65"/>
        <v>341</v>
      </c>
      <c r="J343" s="12" t="str">
        <f t="shared" si="66"/>
        <v xml:space="preserve">ноутбук GIGABYTE AERO 16</v>
      </c>
      <c r="K343" s="12" t="str">
        <f t="shared" si="67"/>
        <v>Лэптопы</v>
      </c>
      <c r="L343" s="13" t="str">
        <f t="shared" si="68"/>
        <v>АРТ-341</v>
      </c>
      <c r="M343" s="13" t="str">
        <f t="shared" si="69"/>
        <v xml:space="preserve">Ноутбук Gigabyte Aero 16</v>
      </c>
      <c r="N343" s="13" t="str">
        <f>IFERROR(VLOOKUP(K343,Справочники!$A$6:$B$16,2,0),"НЕТ В СПРАВОЧНИКЕ")</f>
        <v>Ноутбуки</v>
      </c>
      <c r="O343" s="13" t="str">
        <f t="shared" si="70"/>
        <v>Gigabyte</v>
      </c>
      <c r="P343" s="14">
        <f t="shared" si="71"/>
        <v>86000</v>
      </c>
      <c r="Q343" s="14">
        <f t="shared" si="72"/>
        <v>132000</v>
      </c>
      <c r="R343" s="13" t="str">
        <f t="shared" si="75"/>
        <v>шт</v>
      </c>
      <c r="S343" s="10" t="str">
        <f t="shared" si="73"/>
        <v>OK</v>
      </c>
      <c r="T343" s="10" t="str">
        <f t="shared" si="74"/>
        <v>уникален</v>
      </c>
    </row>
    <row r="344" ht="15" customHeight="1">
      <c r="A344" s="10">
        <v>342</v>
      </c>
      <c r="B344" s="11" t="str">
        <f>RAW_Товары!A343</f>
        <v>342-24</v>
      </c>
      <c r="C344" s="11" t="str">
        <f>RAW_Товары!B343</f>
        <v xml:space="preserve">Ноутбук Gigabyte Aero 16 (OLED)</v>
      </c>
      <c r="D344" s="11" t="str">
        <f>RAW_Товары!C343</f>
        <v>Ноутбуки</v>
      </c>
      <c r="E344" s="11" t="str">
        <f>RAW_Товары!D343</f>
        <v>GIGABYTE</v>
      </c>
      <c r="F344" s="11" t="str">
        <f>RAW_Товары!E343</f>
        <v xml:space="preserve">89 500</v>
      </c>
      <c r="G344" s="11" t="str">
        <f>RAW_Товары!F343</f>
        <v xml:space="preserve">137 500</v>
      </c>
      <c r="H344" s="11" t="str">
        <f>RAW_Товары!G343</f>
        <v>шт</v>
      </c>
      <c r="I344" s="12" t="str">
        <f t="shared" si="65"/>
        <v>342-24</v>
      </c>
      <c r="J344" s="12" t="str">
        <f t="shared" si="66"/>
        <v xml:space="preserve">Ноутбук Gigabyte Aero 16</v>
      </c>
      <c r="K344" s="12" t="str">
        <f t="shared" si="67"/>
        <v>Ноутбуки</v>
      </c>
      <c r="L344" s="13" t="str">
        <f t="shared" si="68"/>
        <v>АРТ-342</v>
      </c>
      <c r="M344" s="13" t="str">
        <f t="shared" si="69"/>
        <v xml:space="preserve">Ноутбук Gigabyte Aero 16</v>
      </c>
      <c r="N344" s="13" t="str">
        <f>IFERROR(VLOOKUP(K344,Справочники!$A$6:$B$16,2,0),"НЕТ В СПРАВОЧНИКЕ")</f>
        <v>Ноутбуки</v>
      </c>
      <c r="O344" s="13" t="str">
        <f t="shared" si="70"/>
        <v>Gigabyte</v>
      </c>
      <c r="P344" s="14">
        <f t="shared" si="71"/>
        <v>89500</v>
      </c>
      <c r="Q344" s="14">
        <f t="shared" si="72"/>
        <v>137500</v>
      </c>
      <c r="R344" s="13" t="str">
        <f t="shared" si="75"/>
        <v>шт</v>
      </c>
      <c r="S344" s="10" t="str">
        <f t="shared" si="73"/>
        <v>OK</v>
      </c>
      <c r="T344" s="10" t="str">
        <f t="shared" si="74"/>
        <v>уникален</v>
      </c>
    </row>
    <row r="345" ht="15" customHeight="1">
      <c r="A345" s="10">
        <v>343</v>
      </c>
      <c r="B345" s="11" t="str">
        <f>RAW_Товары!A344</f>
        <v>№АРТ-343</v>
      </c>
      <c r="C345" s="11" t="str">
        <f>RAW_Товары!B344</f>
        <v xml:space="preserve">Телевизор Samsung Crystal UHD</v>
      </c>
      <c r="D345" s="11" t="str">
        <f>RAW_Товары!C344</f>
        <v>Телевизоры</v>
      </c>
      <c r="E345" s="11" t="str">
        <f>RAW_Товары!D344</f>
        <v>Samsung</v>
      </c>
      <c r="F345" s="11" t="str">
        <f>RAW_Товары!E344</f>
        <v xml:space="preserve">55 000</v>
      </c>
      <c r="G345" s="11" t="str">
        <f>RAW_Товары!F344</f>
        <v xml:space="preserve">84 990</v>
      </c>
      <c r="H345" s="11" t="str">
        <f>RAW_Товары!G344</f>
        <v>шт.</v>
      </c>
      <c r="I345" s="12" t="str">
        <f t="shared" si="65"/>
        <v>343</v>
      </c>
      <c r="J345" s="12" t="str">
        <f t="shared" si="66"/>
        <v xml:space="preserve">Телевизор Samsung Crystal UHD</v>
      </c>
      <c r="K345" s="12" t="str">
        <f t="shared" si="67"/>
        <v>Телевизоры</v>
      </c>
      <c r="L345" s="13" t="str">
        <f t="shared" si="68"/>
        <v>АРТ-343</v>
      </c>
      <c r="M345" s="13" t="str">
        <f t="shared" si="69"/>
        <v xml:space="preserve">Телевизор Samsung Crystal Uhd</v>
      </c>
      <c r="N345" s="13" t="str">
        <f>IFERROR(VLOOKUP(K345,Справочники!$A$6:$B$16,2,0),"НЕТ В СПРАВОЧНИКЕ")</f>
        <v>Телевизоры</v>
      </c>
      <c r="O345" s="13" t="str">
        <f t="shared" si="70"/>
        <v>Samsung</v>
      </c>
      <c r="P345" s="14">
        <f t="shared" si="71"/>
        <v>55000</v>
      </c>
      <c r="Q345" s="14">
        <f t="shared" si="72"/>
        <v>84990</v>
      </c>
      <c r="R345" s="13" t="str">
        <f t="shared" si="75"/>
        <v>шт</v>
      </c>
      <c r="S345" s="10" t="str">
        <f t="shared" si="73"/>
        <v>OK</v>
      </c>
      <c r="T345" s="10" t="str">
        <f t="shared" si="74"/>
        <v>уникален</v>
      </c>
    </row>
    <row r="346" ht="15" customHeight="1">
      <c r="A346" s="10">
        <v>344</v>
      </c>
      <c r="B346" s="11" t="str">
        <f>RAW_Товары!A345</f>
        <v>АРТ_344</v>
      </c>
      <c r="C346" s="11" t="str">
        <f>RAW_Товары!B345</f>
        <v xml:space="preserve">телевизор SAMSUNG CRYSTAL UHD</v>
      </c>
      <c r="D346" s="11" t="str">
        <f>RAW_Товары!C345</f>
        <v>Телевизоры</v>
      </c>
      <c r="E346" s="11" t="str">
        <f>RAW_Товары!D345</f>
        <v>samsung</v>
      </c>
      <c r="F346" s="11" t="str">
        <f>RAW_Товары!E345</f>
        <v xml:space="preserve">53 000</v>
      </c>
      <c r="G346" s="11" t="str">
        <f>RAW_Товары!F345</f>
        <v xml:space="preserve">82 000</v>
      </c>
      <c r="H346" s="11" t="str">
        <f>RAW_Товары!G345</f>
        <v>штуки</v>
      </c>
      <c r="I346" s="12" t="str">
        <f t="shared" si="65"/>
        <v>344</v>
      </c>
      <c r="J346" s="12" t="str">
        <f t="shared" si="66"/>
        <v xml:space="preserve">телевизор SAMSUNG CRYSTAL UHD</v>
      </c>
      <c r="K346" s="12" t="str">
        <f t="shared" si="67"/>
        <v>Телевизоры</v>
      </c>
      <c r="L346" s="13" t="str">
        <f t="shared" si="68"/>
        <v>АРТ-344</v>
      </c>
      <c r="M346" s="13" t="str">
        <f t="shared" si="69"/>
        <v xml:space="preserve">Телевизор Samsung Crystal Uhd</v>
      </c>
      <c r="N346" s="13" t="str">
        <f>IFERROR(VLOOKUP(K346,Справочники!$A$6:$B$16,2,0),"НЕТ В СПРАВОЧНИКЕ")</f>
        <v>Телевизоры</v>
      </c>
      <c r="O346" s="13" t="str">
        <f t="shared" si="70"/>
        <v>Samsung</v>
      </c>
      <c r="P346" s="14">
        <f t="shared" si="71"/>
        <v>53000</v>
      </c>
      <c r="Q346" s="14">
        <f t="shared" si="72"/>
        <v>82000</v>
      </c>
      <c r="R346" s="13" t="str">
        <f t="shared" si="75"/>
        <v>шт</v>
      </c>
      <c r="S346" s="10" t="str">
        <f t="shared" si="73"/>
        <v>OK</v>
      </c>
      <c r="T346" s="10" t="str">
        <f t="shared" si="74"/>
        <v>уникален</v>
      </c>
    </row>
    <row r="347" ht="15" customHeight="1">
      <c r="A347" s="10">
        <v>345</v>
      </c>
      <c r="B347" s="11" t="str">
        <f>RAW_Товары!A346</f>
        <v>345/24</v>
      </c>
      <c r="C347" s="11" t="str">
        <f>RAW_Товары!B346</f>
        <v xml:space="preserve">Телевизор Samsung Crystal UHD (55")</v>
      </c>
      <c r="D347" s="11" t="str">
        <f>RAW_Товары!C346</f>
        <v>Телевизоры</v>
      </c>
      <c r="E347" s="11" t="str">
        <f>RAW_Товары!D346</f>
        <v>SAMSUNG</v>
      </c>
      <c r="F347" s="11" t="str">
        <f>RAW_Товары!E346</f>
        <v xml:space="preserve">56 500</v>
      </c>
      <c r="G347" s="11" t="str">
        <f>RAW_Товары!F346</f>
        <v xml:space="preserve">87 500</v>
      </c>
      <c r="H347" s="11" t="str">
        <f>RAW_Товары!G346</f>
        <v>шт</v>
      </c>
      <c r="I347" s="12" t="str">
        <f t="shared" si="65"/>
        <v>345/24</v>
      </c>
      <c r="J347" s="12" t="str">
        <f t="shared" si="66"/>
        <v xml:space="preserve">Телевизор Samsung Crystal UHD</v>
      </c>
      <c r="K347" s="12" t="str">
        <f t="shared" si="67"/>
        <v>Телевизоры</v>
      </c>
      <c r="L347" s="13" t="str">
        <f t="shared" si="68"/>
        <v>АРТ-345</v>
      </c>
      <c r="M347" s="13" t="str">
        <f t="shared" si="69"/>
        <v xml:space="preserve">Телевизор Samsung Crystal Uhd</v>
      </c>
      <c r="N347" s="13" t="str">
        <f>IFERROR(VLOOKUP(K347,Справочники!$A$6:$B$16,2,0),"НЕТ В СПРАВОЧНИКЕ")</f>
        <v>Телевизоры</v>
      </c>
      <c r="O347" s="13" t="str">
        <f t="shared" si="70"/>
        <v>Samsung</v>
      </c>
      <c r="P347" s="14">
        <f t="shared" si="71"/>
        <v>56500</v>
      </c>
      <c r="Q347" s="14">
        <f t="shared" si="72"/>
        <v>87500</v>
      </c>
      <c r="R347" s="13" t="str">
        <f t="shared" si="75"/>
        <v>шт</v>
      </c>
      <c r="S347" s="10" t="str">
        <f t="shared" si="73"/>
        <v>OK</v>
      </c>
      <c r="T347" s="10" t="str">
        <f t="shared" si="74"/>
        <v>уникален</v>
      </c>
    </row>
    <row r="348" ht="15" customHeight="1">
      <c r="A348" s="10">
        <v>346</v>
      </c>
      <c r="B348" s="11" t="str">
        <f>RAW_Товары!A347</f>
        <v>№АРТ-346</v>
      </c>
      <c r="C348" s="11" t="str">
        <f>RAW_Товары!B347</f>
        <v xml:space="preserve">Наушники Audio-Technica ATH-TWX9</v>
      </c>
      <c r="D348" s="11" t="str">
        <f>RAW_Товары!C347</f>
        <v>Наушники</v>
      </c>
      <c r="E348" s="11" t="str">
        <f>RAW_Товары!D347</f>
        <v>Audio-Technica</v>
      </c>
      <c r="F348" s="11" t="str">
        <f>RAW_Товары!E347</f>
        <v xml:space="preserve">12 000</v>
      </c>
      <c r="G348" s="11" t="str">
        <f>RAW_Товары!F347</f>
        <v xml:space="preserve">19 990</v>
      </c>
      <c r="H348" s="11" t="str">
        <f>RAW_Товары!G347</f>
        <v>шт.</v>
      </c>
      <c r="I348" s="12" t="str">
        <f t="shared" si="65"/>
        <v>346</v>
      </c>
      <c r="J348" s="12" t="str">
        <f t="shared" si="66"/>
        <v xml:space="preserve">Наушники Audio-Technica ATH-TWX9</v>
      </c>
      <c r="K348" s="12" t="str">
        <f t="shared" si="67"/>
        <v>Наушники</v>
      </c>
      <c r="L348" s="13" t="str">
        <f t="shared" si="68"/>
        <v>АРТ-346</v>
      </c>
      <c r="M348" s="13" t="str">
        <f t="shared" si="69"/>
        <v xml:space="preserve">Наушники Audio-Technica Ath-Twx9</v>
      </c>
      <c r="N348" s="13" t="str">
        <f>IFERROR(VLOOKUP(K348,Справочники!$A$6:$B$16,2,0),"НЕТ В СПРАВОЧНИКЕ")</f>
        <v>Наушники</v>
      </c>
      <c r="O348" s="13" t="str">
        <f t="shared" si="70"/>
        <v>Audio-Technica</v>
      </c>
      <c r="P348" s="14">
        <f t="shared" si="71"/>
        <v>12000</v>
      </c>
      <c r="Q348" s="14">
        <f t="shared" si="72"/>
        <v>19990</v>
      </c>
      <c r="R348" s="13" t="str">
        <f t="shared" si="75"/>
        <v>шт</v>
      </c>
      <c r="S348" s="10" t="str">
        <f t="shared" si="73"/>
        <v>OK</v>
      </c>
      <c r="T348" s="10" t="str">
        <f t="shared" si="74"/>
        <v>уникален</v>
      </c>
    </row>
    <row r="349" ht="15" customHeight="1">
      <c r="A349" s="10">
        <v>347</v>
      </c>
      <c r="B349" s="11" t="str">
        <f>RAW_Товары!A348</f>
        <v>АРТ_347</v>
      </c>
      <c r="C349" s="11" t="str">
        <f>RAW_Товары!B348</f>
        <v xml:space="preserve">наушники AUDIO-TECHNICA ATH-TWX9</v>
      </c>
      <c r="D349" s="11" t="str">
        <f>RAW_Товары!C348</f>
        <v>Наушники</v>
      </c>
      <c r="E349" s="11" t="str">
        <f>RAW_Товары!D348</f>
        <v>audio-technica</v>
      </c>
      <c r="F349" s="11" t="str">
        <f>RAW_Товары!E348</f>
        <v xml:space="preserve">11 500</v>
      </c>
      <c r="G349" s="11" t="str">
        <f>RAW_Товары!F348</f>
        <v xml:space="preserve">19 000</v>
      </c>
      <c r="H349" s="11" t="str">
        <f>RAW_Товары!G348</f>
        <v>штука</v>
      </c>
      <c r="I349" s="12" t="str">
        <f t="shared" si="65"/>
        <v>347</v>
      </c>
      <c r="J349" s="12" t="str">
        <f t="shared" si="66"/>
        <v xml:space="preserve">наушники AUDIO-TECHNICA ATH-TWX9</v>
      </c>
      <c r="K349" s="12" t="str">
        <f t="shared" si="67"/>
        <v>Наушники</v>
      </c>
      <c r="L349" s="13" t="str">
        <f t="shared" si="68"/>
        <v>АРТ-347</v>
      </c>
      <c r="M349" s="13" t="str">
        <f t="shared" si="69"/>
        <v xml:space="preserve">Наушники Audio-Technica Ath-Twx9</v>
      </c>
      <c r="N349" s="13" t="str">
        <f>IFERROR(VLOOKUP(K349,Справочники!$A$6:$B$16,2,0),"НЕТ В СПРАВОЧНИКЕ")</f>
        <v>Наушники</v>
      </c>
      <c r="O349" s="13" t="str">
        <f t="shared" si="70"/>
        <v>Audio-Technica</v>
      </c>
      <c r="P349" s="14">
        <f t="shared" si="71"/>
        <v>11500</v>
      </c>
      <c r="Q349" s="14">
        <f t="shared" si="72"/>
        <v>19000</v>
      </c>
      <c r="R349" s="13" t="str">
        <f t="shared" si="75"/>
        <v>шт</v>
      </c>
      <c r="S349" s="10" t="str">
        <f t="shared" si="73"/>
        <v>OK</v>
      </c>
      <c r="T349" s="10" t="str">
        <f t="shared" si="74"/>
        <v>уникален</v>
      </c>
    </row>
    <row r="350" ht="15" customHeight="1">
      <c r="A350" s="10">
        <v>348</v>
      </c>
      <c r="B350" s="11" t="str">
        <f>RAW_Товары!A349</f>
        <v>348-24</v>
      </c>
      <c r="C350" s="11" t="str">
        <f>RAW_Товары!B349</f>
        <v xml:space="preserve">Наушники Audio-Technica ATH-TWX9 (Black)</v>
      </c>
      <c r="D350" s="11" t="str">
        <f>RAW_Товары!C349</f>
        <v>Наушники</v>
      </c>
      <c r="E350" s="11" t="str">
        <f>RAW_Товары!D349</f>
        <v>AUDIO-TECHNICA</v>
      </c>
      <c r="F350" s="11" t="str">
        <f>RAW_Товары!E349</f>
        <v xml:space="preserve">12 500</v>
      </c>
      <c r="G350" s="11" t="str">
        <f>RAW_Товары!F349</f>
        <v xml:space="preserve">20 800</v>
      </c>
      <c r="H350" s="11" t="str">
        <f>RAW_Товары!G349</f>
        <v>шт</v>
      </c>
      <c r="I350" s="12" t="str">
        <f t="shared" si="65"/>
        <v>348-24</v>
      </c>
      <c r="J350" s="12" t="str">
        <f t="shared" si="66"/>
        <v xml:space="preserve">Наушники Audio-Technica ATH-TWX9</v>
      </c>
      <c r="K350" s="12" t="str">
        <f t="shared" si="67"/>
        <v>Наушники</v>
      </c>
      <c r="L350" s="13" t="str">
        <f t="shared" si="68"/>
        <v>АРТ-348</v>
      </c>
      <c r="M350" s="13" t="str">
        <f t="shared" si="69"/>
        <v xml:space="preserve">Наушники Audio-Technica Ath-Twx9</v>
      </c>
      <c r="N350" s="13" t="str">
        <f>IFERROR(VLOOKUP(K350,Справочники!$A$6:$B$16,2,0),"НЕТ В СПРАВОЧНИКЕ")</f>
        <v>Наушники</v>
      </c>
      <c r="O350" s="13" t="str">
        <f t="shared" si="70"/>
        <v>Audio-Technica</v>
      </c>
      <c r="P350" s="14">
        <f t="shared" si="71"/>
        <v>12500</v>
      </c>
      <c r="Q350" s="14">
        <f t="shared" si="72"/>
        <v>20800</v>
      </c>
      <c r="R350" s="13" t="str">
        <f t="shared" si="75"/>
        <v>шт</v>
      </c>
      <c r="S350" s="10" t="str">
        <f t="shared" si="73"/>
        <v>OK</v>
      </c>
      <c r="T350" s="10" t="str">
        <f t="shared" si="74"/>
        <v>уникален</v>
      </c>
    </row>
    <row r="351" ht="15" customHeight="1">
      <c r="A351" s="10">
        <v>349</v>
      </c>
      <c r="B351" s="11" t="str">
        <f>RAW_Товары!A350</f>
        <v>№АРТ-349</v>
      </c>
      <c r="C351" s="11" t="str">
        <f>RAW_Товары!B350</f>
        <v xml:space="preserve">Монитор Dell S2721QS</v>
      </c>
      <c r="D351" s="11" t="str">
        <f>RAW_Товары!C350</f>
        <v>Мониторы</v>
      </c>
      <c r="E351" s="11" t="str">
        <f>RAW_Товары!D350</f>
        <v>Dell</v>
      </c>
      <c r="F351" s="11" t="str">
        <f>RAW_Товары!E350</f>
        <v xml:space="preserve">35 000</v>
      </c>
      <c r="G351" s="11" t="str">
        <f>RAW_Товары!F350</f>
        <v xml:space="preserve">54 990</v>
      </c>
      <c r="H351" s="11" t="str">
        <f>RAW_Товары!G350</f>
        <v>шт.</v>
      </c>
      <c r="I351" s="12" t="str">
        <f t="shared" si="65"/>
        <v>349</v>
      </c>
      <c r="J351" s="12" t="str">
        <f t="shared" si="66"/>
        <v xml:space="preserve">Монитор Dell S2721QS</v>
      </c>
      <c r="K351" s="12" t="str">
        <f t="shared" si="67"/>
        <v>Мониторы</v>
      </c>
      <c r="L351" s="13" t="str">
        <f t="shared" si="68"/>
        <v>АРТ-349</v>
      </c>
      <c r="M351" s="13" t="str">
        <f t="shared" si="69"/>
        <v xml:space="preserve">Монитор Dell S2721Qs</v>
      </c>
      <c r="N351" s="13" t="str">
        <f>IFERROR(VLOOKUP(K351,Справочники!$A$6:$B$16,2,0),"НЕТ В СПРАВОЧНИКЕ")</f>
        <v>Мониторы</v>
      </c>
      <c r="O351" s="13" t="str">
        <f t="shared" si="70"/>
        <v>Dell</v>
      </c>
      <c r="P351" s="14">
        <f t="shared" si="71"/>
        <v>35000</v>
      </c>
      <c r="Q351" s="14">
        <f t="shared" si="72"/>
        <v>54990</v>
      </c>
      <c r="R351" s="13" t="str">
        <f t="shared" si="75"/>
        <v>шт</v>
      </c>
      <c r="S351" s="10" t="str">
        <f t="shared" si="73"/>
        <v>OK</v>
      </c>
      <c r="T351" s="10" t="str">
        <f t="shared" si="74"/>
        <v>уникален</v>
      </c>
    </row>
    <row r="352" ht="15" customHeight="1">
      <c r="A352" s="10">
        <v>350</v>
      </c>
      <c r="B352" s="11" t="str">
        <f>RAW_Товары!A351</f>
        <v>АРТ_350</v>
      </c>
      <c r="C352" s="11" t="str">
        <f>RAW_Товары!B351</f>
        <v xml:space="preserve">монитор DELL S2721QS</v>
      </c>
      <c r="D352" s="11" t="str">
        <f>RAW_Товары!C351</f>
        <v>Мониторы</v>
      </c>
      <c r="E352" s="11" t="str">
        <f>RAW_Товары!D351</f>
        <v>dell</v>
      </c>
      <c r="F352" s="11" t="str">
        <f>RAW_Товары!E351</f>
        <v xml:space="preserve">33 500</v>
      </c>
      <c r="G352" s="11" t="str">
        <f>RAW_Товары!F351</f>
        <v xml:space="preserve">52 500</v>
      </c>
      <c r="H352" s="11" t="str">
        <f>RAW_Товары!G351</f>
        <v>штуки</v>
      </c>
      <c r="I352" s="12" t="str">
        <f t="shared" si="65"/>
        <v>350</v>
      </c>
      <c r="J352" s="12" t="str">
        <f t="shared" si="66"/>
        <v xml:space="preserve">монитор DELL S2721QS</v>
      </c>
      <c r="K352" s="12" t="str">
        <f t="shared" si="67"/>
        <v>Мониторы</v>
      </c>
      <c r="L352" s="13" t="str">
        <f t="shared" si="68"/>
        <v>АРТ-350</v>
      </c>
      <c r="M352" s="13" t="str">
        <f t="shared" si="69"/>
        <v xml:space="preserve">Монитор Dell S2721Qs</v>
      </c>
      <c r="N352" s="13" t="str">
        <f>IFERROR(VLOOKUP(K352,Справочники!$A$6:$B$16,2,0),"НЕТ В СПРАВОЧНИКЕ")</f>
        <v>Мониторы</v>
      </c>
      <c r="O352" s="13" t="str">
        <f t="shared" si="70"/>
        <v>Dell</v>
      </c>
      <c r="P352" s="14">
        <f t="shared" si="71"/>
        <v>33500</v>
      </c>
      <c r="Q352" s="14">
        <f t="shared" si="72"/>
        <v>52500</v>
      </c>
      <c r="R352" s="13" t="str">
        <f t="shared" si="75"/>
        <v>шт</v>
      </c>
      <c r="S352" s="10" t="str">
        <f t="shared" si="73"/>
        <v>OK</v>
      </c>
      <c r="T352" s="10" t="str">
        <f t="shared" si="74"/>
        <v>уникален</v>
      </c>
    </row>
    <row r="353" ht="15" customHeight="1">
      <c r="A353" s="10">
        <v>351</v>
      </c>
      <c r="B353" s="11" t="str">
        <f>RAW_Товары!A352</f>
        <v>351/24</v>
      </c>
      <c r="C353" s="11" t="str">
        <f>RAW_Товары!B352</f>
        <v xml:space="preserve">Монитор Dell S2721QS (4K)</v>
      </c>
      <c r="D353" s="11" t="str">
        <f>RAW_Товары!C352</f>
        <v>Мониторы</v>
      </c>
      <c r="E353" s="11" t="str">
        <f>RAW_Товары!D352</f>
        <v>DELL</v>
      </c>
      <c r="F353" s="11" t="str">
        <f>RAW_Товары!E352</f>
        <v xml:space="preserve">36 500</v>
      </c>
      <c r="G353" s="11" t="str">
        <f>RAW_Товары!F352</f>
        <v xml:space="preserve">57 000</v>
      </c>
      <c r="H353" s="11" t="str">
        <f>RAW_Товары!G352</f>
        <v>шт</v>
      </c>
      <c r="I353" s="12" t="str">
        <f t="shared" si="65"/>
        <v>351/24</v>
      </c>
      <c r="J353" s="12" t="str">
        <f t="shared" si="66"/>
        <v xml:space="preserve">Монитор Dell S2721QS</v>
      </c>
      <c r="K353" s="12" t="str">
        <f t="shared" si="67"/>
        <v>Мониторы</v>
      </c>
      <c r="L353" s="13" t="str">
        <f t="shared" si="68"/>
        <v>АРТ-351</v>
      </c>
      <c r="M353" s="13" t="str">
        <f t="shared" si="69"/>
        <v xml:space="preserve">Монитор Dell S2721Qs</v>
      </c>
      <c r="N353" s="13" t="str">
        <f>IFERROR(VLOOKUP(K353,Справочники!$A$6:$B$16,2,0),"НЕТ В СПРАВОЧНИКЕ")</f>
        <v>Мониторы</v>
      </c>
      <c r="O353" s="13" t="str">
        <f t="shared" si="70"/>
        <v>Dell</v>
      </c>
      <c r="P353" s="14">
        <f t="shared" si="71"/>
        <v>36500</v>
      </c>
      <c r="Q353" s="14">
        <f t="shared" si="72"/>
        <v>57000</v>
      </c>
      <c r="R353" s="13" t="str">
        <f t="shared" si="75"/>
        <v>шт</v>
      </c>
      <c r="S353" s="10" t="str">
        <f t="shared" si="73"/>
        <v>OK</v>
      </c>
      <c r="T353" s="10" t="str">
        <f t="shared" si="74"/>
        <v>уникален</v>
      </c>
    </row>
    <row r="354" ht="15" customHeight="1">
      <c r="A354" s="10">
        <v>352</v>
      </c>
      <c r="B354" s="11" t="str">
        <f>RAW_Товары!A353</f>
        <v>№АРТ-352</v>
      </c>
      <c r="C354" s="11" t="str">
        <f>RAW_Товары!B353</f>
        <v xml:space="preserve">Колонка JBL Flip 6</v>
      </c>
      <c r="D354" s="11" t="str">
        <f>RAW_Товары!C353</f>
        <v>Аксессуары</v>
      </c>
      <c r="E354" s="11" t="str">
        <f>RAW_Товары!D353</f>
        <v>JBL</v>
      </c>
      <c r="F354" s="11" t="str">
        <f>RAW_Товары!E353</f>
        <v xml:space="preserve">4 000</v>
      </c>
      <c r="G354" s="11" t="str">
        <f>RAW_Товары!F353</f>
        <v xml:space="preserve">6 990</v>
      </c>
      <c r="H354" s="11" t="str">
        <f>RAW_Товары!G353</f>
        <v>шт.</v>
      </c>
      <c r="I354" s="12" t="str">
        <f t="shared" si="65"/>
        <v>352</v>
      </c>
      <c r="J354" s="12" t="str">
        <f t="shared" si="66"/>
        <v xml:space="preserve">Колонка JBL Flip 6</v>
      </c>
      <c r="K354" s="12" t="str">
        <f t="shared" si="67"/>
        <v>Аксессуары</v>
      </c>
      <c r="L354" s="13" t="str">
        <f t="shared" si="68"/>
        <v>АРТ-352</v>
      </c>
      <c r="M354" s="13" t="str">
        <f t="shared" si="69"/>
        <v xml:space="preserve">Колонка Jbl Flip 6</v>
      </c>
      <c r="N354" s="13" t="str">
        <f>IFERROR(VLOOKUP(K354,Справочники!$A$6:$B$16,2,0),"НЕТ В СПРАВОЧНИКЕ")</f>
        <v>Аксессуары</v>
      </c>
      <c r="O354" s="13" t="str">
        <f t="shared" si="70"/>
        <v>Jbl</v>
      </c>
      <c r="P354" s="14">
        <f t="shared" si="71"/>
        <v>4000</v>
      </c>
      <c r="Q354" s="14">
        <f t="shared" si="72"/>
        <v>6990</v>
      </c>
      <c r="R354" s="13" t="str">
        <f t="shared" si="75"/>
        <v>шт</v>
      </c>
      <c r="S354" s="10" t="str">
        <f t="shared" si="73"/>
        <v>OK</v>
      </c>
      <c r="T354" s="10" t="str">
        <f t="shared" si="74"/>
        <v>уникален</v>
      </c>
    </row>
    <row r="355" ht="15" customHeight="1">
      <c r="A355" s="10">
        <v>353</v>
      </c>
      <c r="B355" s="11" t="str">
        <f>RAW_Товары!A354</f>
        <v>АРТ_353</v>
      </c>
      <c r="C355" s="11" t="str">
        <f>RAW_Товары!B354</f>
        <v xml:space="preserve">колонка JBL FLIP 6</v>
      </c>
      <c r="D355" s="11" t="str">
        <f>RAW_Товары!C354</f>
        <v>Аксессуары</v>
      </c>
      <c r="E355" s="11" t="str">
        <f>RAW_Товары!D354</f>
        <v>jbl</v>
      </c>
      <c r="F355" s="11" t="str">
        <f>RAW_Товары!E354</f>
        <v xml:space="preserve">3 500</v>
      </c>
      <c r="G355" s="11" t="str">
        <f>RAW_Товары!F354</f>
        <v xml:space="preserve">6 500</v>
      </c>
      <c r="H355" s="11" t="str">
        <f>RAW_Товары!G354</f>
        <v>штука</v>
      </c>
      <c r="I355" s="12" t="str">
        <f t="shared" si="65"/>
        <v>353</v>
      </c>
      <c r="J355" s="12" t="str">
        <f t="shared" si="66"/>
        <v xml:space="preserve">колонка JBL FLIP 6</v>
      </c>
      <c r="K355" s="12" t="str">
        <f t="shared" si="67"/>
        <v>Аксессуары</v>
      </c>
      <c r="L355" s="13" t="str">
        <f t="shared" si="68"/>
        <v>АРТ-353</v>
      </c>
      <c r="M355" s="13" t="str">
        <f t="shared" si="69"/>
        <v xml:space="preserve">Колонка Jbl Flip 6</v>
      </c>
      <c r="N355" s="13" t="str">
        <f>IFERROR(VLOOKUP(K355,Справочники!$A$6:$B$16,2,0),"НЕТ В СПРАВОЧНИКЕ")</f>
        <v>Аксессуары</v>
      </c>
      <c r="O355" s="13" t="str">
        <f t="shared" si="70"/>
        <v>Jbl</v>
      </c>
      <c r="P355" s="14">
        <f t="shared" si="71"/>
        <v>3500</v>
      </c>
      <c r="Q355" s="14">
        <f t="shared" si="72"/>
        <v>6500</v>
      </c>
      <c r="R355" s="13" t="str">
        <f t="shared" si="75"/>
        <v>шт</v>
      </c>
      <c r="S355" s="10" t="str">
        <f t="shared" si="73"/>
        <v>OK</v>
      </c>
      <c r="T355" s="10" t="str">
        <f t="shared" si="74"/>
        <v>уникален</v>
      </c>
    </row>
    <row r="356" ht="15" customHeight="1">
      <c r="A356" s="10">
        <v>354</v>
      </c>
      <c r="B356" s="11" t="str">
        <f>RAW_Товары!A355</f>
        <v>354-24</v>
      </c>
      <c r="C356" s="11" t="str">
        <f>RAW_Товары!B355</f>
        <v xml:space="preserve">Колонка JBL Flip 6 (Red)</v>
      </c>
      <c r="D356" s="11" t="str">
        <f>RAW_Товары!C355</f>
        <v>Аксессуары</v>
      </c>
      <c r="E356" s="11" t="str">
        <f>RAW_Товары!D355</f>
        <v>JBL</v>
      </c>
      <c r="F356" s="11" t="str">
        <f>RAW_Товары!E355</f>
        <v xml:space="preserve">4 500</v>
      </c>
      <c r="G356" s="11" t="str">
        <f>RAW_Товары!F355</f>
        <v xml:space="preserve">7 800</v>
      </c>
      <c r="H356" s="11" t="str">
        <f>RAW_Товары!G355</f>
        <v>шт</v>
      </c>
      <c r="I356" s="12" t="str">
        <f t="shared" ref="I356:I419" si="76">SUBSTITUTE(SUBSTITUTE(B356,"№АРТ-",""),"АРТ_","")</f>
        <v>354-24</v>
      </c>
      <c r="J356" s="12" t="str">
        <f t="shared" ref="J356:J419" si="77">TRIM(LEFT(C356,IFERROR(FIND("(",C356)-1,LEN(C356))))</f>
        <v xml:space="preserve">Колонка JBL Flip 6</v>
      </c>
      <c r="K356" s="12" t="str">
        <f t="shared" ref="K356:K419" si="78">TRIM(D356)</f>
        <v>Аксессуары</v>
      </c>
      <c r="L356" s="13" t="str">
        <f t="shared" ref="L356:L419" si="79">"АРТ-"&amp;LEFT(I356,3)</f>
        <v>АРТ-354</v>
      </c>
      <c r="M356" s="13" t="str">
        <f t="shared" ref="M356:M419" si="80">PROPER(TRIM(J356))</f>
        <v xml:space="preserve">Колонка Jbl Flip 6</v>
      </c>
      <c r="N356" s="13" t="str">
        <f>IFERROR(VLOOKUP(K356,Справочники!$A$6:$B$16,2,0),"НЕТ В СПРАВОЧНИКЕ")</f>
        <v>Аксессуары</v>
      </c>
      <c r="O356" s="13" t="str">
        <f t="shared" ref="O356:O419" si="81">PROPER(TRIM(E356))</f>
        <v>Jbl</v>
      </c>
      <c r="P356" s="14">
        <f t="shared" ref="P356:P419" si="82">ROUND(VALUE(SUBSTITUTE(SUBSTITUTE(F356," ",""),",",".")),2)</f>
        <v>4500</v>
      </c>
      <c r="Q356" s="14">
        <f t="shared" ref="Q356:Q419" si="83">ROUND(VALUE(SUBSTITUTE(SUBSTITUTE(G356," ",""),",",".")),2)</f>
        <v>7800</v>
      </c>
      <c r="R356" s="13" t="str">
        <f t="shared" si="75"/>
        <v>шт</v>
      </c>
      <c r="S356" s="10" t="str">
        <f t="shared" ref="S356:S419" si="84">IF(Q356&gt;=P356,"OK","ОШИБКА: розница &lt; закупки")</f>
        <v>OK</v>
      </c>
      <c r="T356" s="10" t="str">
        <f t="shared" ref="T356:T419" si="85">IF(COUNTIF($L$3:$L$503,L356)=1,"уникален","ДУБЛЬ")</f>
        <v>уникален</v>
      </c>
    </row>
    <row r="357" ht="15" customHeight="1">
      <c r="A357" s="10">
        <v>355</v>
      </c>
      <c r="B357" s="11" t="str">
        <f>RAW_Товары!A356</f>
        <v>№АРТ-355</v>
      </c>
      <c r="C357" s="11" t="str">
        <f>RAW_Товары!B356</f>
        <v xml:space="preserve">Смартфон Huawei P60 Pro</v>
      </c>
      <c r="D357" s="11" t="str">
        <f>RAW_Товары!C356</f>
        <v>Смартфоны</v>
      </c>
      <c r="E357" s="11" t="str">
        <f>RAW_Товары!D356</f>
        <v>Huawei</v>
      </c>
      <c r="F357" s="11" t="str">
        <f>RAW_Товары!E356</f>
        <v xml:space="preserve">55 000</v>
      </c>
      <c r="G357" s="11" t="str">
        <f>RAW_Товары!F356</f>
        <v xml:space="preserve">85 990</v>
      </c>
      <c r="H357" s="11" t="str">
        <f>RAW_Товары!G356</f>
        <v>шт.</v>
      </c>
      <c r="I357" s="12" t="str">
        <f t="shared" si="76"/>
        <v>355</v>
      </c>
      <c r="J357" s="12" t="str">
        <f t="shared" si="77"/>
        <v xml:space="preserve">Смартфон Huawei P60 Pro</v>
      </c>
      <c r="K357" s="12" t="str">
        <f t="shared" si="78"/>
        <v>Смартфоны</v>
      </c>
      <c r="L357" s="13" t="str">
        <f t="shared" si="79"/>
        <v>АРТ-355</v>
      </c>
      <c r="M357" s="13" t="str">
        <f t="shared" si="80"/>
        <v xml:space="preserve">Смартфон Huawei P60 Pro</v>
      </c>
      <c r="N357" s="13" t="str">
        <f>IFERROR(VLOOKUP(K357,Справочники!$A$6:$B$16,2,0),"НЕТ В СПРАВОЧНИКЕ")</f>
        <v>Смартфоны</v>
      </c>
      <c r="O357" s="13" t="str">
        <f t="shared" si="81"/>
        <v>Huawei</v>
      </c>
      <c r="P357" s="14">
        <f t="shared" si="82"/>
        <v>55000</v>
      </c>
      <c r="Q357" s="14">
        <f t="shared" si="83"/>
        <v>85990</v>
      </c>
      <c r="R357" s="13" t="str">
        <f t="shared" si="75"/>
        <v>шт</v>
      </c>
      <c r="S357" s="10" t="str">
        <f t="shared" si="84"/>
        <v>OK</v>
      </c>
      <c r="T357" s="10" t="str">
        <f t="shared" si="85"/>
        <v>уникален</v>
      </c>
    </row>
    <row r="358" ht="15" customHeight="1">
      <c r="A358" s="10">
        <v>356</v>
      </c>
      <c r="B358" s="11" t="str">
        <f>RAW_Товары!A357</f>
        <v>АРТ_356</v>
      </c>
      <c r="C358" s="11" t="str">
        <f>RAW_Товары!B357</f>
        <v xml:space="preserve">смартфон HUAWEI P60 PRO</v>
      </c>
      <c r="D358" s="11" t="str">
        <f>RAW_Товары!C357</f>
        <v>Телефоны</v>
      </c>
      <c r="E358" s="11" t="str">
        <f>RAW_Товары!D357</f>
        <v>huawei</v>
      </c>
      <c r="F358" s="11" t="str">
        <f>RAW_Товары!E357</f>
        <v xml:space="preserve">53 000</v>
      </c>
      <c r="G358" s="11" t="str">
        <f>RAW_Товары!F357</f>
        <v xml:space="preserve">83 000</v>
      </c>
      <c r="H358" s="11" t="str">
        <f>RAW_Товары!G357</f>
        <v>штуки</v>
      </c>
      <c r="I358" s="12" t="str">
        <f t="shared" si="76"/>
        <v>356</v>
      </c>
      <c r="J358" s="12" t="str">
        <f t="shared" si="77"/>
        <v xml:space="preserve">смартфон HUAWEI P60 PRO</v>
      </c>
      <c r="K358" s="12" t="str">
        <f t="shared" si="78"/>
        <v>Телефоны</v>
      </c>
      <c r="L358" s="13" t="str">
        <f t="shared" si="79"/>
        <v>АРТ-356</v>
      </c>
      <c r="M358" s="13" t="str">
        <f t="shared" si="80"/>
        <v xml:space="preserve">Смартфон Huawei P60 Pro</v>
      </c>
      <c r="N358" s="13" t="str">
        <f>IFERROR(VLOOKUP(K358,Справочники!$A$6:$B$16,2,0),"НЕТ В СПРАВОЧНИКЕ")</f>
        <v>Смартфоны</v>
      </c>
      <c r="O358" s="13" t="str">
        <f t="shared" si="81"/>
        <v>Huawei</v>
      </c>
      <c r="P358" s="14">
        <f t="shared" si="82"/>
        <v>53000</v>
      </c>
      <c r="Q358" s="14">
        <f t="shared" si="83"/>
        <v>83000</v>
      </c>
      <c r="R358" s="13" t="str">
        <f t="shared" si="75"/>
        <v>шт</v>
      </c>
      <c r="S358" s="10" t="str">
        <f t="shared" si="84"/>
        <v>OK</v>
      </c>
      <c r="T358" s="10" t="str">
        <f t="shared" si="85"/>
        <v>уникален</v>
      </c>
    </row>
    <row r="359" ht="15" customHeight="1">
      <c r="A359" s="10">
        <v>357</v>
      </c>
      <c r="B359" s="11" t="str">
        <f>RAW_Товары!A358</f>
        <v>357/24</v>
      </c>
      <c r="C359" s="11" t="str">
        <f>RAW_Товары!B358</f>
        <v xml:space="preserve">Смартфон Huawei P60 Pro (Art)</v>
      </c>
      <c r="D359" s="11" t="str">
        <f>RAW_Товары!C358</f>
        <v xml:space="preserve">Мобильные телефоны</v>
      </c>
      <c r="E359" s="11" t="str">
        <f>RAW_Товары!D358</f>
        <v>HUAWEI</v>
      </c>
      <c r="F359" s="11" t="str">
        <f>RAW_Товары!E358</f>
        <v xml:space="preserve">56 500</v>
      </c>
      <c r="G359" s="11" t="str">
        <f>RAW_Товары!F358</f>
        <v xml:space="preserve">88 000</v>
      </c>
      <c r="H359" s="11" t="str">
        <f>RAW_Товары!G358</f>
        <v>шт</v>
      </c>
      <c r="I359" s="12" t="str">
        <f t="shared" si="76"/>
        <v>357/24</v>
      </c>
      <c r="J359" s="12" t="str">
        <f t="shared" si="77"/>
        <v xml:space="preserve">Смартфон Huawei P60 Pro</v>
      </c>
      <c r="K359" s="12" t="str">
        <f t="shared" si="78"/>
        <v xml:space="preserve">Мобильные телефоны</v>
      </c>
      <c r="L359" s="13" t="str">
        <f t="shared" si="79"/>
        <v>АРТ-357</v>
      </c>
      <c r="M359" s="13" t="str">
        <f t="shared" si="80"/>
        <v xml:space="preserve">Смартфон Huawei P60 Pro</v>
      </c>
      <c r="N359" s="13" t="str">
        <f>IFERROR(VLOOKUP(K359,Справочники!$A$6:$B$16,2,0),"НЕТ В СПРАВОЧНИКЕ")</f>
        <v>Смартфоны</v>
      </c>
      <c r="O359" s="13" t="str">
        <f t="shared" si="81"/>
        <v>Huawei</v>
      </c>
      <c r="P359" s="14">
        <f t="shared" si="82"/>
        <v>56500</v>
      </c>
      <c r="Q359" s="14">
        <f t="shared" si="83"/>
        <v>88000</v>
      </c>
      <c r="R359" s="13" t="str">
        <f t="shared" si="75"/>
        <v>шт</v>
      </c>
      <c r="S359" s="10" t="str">
        <f t="shared" si="84"/>
        <v>OK</v>
      </c>
      <c r="T359" s="10" t="str">
        <f t="shared" si="85"/>
        <v>уникален</v>
      </c>
    </row>
    <row r="360" ht="15" customHeight="1">
      <c r="A360" s="10">
        <v>358</v>
      </c>
      <c r="B360" s="11" t="str">
        <f>RAW_Товары!A359</f>
        <v>№АРТ-358</v>
      </c>
      <c r="C360" s="11" t="str">
        <f>RAW_Товары!B359</f>
        <v xml:space="preserve">Планшет Apple iPad Air</v>
      </c>
      <c r="D360" s="11" t="str">
        <f>RAW_Товары!C359</f>
        <v>Планшеты</v>
      </c>
      <c r="E360" s="11" t="str">
        <f>RAW_Товары!D359</f>
        <v>Apple</v>
      </c>
      <c r="F360" s="11" t="str">
        <f>RAW_Товары!E359</f>
        <v xml:space="preserve">38 000</v>
      </c>
      <c r="G360" s="11" t="str">
        <f>RAW_Товары!F359</f>
        <v xml:space="preserve">59 990</v>
      </c>
      <c r="H360" s="11" t="str">
        <f>RAW_Товары!G359</f>
        <v>шт.</v>
      </c>
      <c r="I360" s="12" t="str">
        <f t="shared" si="76"/>
        <v>358</v>
      </c>
      <c r="J360" s="12" t="str">
        <f t="shared" si="77"/>
        <v xml:space="preserve">Планшет Apple iPad Air</v>
      </c>
      <c r="K360" s="12" t="str">
        <f t="shared" si="78"/>
        <v>Планшеты</v>
      </c>
      <c r="L360" s="13" t="str">
        <f t="shared" si="79"/>
        <v>АРТ-358</v>
      </c>
      <c r="M360" s="13" t="str">
        <f t="shared" si="80"/>
        <v xml:space="preserve">Планшет Apple Ipad Air</v>
      </c>
      <c r="N360" s="13" t="str">
        <f>IFERROR(VLOOKUP(K360,Справочники!$A$6:$B$16,2,0),"НЕТ В СПРАВОЧНИКЕ")</f>
        <v>Планшеты</v>
      </c>
      <c r="O360" s="13" t="str">
        <f t="shared" si="81"/>
        <v>Apple</v>
      </c>
      <c r="P360" s="14">
        <f t="shared" si="82"/>
        <v>38000</v>
      </c>
      <c r="Q360" s="14">
        <f t="shared" si="83"/>
        <v>59990</v>
      </c>
      <c r="R360" s="13" t="str">
        <f t="shared" si="75"/>
        <v>шт</v>
      </c>
      <c r="S360" s="10" t="str">
        <f t="shared" si="84"/>
        <v>OK</v>
      </c>
      <c r="T360" s="10" t="str">
        <f t="shared" si="85"/>
        <v>уникален</v>
      </c>
    </row>
    <row r="361" ht="15" customHeight="1">
      <c r="A361" s="10">
        <v>359</v>
      </c>
      <c r="B361" s="11" t="str">
        <f>RAW_Товары!A360</f>
        <v>АРТ_359</v>
      </c>
      <c r="C361" s="11" t="str">
        <f>RAW_Товары!B360</f>
        <v xml:space="preserve">планшет APPLE IPAD AIR</v>
      </c>
      <c r="D361" s="11" t="str">
        <f>RAW_Товары!C360</f>
        <v>Планшеты</v>
      </c>
      <c r="E361" s="11" t="str">
        <f>RAW_Товары!D360</f>
        <v>apple</v>
      </c>
      <c r="F361" s="11" t="str">
        <f>RAW_Товары!E360</f>
        <v xml:space="preserve">36 500</v>
      </c>
      <c r="G361" s="11" t="str">
        <f>RAW_Товары!F360</f>
        <v xml:space="preserve">58 000</v>
      </c>
      <c r="H361" s="11" t="str">
        <f>RAW_Товары!G360</f>
        <v>штука</v>
      </c>
      <c r="I361" s="12" t="str">
        <f t="shared" si="76"/>
        <v>359</v>
      </c>
      <c r="J361" s="12" t="str">
        <f t="shared" si="77"/>
        <v xml:space="preserve">планшет APPLE IPAD AIR</v>
      </c>
      <c r="K361" s="12" t="str">
        <f t="shared" si="78"/>
        <v>Планшеты</v>
      </c>
      <c r="L361" s="13" t="str">
        <f t="shared" si="79"/>
        <v>АРТ-359</v>
      </c>
      <c r="M361" s="13" t="str">
        <f t="shared" si="80"/>
        <v xml:space="preserve">Планшет Apple Ipad Air</v>
      </c>
      <c r="N361" s="13" t="str">
        <f>IFERROR(VLOOKUP(K361,Справочники!$A$6:$B$16,2,0),"НЕТ В СПРАВОЧНИКЕ")</f>
        <v>Планшеты</v>
      </c>
      <c r="O361" s="13" t="str">
        <f t="shared" si="81"/>
        <v>Apple</v>
      </c>
      <c r="P361" s="14">
        <f t="shared" si="82"/>
        <v>36500</v>
      </c>
      <c r="Q361" s="14">
        <f t="shared" si="83"/>
        <v>58000</v>
      </c>
      <c r="R361" s="13" t="str">
        <f t="shared" si="75"/>
        <v>шт</v>
      </c>
      <c r="S361" s="10" t="str">
        <f t="shared" si="84"/>
        <v>OK</v>
      </c>
      <c r="T361" s="10" t="str">
        <f t="shared" si="85"/>
        <v>уникален</v>
      </c>
    </row>
    <row r="362" ht="15" customHeight="1">
      <c r="A362" s="10">
        <v>360</v>
      </c>
      <c r="B362" s="11" t="str">
        <f>RAW_Товары!A361</f>
        <v>360-24</v>
      </c>
      <c r="C362" s="11" t="str">
        <f>RAW_Товары!B361</f>
        <v xml:space="preserve">Планшет Apple iPad Air (M1)</v>
      </c>
      <c r="D362" s="11" t="str">
        <f>RAW_Товары!C361</f>
        <v>Планшеты</v>
      </c>
      <c r="E362" s="11" t="str">
        <f>RAW_Товары!D361</f>
        <v>APPLE</v>
      </c>
      <c r="F362" s="11" t="str">
        <f>RAW_Товары!E361</f>
        <v xml:space="preserve">39 500</v>
      </c>
      <c r="G362" s="11" t="str">
        <f>RAW_Товары!F361</f>
        <v xml:space="preserve">62 000</v>
      </c>
      <c r="H362" s="11" t="str">
        <f>RAW_Товары!G361</f>
        <v>шт</v>
      </c>
      <c r="I362" s="12" t="str">
        <f t="shared" si="76"/>
        <v>360-24</v>
      </c>
      <c r="J362" s="12" t="str">
        <f t="shared" si="77"/>
        <v xml:space="preserve">Планшет Apple iPad Air</v>
      </c>
      <c r="K362" s="12" t="str">
        <f t="shared" si="78"/>
        <v>Планшеты</v>
      </c>
      <c r="L362" s="13" t="str">
        <f t="shared" si="79"/>
        <v>АРТ-360</v>
      </c>
      <c r="M362" s="13" t="str">
        <f t="shared" si="80"/>
        <v xml:space="preserve">Планшет Apple Ipad Air</v>
      </c>
      <c r="N362" s="13" t="str">
        <f>IFERROR(VLOOKUP(K362,Справочники!$A$6:$B$16,2,0),"НЕТ В СПРАВОЧНИКЕ")</f>
        <v>Планшеты</v>
      </c>
      <c r="O362" s="13" t="str">
        <f t="shared" si="81"/>
        <v>Apple</v>
      </c>
      <c r="P362" s="14">
        <f t="shared" si="82"/>
        <v>39500</v>
      </c>
      <c r="Q362" s="14">
        <f t="shared" si="83"/>
        <v>62000</v>
      </c>
      <c r="R362" s="13" t="str">
        <f t="shared" si="75"/>
        <v>шт</v>
      </c>
      <c r="S362" s="10" t="str">
        <f t="shared" si="84"/>
        <v>OK</v>
      </c>
      <c r="T362" s="10" t="str">
        <f t="shared" si="85"/>
        <v>уникален</v>
      </c>
    </row>
    <row r="363" ht="15" customHeight="1">
      <c r="A363" s="10">
        <v>361</v>
      </c>
      <c r="B363" s="11" t="str">
        <f>RAW_Товары!A362</f>
        <v>№АРТ-361</v>
      </c>
      <c r="C363" s="11" t="str">
        <f>RAW_Товары!B362</f>
        <v xml:space="preserve">Ноутбук MSI Creator Z17</v>
      </c>
      <c r="D363" s="11" t="str">
        <f>RAW_Товары!C362</f>
        <v>Ноутбуки</v>
      </c>
      <c r="E363" s="11" t="str">
        <f>RAW_Товары!D362</f>
        <v>MSI</v>
      </c>
      <c r="F363" s="11" t="str">
        <f>RAW_Товары!E362</f>
        <v xml:space="preserve">95 000</v>
      </c>
      <c r="G363" s="11" t="str">
        <f>RAW_Товары!F362</f>
        <v xml:space="preserve">145 990</v>
      </c>
      <c r="H363" s="11" t="str">
        <f>RAW_Товары!G362</f>
        <v>шт.</v>
      </c>
      <c r="I363" s="12" t="str">
        <f t="shared" si="76"/>
        <v>361</v>
      </c>
      <c r="J363" s="12" t="str">
        <f t="shared" si="77"/>
        <v xml:space="preserve">Ноутбук MSI Creator Z17</v>
      </c>
      <c r="K363" s="12" t="str">
        <f t="shared" si="78"/>
        <v>Ноутбуки</v>
      </c>
      <c r="L363" s="13" t="str">
        <f t="shared" si="79"/>
        <v>АРТ-361</v>
      </c>
      <c r="M363" s="13" t="str">
        <f t="shared" si="80"/>
        <v xml:space="preserve">Ноутбук Msi Creator Z17</v>
      </c>
      <c r="N363" s="13" t="str">
        <f>IFERROR(VLOOKUP(K363,Справочники!$A$6:$B$16,2,0),"НЕТ В СПРАВОЧНИКЕ")</f>
        <v>Ноутбуки</v>
      </c>
      <c r="O363" s="13" t="str">
        <f t="shared" si="81"/>
        <v>Msi</v>
      </c>
      <c r="P363" s="14">
        <f t="shared" si="82"/>
        <v>95000</v>
      </c>
      <c r="Q363" s="14">
        <f t="shared" si="83"/>
        <v>145990</v>
      </c>
      <c r="R363" s="13" t="str">
        <f t="shared" si="75"/>
        <v>шт</v>
      </c>
      <c r="S363" s="10" t="str">
        <f t="shared" si="84"/>
        <v>OK</v>
      </c>
      <c r="T363" s="10" t="str">
        <f t="shared" si="85"/>
        <v>уникален</v>
      </c>
    </row>
    <row r="364" ht="15" customHeight="1">
      <c r="A364" s="10">
        <v>362</v>
      </c>
      <c r="B364" s="11" t="str">
        <f>RAW_Товары!A363</f>
        <v>АРТ_362</v>
      </c>
      <c r="C364" s="11" t="str">
        <f>RAW_Товары!B363</f>
        <v xml:space="preserve">ноутбук MSI CREATOR Z17</v>
      </c>
      <c r="D364" s="11" t="str">
        <f>RAW_Товары!C363</f>
        <v>Лэптопы</v>
      </c>
      <c r="E364" s="11" t="str">
        <f>RAW_Товары!D363</f>
        <v>msi</v>
      </c>
      <c r="F364" s="11" t="str">
        <f>RAW_Товары!E363</f>
        <v xml:space="preserve">93 000</v>
      </c>
      <c r="G364" s="11" t="str">
        <f>RAW_Товары!F363</f>
        <v xml:space="preserve">142 500</v>
      </c>
      <c r="H364" s="11" t="str">
        <f>RAW_Товары!G363</f>
        <v>штуки</v>
      </c>
      <c r="I364" s="12" t="str">
        <f t="shared" si="76"/>
        <v>362</v>
      </c>
      <c r="J364" s="12" t="str">
        <f t="shared" si="77"/>
        <v xml:space="preserve">ноутбук MSI CREATOR Z17</v>
      </c>
      <c r="K364" s="12" t="str">
        <f t="shared" si="78"/>
        <v>Лэптопы</v>
      </c>
      <c r="L364" s="13" t="str">
        <f t="shared" si="79"/>
        <v>АРТ-362</v>
      </c>
      <c r="M364" s="13" t="str">
        <f t="shared" si="80"/>
        <v xml:space="preserve">Ноутбук Msi Creator Z17</v>
      </c>
      <c r="N364" s="13" t="str">
        <f>IFERROR(VLOOKUP(K364,Справочники!$A$6:$B$16,2,0),"НЕТ В СПРАВОЧНИКЕ")</f>
        <v>Ноутбуки</v>
      </c>
      <c r="O364" s="13" t="str">
        <f t="shared" si="81"/>
        <v>Msi</v>
      </c>
      <c r="P364" s="14">
        <f t="shared" si="82"/>
        <v>93000</v>
      </c>
      <c r="Q364" s="14">
        <f t="shared" si="83"/>
        <v>142500</v>
      </c>
      <c r="R364" s="13" t="str">
        <f t="shared" si="75"/>
        <v>шт</v>
      </c>
      <c r="S364" s="10" t="str">
        <f t="shared" si="84"/>
        <v>OK</v>
      </c>
      <c r="T364" s="10" t="str">
        <f t="shared" si="85"/>
        <v>уникален</v>
      </c>
    </row>
    <row r="365" ht="15" customHeight="1">
      <c r="A365" s="10">
        <v>363</v>
      </c>
      <c r="B365" s="11" t="str">
        <f>RAW_Товары!A364</f>
        <v>363/24</v>
      </c>
      <c r="C365" s="11" t="str">
        <f>RAW_Товары!B364</f>
        <v xml:space="preserve">Ноутбук MSI Creator Z17 (Pro)</v>
      </c>
      <c r="D365" s="11" t="str">
        <f>RAW_Товары!C364</f>
        <v>Ноутбуки</v>
      </c>
      <c r="E365" s="11" t="str">
        <f>RAW_Товары!D364</f>
        <v>MSI</v>
      </c>
      <c r="F365" s="11" t="str">
        <f>RAW_Товары!E364</f>
        <v xml:space="preserve">96 500</v>
      </c>
      <c r="G365" s="11" t="str">
        <f>RAW_Товары!F364</f>
        <v xml:space="preserve">149 000</v>
      </c>
      <c r="H365" s="11" t="str">
        <f>RAW_Товары!G364</f>
        <v>шт</v>
      </c>
      <c r="I365" s="12" t="str">
        <f t="shared" si="76"/>
        <v>363/24</v>
      </c>
      <c r="J365" s="12" t="str">
        <f t="shared" si="77"/>
        <v xml:space="preserve">Ноутбук MSI Creator Z17</v>
      </c>
      <c r="K365" s="12" t="str">
        <f t="shared" si="78"/>
        <v>Ноутбуки</v>
      </c>
      <c r="L365" s="13" t="str">
        <f t="shared" si="79"/>
        <v>АРТ-363</v>
      </c>
      <c r="M365" s="13" t="str">
        <f t="shared" si="80"/>
        <v xml:space="preserve">Ноутбук Msi Creator Z17</v>
      </c>
      <c r="N365" s="13" t="str">
        <f>IFERROR(VLOOKUP(K365,Справочники!$A$6:$B$16,2,0),"НЕТ В СПРАВОЧНИКЕ")</f>
        <v>Ноутбуки</v>
      </c>
      <c r="O365" s="13" t="str">
        <f t="shared" si="81"/>
        <v>Msi</v>
      </c>
      <c r="P365" s="14">
        <f t="shared" si="82"/>
        <v>96500</v>
      </c>
      <c r="Q365" s="14">
        <f t="shared" si="83"/>
        <v>149000</v>
      </c>
      <c r="R365" s="13" t="str">
        <f t="shared" si="75"/>
        <v>шт</v>
      </c>
      <c r="S365" s="10" t="str">
        <f t="shared" si="84"/>
        <v>OK</v>
      </c>
      <c r="T365" s="10" t="str">
        <f t="shared" si="85"/>
        <v>уникален</v>
      </c>
    </row>
    <row r="366" ht="15" customHeight="1">
      <c r="A366" s="10">
        <v>364</v>
      </c>
      <c r="B366" s="11" t="str">
        <f>RAW_Товары!A365</f>
        <v>№АРТ-364</v>
      </c>
      <c r="C366" s="11" t="str">
        <f>RAW_Товары!B365</f>
        <v xml:space="preserve">Телевизор Sony A80L</v>
      </c>
      <c r="D366" s="11" t="str">
        <f>RAW_Товары!C365</f>
        <v>Телевизоры</v>
      </c>
      <c r="E366" s="11" t="str">
        <f>RAW_Товары!D365</f>
        <v>Sony</v>
      </c>
      <c r="F366" s="11" t="str">
        <f>RAW_Товары!E365</f>
        <v xml:space="preserve">90 000</v>
      </c>
      <c r="G366" s="11" t="str">
        <f>RAW_Товары!F365</f>
        <v xml:space="preserve">139 990</v>
      </c>
      <c r="H366" s="11" t="str">
        <f>RAW_Товары!G365</f>
        <v>шт.</v>
      </c>
      <c r="I366" s="12" t="str">
        <f t="shared" si="76"/>
        <v>364</v>
      </c>
      <c r="J366" s="12" t="str">
        <f t="shared" si="77"/>
        <v xml:space="preserve">Телевизор Sony A80L</v>
      </c>
      <c r="K366" s="12" t="str">
        <f t="shared" si="78"/>
        <v>Телевизоры</v>
      </c>
      <c r="L366" s="13" t="str">
        <f t="shared" si="79"/>
        <v>АРТ-364</v>
      </c>
      <c r="M366" s="13" t="str">
        <f t="shared" si="80"/>
        <v xml:space="preserve">Телевизор Sony A80L</v>
      </c>
      <c r="N366" s="13" t="str">
        <f>IFERROR(VLOOKUP(K366,Справочники!$A$6:$B$16,2,0),"НЕТ В СПРАВОЧНИКЕ")</f>
        <v>Телевизоры</v>
      </c>
      <c r="O366" s="13" t="str">
        <f t="shared" si="81"/>
        <v>Sony</v>
      </c>
      <c r="P366" s="14">
        <f t="shared" si="82"/>
        <v>90000</v>
      </c>
      <c r="Q366" s="14">
        <f t="shared" si="83"/>
        <v>139990</v>
      </c>
      <c r="R366" s="13" t="str">
        <f t="shared" si="75"/>
        <v>шт</v>
      </c>
      <c r="S366" s="10" t="str">
        <f t="shared" si="84"/>
        <v>OK</v>
      </c>
      <c r="T366" s="10" t="str">
        <f t="shared" si="85"/>
        <v>уникален</v>
      </c>
    </row>
    <row r="367" ht="15" customHeight="1">
      <c r="A367" s="10">
        <v>365</v>
      </c>
      <c r="B367" s="11" t="str">
        <f>RAW_Товары!A366</f>
        <v>АРТ_365</v>
      </c>
      <c r="C367" s="11" t="str">
        <f>RAW_Товары!B366</f>
        <v xml:space="preserve">телевизор SONY A80L</v>
      </c>
      <c r="D367" s="11" t="str">
        <f>RAW_Товары!C366</f>
        <v>Телевизоры</v>
      </c>
      <c r="E367" s="11" t="str">
        <f>RAW_Товары!D366</f>
        <v>sony</v>
      </c>
      <c r="F367" s="11" t="str">
        <f>RAW_Товары!E366</f>
        <v xml:space="preserve">88 000</v>
      </c>
      <c r="G367" s="11" t="str">
        <f>RAW_Товары!F366</f>
        <v xml:space="preserve">137 000</v>
      </c>
      <c r="H367" s="11" t="str">
        <f>RAW_Товары!G366</f>
        <v>штука</v>
      </c>
      <c r="I367" s="12" t="str">
        <f t="shared" si="76"/>
        <v>365</v>
      </c>
      <c r="J367" s="12" t="str">
        <f t="shared" si="77"/>
        <v xml:space="preserve">телевизор SONY A80L</v>
      </c>
      <c r="K367" s="12" t="str">
        <f t="shared" si="78"/>
        <v>Телевизоры</v>
      </c>
      <c r="L367" s="13" t="str">
        <f t="shared" si="79"/>
        <v>АРТ-365</v>
      </c>
      <c r="M367" s="13" t="str">
        <f t="shared" si="80"/>
        <v xml:space="preserve">Телевизор Sony A80L</v>
      </c>
      <c r="N367" s="13" t="str">
        <f>IFERROR(VLOOKUP(K367,Справочники!$A$6:$B$16,2,0),"НЕТ В СПРАВОЧНИКЕ")</f>
        <v>Телевизоры</v>
      </c>
      <c r="O367" s="13" t="str">
        <f t="shared" si="81"/>
        <v>Sony</v>
      </c>
      <c r="P367" s="14">
        <f t="shared" si="82"/>
        <v>88000</v>
      </c>
      <c r="Q367" s="14">
        <f t="shared" si="83"/>
        <v>137000</v>
      </c>
      <c r="R367" s="13" t="str">
        <f t="shared" si="75"/>
        <v>шт</v>
      </c>
      <c r="S367" s="10" t="str">
        <f t="shared" si="84"/>
        <v>OK</v>
      </c>
      <c r="T367" s="10" t="str">
        <f t="shared" si="85"/>
        <v>уникален</v>
      </c>
    </row>
    <row r="368" ht="15" customHeight="1">
      <c r="A368" s="10">
        <v>366</v>
      </c>
      <c r="B368" s="11" t="str">
        <f>RAW_Товары!A367</f>
        <v>366-24</v>
      </c>
      <c r="C368" s="11" t="str">
        <f>RAW_Товары!B367</f>
        <v xml:space="preserve">Телевизор Sony A80L (OLED)</v>
      </c>
      <c r="D368" s="11" t="str">
        <f>RAW_Товары!C367</f>
        <v>Телевизоры</v>
      </c>
      <c r="E368" s="11" t="str">
        <f>RAW_Товары!D367</f>
        <v>SONY</v>
      </c>
      <c r="F368" s="11" t="str">
        <f>RAW_Товары!E367</f>
        <v xml:space="preserve">91 500</v>
      </c>
      <c r="G368" s="11" t="str">
        <f>RAW_Товары!F367</f>
        <v xml:space="preserve">142 500</v>
      </c>
      <c r="H368" s="11" t="str">
        <f>RAW_Товары!G367</f>
        <v>шт</v>
      </c>
      <c r="I368" s="12" t="str">
        <f t="shared" si="76"/>
        <v>366-24</v>
      </c>
      <c r="J368" s="12" t="str">
        <f t="shared" si="77"/>
        <v xml:space="preserve">Телевизор Sony A80L</v>
      </c>
      <c r="K368" s="12" t="str">
        <f t="shared" si="78"/>
        <v>Телевизоры</v>
      </c>
      <c r="L368" s="13" t="str">
        <f t="shared" si="79"/>
        <v>АРТ-366</v>
      </c>
      <c r="M368" s="13" t="str">
        <f t="shared" si="80"/>
        <v xml:space="preserve">Телевизор Sony A80L</v>
      </c>
      <c r="N368" s="13" t="str">
        <f>IFERROR(VLOOKUP(K368,Справочники!$A$6:$B$16,2,0),"НЕТ В СПРАВОЧНИКЕ")</f>
        <v>Телевизоры</v>
      </c>
      <c r="O368" s="13" t="str">
        <f t="shared" si="81"/>
        <v>Sony</v>
      </c>
      <c r="P368" s="14">
        <f t="shared" si="82"/>
        <v>91500</v>
      </c>
      <c r="Q368" s="14">
        <f t="shared" si="83"/>
        <v>142500</v>
      </c>
      <c r="R368" s="13" t="str">
        <f t="shared" si="75"/>
        <v>шт</v>
      </c>
      <c r="S368" s="10" t="str">
        <f t="shared" si="84"/>
        <v>OK</v>
      </c>
      <c r="T368" s="10" t="str">
        <f t="shared" si="85"/>
        <v>уникален</v>
      </c>
    </row>
    <row r="369" ht="15" customHeight="1">
      <c r="A369" s="10">
        <v>367</v>
      </c>
      <c r="B369" s="11" t="str">
        <f>RAW_Товары!A368</f>
        <v>№АРТ-367</v>
      </c>
      <c r="C369" s="11" t="str">
        <f>RAW_Товары!B368</f>
        <v xml:space="preserve">Наушники Beats Fit Pro</v>
      </c>
      <c r="D369" s="11" t="str">
        <f>RAW_Товары!C368</f>
        <v>Наушники</v>
      </c>
      <c r="E369" s="11" t="str">
        <f>RAW_Товары!D368</f>
        <v>Beats</v>
      </c>
      <c r="F369" s="11" t="str">
        <f>RAW_Товары!E368</f>
        <v xml:space="preserve">12 000</v>
      </c>
      <c r="G369" s="11" t="str">
        <f>RAW_Товары!F368</f>
        <v xml:space="preserve">19 990</v>
      </c>
      <c r="H369" s="11" t="str">
        <f>RAW_Товары!G368</f>
        <v>шт.</v>
      </c>
      <c r="I369" s="12" t="str">
        <f t="shared" si="76"/>
        <v>367</v>
      </c>
      <c r="J369" s="12" t="str">
        <f t="shared" si="77"/>
        <v xml:space="preserve">Наушники Beats Fit Pro</v>
      </c>
      <c r="K369" s="12" t="str">
        <f t="shared" si="78"/>
        <v>Наушники</v>
      </c>
      <c r="L369" s="13" t="str">
        <f t="shared" si="79"/>
        <v>АРТ-367</v>
      </c>
      <c r="M369" s="13" t="str">
        <f t="shared" si="80"/>
        <v xml:space="preserve">Наушники Beats Fit Pro</v>
      </c>
      <c r="N369" s="13" t="str">
        <f>IFERROR(VLOOKUP(K369,Справочники!$A$6:$B$16,2,0),"НЕТ В СПРАВОЧНИКЕ")</f>
        <v>Наушники</v>
      </c>
      <c r="O369" s="13" t="str">
        <f t="shared" si="81"/>
        <v>Beats</v>
      </c>
      <c r="P369" s="14">
        <f t="shared" si="82"/>
        <v>12000</v>
      </c>
      <c r="Q369" s="14">
        <f t="shared" si="83"/>
        <v>19990</v>
      </c>
      <c r="R369" s="13" t="str">
        <f t="shared" si="75"/>
        <v>шт</v>
      </c>
      <c r="S369" s="10" t="str">
        <f t="shared" si="84"/>
        <v>OK</v>
      </c>
      <c r="T369" s="10" t="str">
        <f t="shared" si="85"/>
        <v>уникален</v>
      </c>
    </row>
    <row r="370" ht="15" customHeight="1">
      <c r="A370" s="10">
        <v>368</v>
      </c>
      <c r="B370" s="11" t="str">
        <f>RAW_Товары!A369</f>
        <v>АРТ_368</v>
      </c>
      <c r="C370" s="11" t="str">
        <f>RAW_Товары!B369</f>
        <v xml:space="preserve">наушники BEATS FIT PRO</v>
      </c>
      <c r="D370" s="11" t="str">
        <f>RAW_Товары!C369</f>
        <v>Наушники</v>
      </c>
      <c r="E370" s="11" t="str">
        <f>RAW_Товары!D369</f>
        <v>beats</v>
      </c>
      <c r="F370" s="11" t="str">
        <f>RAW_Товары!E369</f>
        <v xml:space="preserve">11 500</v>
      </c>
      <c r="G370" s="11" t="str">
        <f>RAW_Товары!F369</f>
        <v xml:space="preserve">19 000</v>
      </c>
      <c r="H370" s="11" t="str">
        <f>RAW_Товары!G369</f>
        <v>штуки</v>
      </c>
      <c r="I370" s="12" t="str">
        <f t="shared" si="76"/>
        <v>368</v>
      </c>
      <c r="J370" s="12" t="str">
        <f t="shared" si="77"/>
        <v xml:space="preserve">наушники BEATS FIT PRO</v>
      </c>
      <c r="K370" s="12" t="str">
        <f t="shared" si="78"/>
        <v>Наушники</v>
      </c>
      <c r="L370" s="13" t="str">
        <f t="shared" si="79"/>
        <v>АРТ-368</v>
      </c>
      <c r="M370" s="13" t="str">
        <f t="shared" si="80"/>
        <v xml:space="preserve">Наушники Beats Fit Pro</v>
      </c>
      <c r="N370" s="13" t="str">
        <f>IFERROR(VLOOKUP(K370,Справочники!$A$6:$B$16,2,0),"НЕТ В СПРАВОЧНИКЕ")</f>
        <v>Наушники</v>
      </c>
      <c r="O370" s="13" t="str">
        <f t="shared" si="81"/>
        <v>Beats</v>
      </c>
      <c r="P370" s="14">
        <f t="shared" si="82"/>
        <v>11500</v>
      </c>
      <c r="Q370" s="14">
        <f t="shared" si="83"/>
        <v>19000</v>
      </c>
      <c r="R370" s="13" t="str">
        <f t="shared" si="75"/>
        <v>шт</v>
      </c>
      <c r="S370" s="10" t="str">
        <f t="shared" si="84"/>
        <v>OK</v>
      </c>
      <c r="T370" s="10" t="str">
        <f t="shared" si="85"/>
        <v>уникален</v>
      </c>
    </row>
    <row r="371" ht="15" customHeight="1">
      <c r="A371" s="10">
        <v>369</v>
      </c>
      <c r="B371" s="11" t="str">
        <f>RAW_Товары!A370</f>
        <v>369/24</v>
      </c>
      <c r="C371" s="11" t="str">
        <f>RAW_Товары!B370</f>
        <v xml:space="preserve">Наушники Beats Fit Pro (Black)</v>
      </c>
      <c r="D371" s="11" t="str">
        <f>RAW_Товары!C370</f>
        <v>Наушники</v>
      </c>
      <c r="E371" s="11" t="str">
        <f>RAW_Товары!D370</f>
        <v>BEATS</v>
      </c>
      <c r="F371" s="11" t="str">
        <f>RAW_Товары!E370</f>
        <v xml:space="preserve">12 500</v>
      </c>
      <c r="G371" s="11" t="str">
        <f>RAW_Товары!F370</f>
        <v xml:space="preserve">20 800</v>
      </c>
      <c r="H371" s="11" t="str">
        <f>RAW_Товары!G370</f>
        <v>шт</v>
      </c>
      <c r="I371" s="12" t="str">
        <f t="shared" si="76"/>
        <v>369/24</v>
      </c>
      <c r="J371" s="12" t="str">
        <f t="shared" si="77"/>
        <v xml:space="preserve">Наушники Beats Fit Pro</v>
      </c>
      <c r="K371" s="12" t="str">
        <f t="shared" si="78"/>
        <v>Наушники</v>
      </c>
      <c r="L371" s="13" t="str">
        <f t="shared" si="79"/>
        <v>АРТ-369</v>
      </c>
      <c r="M371" s="13" t="str">
        <f t="shared" si="80"/>
        <v xml:space="preserve">Наушники Beats Fit Pro</v>
      </c>
      <c r="N371" s="13" t="str">
        <f>IFERROR(VLOOKUP(K371,Справочники!$A$6:$B$16,2,0),"НЕТ В СПРАВОЧНИКЕ")</f>
        <v>Наушники</v>
      </c>
      <c r="O371" s="13" t="str">
        <f t="shared" si="81"/>
        <v>Beats</v>
      </c>
      <c r="P371" s="14">
        <f t="shared" si="82"/>
        <v>12500</v>
      </c>
      <c r="Q371" s="14">
        <f t="shared" si="83"/>
        <v>20800</v>
      </c>
      <c r="R371" s="13" t="str">
        <f t="shared" si="75"/>
        <v>шт</v>
      </c>
      <c r="S371" s="10" t="str">
        <f t="shared" si="84"/>
        <v>OK</v>
      </c>
      <c r="T371" s="10" t="str">
        <f t="shared" si="85"/>
        <v>уникален</v>
      </c>
    </row>
    <row r="372" ht="15" customHeight="1">
      <c r="A372" s="10">
        <v>370</v>
      </c>
      <c r="B372" s="11" t="str">
        <f>RAW_Товары!A371</f>
        <v>№АРТ-370</v>
      </c>
      <c r="C372" s="11" t="str">
        <f>RAW_Товары!B371</f>
        <v xml:space="preserve">Монитор ASUS VG27AQ</v>
      </c>
      <c r="D372" s="11" t="str">
        <f>RAW_Товары!C371</f>
        <v>Мониторы</v>
      </c>
      <c r="E372" s="11" t="str">
        <f>RAW_Товары!D371</f>
        <v>ASUS</v>
      </c>
      <c r="F372" s="11" t="str">
        <f>RAW_Товары!E371</f>
        <v xml:space="preserve">32 000</v>
      </c>
      <c r="G372" s="11" t="str">
        <f>RAW_Товары!F371</f>
        <v xml:space="preserve">49 990</v>
      </c>
      <c r="H372" s="11" t="str">
        <f>RAW_Товары!G371</f>
        <v>шт.</v>
      </c>
      <c r="I372" s="12" t="str">
        <f t="shared" si="76"/>
        <v>370</v>
      </c>
      <c r="J372" s="12" t="str">
        <f t="shared" si="77"/>
        <v xml:space="preserve">Монитор ASUS VG27AQ</v>
      </c>
      <c r="K372" s="12" t="str">
        <f t="shared" si="78"/>
        <v>Мониторы</v>
      </c>
      <c r="L372" s="13" t="str">
        <f t="shared" si="79"/>
        <v>АРТ-370</v>
      </c>
      <c r="M372" s="13" t="str">
        <f t="shared" si="80"/>
        <v xml:space="preserve">Монитор Asus Vg27Aq</v>
      </c>
      <c r="N372" s="13" t="str">
        <f>IFERROR(VLOOKUP(K372,Справочники!$A$6:$B$16,2,0),"НЕТ В СПРАВОЧНИКЕ")</f>
        <v>Мониторы</v>
      </c>
      <c r="O372" s="13" t="str">
        <f t="shared" si="81"/>
        <v>Asus</v>
      </c>
      <c r="P372" s="14">
        <f t="shared" si="82"/>
        <v>32000</v>
      </c>
      <c r="Q372" s="14">
        <f t="shared" si="83"/>
        <v>49990</v>
      </c>
      <c r="R372" s="13" t="str">
        <f t="shared" si="75"/>
        <v>шт</v>
      </c>
      <c r="S372" s="10" t="str">
        <f t="shared" si="84"/>
        <v>OK</v>
      </c>
      <c r="T372" s="10" t="str">
        <f t="shared" si="85"/>
        <v>уникален</v>
      </c>
    </row>
    <row r="373" ht="15" customHeight="1">
      <c r="A373" s="10">
        <v>371</v>
      </c>
      <c r="B373" s="11" t="str">
        <f>RAW_Товары!A372</f>
        <v>АРТ_371</v>
      </c>
      <c r="C373" s="11" t="str">
        <f>RAW_Товары!B372</f>
        <v xml:space="preserve">монитор ASUS VG27AQ</v>
      </c>
      <c r="D373" s="11" t="str">
        <f>RAW_Товары!C372</f>
        <v>Мониторы</v>
      </c>
      <c r="E373" s="11" t="str">
        <f>RAW_Товары!D372</f>
        <v>asus</v>
      </c>
      <c r="F373" s="11" t="str">
        <f>RAW_Товары!E372</f>
        <v xml:space="preserve">30 500</v>
      </c>
      <c r="G373" s="11" t="str">
        <f>RAW_Товары!F372</f>
        <v xml:space="preserve">48 000</v>
      </c>
      <c r="H373" s="11" t="str">
        <f>RAW_Товары!G372</f>
        <v>штука</v>
      </c>
      <c r="I373" s="12" t="str">
        <f t="shared" si="76"/>
        <v>371</v>
      </c>
      <c r="J373" s="12" t="str">
        <f t="shared" si="77"/>
        <v xml:space="preserve">монитор ASUS VG27AQ</v>
      </c>
      <c r="K373" s="12" t="str">
        <f t="shared" si="78"/>
        <v>Мониторы</v>
      </c>
      <c r="L373" s="13" t="str">
        <f t="shared" si="79"/>
        <v>АРТ-371</v>
      </c>
      <c r="M373" s="13" t="str">
        <f t="shared" si="80"/>
        <v xml:space="preserve">Монитор Asus Vg27Aq</v>
      </c>
      <c r="N373" s="13" t="str">
        <f>IFERROR(VLOOKUP(K373,Справочники!$A$6:$B$16,2,0),"НЕТ В СПРАВОЧНИКЕ")</f>
        <v>Мониторы</v>
      </c>
      <c r="O373" s="13" t="str">
        <f t="shared" si="81"/>
        <v>Asus</v>
      </c>
      <c r="P373" s="14">
        <f t="shared" si="82"/>
        <v>30500</v>
      </c>
      <c r="Q373" s="14">
        <f t="shared" si="83"/>
        <v>48000</v>
      </c>
      <c r="R373" s="13" t="str">
        <f t="shared" si="75"/>
        <v>шт</v>
      </c>
      <c r="S373" s="10" t="str">
        <f t="shared" si="84"/>
        <v>OK</v>
      </c>
      <c r="T373" s="10" t="str">
        <f t="shared" si="85"/>
        <v>уникален</v>
      </c>
    </row>
    <row r="374" ht="15" customHeight="1">
      <c r="A374" s="10">
        <v>372</v>
      </c>
      <c r="B374" s="11" t="str">
        <f>RAW_Товары!A373</f>
        <v>372-24</v>
      </c>
      <c r="C374" s="11" t="str">
        <f>RAW_Товары!B373</f>
        <v xml:space="preserve">Монитор ASUS VG27AQ (Gaming)</v>
      </c>
      <c r="D374" s="11" t="str">
        <f>RAW_Товары!C373</f>
        <v>Мониторы</v>
      </c>
      <c r="E374" s="11" t="str">
        <f>RAW_Товары!D373</f>
        <v>ASUS</v>
      </c>
      <c r="F374" s="11" t="str">
        <f>RAW_Товары!E373</f>
        <v xml:space="preserve">33 500</v>
      </c>
      <c r="G374" s="11" t="str">
        <f>RAW_Товары!F373</f>
        <v xml:space="preserve">52 000</v>
      </c>
      <c r="H374" s="11" t="str">
        <f>RAW_Товары!G373</f>
        <v>шт</v>
      </c>
      <c r="I374" s="12" t="str">
        <f t="shared" si="76"/>
        <v>372-24</v>
      </c>
      <c r="J374" s="12" t="str">
        <f t="shared" si="77"/>
        <v xml:space="preserve">Монитор ASUS VG27AQ</v>
      </c>
      <c r="K374" s="12" t="str">
        <f t="shared" si="78"/>
        <v>Мониторы</v>
      </c>
      <c r="L374" s="13" t="str">
        <f t="shared" si="79"/>
        <v>АРТ-372</v>
      </c>
      <c r="M374" s="13" t="str">
        <f t="shared" si="80"/>
        <v xml:space="preserve">Монитор Asus Vg27Aq</v>
      </c>
      <c r="N374" s="13" t="str">
        <f>IFERROR(VLOOKUP(K374,Справочники!$A$6:$B$16,2,0),"НЕТ В СПРАВОЧНИКЕ")</f>
        <v>Мониторы</v>
      </c>
      <c r="O374" s="13" t="str">
        <f t="shared" si="81"/>
        <v>Asus</v>
      </c>
      <c r="P374" s="14">
        <f t="shared" si="82"/>
        <v>33500</v>
      </c>
      <c r="Q374" s="14">
        <f t="shared" si="83"/>
        <v>52000</v>
      </c>
      <c r="R374" s="13" t="str">
        <f t="shared" si="75"/>
        <v>шт</v>
      </c>
      <c r="S374" s="10" t="str">
        <f t="shared" si="84"/>
        <v>OK</v>
      </c>
      <c r="T374" s="10" t="str">
        <f t="shared" si="85"/>
        <v>уникален</v>
      </c>
    </row>
    <row r="375" ht="15" customHeight="1">
      <c r="A375" s="10">
        <v>373</v>
      </c>
      <c r="B375" s="11" t="str">
        <f>RAW_Товары!A374</f>
        <v>№АРТ-373</v>
      </c>
      <c r="C375" s="11" t="str">
        <f>RAW_Товары!B374</f>
        <v xml:space="preserve">Клавиатура Razer Huntsman V2</v>
      </c>
      <c r="D375" s="11" t="str">
        <f>RAW_Товары!C374</f>
        <v>Аксессуары</v>
      </c>
      <c r="E375" s="11" t="str">
        <f>RAW_Товары!D374</f>
        <v>Razer</v>
      </c>
      <c r="F375" s="11" t="str">
        <f>RAW_Товары!E374</f>
        <v xml:space="preserve">8 500</v>
      </c>
      <c r="G375" s="11" t="str">
        <f>RAW_Товары!F374</f>
        <v xml:space="preserve">13 990</v>
      </c>
      <c r="H375" s="11" t="str">
        <f>RAW_Товары!G374</f>
        <v>шт.</v>
      </c>
      <c r="I375" s="12" t="str">
        <f t="shared" si="76"/>
        <v>373</v>
      </c>
      <c r="J375" s="12" t="str">
        <f t="shared" si="77"/>
        <v xml:space="preserve">Клавиатура Razer Huntsman V2</v>
      </c>
      <c r="K375" s="12" t="str">
        <f t="shared" si="78"/>
        <v>Аксессуары</v>
      </c>
      <c r="L375" s="13" t="str">
        <f t="shared" si="79"/>
        <v>АРТ-373</v>
      </c>
      <c r="M375" s="13" t="str">
        <f t="shared" si="80"/>
        <v xml:space="preserve">Клавиатура Razer Huntsman V2</v>
      </c>
      <c r="N375" s="13" t="str">
        <f>IFERROR(VLOOKUP(K375,Справочники!$A$6:$B$16,2,0),"НЕТ В СПРАВОЧНИКЕ")</f>
        <v>Аксессуары</v>
      </c>
      <c r="O375" s="13" t="str">
        <f t="shared" si="81"/>
        <v>Razer</v>
      </c>
      <c r="P375" s="14">
        <f t="shared" si="82"/>
        <v>8500</v>
      </c>
      <c r="Q375" s="14">
        <f t="shared" si="83"/>
        <v>13990</v>
      </c>
      <c r="R375" s="13" t="str">
        <f t="shared" si="75"/>
        <v>шт</v>
      </c>
      <c r="S375" s="10" t="str">
        <f t="shared" si="84"/>
        <v>OK</v>
      </c>
      <c r="T375" s="10" t="str">
        <f t="shared" si="85"/>
        <v>уникален</v>
      </c>
    </row>
    <row r="376" ht="15" customHeight="1">
      <c r="A376" s="10">
        <v>374</v>
      </c>
      <c r="B376" s="11" t="str">
        <f>RAW_Товары!A375</f>
        <v>АРТ_374</v>
      </c>
      <c r="C376" s="11" t="str">
        <f>RAW_Товары!B375</f>
        <v xml:space="preserve">клавиатура RAZER HUNTSMAN V2</v>
      </c>
      <c r="D376" s="11" t="str">
        <f>RAW_Товары!C375</f>
        <v>Аксессуары</v>
      </c>
      <c r="E376" s="11" t="str">
        <f>RAW_Товары!D375</f>
        <v>razer</v>
      </c>
      <c r="F376" s="11" t="str">
        <f>RAW_Товары!E375</f>
        <v xml:space="preserve">8 000</v>
      </c>
      <c r="G376" s="11" t="str">
        <f>RAW_Товары!F375</f>
        <v xml:space="preserve">13 500</v>
      </c>
      <c r="H376" s="11" t="str">
        <f>RAW_Товары!G375</f>
        <v>штуки</v>
      </c>
      <c r="I376" s="12" t="str">
        <f t="shared" si="76"/>
        <v>374</v>
      </c>
      <c r="J376" s="12" t="str">
        <f t="shared" si="77"/>
        <v xml:space="preserve">клавиатура RAZER HUNTSMAN V2</v>
      </c>
      <c r="K376" s="12" t="str">
        <f t="shared" si="78"/>
        <v>Аксессуары</v>
      </c>
      <c r="L376" s="13" t="str">
        <f t="shared" si="79"/>
        <v>АРТ-374</v>
      </c>
      <c r="M376" s="13" t="str">
        <f t="shared" si="80"/>
        <v xml:space="preserve">Клавиатура Razer Huntsman V2</v>
      </c>
      <c r="N376" s="13" t="str">
        <f>IFERROR(VLOOKUP(K376,Справочники!$A$6:$B$16,2,0),"НЕТ В СПРАВОЧНИКЕ")</f>
        <v>Аксессуары</v>
      </c>
      <c r="O376" s="13" t="str">
        <f t="shared" si="81"/>
        <v>Razer</v>
      </c>
      <c r="P376" s="14">
        <f t="shared" si="82"/>
        <v>8000</v>
      </c>
      <c r="Q376" s="14">
        <f t="shared" si="83"/>
        <v>13500</v>
      </c>
      <c r="R376" s="13" t="str">
        <f t="shared" si="75"/>
        <v>шт</v>
      </c>
      <c r="S376" s="10" t="str">
        <f t="shared" si="84"/>
        <v>OK</v>
      </c>
      <c r="T376" s="10" t="str">
        <f t="shared" si="85"/>
        <v>уникален</v>
      </c>
    </row>
    <row r="377" ht="15" customHeight="1">
      <c r="A377" s="10">
        <v>375</v>
      </c>
      <c r="B377" s="11" t="str">
        <f>RAW_Товары!A376</f>
        <v>375/24</v>
      </c>
      <c r="C377" s="11" t="str">
        <f>RAW_Товары!B376</f>
        <v xml:space="preserve">Клавиатура Razer Huntsman V2 (RGB)</v>
      </c>
      <c r="D377" s="11" t="str">
        <f>RAW_Товары!C376</f>
        <v>Аксессуары</v>
      </c>
      <c r="E377" s="11" t="str">
        <f>RAW_Товары!D376</f>
        <v>RAZER</v>
      </c>
      <c r="F377" s="11" t="str">
        <f>RAW_Товары!E376</f>
        <v xml:space="preserve">9 000</v>
      </c>
      <c r="G377" s="11" t="str">
        <f>RAW_Товары!F376</f>
        <v xml:space="preserve">14 800</v>
      </c>
      <c r="H377" s="11" t="str">
        <f>RAW_Товары!G376</f>
        <v>шт</v>
      </c>
      <c r="I377" s="12" t="str">
        <f t="shared" si="76"/>
        <v>375/24</v>
      </c>
      <c r="J377" s="12" t="str">
        <f t="shared" si="77"/>
        <v xml:space="preserve">Клавиатура Razer Huntsman V2</v>
      </c>
      <c r="K377" s="12" t="str">
        <f t="shared" si="78"/>
        <v>Аксессуары</v>
      </c>
      <c r="L377" s="13" t="str">
        <f t="shared" si="79"/>
        <v>АРТ-375</v>
      </c>
      <c r="M377" s="13" t="str">
        <f t="shared" si="80"/>
        <v xml:space="preserve">Клавиатура Razer Huntsman V2</v>
      </c>
      <c r="N377" s="13" t="str">
        <f>IFERROR(VLOOKUP(K377,Справочники!$A$6:$B$16,2,0),"НЕТ В СПРАВОЧНИКЕ")</f>
        <v>Аксессуары</v>
      </c>
      <c r="O377" s="13" t="str">
        <f t="shared" si="81"/>
        <v>Razer</v>
      </c>
      <c r="P377" s="14">
        <f t="shared" si="82"/>
        <v>9000</v>
      </c>
      <c r="Q377" s="14">
        <f t="shared" si="83"/>
        <v>14800</v>
      </c>
      <c r="R377" s="13" t="str">
        <f t="shared" si="75"/>
        <v>шт</v>
      </c>
      <c r="S377" s="10" t="str">
        <f t="shared" si="84"/>
        <v>OK</v>
      </c>
      <c r="T377" s="10" t="str">
        <f t="shared" si="85"/>
        <v>уникален</v>
      </c>
    </row>
    <row r="378" ht="15" customHeight="1">
      <c r="A378" s="10">
        <v>376</v>
      </c>
      <c r="B378" s="11" t="str">
        <f>RAW_Товары!A377</f>
        <v>№АРТ-376</v>
      </c>
      <c r="C378" s="11" t="str">
        <f>RAW_Товары!B377</f>
        <v xml:space="preserve">Смарт-часы Xiaomi Watch S1</v>
      </c>
      <c r="D378" s="11" t="str">
        <f>RAW_Товары!C377</f>
        <v>Часы</v>
      </c>
      <c r="E378" s="11" t="str">
        <f>RAW_Товары!D377</f>
        <v>Xiaomi</v>
      </c>
      <c r="F378" s="11" t="str">
        <f>RAW_Товары!E377</f>
        <v xml:space="preserve">15 000</v>
      </c>
      <c r="G378" s="11" t="str">
        <f>RAW_Товары!F377</f>
        <v xml:space="preserve">24 990</v>
      </c>
      <c r="H378" s="11" t="str">
        <f>RAW_Товары!G377</f>
        <v>шт.</v>
      </c>
      <c r="I378" s="12" t="str">
        <f t="shared" si="76"/>
        <v>376</v>
      </c>
      <c r="J378" s="12" t="str">
        <f t="shared" si="77"/>
        <v xml:space="preserve">Смарт-часы Xiaomi Watch S1</v>
      </c>
      <c r="K378" s="12" t="str">
        <f t="shared" si="78"/>
        <v>Часы</v>
      </c>
      <c r="L378" s="13" t="str">
        <f t="shared" si="79"/>
        <v>АРТ-376</v>
      </c>
      <c r="M378" s="13" t="str">
        <f t="shared" si="80"/>
        <v xml:space="preserve">Смарт-Часы Xiaomi Watch S1</v>
      </c>
      <c r="N378" s="13" t="str">
        <f>IFERROR(VLOOKUP(K378,Справочники!$A$6:$B$16,2,0),"НЕТ В СПРАВОЧНИКЕ")</f>
        <v>Часы</v>
      </c>
      <c r="O378" s="13" t="str">
        <f t="shared" si="81"/>
        <v>Xiaomi</v>
      </c>
      <c r="P378" s="14">
        <f t="shared" si="82"/>
        <v>15000</v>
      </c>
      <c r="Q378" s="14">
        <f t="shared" si="83"/>
        <v>24990</v>
      </c>
      <c r="R378" s="13" t="str">
        <f t="shared" si="75"/>
        <v>шт</v>
      </c>
      <c r="S378" s="10" t="str">
        <f t="shared" si="84"/>
        <v>OK</v>
      </c>
      <c r="T378" s="10" t="str">
        <f t="shared" si="85"/>
        <v>уникален</v>
      </c>
    </row>
    <row r="379" ht="15" customHeight="1">
      <c r="A379" s="10">
        <v>377</v>
      </c>
      <c r="B379" s="11" t="str">
        <f>RAW_Товары!A378</f>
        <v>АРТ_377</v>
      </c>
      <c r="C379" s="11" t="str">
        <f>RAW_Товары!B378</f>
        <v xml:space="preserve">смарт-часы XIAOMI WATCH S1</v>
      </c>
      <c r="D379" s="11" t="str">
        <f>RAW_Товары!C378</f>
        <v>Часы</v>
      </c>
      <c r="E379" s="11" t="str">
        <f>RAW_Товары!D378</f>
        <v>xiaomi</v>
      </c>
      <c r="F379" s="11" t="str">
        <f>RAW_Товары!E378</f>
        <v xml:space="preserve">14 000</v>
      </c>
      <c r="G379" s="11" t="str">
        <f>RAW_Товары!F378</f>
        <v xml:space="preserve">23 500</v>
      </c>
      <c r="H379" s="11" t="str">
        <f>RAW_Товары!G378</f>
        <v>штука</v>
      </c>
      <c r="I379" s="12" t="str">
        <f t="shared" si="76"/>
        <v>377</v>
      </c>
      <c r="J379" s="12" t="str">
        <f t="shared" si="77"/>
        <v xml:space="preserve">смарт-часы XIAOMI WATCH S1</v>
      </c>
      <c r="K379" s="12" t="str">
        <f t="shared" si="78"/>
        <v>Часы</v>
      </c>
      <c r="L379" s="13" t="str">
        <f t="shared" si="79"/>
        <v>АРТ-377</v>
      </c>
      <c r="M379" s="13" t="str">
        <f t="shared" si="80"/>
        <v xml:space="preserve">Смарт-Часы Xiaomi Watch S1</v>
      </c>
      <c r="N379" s="13" t="str">
        <f>IFERROR(VLOOKUP(K379,Справочники!$A$6:$B$16,2,0),"НЕТ В СПРАВОЧНИКЕ")</f>
        <v>Часы</v>
      </c>
      <c r="O379" s="13" t="str">
        <f t="shared" si="81"/>
        <v>Xiaomi</v>
      </c>
      <c r="P379" s="14">
        <f t="shared" si="82"/>
        <v>14000</v>
      </c>
      <c r="Q379" s="14">
        <f t="shared" si="83"/>
        <v>23500</v>
      </c>
      <c r="R379" s="13" t="str">
        <f t="shared" si="75"/>
        <v>шт</v>
      </c>
      <c r="S379" s="10" t="str">
        <f t="shared" si="84"/>
        <v>OK</v>
      </c>
      <c r="T379" s="10" t="str">
        <f t="shared" si="85"/>
        <v>уникален</v>
      </c>
    </row>
    <row r="380" ht="15" customHeight="1">
      <c r="A380" s="10">
        <v>378</v>
      </c>
      <c r="B380" s="11" t="str">
        <f>RAW_Товары!A379</f>
        <v>378-24</v>
      </c>
      <c r="C380" s="11" t="str">
        <f>RAW_Товары!B379</f>
        <v xml:space="preserve">Смарт-часы Xiaomi Watch S1 (Active)</v>
      </c>
      <c r="D380" s="11" t="str">
        <f>RAW_Товары!C379</f>
        <v>Часы</v>
      </c>
      <c r="E380" s="11" t="str">
        <f>RAW_Товары!D379</f>
        <v>XIAOMI</v>
      </c>
      <c r="F380" s="11" t="str">
        <f>RAW_Товары!E379</f>
        <v xml:space="preserve">16 000</v>
      </c>
      <c r="G380" s="11" t="str">
        <f>RAW_Товары!F379</f>
        <v xml:space="preserve">26 500</v>
      </c>
      <c r="H380" s="11" t="str">
        <f>RAW_Товары!G379</f>
        <v>шт</v>
      </c>
      <c r="I380" s="12" t="str">
        <f t="shared" si="76"/>
        <v>378-24</v>
      </c>
      <c r="J380" s="12" t="str">
        <f t="shared" si="77"/>
        <v xml:space="preserve">Смарт-часы Xiaomi Watch S1</v>
      </c>
      <c r="K380" s="12" t="str">
        <f t="shared" si="78"/>
        <v>Часы</v>
      </c>
      <c r="L380" s="13" t="str">
        <f t="shared" si="79"/>
        <v>АРТ-378</v>
      </c>
      <c r="M380" s="13" t="str">
        <f t="shared" si="80"/>
        <v xml:space="preserve">Смарт-Часы Xiaomi Watch S1</v>
      </c>
      <c r="N380" s="13" t="str">
        <f>IFERROR(VLOOKUP(K380,Справочники!$A$6:$B$16,2,0),"НЕТ В СПРАВОЧНИКЕ")</f>
        <v>Часы</v>
      </c>
      <c r="O380" s="13" t="str">
        <f t="shared" si="81"/>
        <v>Xiaomi</v>
      </c>
      <c r="P380" s="14">
        <f t="shared" si="82"/>
        <v>16000</v>
      </c>
      <c r="Q380" s="14">
        <f t="shared" si="83"/>
        <v>26500</v>
      </c>
      <c r="R380" s="13" t="str">
        <f t="shared" si="75"/>
        <v>шт</v>
      </c>
      <c r="S380" s="10" t="str">
        <f t="shared" si="84"/>
        <v>OK</v>
      </c>
      <c r="T380" s="10" t="str">
        <f t="shared" si="85"/>
        <v>уникален</v>
      </c>
    </row>
    <row r="381" ht="15" customHeight="1">
      <c r="A381" s="10">
        <v>379</v>
      </c>
      <c r="B381" s="11" t="str">
        <f>RAW_Товары!A380</f>
        <v>№АРТ-379</v>
      </c>
      <c r="C381" s="11" t="str">
        <f>RAW_Товары!B380</f>
        <v xml:space="preserve">Планшет Samsung Galaxy Tab S6</v>
      </c>
      <c r="D381" s="11" t="str">
        <f>RAW_Товары!C380</f>
        <v>Планшеты</v>
      </c>
      <c r="E381" s="11" t="str">
        <f>RAW_Товары!D380</f>
        <v>Samsung</v>
      </c>
      <c r="F381" s="11" t="str">
        <f>RAW_Товары!E380</f>
        <v xml:space="preserve">22 000</v>
      </c>
      <c r="G381" s="11" t="str">
        <f>RAW_Товары!F380</f>
        <v xml:space="preserve">36 990</v>
      </c>
      <c r="H381" s="11" t="str">
        <f>RAW_Товары!G380</f>
        <v>шт.</v>
      </c>
      <c r="I381" s="12" t="str">
        <f t="shared" si="76"/>
        <v>379</v>
      </c>
      <c r="J381" s="12" t="str">
        <f t="shared" si="77"/>
        <v xml:space="preserve">Планшет Samsung Galaxy Tab S6</v>
      </c>
      <c r="K381" s="12" t="str">
        <f t="shared" si="78"/>
        <v>Планшеты</v>
      </c>
      <c r="L381" s="13" t="str">
        <f t="shared" si="79"/>
        <v>АРТ-379</v>
      </c>
      <c r="M381" s="13" t="str">
        <f t="shared" si="80"/>
        <v xml:space="preserve">Планшет Samsung Galaxy Tab S6</v>
      </c>
      <c r="N381" s="13" t="str">
        <f>IFERROR(VLOOKUP(K381,Справочники!$A$6:$B$16,2,0),"НЕТ В СПРАВОЧНИКЕ")</f>
        <v>Планшеты</v>
      </c>
      <c r="O381" s="13" t="str">
        <f t="shared" si="81"/>
        <v>Samsung</v>
      </c>
      <c r="P381" s="14">
        <f t="shared" si="82"/>
        <v>22000</v>
      </c>
      <c r="Q381" s="14">
        <f t="shared" si="83"/>
        <v>36990</v>
      </c>
      <c r="R381" s="13" t="str">
        <f t="shared" si="75"/>
        <v>шт</v>
      </c>
      <c r="S381" s="10" t="str">
        <f t="shared" si="84"/>
        <v>OK</v>
      </c>
      <c r="T381" s="10" t="str">
        <f t="shared" si="85"/>
        <v>уникален</v>
      </c>
    </row>
    <row r="382" ht="15" customHeight="1">
      <c r="A382" s="10">
        <v>380</v>
      </c>
      <c r="B382" s="11" t="str">
        <f>RAW_Товары!A381</f>
        <v>АРТ_380</v>
      </c>
      <c r="C382" s="11" t="str">
        <f>RAW_Товары!B381</f>
        <v xml:space="preserve">планшет SAMSUNG GALAXY TAB S6</v>
      </c>
      <c r="D382" s="11" t="str">
        <f>RAW_Товары!C381</f>
        <v>Планшеты</v>
      </c>
      <c r="E382" s="11" t="str">
        <f>RAW_Товары!D381</f>
        <v>samsung</v>
      </c>
      <c r="F382" s="11" t="str">
        <f>RAW_Товары!E381</f>
        <v xml:space="preserve">21 000</v>
      </c>
      <c r="G382" s="11" t="str">
        <f>RAW_Товары!F381</f>
        <v xml:space="preserve">35 500</v>
      </c>
      <c r="H382" s="11" t="str">
        <f>RAW_Товары!G381</f>
        <v>штуки</v>
      </c>
      <c r="I382" s="12" t="str">
        <f t="shared" si="76"/>
        <v>380</v>
      </c>
      <c r="J382" s="12" t="str">
        <f t="shared" si="77"/>
        <v xml:space="preserve">планшет SAMSUNG GALAXY TAB S6</v>
      </c>
      <c r="K382" s="12" t="str">
        <f t="shared" si="78"/>
        <v>Планшеты</v>
      </c>
      <c r="L382" s="13" t="str">
        <f t="shared" si="79"/>
        <v>АРТ-380</v>
      </c>
      <c r="M382" s="13" t="str">
        <f t="shared" si="80"/>
        <v xml:space="preserve">Планшет Samsung Galaxy Tab S6</v>
      </c>
      <c r="N382" s="13" t="str">
        <f>IFERROR(VLOOKUP(K382,Справочники!$A$6:$B$16,2,0),"НЕТ В СПРАВОЧНИКЕ")</f>
        <v>Планшеты</v>
      </c>
      <c r="O382" s="13" t="str">
        <f t="shared" si="81"/>
        <v>Samsung</v>
      </c>
      <c r="P382" s="14">
        <f t="shared" si="82"/>
        <v>21000</v>
      </c>
      <c r="Q382" s="14">
        <f t="shared" si="83"/>
        <v>35500</v>
      </c>
      <c r="R382" s="13" t="str">
        <f t="shared" si="75"/>
        <v>шт</v>
      </c>
      <c r="S382" s="10" t="str">
        <f t="shared" si="84"/>
        <v>OK</v>
      </c>
      <c r="T382" s="10" t="str">
        <f t="shared" si="85"/>
        <v>уникален</v>
      </c>
    </row>
    <row r="383" ht="15" customHeight="1">
      <c r="A383" s="10">
        <v>381</v>
      </c>
      <c r="B383" s="11" t="str">
        <f>RAW_Товары!A382</f>
        <v>381/24</v>
      </c>
      <c r="C383" s="11" t="str">
        <f>RAW_Товары!B382</f>
        <v xml:space="preserve">Планшет Samsung Galaxy Tab S6 (Lite)</v>
      </c>
      <c r="D383" s="11" t="str">
        <f>RAW_Товары!C382</f>
        <v>Планшеты</v>
      </c>
      <c r="E383" s="11" t="str">
        <f>RAW_Товары!D382</f>
        <v>SAMSUNG</v>
      </c>
      <c r="F383" s="11" t="str">
        <f>RAW_Товары!E382</f>
        <v xml:space="preserve">23 000</v>
      </c>
      <c r="G383" s="11" t="str">
        <f>RAW_Товары!F382</f>
        <v xml:space="preserve">38 500</v>
      </c>
      <c r="H383" s="11" t="str">
        <f>RAW_Товары!G382</f>
        <v>шт</v>
      </c>
      <c r="I383" s="12" t="str">
        <f t="shared" si="76"/>
        <v>381/24</v>
      </c>
      <c r="J383" s="12" t="str">
        <f t="shared" si="77"/>
        <v xml:space="preserve">Планшет Samsung Galaxy Tab S6</v>
      </c>
      <c r="K383" s="12" t="str">
        <f t="shared" si="78"/>
        <v>Планшеты</v>
      </c>
      <c r="L383" s="13" t="str">
        <f t="shared" si="79"/>
        <v>АРТ-381</v>
      </c>
      <c r="M383" s="13" t="str">
        <f t="shared" si="80"/>
        <v xml:space="preserve">Планшет Samsung Galaxy Tab S6</v>
      </c>
      <c r="N383" s="13" t="str">
        <f>IFERROR(VLOOKUP(K383,Справочники!$A$6:$B$16,2,0),"НЕТ В СПРАВОЧНИКЕ")</f>
        <v>Планшеты</v>
      </c>
      <c r="O383" s="13" t="str">
        <f t="shared" si="81"/>
        <v>Samsung</v>
      </c>
      <c r="P383" s="14">
        <f t="shared" si="82"/>
        <v>23000</v>
      </c>
      <c r="Q383" s="14">
        <f t="shared" si="83"/>
        <v>38500</v>
      </c>
      <c r="R383" s="13" t="str">
        <f t="shared" si="75"/>
        <v>шт</v>
      </c>
      <c r="S383" s="10" t="str">
        <f t="shared" si="84"/>
        <v>OK</v>
      </c>
      <c r="T383" s="10" t="str">
        <f t="shared" si="85"/>
        <v>уникален</v>
      </c>
    </row>
    <row r="384" ht="15" customHeight="1">
      <c r="A384" s="10">
        <v>382</v>
      </c>
      <c r="B384" s="11" t="str">
        <f>RAW_Товары!A383</f>
        <v>№АРТ-382</v>
      </c>
      <c r="C384" s="11" t="str">
        <f>RAW_Товары!B383</f>
        <v xml:space="preserve">Смартфон OnePlus Nord 3</v>
      </c>
      <c r="D384" s="11" t="str">
        <f>RAW_Товары!C383</f>
        <v>Смартфоны</v>
      </c>
      <c r="E384" s="11" t="str">
        <f>RAW_Товары!D383</f>
        <v>OnePlus</v>
      </c>
      <c r="F384" s="11" t="str">
        <f>RAW_Товары!E383</f>
        <v xml:space="preserve">25 000</v>
      </c>
      <c r="G384" s="11" t="str">
        <f>RAW_Товары!F383</f>
        <v xml:space="preserve">42 990</v>
      </c>
      <c r="H384" s="11" t="str">
        <f>RAW_Товары!G383</f>
        <v>шт.</v>
      </c>
      <c r="I384" s="12" t="str">
        <f t="shared" si="76"/>
        <v>382</v>
      </c>
      <c r="J384" s="12" t="str">
        <f t="shared" si="77"/>
        <v xml:space="preserve">Смартфон OnePlus Nord 3</v>
      </c>
      <c r="K384" s="12" t="str">
        <f t="shared" si="78"/>
        <v>Смартфоны</v>
      </c>
      <c r="L384" s="13" t="str">
        <f t="shared" si="79"/>
        <v>АРТ-382</v>
      </c>
      <c r="M384" s="13" t="str">
        <f t="shared" si="80"/>
        <v xml:space="preserve">Смартфон Oneplus Nord 3</v>
      </c>
      <c r="N384" s="13" t="str">
        <f>IFERROR(VLOOKUP(K384,Справочники!$A$6:$B$16,2,0),"НЕТ В СПРАВОЧНИКЕ")</f>
        <v>Смартфоны</v>
      </c>
      <c r="O384" s="13" t="str">
        <f t="shared" si="81"/>
        <v>Oneplus</v>
      </c>
      <c r="P384" s="14">
        <f t="shared" si="82"/>
        <v>25000</v>
      </c>
      <c r="Q384" s="14">
        <f t="shared" si="83"/>
        <v>42990</v>
      </c>
      <c r="R384" s="13" t="str">
        <f t="shared" si="75"/>
        <v>шт</v>
      </c>
      <c r="S384" s="10" t="str">
        <f t="shared" si="84"/>
        <v>OK</v>
      </c>
      <c r="T384" s="10" t="str">
        <f t="shared" si="85"/>
        <v>уникален</v>
      </c>
    </row>
    <row r="385" ht="15" customHeight="1">
      <c r="A385" s="10">
        <v>383</v>
      </c>
      <c r="B385" s="11" t="str">
        <f>RAW_Товары!A384</f>
        <v>АРТ_383</v>
      </c>
      <c r="C385" s="11" t="str">
        <f>RAW_Товары!B384</f>
        <v xml:space="preserve">смартфон ONEPLUS NORD 3</v>
      </c>
      <c r="D385" s="11" t="str">
        <f>RAW_Товары!C384</f>
        <v>Телефоны</v>
      </c>
      <c r="E385" s="11" t="str">
        <f>RAW_Товары!D384</f>
        <v>oneplus</v>
      </c>
      <c r="F385" s="11" t="str">
        <f>RAW_Товары!E384</f>
        <v xml:space="preserve">24 000</v>
      </c>
      <c r="G385" s="11" t="str">
        <f>RAW_Товары!F384</f>
        <v xml:space="preserve">41 500</v>
      </c>
      <c r="H385" s="11" t="str">
        <f>RAW_Товары!G384</f>
        <v>штука</v>
      </c>
      <c r="I385" s="12" t="str">
        <f t="shared" si="76"/>
        <v>383</v>
      </c>
      <c r="J385" s="12" t="str">
        <f t="shared" si="77"/>
        <v xml:space="preserve">смартфон ONEPLUS NORD 3</v>
      </c>
      <c r="K385" s="12" t="str">
        <f t="shared" si="78"/>
        <v>Телефоны</v>
      </c>
      <c r="L385" s="13" t="str">
        <f t="shared" si="79"/>
        <v>АРТ-383</v>
      </c>
      <c r="M385" s="13" t="str">
        <f t="shared" si="80"/>
        <v xml:space="preserve">Смартфон Oneplus Nord 3</v>
      </c>
      <c r="N385" s="13" t="str">
        <f>IFERROR(VLOOKUP(K385,Справочники!$A$6:$B$16,2,0),"НЕТ В СПРАВОЧНИКЕ")</f>
        <v>Смартфоны</v>
      </c>
      <c r="O385" s="13" t="str">
        <f t="shared" si="81"/>
        <v>Oneplus</v>
      </c>
      <c r="P385" s="14">
        <f t="shared" si="82"/>
        <v>24000</v>
      </c>
      <c r="Q385" s="14">
        <f t="shared" si="83"/>
        <v>41500</v>
      </c>
      <c r="R385" s="13" t="str">
        <f t="shared" si="75"/>
        <v>шт</v>
      </c>
      <c r="S385" s="10" t="str">
        <f t="shared" si="84"/>
        <v>OK</v>
      </c>
      <c r="T385" s="10" t="str">
        <f t="shared" si="85"/>
        <v>уникален</v>
      </c>
    </row>
    <row r="386" ht="15" customHeight="1">
      <c r="A386" s="10">
        <v>384</v>
      </c>
      <c r="B386" s="11" t="str">
        <f>RAW_Товары!A385</f>
        <v>384-24</v>
      </c>
      <c r="C386" s="11" t="str">
        <f>RAW_Товары!B385</f>
        <v xml:space="preserve">Смартфон OnePlus Nord 3 (Green)</v>
      </c>
      <c r="D386" s="11" t="str">
        <f>RAW_Товары!C385</f>
        <v xml:space="preserve">Мобильные телефоны</v>
      </c>
      <c r="E386" s="11" t="str">
        <f>RAW_Товары!D385</f>
        <v>ONEPLUS</v>
      </c>
      <c r="F386" s="11" t="str">
        <f>RAW_Товары!E385</f>
        <v xml:space="preserve">26 000</v>
      </c>
      <c r="G386" s="11" t="str">
        <f>RAW_Товары!F385</f>
        <v xml:space="preserve">44 500</v>
      </c>
      <c r="H386" s="11" t="str">
        <f>RAW_Товары!G385</f>
        <v>шт</v>
      </c>
      <c r="I386" s="12" t="str">
        <f t="shared" si="76"/>
        <v>384-24</v>
      </c>
      <c r="J386" s="12" t="str">
        <f t="shared" si="77"/>
        <v xml:space="preserve">Смартфон OnePlus Nord 3</v>
      </c>
      <c r="K386" s="12" t="str">
        <f t="shared" si="78"/>
        <v xml:space="preserve">Мобильные телефоны</v>
      </c>
      <c r="L386" s="13" t="str">
        <f t="shared" si="79"/>
        <v>АРТ-384</v>
      </c>
      <c r="M386" s="13" t="str">
        <f t="shared" si="80"/>
        <v xml:space="preserve">Смартфон Oneplus Nord 3</v>
      </c>
      <c r="N386" s="13" t="str">
        <f>IFERROR(VLOOKUP(K386,Справочники!$A$6:$B$16,2,0),"НЕТ В СПРАВОЧНИКЕ")</f>
        <v>Смартфоны</v>
      </c>
      <c r="O386" s="13" t="str">
        <f t="shared" si="81"/>
        <v>Oneplus</v>
      </c>
      <c r="P386" s="14">
        <f t="shared" si="82"/>
        <v>26000</v>
      </c>
      <c r="Q386" s="14">
        <f t="shared" si="83"/>
        <v>44500</v>
      </c>
      <c r="R386" s="13" t="str">
        <f t="shared" si="75"/>
        <v>шт</v>
      </c>
      <c r="S386" s="10" t="str">
        <f t="shared" si="84"/>
        <v>OK</v>
      </c>
      <c r="T386" s="10" t="str">
        <f t="shared" si="85"/>
        <v>уникален</v>
      </c>
    </row>
    <row r="387" ht="15" customHeight="1">
      <c r="A387" s="10">
        <v>385</v>
      </c>
      <c r="B387" s="11" t="str">
        <f>RAW_Товары!A386</f>
        <v>№АРТ-385</v>
      </c>
      <c r="C387" s="11" t="str">
        <f>RAW_Товары!B386</f>
        <v xml:space="preserve">Ноутбук HP Omen 16</v>
      </c>
      <c r="D387" s="11" t="str">
        <f>RAW_Товары!C386</f>
        <v>Ноутбуки</v>
      </c>
      <c r="E387" s="11" t="str">
        <f>RAW_Товары!D386</f>
        <v>HP</v>
      </c>
      <c r="F387" s="11" t="str">
        <f>RAW_Товары!E386</f>
        <v xml:space="preserve">76 000</v>
      </c>
      <c r="G387" s="11" t="str">
        <f>RAW_Товары!F386</f>
        <v xml:space="preserve">116 990</v>
      </c>
      <c r="H387" s="11" t="str">
        <f>RAW_Товары!G386</f>
        <v>шт.</v>
      </c>
      <c r="I387" s="12" t="str">
        <f t="shared" si="76"/>
        <v>385</v>
      </c>
      <c r="J387" s="12" t="str">
        <f t="shared" si="77"/>
        <v xml:space="preserve">Ноутбук HP Omen 16</v>
      </c>
      <c r="K387" s="12" t="str">
        <f t="shared" si="78"/>
        <v>Ноутбуки</v>
      </c>
      <c r="L387" s="13" t="str">
        <f t="shared" si="79"/>
        <v>АРТ-385</v>
      </c>
      <c r="M387" s="13" t="str">
        <f t="shared" si="80"/>
        <v xml:space="preserve">Ноутбук Hp Omen 16</v>
      </c>
      <c r="N387" s="13" t="str">
        <f>IFERROR(VLOOKUP(K387,Справочники!$A$6:$B$16,2,0),"НЕТ В СПРАВОЧНИКЕ")</f>
        <v>Ноутбуки</v>
      </c>
      <c r="O387" s="13" t="str">
        <f t="shared" si="81"/>
        <v>Hp</v>
      </c>
      <c r="P387" s="14">
        <f t="shared" si="82"/>
        <v>76000</v>
      </c>
      <c r="Q387" s="14">
        <f t="shared" si="83"/>
        <v>116990</v>
      </c>
      <c r="R387" s="13" t="str">
        <f t="shared" ref="R387:R450" si="86">"шт"</f>
        <v>шт</v>
      </c>
      <c r="S387" s="10" t="str">
        <f t="shared" si="84"/>
        <v>OK</v>
      </c>
      <c r="T387" s="10" t="str">
        <f t="shared" si="85"/>
        <v>уникален</v>
      </c>
    </row>
    <row r="388" ht="15" customHeight="1">
      <c r="A388" s="10">
        <v>386</v>
      </c>
      <c r="B388" s="11" t="str">
        <f>RAW_Товары!A387</f>
        <v>АРТ_386</v>
      </c>
      <c r="C388" s="11" t="str">
        <f>RAW_Товары!B387</f>
        <v xml:space="preserve">ноутбук HP OMEN 16</v>
      </c>
      <c r="D388" s="11" t="str">
        <f>RAW_Товары!C387</f>
        <v>Лэптопы</v>
      </c>
      <c r="E388" s="11" t="str">
        <f>RAW_Товары!D387</f>
        <v>hp</v>
      </c>
      <c r="F388" s="11" t="str">
        <f>RAW_Товары!E387</f>
        <v xml:space="preserve">74 000</v>
      </c>
      <c r="G388" s="11" t="str">
        <f>RAW_Товары!F387</f>
        <v xml:space="preserve">114 000</v>
      </c>
      <c r="H388" s="11" t="str">
        <f>RAW_Товары!G387</f>
        <v>штуки</v>
      </c>
      <c r="I388" s="12" t="str">
        <f t="shared" si="76"/>
        <v>386</v>
      </c>
      <c r="J388" s="12" t="str">
        <f t="shared" si="77"/>
        <v xml:space="preserve">ноутбук HP OMEN 16</v>
      </c>
      <c r="K388" s="12" t="str">
        <f t="shared" si="78"/>
        <v>Лэптопы</v>
      </c>
      <c r="L388" s="13" t="str">
        <f t="shared" si="79"/>
        <v>АРТ-386</v>
      </c>
      <c r="M388" s="13" t="str">
        <f t="shared" si="80"/>
        <v xml:space="preserve">Ноутбук Hp Omen 16</v>
      </c>
      <c r="N388" s="13" t="str">
        <f>IFERROR(VLOOKUP(K388,Справочники!$A$6:$B$16,2,0),"НЕТ В СПРАВОЧНИКЕ")</f>
        <v>Ноутбуки</v>
      </c>
      <c r="O388" s="13" t="str">
        <f t="shared" si="81"/>
        <v>Hp</v>
      </c>
      <c r="P388" s="14">
        <f t="shared" si="82"/>
        <v>74000</v>
      </c>
      <c r="Q388" s="14">
        <f t="shared" si="83"/>
        <v>114000</v>
      </c>
      <c r="R388" s="13" t="str">
        <f t="shared" si="86"/>
        <v>шт</v>
      </c>
      <c r="S388" s="10" t="str">
        <f t="shared" si="84"/>
        <v>OK</v>
      </c>
      <c r="T388" s="10" t="str">
        <f t="shared" si="85"/>
        <v>уникален</v>
      </c>
    </row>
    <row r="389" ht="15" customHeight="1">
      <c r="A389" s="10">
        <v>387</v>
      </c>
      <c r="B389" s="11" t="str">
        <f>RAW_Товары!A388</f>
        <v>387/24</v>
      </c>
      <c r="C389" s="11" t="str">
        <f>RAW_Товары!B388</f>
        <v xml:space="preserve">Ноутбук HP Omen 16 (Gaming)</v>
      </c>
      <c r="D389" s="11" t="str">
        <f>RAW_Товары!C388</f>
        <v>Ноутбуки</v>
      </c>
      <c r="E389" s="11" t="str">
        <f>RAW_Товары!D388</f>
        <v>HP</v>
      </c>
      <c r="F389" s="11" t="str">
        <f>RAW_Товары!E388</f>
        <v xml:space="preserve">77 500</v>
      </c>
      <c r="G389" s="11" t="str">
        <f>RAW_Товары!F388</f>
        <v xml:space="preserve">119 500</v>
      </c>
      <c r="H389" s="11" t="str">
        <f>RAW_Товары!G388</f>
        <v>шт</v>
      </c>
      <c r="I389" s="12" t="str">
        <f t="shared" si="76"/>
        <v>387/24</v>
      </c>
      <c r="J389" s="12" t="str">
        <f t="shared" si="77"/>
        <v xml:space="preserve">Ноутбук HP Omen 16</v>
      </c>
      <c r="K389" s="12" t="str">
        <f t="shared" si="78"/>
        <v>Ноутбуки</v>
      </c>
      <c r="L389" s="13" t="str">
        <f t="shared" si="79"/>
        <v>АРТ-387</v>
      </c>
      <c r="M389" s="13" t="str">
        <f t="shared" si="80"/>
        <v xml:space="preserve">Ноутбук Hp Omen 16</v>
      </c>
      <c r="N389" s="13" t="str">
        <f>IFERROR(VLOOKUP(K389,Справочники!$A$6:$B$16,2,0),"НЕТ В СПРАВОЧНИКЕ")</f>
        <v>Ноутбуки</v>
      </c>
      <c r="O389" s="13" t="str">
        <f t="shared" si="81"/>
        <v>Hp</v>
      </c>
      <c r="P389" s="14">
        <f t="shared" si="82"/>
        <v>77500</v>
      </c>
      <c r="Q389" s="14">
        <f t="shared" si="83"/>
        <v>119500</v>
      </c>
      <c r="R389" s="13" t="str">
        <f t="shared" si="86"/>
        <v>шт</v>
      </c>
      <c r="S389" s="10" t="str">
        <f t="shared" si="84"/>
        <v>OK</v>
      </c>
      <c r="T389" s="10" t="str">
        <f t="shared" si="85"/>
        <v>уникален</v>
      </c>
    </row>
    <row r="390" ht="15" customHeight="1">
      <c r="A390" s="10">
        <v>388</v>
      </c>
      <c r="B390" s="11" t="str">
        <f>RAW_Товары!A389</f>
        <v>№АРТ-388</v>
      </c>
      <c r="C390" s="11" t="str">
        <f>RAW_Товары!B389</f>
        <v xml:space="preserve">Телевизор Panasonic LX800</v>
      </c>
      <c r="D390" s="11" t="str">
        <f>RAW_Товары!C389</f>
        <v>Телевизоры</v>
      </c>
      <c r="E390" s="11" t="str">
        <f>RAW_Товары!D389</f>
        <v>Panasonic</v>
      </c>
      <c r="F390" s="11" t="str">
        <f>RAW_Товары!E389</f>
        <v xml:space="preserve">50 000</v>
      </c>
      <c r="G390" s="11" t="str">
        <f>RAW_Товары!F389</f>
        <v xml:space="preserve">77 990</v>
      </c>
      <c r="H390" s="11" t="str">
        <f>RAW_Товары!G389</f>
        <v>шт.</v>
      </c>
      <c r="I390" s="12" t="str">
        <f t="shared" si="76"/>
        <v>388</v>
      </c>
      <c r="J390" s="12" t="str">
        <f t="shared" si="77"/>
        <v xml:space="preserve">Телевизор Panasonic LX800</v>
      </c>
      <c r="K390" s="12" t="str">
        <f t="shared" si="78"/>
        <v>Телевизоры</v>
      </c>
      <c r="L390" s="13" t="str">
        <f t="shared" si="79"/>
        <v>АРТ-388</v>
      </c>
      <c r="M390" s="13" t="str">
        <f t="shared" si="80"/>
        <v xml:space="preserve">Телевизор Panasonic Lx800</v>
      </c>
      <c r="N390" s="13" t="str">
        <f>IFERROR(VLOOKUP(K390,Справочники!$A$6:$B$16,2,0),"НЕТ В СПРАВОЧНИКЕ")</f>
        <v>Телевизоры</v>
      </c>
      <c r="O390" s="13" t="str">
        <f t="shared" si="81"/>
        <v>Panasonic</v>
      </c>
      <c r="P390" s="14">
        <f t="shared" si="82"/>
        <v>50000</v>
      </c>
      <c r="Q390" s="14">
        <f t="shared" si="83"/>
        <v>77990</v>
      </c>
      <c r="R390" s="13" t="str">
        <f t="shared" si="86"/>
        <v>шт</v>
      </c>
      <c r="S390" s="10" t="str">
        <f t="shared" si="84"/>
        <v>OK</v>
      </c>
      <c r="T390" s="10" t="str">
        <f t="shared" si="85"/>
        <v>уникален</v>
      </c>
    </row>
    <row r="391" ht="15" customHeight="1">
      <c r="A391" s="10">
        <v>389</v>
      </c>
      <c r="B391" s="11" t="str">
        <f>RAW_Товары!A390</f>
        <v>АРТ_389</v>
      </c>
      <c r="C391" s="11" t="str">
        <f>RAW_Товары!B390</f>
        <v xml:space="preserve">телевизор PANASONIC LX800</v>
      </c>
      <c r="D391" s="11" t="str">
        <f>RAW_Товары!C390</f>
        <v>Телевизоры</v>
      </c>
      <c r="E391" s="11" t="str">
        <f>RAW_Товары!D390</f>
        <v>panasonic</v>
      </c>
      <c r="F391" s="11" t="str">
        <f>RAW_Товары!E390</f>
        <v xml:space="preserve">48 000</v>
      </c>
      <c r="G391" s="11" t="str">
        <f>RAW_Товары!F390</f>
        <v xml:space="preserve">75 000</v>
      </c>
      <c r="H391" s="11" t="str">
        <f>RAW_Товары!G390</f>
        <v>штука</v>
      </c>
      <c r="I391" s="12" t="str">
        <f t="shared" si="76"/>
        <v>389</v>
      </c>
      <c r="J391" s="12" t="str">
        <f t="shared" si="77"/>
        <v xml:space="preserve">телевизор PANASONIC LX800</v>
      </c>
      <c r="K391" s="12" t="str">
        <f t="shared" si="78"/>
        <v>Телевизоры</v>
      </c>
      <c r="L391" s="13" t="str">
        <f t="shared" si="79"/>
        <v>АРТ-389</v>
      </c>
      <c r="M391" s="13" t="str">
        <f t="shared" si="80"/>
        <v xml:space="preserve">Телевизор Panasonic Lx800</v>
      </c>
      <c r="N391" s="13" t="str">
        <f>IFERROR(VLOOKUP(K391,Справочники!$A$6:$B$16,2,0),"НЕТ В СПРАВОЧНИКЕ")</f>
        <v>Телевизоры</v>
      </c>
      <c r="O391" s="13" t="str">
        <f t="shared" si="81"/>
        <v>Panasonic</v>
      </c>
      <c r="P391" s="14">
        <f t="shared" si="82"/>
        <v>48000</v>
      </c>
      <c r="Q391" s="14">
        <f t="shared" si="83"/>
        <v>75000</v>
      </c>
      <c r="R391" s="13" t="str">
        <f t="shared" si="86"/>
        <v>шт</v>
      </c>
      <c r="S391" s="10" t="str">
        <f t="shared" si="84"/>
        <v>OK</v>
      </c>
      <c r="T391" s="10" t="str">
        <f t="shared" si="85"/>
        <v>уникален</v>
      </c>
    </row>
    <row r="392" ht="15" customHeight="1">
      <c r="A392" s="10">
        <v>390</v>
      </c>
      <c r="B392" s="11" t="str">
        <f>RAW_Товары!A391</f>
        <v>390-24</v>
      </c>
      <c r="C392" s="11" t="str">
        <f>RAW_Товары!B391</f>
        <v xml:space="preserve">Телевизор Panasonic LX800 (55")</v>
      </c>
      <c r="D392" s="11" t="str">
        <f>RAW_Товары!C391</f>
        <v>Телевизоры</v>
      </c>
      <c r="E392" s="11" t="str">
        <f>RAW_Товары!D391</f>
        <v>PANASONIC</v>
      </c>
      <c r="F392" s="11" t="str">
        <f>RAW_Товары!E391</f>
        <v xml:space="preserve">51 500</v>
      </c>
      <c r="G392" s="11" t="str">
        <f>RAW_Товары!F391</f>
        <v xml:space="preserve">80 000</v>
      </c>
      <c r="H392" s="11" t="str">
        <f>RAW_Товары!G391</f>
        <v>шт</v>
      </c>
      <c r="I392" s="12" t="str">
        <f t="shared" si="76"/>
        <v>390-24</v>
      </c>
      <c r="J392" s="12" t="str">
        <f t="shared" si="77"/>
        <v xml:space="preserve">Телевизор Panasonic LX800</v>
      </c>
      <c r="K392" s="12" t="str">
        <f t="shared" si="78"/>
        <v>Телевизоры</v>
      </c>
      <c r="L392" s="13" t="str">
        <f t="shared" si="79"/>
        <v>АРТ-390</v>
      </c>
      <c r="M392" s="13" t="str">
        <f t="shared" si="80"/>
        <v xml:space="preserve">Телевизор Panasonic Lx800</v>
      </c>
      <c r="N392" s="13" t="str">
        <f>IFERROR(VLOOKUP(K392,Справочники!$A$6:$B$16,2,0),"НЕТ В СПРАВОЧНИКЕ")</f>
        <v>Телевизоры</v>
      </c>
      <c r="O392" s="13" t="str">
        <f t="shared" si="81"/>
        <v>Panasonic</v>
      </c>
      <c r="P392" s="14">
        <f t="shared" si="82"/>
        <v>51500</v>
      </c>
      <c r="Q392" s="14">
        <f t="shared" si="83"/>
        <v>80000</v>
      </c>
      <c r="R392" s="13" t="str">
        <f t="shared" si="86"/>
        <v>шт</v>
      </c>
      <c r="S392" s="10" t="str">
        <f t="shared" si="84"/>
        <v>OK</v>
      </c>
      <c r="T392" s="10" t="str">
        <f t="shared" si="85"/>
        <v>уникален</v>
      </c>
    </row>
    <row r="393" ht="15" customHeight="1">
      <c r="A393" s="10">
        <v>391</v>
      </c>
      <c r="B393" s="11" t="str">
        <f>RAW_Товары!A392</f>
        <v>№АРТ-391</v>
      </c>
      <c r="C393" s="11" t="str">
        <f>RAW_Товары!B392</f>
        <v xml:space="preserve">Наушники Sony LinkBuds S</v>
      </c>
      <c r="D393" s="11" t="str">
        <f>RAW_Товары!C392</f>
        <v>Наушники</v>
      </c>
      <c r="E393" s="11" t="str">
        <f>RAW_Товары!D392</f>
        <v>Sony</v>
      </c>
      <c r="F393" s="11" t="str">
        <f>RAW_Товары!E392</f>
        <v xml:space="preserve">11 000</v>
      </c>
      <c r="G393" s="11" t="str">
        <f>RAW_Товары!F392</f>
        <v xml:space="preserve">18 990</v>
      </c>
      <c r="H393" s="11" t="str">
        <f>RAW_Товары!G392</f>
        <v>шт.</v>
      </c>
      <c r="I393" s="12" t="str">
        <f t="shared" si="76"/>
        <v>391</v>
      </c>
      <c r="J393" s="12" t="str">
        <f t="shared" si="77"/>
        <v xml:space="preserve">Наушники Sony LinkBuds S</v>
      </c>
      <c r="K393" s="12" t="str">
        <f t="shared" si="78"/>
        <v>Наушники</v>
      </c>
      <c r="L393" s="13" t="str">
        <f t="shared" si="79"/>
        <v>АРТ-391</v>
      </c>
      <c r="M393" s="13" t="str">
        <f t="shared" si="80"/>
        <v xml:space="preserve">Наушники Sony Linkbuds S</v>
      </c>
      <c r="N393" s="13" t="str">
        <f>IFERROR(VLOOKUP(K393,Справочники!$A$6:$B$16,2,0),"НЕТ В СПРАВОЧНИКЕ")</f>
        <v>Наушники</v>
      </c>
      <c r="O393" s="13" t="str">
        <f t="shared" si="81"/>
        <v>Sony</v>
      </c>
      <c r="P393" s="14">
        <f t="shared" si="82"/>
        <v>11000</v>
      </c>
      <c r="Q393" s="14">
        <f t="shared" si="83"/>
        <v>18990</v>
      </c>
      <c r="R393" s="13" t="str">
        <f t="shared" si="86"/>
        <v>шт</v>
      </c>
      <c r="S393" s="10" t="str">
        <f t="shared" si="84"/>
        <v>OK</v>
      </c>
      <c r="T393" s="10" t="str">
        <f t="shared" si="85"/>
        <v>уникален</v>
      </c>
    </row>
    <row r="394" ht="15" customHeight="1">
      <c r="A394" s="10">
        <v>392</v>
      </c>
      <c r="B394" s="11" t="str">
        <f>RAW_Товары!A393</f>
        <v>АРТ_392</v>
      </c>
      <c r="C394" s="11" t="str">
        <f>RAW_Товары!B393</f>
        <v xml:space="preserve">наушники SONY LINKBUDS S</v>
      </c>
      <c r="D394" s="11" t="str">
        <f>RAW_Товары!C393</f>
        <v>Наушники</v>
      </c>
      <c r="E394" s="11" t="str">
        <f>RAW_Товары!D393</f>
        <v>sony</v>
      </c>
      <c r="F394" s="11" t="str">
        <f>RAW_Товары!E393</f>
        <v xml:space="preserve">10 500</v>
      </c>
      <c r="G394" s="11" t="str">
        <f>RAW_Товары!F393</f>
        <v xml:space="preserve">18 000</v>
      </c>
      <c r="H394" s="11" t="str">
        <f>RAW_Товары!G393</f>
        <v>штуки</v>
      </c>
      <c r="I394" s="12" t="str">
        <f t="shared" si="76"/>
        <v>392</v>
      </c>
      <c r="J394" s="12" t="str">
        <f t="shared" si="77"/>
        <v xml:space="preserve">наушники SONY LINKBUDS S</v>
      </c>
      <c r="K394" s="12" t="str">
        <f t="shared" si="78"/>
        <v>Наушники</v>
      </c>
      <c r="L394" s="13" t="str">
        <f t="shared" si="79"/>
        <v>АРТ-392</v>
      </c>
      <c r="M394" s="13" t="str">
        <f t="shared" si="80"/>
        <v xml:space="preserve">Наушники Sony Linkbuds S</v>
      </c>
      <c r="N394" s="13" t="str">
        <f>IFERROR(VLOOKUP(K394,Справочники!$A$6:$B$16,2,0),"НЕТ В СПРАВОЧНИКЕ")</f>
        <v>Наушники</v>
      </c>
      <c r="O394" s="13" t="str">
        <f t="shared" si="81"/>
        <v>Sony</v>
      </c>
      <c r="P394" s="14">
        <f t="shared" si="82"/>
        <v>10500</v>
      </c>
      <c r="Q394" s="14">
        <f t="shared" si="83"/>
        <v>18000</v>
      </c>
      <c r="R394" s="13" t="str">
        <f t="shared" si="86"/>
        <v>шт</v>
      </c>
      <c r="S394" s="10" t="str">
        <f t="shared" si="84"/>
        <v>OK</v>
      </c>
      <c r="T394" s="10" t="str">
        <f t="shared" si="85"/>
        <v>уникален</v>
      </c>
    </row>
    <row r="395" ht="15" customHeight="1">
      <c r="A395" s="10">
        <v>393</v>
      </c>
      <c r="B395" s="11" t="str">
        <f>RAW_Товары!A394</f>
        <v>393/24</v>
      </c>
      <c r="C395" s="11" t="str">
        <f>RAW_Товары!B394</f>
        <v xml:space="preserve">Наушники Sony LinkBuds S (White)</v>
      </c>
      <c r="D395" s="11" t="str">
        <f>RAW_Товары!C394</f>
        <v>Наушники</v>
      </c>
      <c r="E395" s="11" t="str">
        <f>RAW_Товары!D394</f>
        <v>SONY</v>
      </c>
      <c r="F395" s="11" t="str">
        <f>RAW_Товары!E394</f>
        <v xml:space="preserve">11 500</v>
      </c>
      <c r="G395" s="11" t="str">
        <f>RAW_Товары!F394</f>
        <v xml:space="preserve">19 800</v>
      </c>
      <c r="H395" s="11" t="str">
        <f>RAW_Товары!G394</f>
        <v>шт</v>
      </c>
      <c r="I395" s="12" t="str">
        <f t="shared" si="76"/>
        <v>393/24</v>
      </c>
      <c r="J395" s="12" t="str">
        <f t="shared" si="77"/>
        <v xml:space="preserve">Наушники Sony LinkBuds S</v>
      </c>
      <c r="K395" s="12" t="str">
        <f t="shared" si="78"/>
        <v>Наушники</v>
      </c>
      <c r="L395" s="13" t="str">
        <f t="shared" si="79"/>
        <v>АРТ-393</v>
      </c>
      <c r="M395" s="13" t="str">
        <f t="shared" si="80"/>
        <v xml:space="preserve">Наушники Sony Linkbuds S</v>
      </c>
      <c r="N395" s="13" t="str">
        <f>IFERROR(VLOOKUP(K395,Справочники!$A$6:$B$16,2,0),"НЕТ В СПРАВОЧНИКЕ")</f>
        <v>Наушники</v>
      </c>
      <c r="O395" s="13" t="str">
        <f t="shared" si="81"/>
        <v>Sony</v>
      </c>
      <c r="P395" s="14">
        <f t="shared" si="82"/>
        <v>11500</v>
      </c>
      <c r="Q395" s="14">
        <f t="shared" si="83"/>
        <v>19800</v>
      </c>
      <c r="R395" s="13" t="str">
        <f t="shared" si="86"/>
        <v>шт</v>
      </c>
      <c r="S395" s="10" t="str">
        <f t="shared" si="84"/>
        <v>OK</v>
      </c>
      <c r="T395" s="10" t="str">
        <f t="shared" si="85"/>
        <v>уникален</v>
      </c>
    </row>
    <row r="396" ht="15" customHeight="1">
      <c r="A396" s="10">
        <v>394</v>
      </c>
      <c r="B396" s="11" t="str">
        <f>RAW_Товары!A395</f>
        <v>№АРТ-394</v>
      </c>
      <c r="C396" s="11" t="str">
        <f>RAW_Товары!B395</f>
        <v xml:space="preserve">Монитор BenQ EW3270U</v>
      </c>
      <c r="D396" s="11" t="str">
        <f>RAW_Товары!C395</f>
        <v>Мониторы</v>
      </c>
      <c r="E396" s="11" t="str">
        <f>RAW_Товары!D395</f>
        <v>BenQ</v>
      </c>
      <c r="F396" s="11" t="str">
        <f>RAW_Товары!E395</f>
        <v xml:space="preserve">42 000</v>
      </c>
      <c r="G396" s="11" t="str">
        <f>RAW_Товары!F395</f>
        <v xml:space="preserve">64 990</v>
      </c>
      <c r="H396" s="11" t="str">
        <f>RAW_Товары!G395</f>
        <v>шт.</v>
      </c>
      <c r="I396" s="12" t="str">
        <f t="shared" si="76"/>
        <v>394</v>
      </c>
      <c r="J396" s="12" t="str">
        <f t="shared" si="77"/>
        <v xml:space="preserve">Монитор BenQ EW3270U</v>
      </c>
      <c r="K396" s="12" t="str">
        <f t="shared" si="78"/>
        <v>Мониторы</v>
      </c>
      <c r="L396" s="13" t="str">
        <f t="shared" si="79"/>
        <v>АРТ-394</v>
      </c>
      <c r="M396" s="13" t="str">
        <f t="shared" si="80"/>
        <v xml:space="preserve">Монитор Benq Ew3270U</v>
      </c>
      <c r="N396" s="13" t="str">
        <f>IFERROR(VLOOKUP(K396,Справочники!$A$6:$B$16,2,0),"НЕТ В СПРАВОЧНИКЕ")</f>
        <v>Мониторы</v>
      </c>
      <c r="O396" s="13" t="str">
        <f t="shared" si="81"/>
        <v>Benq</v>
      </c>
      <c r="P396" s="14">
        <f t="shared" si="82"/>
        <v>42000</v>
      </c>
      <c r="Q396" s="14">
        <f t="shared" si="83"/>
        <v>64990</v>
      </c>
      <c r="R396" s="13" t="str">
        <f t="shared" si="86"/>
        <v>шт</v>
      </c>
      <c r="S396" s="10" t="str">
        <f t="shared" si="84"/>
        <v>OK</v>
      </c>
      <c r="T396" s="10" t="str">
        <f t="shared" si="85"/>
        <v>уникален</v>
      </c>
    </row>
    <row r="397" ht="15" customHeight="1">
      <c r="A397" s="10">
        <v>395</v>
      </c>
      <c r="B397" s="11" t="str">
        <f>RAW_Товары!A396</f>
        <v>АРТ_395</v>
      </c>
      <c r="C397" s="11" t="str">
        <f>RAW_Товары!B396</f>
        <v xml:space="preserve">монитор BENQ EW3270U</v>
      </c>
      <c r="D397" s="11" t="str">
        <f>RAW_Товары!C396</f>
        <v>Мониторы</v>
      </c>
      <c r="E397" s="11" t="str">
        <f>RAW_Товары!D396</f>
        <v>benq</v>
      </c>
      <c r="F397" s="11" t="str">
        <f>RAW_Товары!E396</f>
        <v xml:space="preserve">40 500</v>
      </c>
      <c r="G397" s="11" t="str">
        <f>RAW_Товары!F396</f>
        <v xml:space="preserve">62 500</v>
      </c>
      <c r="H397" s="11" t="str">
        <f>RAW_Товары!G396</f>
        <v>штука</v>
      </c>
      <c r="I397" s="12" t="str">
        <f t="shared" si="76"/>
        <v>395</v>
      </c>
      <c r="J397" s="12" t="str">
        <f t="shared" si="77"/>
        <v xml:space="preserve">монитор BENQ EW3270U</v>
      </c>
      <c r="K397" s="12" t="str">
        <f t="shared" si="78"/>
        <v>Мониторы</v>
      </c>
      <c r="L397" s="13" t="str">
        <f t="shared" si="79"/>
        <v>АРТ-395</v>
      </c>
      <c r="M397" s="13" t="str">
        <f t="shared" si="80"/>
        <v xml:space="preserve">Монитор Benq Ew3270U</v>
      </c>
      <c r="N397" s="13" t="str">
        <f>IFERROR(VLOOKUP(K397,Справочники!$A$6:$B$16,2,0),"НЕТ В СПРАВОЧНИКЕ")</f>
        <v>Мониторы</v>
      </c>
      <c r="O397" s="13" t="str">
        <f t="shared" si="81"/>
        <v>Benq</v>
      </c>
      <c r="P397" s="14">
        <f t="shared" si="82"/>
        <v>40500</v>
      </c>
      <c r="Q397" s="14">
        <f t="shared" si="83"/>
        <v>62500</v>
      </c>
      <c r="R397" s="13" t="str">
        <f t="shared" si="86"/>
        <v>шт</v>
      </c>
      <c r="S397" s="10" t="str">
        <f t="shared" si="84"/>
        <v>OK</v>
      </c>
      <c r="T397" s="10" t="str">
        <f t="shared" si="85"/>
        <v>уникален</v>
      </c>
    </row>
    <row r="398" ht="15" customHeight="1">
      <c r="A398" s="10">
        <v>396</v>
      </c>
      <c r="B398" s="11" t="str">
        <f>RAW_Товары!A397</f>
        <v>396-24</v>
      </c>
      <c r="C398" s="11" t="str">
        <f>RAW_Товары!B397</f>
        <v xml:space="preserve">Монитор BenQ EW3270U (4K)</v>
      </c>
      <c r="D398" s="11" t="str">
        <f>RAW_Товары!C397</f>
        <v>Мониторы</v>
      </c>
      <c r="E398" s="11" t="str">
        <f>RAW_Товары!D397</f>
        <v>BENQ</v>
      </c>
      <c r="F398" s="11" t="str">
        <f>RAW_Товары!E397</f>
        <v xml:space="preserve">43 500</v>
      </c>
      <c r="G398" s="11" t="str">
        <f>RAW_Товары!F397</f>
        <v xml:space="preserve">67 000</v>
      </c>
      <c r="H398" s="11" t="str">
        <f>RAW_Товары!G397</f>
        <v>шт</v>
      </c>
      <c r="I398" s="12" t="str">
        <f t="shared" si="76"/>
        <v>396-24</v>
      </c>
      <c r="J398" s="12" t="str">
        <f t="shared" si="77"/>
        <v xml:space="preserve">Монитор BenQ EW3270U</v>
      </c>
      <c r="K398" s="12" t="str">
        <f t="shared" si="78"/>
        <v>Мониторы</v>
      </c>
      <c r="L398" s="13" t="str">
        <f t="shared" si="79"/>
        <v>АРТ-396</v>
      </c>
      <c r="M398" s="13" t="str">
        <f t="shared" si="80"/>
        <v xml:space="preserve">Монитор Benq Ew3270U</v>
      </c>
      <c r="N398" s="13" t="str">
        <f>IFERROR(VLOOKUP(K398,Справочники!$A$6:$B$16,2,0),"НЕТ В СПРАВОЧНИКЕ")</f>
        <v>Мониторы</v>
      </c>
      <c r="O398" s="13" t="str">
        <f t="shared" si="81"/>
        <v>Benq</v>
      </c>
      <c r="P398" s="14">
        <f t="shared" si="82"/>
        <v>43500</v>
      </c>
      <c r="Q398" s="14">
        <f t="shared" si="83"/>
        <v>67000</v>
      </c>
      <c r="R398" s="13" t="str">
        <f t="shared" si="86"/>
        <v>шт</v>
      </c>
      <c r="S398" s="10" t="str">
        <f t="shared" si="84"/>
        <v>OK</v>
      </c>
      <c r="T398" s="10" t="str">
        <f t="shared" si="85"/>
        <v>уникален</v>
      </c>
    </row>
    <row r="399" ht="15" customHeight="1">
      <c r="A399" s="10">
        <v>397</v>
      </c>
      <c r="B399" s="11" t="str">
        <f>RAW_Товары!A398</f>
        <v>№АРТ-397</v>
      </c>
      <c r="C399" s="11" t="str">
        <f>RAW_Товары!B398</f>
        <v xml:space="preserve">Мышь Logitech G502 X</v>
      </c>
      <c r="D399" s="11" t="str">
        <f>RAW_Товары!C398</f>
        <v>Аксессуары</v>
      </c>
      <c r="E399" s="11" t="str">
        <f>RAW_Товары!D398</f>
        <v>Logitech</v>
      </c>
      <c r="F399" s="11" t="str">
        <f>RAW_Товары!E398</f>
        <v xml:space="preserve">4 500</v>
      </c>
      <c r="G399" s="11" t="str">
        <f>RAW_Товары!F398</f>
        <v xml:space="preserve">7 990</v>
      </c>
      <c r="H399" s="11" t="str">
        <f>RAW_Товары!G398</f>
        <v>шт.</v>
      </c>
      <c r="I399" s="12" t="str">
        <f t="shared" si="76"/>
        <v>397</v>
      </c>
      <c r="J399" s="12" t="str">
        <f t="shared" si="77"/>
        <v xml:space="preserve">Мышь Logitech G502 X</v>
      </c>
      <c r="K399" s="12" t="str">
        <f t="shared" si="78"/>
        <v>Аксессуары</v>
      </c>
      <c r="L399" s="13" t="str">
        <f t="shared" si="79"/>
        <v>АРТ-397</v>
      </c>
      <c r="M399" s="13" t="str">
        <f t="shared" si="80"/>
        <v xml:space="preserve">Мышь Logitech G502 X</v>
      </c>
      <c r="N399" s="13" t="str">
        <f>IFERROR(VLOOKUP(K399,Справочники!$A$6:$B$16,2,0),"НЕТ В СПРАВОЧНИКЕ")</f>
        <v>Аксессуары</v>
      </c>
      <c r="O399" s="13" t="str">
        <f t="shared" si="81"/>
        <v>Logitech</v>
      </c>
      <c r="P399" s="14">
        <f t="shared" si="82"/>
        <v>4500</v>
      </c>
      <c r="Q399" s="14">
        <f t="shared" si="83"/>
        <v>7990</v>
      </c>
      <c r="R399" s="13" t="str">
        <f t="shared" si="86"/>
        <v>шт</v>
      </c>
      <c r="S399" s="10" t="str">
        <f t="shared" si="84"/>
        <v>OK</v>
      </c>
      <c r="T399" s="10" t="str">
        <f t="shared" si="85"/>
        <v>уникален</v>
      </c>
    </row>
    <row r="400" ht="15" customHeight="1">
      <c r="A400" s="10">
        <v>398</v>
      </c>
      <c r="B400" s="11" t="str">
        <f>RAW_Товары!A399</f>
        <v>АРТ_398</v>
      </c>
      <c r="C400" s="11" t="str">
        <f>RAW_Товары!B399</f>
        <v xml:space="preserve">мышь LOGITECH G502 X</v>
      </c>
      <c r="D400" s="11" t="str">
        <f>RAW_Товары!C399</f>
        <v>Аксессуары</v>
      </c>
      <c r="E400" s="11" t="str">
        <f>RAW_Товары!D399</f>
        <v>logitech</v>
      </c>
      <c r="F400" s="11" t="str">
        <f>RAW_Товары!E399</f>
        <v xml:space="preserve">4 000</v>
      </c>
      <c r="G400" s="11" t="str">
        <f>RAW_Товары!F399</f>
        <v xml:space="preserve">7 500</v>
      </c>
      <c r="H400" s="11" t="str">
        <f>RAW_Товары!G399</f>
        <v>штуки</v>
      </c>
      <c r="I400" s="12" t="str">
        <f t="shared" si="76"/>
        <v>398</v>
      </c>
      <c r="J400" s="12" t="str">
        <f t="shared" si="77"/>
        <v xml:space="preserve">мышь LOGITECH G502 X</v>
      </c>
      <c r="K400" s="12" t="str">
        <f t="shared" si="78"/>
        <v>Аксессуары</v>
      </c>
      <c r="L400" s="13" t="str">
        <f t="shared" si="79"/>
        <v>АРТ-398</v>
      </c>
      <c r="M400" s="13" t="str">
        <f t="shared" si="80"/>
        <v xml:space="preserve">Мышь Logitech G502 X</v>
      </c>
      <c r="N400" s="13" t="str">
        <f>IFERROR(VLOOKUP(K400,Справочники!$A$6:$B$16,2,0),"НЕТ В СПРАВОЧНИКЕ")</f>
        <v>Аксессуары</v>
      </c>
      <c r="O400" s="13" t="str">
        <f t="shared" si="81"/>
        <v>Logitech</v>
      </c>
      <c r="P400" s="14">
        <f t="shared" si="82"/>
        <v>4000</v>
      </c>
      <c r="Q400" s="14">
        <f t="shared" si="83"/>
        <v>7500</v>
      </c>
      <c r="R400" s="13" t="str">
        <f t="shared" si="86"/>
        <v>шт</v>
      </c>
      <c r="S400" s="10" t="str">
        <f t="shared" si="84"/>
        <v>OK</v>
      </c>
      <c r="T400" s="10" t="str">
        <f t="shared" si="85"/>
        <v>уникален</v>
      </c>
    </row>
    <row r="401" ht="15" customHeight="1">
      <c r="A401" s="10">
        <v>399</v>
      </c>
      <c r="B401" s="11" t="str">
        <f>RAW_Товары!A400</f>
        <v>399/24</v>
      </c>
      <c r="C401" s="11" t="str">
        <f>RAW_Товары!B400</f>
        <v xml:space="preserve">Мышь Logitech G502 X (Plus)</v>
      </c>
      <c r="D401" s="11" t="str">
        <f>RAW_Товары!C400</f>
        <v>Аксессуары</v>
      </c>
      <c r="E401" s="11" t="str">
        <f>RAW_Товары!D400</f>
        <v>LOGITECH</v>
      </c>
      <c r="F401" s="11" t="str">
        <f>RAW_Товары!E400</f>
        <v xml:space="preserve">5 000</v>
      </c>
      <c r="G401" s="11" t="str">
        <f>RAW_Товары!F400</f>
        <v xml:space="preserve">8 800</v>
      </c>
      <c r="H401" s="11" t="str">
        <f>RAW_Товары!G400</f>
        <v>шт</v>
      </c>
      <c r="I401" s="12" t="str">
        <f t="shared" si="76"/>
        <v>399/24</v>
      </c>
      <c r="J401" s="12" t="str">
        <f t="shared" si="77"/>
        <v xml:space="preserve">Мышь Logitech G502 X</v>
      </c>
      <c r="K401" s="12" t="str">
        <f t="shared" si="78"/>
        <v>Аксессуары</v>
      </c>
      <c r="L401" s="13" t="str">
        <f t="shared" si="79"/>
        <v>АРТ-399</v>
      </c>
      <c r="M401" s="13" t="str">
        <f t="shared" si="80"/>
        <v xml:space="preserve">Мышь Logitech G502 X</v>
      </c>
      <c r="N401" s="13" t="str">
        <f>IFERROR(VLOOKUP(K401,Справочники!$A$6:$B$16,2,0),"НЕТ В СПРАВОЧНИКЕ")</f>
        <v>Аксессуары</v>
      </c>
      <c r="O401" s="13" t="str">
        <f t="shared" si="81"/>
        <v>Logitech</v>
      </c>
      <c r="P401" s="14">
        <f t="shared" si="82"/>
        <v>5000</v>
      </c>
      <c r="Q401" s="14">
        <f t="shared" si="83"/>
        <v>8800</v>
      </c>
      <c r="R401" s="13" t="str">
        <f t="shared" si="86"/>
        <v>шт</v>
      </c>
      <c r="S401" s="10" t="str">
        <f t="shared" si="84"/>
        <v>OK</v>
      </c>
      <c r="T401" s="10" t="str">
        <f t="shared" si="85"/>
        <v>уникален</v>
      </c>
    </row>
    <row r="402" ht="15" customHeight="1">
      <c r="A402" s="10">
        <v>400</v>
      </c>
      <c r="B402" s="11" t="str">
        <f>RAW_Товары!A401</f>
        <v>№АРТ-400</v>
      </c>
      <c r="C402" s="11" t="str">
        <f>RAW_Товары!B401</f>
        <v xml:space="preserve">Смартфон Realme C55</v>
      </c>
      <c r="D402" s="11" t="str">
        <f>RAW_Товары!C401</f>
        <v>Смартфоны</v>
      </c>
      <c r="E402" s="11" t="str">
        <f>RAW_Товары!D401</f>
        <v>Realme</v>
      </c>
      <c r="F402" s="11" t="str">
        <f>RAW_Товары!E401</f>
        <v xml:space="preserve">12 000</v>
      </c>
      <c r="G402" s="11" t="str">
        <f>RAW_Товары!F401</f>
        <v xml:space="preserve">19 990</v>
      </c>
      <c r="H402" s="11" t="str">
        <f>RAW_Товары!G401</f>
        <v>шт.</v>
      </c>
      <c r="I402" s="12" t="str">
        <f t="shared" si="76"/>
        <v>400</v>
      </c>
      <c r="J402" s="12" t="str">
        <f t="shared" si="77"/>
        <v xml:space="preserve">Смартфон Realme C55</v>
      </c>
      <c r="K402" s="12" t="str">
        <f t="shared" si="78"/>
        <v>Смартфоны</v>
      </c>
      <c r="L402" s="13" t="str">
        <f t="shared" si="79"/>
        <v>АРТ-400</v>
      </c>
      <c r="M402" s="13" t="str">
        <f t="shared" si="80"/>
        <v xml:space="preserve">Смартфон Realme C55</v>
      </c>
      <c r="N402" s="13" t="str">
        <f>IFERROR(VLOOKUP(K402,Справочники!$A$6:$B$16,2,0),"НЕТ В СПРАВОЧНИКЕ")</f>
        <v>Смартфоны</v>
      </c>
      <c r="O402" s="13" t="str">
        <f t="shared" si="81"/>
        <v>Realme</v>
      </c>
      <c r="P402" s="14">
        <f t="shared" si="82"/>
        <v>12000</v>
      </c>
      <c r="Q402" s="14">
        <f t="shared" si="83"/>
        <v>19990</v>
      </c>
      <c r="R402" s="13" t="str">
        <f t="shared" si="86"/>
        <v>шт</v>
      </c>
      <c r="S402" s="10" t="str">
        <f t="shared" si="84"/>
        <v>OK</v>
      </c>
      <c r="T402" s="10" t="str">
        <f t="shared" si="85"/>
        <v>уникален</v>
      </c>
    </row>
    <row r="403" ht="15" customHeight="1">
      <c r="A403" s="10">
        <v>401</v>
      </c>
      <c r="B403" s="11" t="str">
        <f>RAW_Товары!A402</f>
        <v>АРТ_401</v>
      </c>
      <c r="C403" s="11" t="str">
        <f>RAW_Товары!B402</f>
        <v xml:space="preserve">смартфон REALME C55</v>
      </c>
      <c r="D403" s="11" t="str">
        <f>RAW_Товары!C402</f>
        <v>Телефоны</v>
      </c>
      <c r="E403" s="11" t="str">
        <f>RAW_Товары!D402</f>
        <v>realme</v>
      </c>
      <c r="F403" s="11" t="str">
        <f>RAW_Товары!E402</f>
        <v xml:space="preserve">11 000</v>
      </c>
      <c r="G403" s="11" t="str">
        <f>RAW_Товары!F402</f>
        <v xml:space="preserve">19 000</v>
      </c>
      <c r="H403" s="11" t="str">
        <f>RAW_Товары!G402</f>
        <v>штука</v>
      </c>
      <c r="I403" s="12" t="str">
        <f t="shared" si="76"/>
        <v>401</v>
      </c>
      <c r="J403" s="12" t="str">
        <f t="shared" si="77"/>
        <v xml:space="preserve">смартфон REALME C55</v>
      </c>
      <c r="K403" s="12" t="str">
        <f t="shared" si="78"/>
        <v>Телефоны</v>
      </c>
      <c r="L403" s="13" t="str">
        <f t="shared" si="79"/>
        <v>АРТ-401</v>
      </c>
      <c r="M403" s="13" t="str">
        <f t="shared" si="80"/>
        <v xml:space="preserve">Смартфон Realme C55</v>
      </c>
      <c r="N403" s="13" t="str">
        <f>IFERROR(VLOOKUP(K403,Справочники!$A$6:$B$16,2,0),"НЕТ В СПРАВОЧНИКЕ")</f>
        <v>Смартфоны</v>
      </c>
      <c r="O403" s="13" t="str">
        <f t="shared" si="81"/>
        <v>Realme</v>
      </c>
      <c r="P403" s="14">
        <f t="shared" si="82"/>
        <v>11000</v>
      </c>
      <c r="Q403" s="14">
        <f t="shared" si="83"/>
        <v>19000</v>
      </c>
      <c r="R403" s="13" t="str">
        <f t="shared" si="86"/>
        <v>шт</v>
      </c>
      <c r="S403" s="10" t="str">
        <f t="shared" si="84"/>
        <v>OK</v>
      </c>
      <c r="T403" s="10" t="str">
        <f t="shared" si="85"/>
        <v>уникален</v>
      </c>
    </row>
    <row r="404" ht="15" customHeight="1">
      <c r="A404" s="10">
        <v>402</v>
      </c>
      <c r="B404" s="11" t="str">
        <f>RAW_Товары!A403</f>
        <v>402-24</v>
      </c>
      <c r="C404" s="11" t="str">
        <f>RAW_Товары!B403</f>
        <v xml:space="preserve">Смартфон Realme C55 (Black)</v>
      </c>
      <c r="D404" s="11" t="str">
        <f>RAW_Товары!C403</f>
        <v xml:space="preserve">Мобильные телефоны</v>
      </c>
      <c r="E404" s="11" t="str">
        <f>RAW_Товары!D403</f>
        <v>REALME</v>
      </c>
      <c r="F404" s="11" t="str">
        <f>RAW_Товары!E403</f>
        <v xml:space="preserve">13 000</v>
      </c>
      <c r="G404" s="11" t="str">
        <f>RAW_Товары!F403</f>
        <v xml:space="preserve">21 000</v>
      </c>
      <c r="H404" s="11" t="str">
        <f>RAW_Товары!G403</f>
        <v>шт</v>
      </c>
      <c r="I404" s="12" t="str">
        <f t="shared" si="76"/>
        <v>402-24</v>
      </c>
      <c r="J404" s="12" t="str">
        <f t="shared" si="77"/>
        <v xml:space="preserve">Смартфон Realme C55</v>
      </c>
      <c r="K404" s="12" t="str">
        <f t="shared" si="78"/>
        <v xml:space="preserve">Мобильные телефоны</v>
      </c>
      <c r="L404" s="13" t="str">
        <f t="shared" si="79"/>
        <v>АРТ-402</v>
      </c>
      <c r="M404" s="13" t="str">
        <f t="shared" si="80"/>
        <v xml:space="preserve">Смартфон Realme C55</v>
      </c>
      <c r="N404" s="13" t="str">
        <f>IFERROR(VLOOKUP(K404,Справочники!$A$6:$B$16,2,0),"НЕТ В СПРАВОЧНИКЕ")</f>
        <v>Смартфоны</v>
      </c>
      <c r="O404" s="13" t="str">
        <f t="shared" si="81"/>
        <v>Realme</v>
      </c>
      <c r="P404" s="14">
        <f t="shared" si="82"/>
        <v>13000</v>
      </c>
      <c r="Q404" s="14">
        <f t="shared" si="83"/>
        <v>21000</v>
      </c>
      <c r="R404" s="13" t="str">
        <f t="shared" si="86"/>
        <v>шт</v>
      </c>
      <c r="S404" s="10" t="str">
        <f t="shared" si="84"/>
        <v>OK</v>
      </c>
      <c r="T404" s="10" t="str">
        <f t="shared" si="85"/>
        <v>уникален</v>
      </c>
    </row>
    <row r="405" ht="15" customHeight="1">
      <c r="A405" s="10">
        <v>403</v>
      </c>
      <c r="B405" s="11" t="str">
        <f>RAW_Товары!A404</f>
        <v>№АРТ-403</v>
      </c>
      <c r="C405" s="11" t="str">
        <f>RAW_Товары!B404</f>
        <v xml:space="preserve">Планшет Lenovo Tab M10</v>
      </c>
      <c r="D405" s="11" t="str">
        <f>RAW_Товары!C404</f>
        <v>Планшеты</v>
      </c>
      <c r="E405" s="11" t="str">
        <f>RAW_Товары!D404</f>
        <v>Lenovo</v>
      </c>
      <c r="F405" s="11" t="str">
        <f>RAW_Товары!E404</f>
        <v xml:space="preserve">12 000</v>
      </c>
      <c r="G405" s="11" t="str">
        <f>RAW_Товары!F404</f>
        <v xml:space="preserve">19 990</v>
      </c>
      <c r="H405" s="11" t="str">
        <f>RAW_Товары!G404</f>
        <v>шт.</v>
      </c>
      <c r="I405" s="12" t="str">
        <f t="shared" si="76"/>
        <v>403</v>
      </c>
      <c r="J405" s="12" t="str">
        <f t="shared" si="77"/>
        <v xml:space="preserve">Планшет Lenovo Tab M10</v>
      </c>
      <c r="K405" s="12" t="str">
        <f t="shared" si="78"/>
        <v>Планшеты</v>
      </c>
      <c r="L405" s="13" t="str">
        <f t="shared" si="79"/>
        <v>АРТ-403</v>
      </c>
      <c r="M405" s="13" t="str">
        <f t="shared" si="80"/>
        <v xml:space="preserve">Планшет Lenovo Tab M10</v>
      </c>
      <c r="N405" s="13" t="str">
        <f>IFERROR(VLOOKUP(K405,Справочники!$A$6:$B$16,2,0),"НЕТ В СПРАВОЧНИКЕ")</f>
        <v>Планшеты</v>
      </c>
      <c r="O405" s="13" t="str">
        <f t="shared" si="81"/>
        <v>Lenovo</v>
      </c>
      <c r="P405" s="14">
        <f t="shared" si="82"/>
        <v>12000</v>
      </c>
      <c r="Q405" s="14">
        <f t="shared" si="83"/>
        <v>19990</v>
      </c>
      <c r="R405" s="13" t="str">
        <f t="shared" si="86"/>
        <v>шт</v>
      </c>
      <c r="S405" s="10" t="str">
        <f t="shared" si="84"/>
        <v>OK</v>
      </c>
      <c r="T405" s="10" t="str">
        <f t="shared" si="85"/>
        <v>уникален</v>
      </c>
    </row>
    <row r="406" ht="15" customHeight="1">
      <c r="A406" s="10">
        <v>404</v>
      </c>
      <c r="B406" s="11" t="str">
        <f>RAW_Товары!A405</f>
        <v>АРТ_404</v>
      </c>
      <c r="C406" s="11" t="str">
        <f>RAW_Товары!B405</f>
        <v xml:space="preserve">планшет LENOVO TAB M10</v>
      </c>
      <c r="D406" s="11" t="str">
        <f>RAW_Товары!C405</f>
        <v>Планшеты</v>
      </c>
      <c r="E406" s="11" t="str">
        <f>RAW_Товары!D405</f>
        <v>lenovo</v>
      </c>
      <c r="F406" s="11" t="str">
        <f>RAW_Товары!E405</f>
        <v xml:space="preserve">11 000</v>
      </c>
      <c r="G406" s="11" t="str">
        <f>RAW_Товары!F405</f>
        <v xml:space="preserve">19 000</v>
      </c>
      <c r="H406" s="11" t="str">
        <f>RAW_Товары!G405</f>
        <v>штуки</v>
      </c>
      <c r="I406" s="12" t="str">
        <f t="shared" si="76"/>
        <v>404</v>
      </c>
      <c r="J406" s="12" t="str">
        <f t="shared" si="77"/>
        <v xml:space="preserve">планшет LENOVO TAB M10</v>
      </c>
      <c r="K406" s="12" t="str">
        <f t="shared" si="78"/>
        <v>Планшеты</v>
      </c>
      <c r="L406" s="13" t="str">
        <f t="shared" si="79"/>
        <v>АРТ-404</v>
      </c>
      <c r="M406" s="13" t="str">
        <f t="shared" si="80"/>
        <v xml:space="preserve">Планшет Lenovo Tab M10</v>
      </c>
      <c r="N406" s="13" t="str">
        <f>IFERROR(VLOOKUP(K406,Справочники!$A$6:$B$16,2,0),"НЕТ В СПРАВОЧНИКЕ")</f>
        <v>Планшеты</v>
      </c>
      <c r="O406" s="13" t="str">
        <f t="shared" si="81"/>
        <v>Lenovo</v>
      </c>
      <c r="P406" s="14">
        <f t="shared" si="82"/>
        <v>11000</v>
      </c>
      <c r="Q406" s="14">
        <f t="shared" si="83"/>
        <v>19000</v>
      </c>
      <c r="R406" s="13" t="str">
        <f t="shared" si="86"/>
        <v>шт</v>
      </c>
      <c r="S406" s="10" t="str">
        <f t="shared" si="84"/>
        <v>OK</v>
      </c>
      <c r="T406" s="10" t="str">
        <f t="shared" si="85"/>
        <v>уникален</v>
      </c>
    </row>
    <row r="407" ht="15" customHeight="1">
      <c r="A407" s="10">
        <v>405</v>
      </c>
      <c r="B407" s="11" t="str">
        <f>RAW_Товары!A406</f>
        <v>405/24</v>
      </c>
      <c r="C407" s="11" t="str">
        <f>RAW_Товары!B406</f>
        <v xml:space="preserve">Планшет Lenovo Tab M10 (HD)</v>
      </c>
      <c r="D407" s="11" t="str">
        <f>RAW_Товары!C406</f>
        <v>Планшеты</v>
      </c>
      <c r="E407" s="11" t="str">
        <f>RAW_Товары!D406</f>
        <v>LENOVO</v>
      </c>
      <c r="F407" s="11" t="str">
        <f>RAW_Товары!E406</f>
        <v xml:space="preserve">13 000</v>
      </c>
      <c r="G407" s="11" t="str">
        <f>RAW_Товары!F406</f>
        <v xml:space="preserve">21 000</v>
      </c>
      <c r="H407" s="11" t="str">
        <f>RAW_Товары!G406</f>
        <v>шт</v>
      </c>
      <c r="I407" s="12" t="str">
        <f t="shared" si="76"/>
        <v>405/24</v>
      </c>
      <c r="J407" s="12" t="str">
        <f t="shared" si="77"/>
        <v xml:space="preserve">Планшет Lenovo Tab M10</v>
      </c>
      <c r="K407" s="12" t="str">
        <f t="shared" si="78"/>
        <v>Планшеты</v>
      </c>
      <c r="L407" s="13" t="str">
        <f t="shared" si="79"/>
        <v>АРТ-405</v>
      </c>
      <c r="M407" s="13" t="str">
        <f t="shared" si="80"/>
        <v xml:space="preserve">Планшет Lenovo Tab M10</v>
      </c>
      <c r="N407" s="13" t="str">
        <f>IFERROR(VLOOKUP(K407,Справочники!$A$6:$B$16,2,0),"НЕТ В СПРАВОЧНИКЕ")</f>
        <v>Планшеты</v>
      </c>
      <c r="O407" s="13" t="str">
        <f t="shared" si="81"/>
        <v>Lenovo</v>
      </c>
      <c r="P407" s="14">
        <f t="shared" si="82"/>
        <v>13000</v>
      </c>
      <c r="Q407" s="14">
        <f t="shared" si="83"/>
        <v>21000</v>
      </c>
      <c r="R407" s="13" t="str">
        <f t="shared" si="86"/>
        <v>шт</v>
      </c>
      <c r="S407" s="10" t="str">
        <f t="shared" si="84"/>
        <v>OK</v>
      </c>
      <c r="T407" s="10" t="str">
        <f t="shared" si="85"/>
        <v>уникален</v>
      </c>
    </row>
    <row r="408" ht="15" customHeight="1">
      <c r="A408" s="10">
        <v>406</v>
      </c>
      <c r="B408" s="11" t="str">
        <f>RAW_Товары!A407</f>
        <v>№АРТ-406</v>
      </c>
      <c r="C408" s="11" t="str">
        <f>RAW_Товары!B407</f>
        <v xml:space="preserve">Телевизор LG NanoCell 75</v>
      </c>
      <c r="D408" s="11" t="str">
        <f>RAW_Товары!C407</f>
        <v>Телевизоры</v>
      </c>
      <c r="E408" s="11" t="str">
        <f>RAW_Товары!D407</f>
        <v>LG</v>
      </c>
      <c r="F408" s="11" t="str">
        <f>RAW_Товары!E407</f>
        <v xml:space="preserve">68 000</v>
      </c>
      <c r="G408" s="11" t="str">
        <f>RAW_Товары!F407</f>
        <v xml:space="preserve">104 990</v>
      </c>
      <c r="H408" s="11" t="str">
        <f>RAW_Товары!G407</f>
        <v>шт.</v>
      </c>
      <c r="I408" s="12" t="str">
        <f t="shared" si="76"/>
        <v>406</v>
      </c>
      <c r="J408" s="12" t="str">
        <f t="shared" si="77"/>
        <v xml:space="preserve">Телевизор LG NanoCell 75</v>
      </c>
      <c r="K408" s="12" t="str">
        <f t="shared" si="78"/>
        <v>Телевизоры</v>
      </c>
      <c r="L408" s="13" t="str">
        <f t="shared" si="79"/>
        <v>АРТ-406</v>
      </c>
      <c r="M408" s="13" t="str">
        <f t="shared" si="80"/>
        <v xml:space="preserve">Телевизор Lg Nanocell 75</v>
      </c>
      <c r="N408" s="13" t="str">
        <f>IFERROR(VLOOKUP(K408,Справочники!$A$6:$B$16,2,0),"НЕТ В СПРАВОЧНИКЕ")</f>
        <v>Телевизоры</v>
      </c>
      <c r="O408" s="13" t="str">
        <f t="shared" si="81"/>
        <v>Lg</v>
      </c>
      <c r="P408" s="14">
        <f t="shared" si="82"/>
        <v>68000</v>
      </c>
      <c r="Q408" s="14">
        <f t="shared" si="83"/>
        <v>104990</v>
      </c>
      <c r="R408" s="13" t="str">
        <f t="shared" si="86"/>
        <v>шт</v>
      </c>
      <c r="S408" s="10" t="str">
        <f t="shared" si="84"/>
        <v>OK</v>
      </c>
      <c r="T408" s="10" t="str">
        <f t="shared" si="85"/>
        <v>уникален</v>
      </c>
    </row>
    <row r="409" ht="15" customHeight="1">
      <c r="A409" s="10">
        <v>407</v>
      </c>
      <c r="B409" s="11" t="str">
        <f>RAW_Товары!A408</f>
        <v>АРТ_407</v>
      </c>
      <c r="C409" s="11" t="str">
        <f>RAW_Товары!B408</f>
        <v xml:space="preserve">телевизор LG NANOCELL 75</v>
      </c>
      <c r="D409" s="11" t="str">
        <f>RAW_Товары!C408</f>
        <v>Телевизоры</v>
      </c>
      <c r="E409" s="11" t="str">
        <f>RAW_Товары!D408</f>
        <v>lg</v>
      </c>
      <c r="F409" s="11" t="str">
        <f>RAW_Товары!E408</f>
        <v xml:space="preserve">66 000</v>
      </c>
      <c r="G409" s="11" t="str">
        <f>RAW_Товары!F408</f>
        <v xml:space="preserve">102 000</v>
      </c>
      <c r="H409" s="11" t="str">
        <f>RAW_Товары!G408</f>
        <v>штука</v>
      </c>
      <c r="I409" s="12" t="str">
        <f t="shared" si="76"/>
        <v>407</v>
      </c>
      <c r="J409" s="12" t="str">
        <f t="shared" si="77"/>
        <v xml:space="preserve">телевизор LG NANOCELL 75</v>
      </c>
      <c r="K409" s="12" t="str">
        <f t="shared" si="78"/>
        <v>Телевизоры</v>
      </c>
      <c r="L409" s="13" t="str">
        <f t="shared" si="79"/>
        <v>АРТ-407</v>
      </c>
      <c r="M409" s="13" t="str">
        <f t="shared" si="80"/>
        <v xml:space="preserve">Телевизор Lg Nanocell 75</v>
      </c>
      <c r="N409" s="13" t="str">
        <f>IFERROR(VLOOKUP(K409,Справочники!$A$6:$B$16,2,0),"НЕТ В СПРАВОЧНИКЕ")</f>
        <v>Телевизоры</v>
      </c>
      <c r="O409" s="13" t="str">
        <f t="shared" si="81"/>
        <v>Lg</v>
      </c>
      <c r="P409" s="14">
        <f t="shared" si="82"/>
        <v>66000</v>
      </c>
      <c r="Q409" s="14">
        <f t="shared" si="83"/>
        <v>102000</v>
      </c>
      <c r="R409" s="13" t="str">
        <f t="shared" si="86"/>
        <v>шт</v>
      </c>
      <c r="S409" s="10" t="str">
        <f t="shared" si="84"/>
        <v>OK</v>
      </c>
      <c r="T409" s="10" t="str">
        <f t="shared" si="85"/>
        <v>уникален</v>
      </c>
    </row>
    <row r="410" ht="15" customHeight="1">
      <c r="A410" s="10">
        <v>408</v>
      </c>
      <c r="B410" s="11" t="str">
        <f>RAW_Товары!A409</f>
        <v>408-24</v>
      </c>
      <c r="C410" s="11" t="str">
        <f>RAW_Товары!B409</f>
        <v xml:space="preserve">Телевизор LG NanoCell 75 (65")</v>
      </c>
      <c r="D410" s="11" t="str">
        <f>RAW_Товары!C409</f>
        <v>Телевизоры</v>
      </c>
      <c r="E410" s="11" t="str">
        <f>RAW_Товары!D409</f>
        <v>LG</v>
      </c>
      <c r="F410" s="11" t="str">
        <f>RAW_Товары!E409</f>
        <v xml:space="preserve">69 500</v>
      </c>
      <c r="G410" s="11" t="str">
        <f>RAW_Товары!F409</f>
        <v xml:space="preserve">107 500</v>
      </c>
      <c r="H410" s="11" t="str">
        <f>RAW_Товары!G409</f>
        <v>шт</v>
      </c>
      <c r="I410" s="12" t="str">
        <f t="shared" si="76"/>
        <v>408-24</v>
      </c>
      <c r="J410" s="12" t="str">
        <f t="shared" si="77"/>
        <v xml:space="preserve">Телевизор LG NanoCell 75</v>
      </c>
      <c r="K410" s="12" t="str">
        <f t="shared" si="78"/>
        <v>Телевизоры</v>
      </c>
      <c r="L410" s="13" t="str">
        <f t="shared" si="79"/>
        <v>АРТ-408</v>
      </c>
      <c r="M410" s="13" t="str">
        <f t="shared" si="80"/>
        <v xml:space="preserve">Телевизор Lg Nanocell 75</v>
      </c>
      <c r="N410" s="13" t="str">
        <f>IFERROR(VLOOKUP(K410,Справочники!$A$6:$B$16,2,0),"НЕТ В СПРАВОЧНИКЕ")</f>
        <v>Телевизоры</v>
      </c>
      <c r="O410" s="13" t="str">
        <f t="shared" si="81"/>
        <v>Lg</v>
      </c>
      <c r="P410" s="14">
        <f t="shared" si="82"/>
        <v>69500</v>
      </c>
      <c r="Q410" s="14">
        <f t="shared" si="83"/>
        <v>107500</v>
      </c>
      <c r="R410" s="13" t="str">
        <f t="shared" si="86"/>
        <v>шт</v>
      </c>
      <c r="S410" s="10" t="str">
        <f t="shared" si="84"/>
        <v>OK</v>
      </c>
      <c r="T410" s="10" t="str">
        <f t="shared" si="85"/>
        <v>уникален</v>
      </c>
    </row>
    <row r="411" ht="15" customHeight="1">
      <c r="A411" s="10">
        <v>409</v>
      </c>
      <c r="B411" s="11" t="str">
        <f>RAW_Товары!A410</f>
        <v>№АРТ-409</v>
      </c>
      <c r="C411" s="11" t="str">
        <f>RAW_Товары!B410</f>
        <v xml:space="preserve">Наушники Sennheiser MOMENTUM 4</v>
      </c>
      <c r="D411" s="11" t="str">
        <f>RAW_Товары!C410</f>
        <v>Наушники</v>
      </c>
      <c r="E411" s="11" t="str">
        <f>RAW_Товары!D410</f>
        <v>Sennheiser</v>
      </c>
      <c r="F411" s="11" t="str">
        <f>RAW_Товары!E410</f>
        <v xml:space="preserve">25 000</v>
      </c>
      <c r="G411" s="11" t="str">
        <f>RAW_Товары!F410</f>
        <v xml:space="preserve">39 990</v>
      </c>
      <c r="H411" s="11" t="str">
        <f>RAW_Товары!G410</f>
        <v>шт.</v>
      </c>
      <c r="I411" s="12" t="str">
        <f t="shared" si="76"/>
        <v>409</v>
      </c>
      <c r="J411" s="12" t="str">
        <f t="shared" si="77"/>
        <v xml:space="preserve">Наушники Sennheiser MOMENTUM 4</v>
      </c>
      <c r="K411" s="12" t="str">
        <f t="shared" si="78"/>
        <v>Наушники</v>
      </c>
      <c r="L411" s="13" t="str">
        <f t="shared" si="79"/>
        <v>АРТ-409</v>
      </c>
      <c r="M411" s="13" t="str">
        <f t="shared" si="80"/>
        <v xml:space="preserve">Наушники Sennheiser Momentum 4</v>
      </c>
      <c r="N411" s="13" t="str">
        <f>IFERROR(VLOOKUP(K411,Справочники!$A$6:$B$16,2,0),"НЕТ В СПРАВОЧНИКЕ")</f>
        <v>Наушники</v>
      </c>
      <c r="O411" s="13" t="str">
        <f t="shared" si="81"/>
        <v>Sennheiser</v>
      </c>
      <c r="P411" s="14">
        <f t="shared" si="82"/>
        <v>25000</v>
      </c>
      <c r="Q411" s="14">
        <f t="shared" si="83"/>
        <v>39990</v>
      </c>
      <c r="R411" s="13" t="str">
        <f t="shared" si="86"/>
        <v>шт</v>
      </c>
      <c r="S411" s="10" t="str">
        <f t="shared" si="84"/>
        <v>OK</v>
      </c>
      <c r="T411" s="10" t="str">
        <f t="shared" si="85"/>
        <v>уникален</v>
      </c>
    </row>
    <row r="412" ht="15" customHeight="1">
      <c r="A412" s="10">
        <v>410</v>
      </c>
      <c r="B412" s="11" t="str">
        <f>RAW_Товары!A411</f>
        <v>АРТ_410</v>
      </c>
      <c r="C412" s="11" t="str">
        <f>RAW_Товары!B411</f>
        <v xml:space="preserve">наушники SENNHEISER MOMENTUM 4</v>
      </c>
      <c r="D412" s="11" t="str">
        <f>RAW_Товары!C411</f>
        <v>Наушники</v>
      </c>
      <c r="E412" s="11" t="str">
        <f>RAW_Товары!D411</f>
        <v>sennheiser</v>
      </c>
      <c r="F412" s="11" t="str">
        <f>RAW_Товары!E411</f>
        <v xml:space="preserve">24 000</v>
      </c>
      <c r="G412" s="11" t="str">
        <f>RAW_Товары!F411</f>
        <v xml:space="preserve">38 500</v>
      </c>
      <c r="H412" s="11" t="str">
        <f>RAW_Товары!G411</f>
        <v>штуки</v>
      </c>
      <c r="I412" s="12" t="str">
        <f t="shared" si="76"/>
        <v>410</v>
      </c>
      <c r="J412" s="12" t="str">
        <f t="shared" si="77"/>
        <v xml:space="preserve">наушники SENNHEISER MOMENTUM 4</v>
      </c>
      <c r="K412" s="12" t="str">
        <f t="shared" si="78"/>
        <v>Наушники</v>
      </c>
      <c r="L412" s="13" t="str">
        <f t="shared" si="79"/>
        <v>АРТ-410</v>
      </c>
      <c r="M412" s="13" t="str">
        <f t="shared" si="80"/>
        <v xml:space="preserve">Наушники Sennheiser Momentum 4</v>
      </c>
      <c r="N412" s="13" t="str">
        <f>IFERROR(VLOOKUP(K412,Справочники!$A$6:$B$16,2,0),"НЕТ В СПРАВОЧНИКЕ")</f>
        <v>Наушники</v>
      </c>
      <c r="O412" s="13" t="str">
        <f t="shared" si="81"/>
        <v>Sennheiser</v>
      </c>
      <c r="P412" s="14">
        <f t="shared" si="82"/>
        <v>24000</v>
      </c>
      <c r="Q412" s="14">
        <f t="shared" si="83"/>
        <v>38500</v>
      </c>
      <c r="R412" s="13" t="str">
        <f t="shared" si="86"/>
        <v>шт</v>
      </c>
      <c r="S412" s="10" t="str">
        <f t="shared" si="84"/>
        <v>OK</v>
      </c>
      <c r="T412" s="10" t="str">
        <f t="shared" si="85"/>
        <v>уникален</v>
      </c>
    </row>
    <row r="413" ht="15" customHeight="1">
      <c r="A413" s="10">
        <v>411</v>
      </c>
      <c r="B413" s="11" t="str">
        <f>RAW_Товары!A412</f>
        <v>411/24</v>
      </c>
      <c r="C413" s="11" t="str">
        <f>RAW_Товары!B412</f>
        <v xml:space="preserve">Наушники Sennheiser MOMENTUM 4 (Black)</v>
      </c>
      <c r="D413" s="11" t="str">
        <f>RAW_Товары!C412</f>
        <v>Наушники</v>
      </c>
      <c r="E413" s="11" t="str">
        <f>RAW_Товары!D412</f>
        <v>SENNHEISER</v>
      </c>
      <c r="F413" s="11" t="str">
        <f>RAW_Товары!E412</f>
        <v xml:space="preserve">26 000</v>
      </c>
      <c r="G413" s="11" t="str">
        <f>RAW_Товары!F412</f>
        <v xml:space="preserve">41 500</v>
      </c>
      <c r="H413" s="11" t="str">
        <f>RAW_Товары!G412</f>
        <v>шт</v>
      </c>
      <c r="I413" s="12" t="str">
        <f t="shared" si="76"/>
        <v>411/24</v>
      </c>
      <c r="J413" s="12" t="str">
        <f t="shared" si="77"/>
        <v xml:space="preserve">Наушники Sennheiser MOMENTUM 4</v>
      </c>
      <c r="K413" s="12" t="str">
        <f t="shared" si="78"/>
        <v>Наушники</v>
      </c>
      <c r="L413" s="13" t="str">
        <f t="shared" si="79"/>
        <v>АРТ-411</v>
      </c>
      <c r="M413" s="13" t="str">
        <f t="shared" si="80"/>
        <v xml:space="preserve">Наушники Sennheiser Momentum 4</v>
      </c>
      <c r="N413" s="13" t="str">
        <f>IFERROR(VLOOKUP(K413,Справочники!$A$6:$B$16,2,0),"НЕТ В СПРАВОЧНИКЕ")</f>
        <v>Наушники</v>
      </c>
      <c r="O413" s="13" t="str">
        <f t="shared" si="81"/>
        <v>Sennheiser</v>
      </c>
      <c r="P413" s="14">
        <f t="shared" si="82"/>
        <v>26000</v>
      </c>
      <c r="Q413" s="14">
        <f t="shared" si="83"/>
        <v>41500</v>
      </c>
      <c r="R413" s="13" t="str">
        <f t="shared" si="86"/>
        <v>шт</v>
      </c>
      <c r="S413" s="10" t="str">
        <f t="shared" si="84"/>
        <v>OK</v>
      </c>
      <c r="T413" s="10" t="str">
        <f t="shared" si="85"/>
        <v>уникален</v>
      </c>
    </row>
    <row r="414" ht="15" customHeight="1">
      <c r="A414" s="10">
        <v>412</v>
      </c>
      <c r="B414" s="11" t="str">
        <f>RAW_Товары!A413</f>
        <v>№АРТ-412</v>
      </c>
      <c r="C414" s="11" t="str">
        <f>RAW_Товары!B413</f>
        <v xml:space="preserve">Монитор ViewSonic VP2458</v>
      </c>
      <c r="D414" s="11" t="str">
        <f>RAW_Товары!C413</f>
        <v>Мониторы</v>
      </c>
      <c r="E414" s="11" t="str">
        <f>RAW_Товары!D413</f>
        <v>ViewSonic</v>
      </c>
      <c r="F414" s="11" t="str">
        <f>RAW_Товары!E413</f>
        <v xml:space="preserve">35 000</v>
      </c>
      <c r="G414" s="11" t="str">
        <f>RAW_Товары!F413</f>
        <v xml:space="preserve">54 990</v>
      </c>
      <c r="H414" s="11" t="str">
        <f>RAW_Товары!G413</f>
        <v>шт.</v>
      </c>
      <c r="I414" s="12" t="str">
        <f t="shared" si="76"/>
        <v>412</v>
      </c>
      <c r="J414" s="12" t="str">
        <f t="shared" si="77"/>
        <v xml:space="preserve">Монитор ViewSonic VP2458</v>
      </c>
      <c r="K414" s="12" t="str">
        <f t="shared" si="78"/>
        <v>Мониторы</v>
      </c>
      <c r="L414" s="13" t="str">
        <f t="shared" si="79"/>
        <v>АРТ-412</v>
      </c>
      <c r="M414" s="13" t="str">
        <f t="shared" si="80"/>
        <v xml:space="preserve">Монитор Viewsonic Vp2458</v>
      </c>
      <c r="N414" s="13" t="str">
        <f>IFERROR(VLOOKUP(K414,Справочники!$A$6:$B$16,2,0),"НЕТ В СПРАВОЧНИКЕ")</f>
        <v>Мониторы</v>
      </c>
      <c r="O414" s="13" t="str">
        <f t="shared" si="81"/>
        <v>Viewsonic</v>
      </c>
      <c r="P414" s="14">
        <f t="shared" si="82"/>
        <v>35000</v>
      </c>
      <c r="Q414" s="14">
        <f t="shared" si="83"/>
        <v>54990</v>
      </c>
      <c r="R414" s="13" t="str">
        <f t="shared" si="86"/>
        <v>шт</v>
      </c>
      <c r="S414" s="10" t="str">
        <f t="shared" si="84"/>
        <v>OK</v>
      </c>
      <c r="T414" s="10" t="str">
        <f t="shared" si="85"/>
        <v>уникален</v>
      </c>
    </row>
    <row r="415" ht="15" customHeight="1">
      <c r="A415" s="10">
        <v>413</v>
      </c>
      <c r="B415" s="11" t="str">
        <f>RAW_Товары!A414</f>
        <v>АРТ_413</v>
      </c>
      <c r="C415" s="11" t="str">
        <f>RAW_Товары!B414</f>
        <v xml:space="preserve">монитор VIEWSONIC VP2458</v>
      </c>
      <c r="D415" s="11" t="str">
        <f>RAW_Товары!C414</f>
        <v>Мониторы</v>
      </c>
      <c r="E415" s="11" t="str">
        <f>RAW_Товары!D414</f>
        <v>viewsonic</v>
      </c>
      <c r="F415" s="11" t="str">
        <f>RAW_Товары!E414</f>
        <v xml:space="preserve">33 500</v>
      </c>
      <c r="G415" s="11" t="str">
        <f>RAW_Товары!F414</f>
        <v xml:space="preserve">52 500</v>
      </c>
      <c r="H415" s="11" t="str">
        <f>RAW_Товары!G414</f>
        <v>штука</v>
      </c>
      <c r="I415" s="12" t="str">
        <f t="shared" si="76"/>
        <v>413</v>
      </c>
      <c r="J415" s="12" t="str">
        <f t="shared" si="77"/>
        <v xml:space="preserve">монитор VIEWSONIC VP2458</v>
      </c>
      <c r="K415" s="12" t="str">
        <f t="shared" si="78"/>
        <v>Мониторы</v>
      </c>
      <c r="L415" s="13" t="str">
        <f t="shared" si="79"/>
        <v>АРТ-413</v>
      </c>
      <c r="M415" s="13" t="str">
        <f t="shared" si="80"/>
        <v xml:space="preserve">Монитор Viewsonic Vp2458</v>
      </c>
      <c r="N415" s="13" t="str">
        <f>IFERROR(VLOOKUP(K415,Справочники!$A$6:$B$16,2,0),"НЕТ В СПРАВОЧНИКЕ")</f>
        <v>Мониторы</v>
      </c>
      <c r="O415" s="13" t="str">
        <f t="shared" si="81"/>
        <v>Viewsonic</v>
      </c>
      <c r="P415" s="14">
        <f t="shared" si="82"/>
        <v>33500</v>
      </c>
      <c r="Q415" s="14">
        <f t="shared" si="83"/>
        <v>52500</v>
      </c>
      <c r="R415" s="13" t="str">
        <f t="shared" si="86"/>
        <v>шт</v>
      </c>
      <c r="S415" s="10" t="str">
        <f t="shared" si="84"/>
        <v>OK</v>
      </c>
      <c r="T415" s="10" t="str">
        <f t="shared" si="85"/>
        <v>уникален</v>
      </c>
    </row>
    <row r="416" ht="15" customHeight="1">
      <c r="A416" s="10">
        <v>414</v>
      </c>
      <c r="B416" s="11" t="str">
        <f>RAW_Товары!A415</f>
        <v>414-24</v>
      </c>
      <c r="C416" s="11" t="str">
        <f>RAW_Товары!B415</f>
        <v xml:space="preserve">Монитор ViewSonic VP2458 (Pro)</v>
      </c>
      <c r="D416" s="11" t="str">
        <f>RAW_Товары!C415</f>
        <v>Мониторы</v>
      </c>
      <c r="E416" s="11" t="str">
        <f>RAW_Товары!D415</f>
        <v>VIEWSONIC</v>
      </c>
      <c r="F416" s="11" t="str">
        <f>RAW_Товары!E415</f>
        <v xml:space="preserve">36 500</v>
      </c>
      <c r="G416" s="11" t="str">
        <f>RAW_Товары!F415</f>
        <v xml:space="preserve">57 000</v>
      </c>
      <c r="H416" s="11" t="str">
        <f>RAW_Товары!G415</f>
        <v>шт</v>
      </c>
      <c r="I416" s="12" t="str">
        <f t="shared" si="76"/>
        <v>414-24</v>
      </c>
      <c r="J416" s="12" t="str">
        <f t="shared" si="77"/>
        <v xml:space="preserve">Монитор ViewSonic VP2458</v>
      </c>
      <c r="K416" s="12" t="str">
        <f t="shared" si="78"/>
        <v>Мониторы</v>
      </c>
      <c r="L416" s="13" t="str">
        <f t="shared" si="79"/>
        <v>АРТ-414</v>
      </c>
      <c r="M416" s="13" t="str">
        <f t="shared" si="80"/>
        <v xml:space="preserve">Монитор Viewsonic Vp2458</v>
      </c>
      <c r="N416" s="13" t="str">
        <f>IFERROR(VLOOKUP(K416,Справочники!$A$6:$B$16,2,0),"НЕТ В СПРАВОЧНИКЕ")</f>
        <v>Мониторы</v>
      </c>
      <c r="O416" s="13" t="str">
        <f t="shared" si="81"/>
        <v>Viewsonic</v>
      </c>
      <c r="P416" s="14">
        <f t="shared" si="82"/>
        <v>36500</v>
      </c>
      <c r="Q416" s="14">
        <f t="shared" si="83"/>
        <v>57000</v>
      </c>
      <c r="R416" s="13" t="str">
        <f t="shared" si="86"/>
        <v>шт</v>
      </c>
      <c r="S416" s="10" t="str">
        <f t="shared" si="84"/>
        <v>OK</v>
      </c>
      <c r="T416" s="10" t="str">
        <f t="shared" si="85"/>
        <v>уникален</v>
      </c>
    </row>
    <row r="417" ht="15" customHeight="1">
      <c r="A417" s="10">
        <v>415</v>
      </c>
      <c r="B417" s="11" t="str">
        <f>RAW_Товары!A416</f>
        <v>№АРТ-415</v>
      </c>
      <c r="C417" s="11" t="str">
        <f>RAW_Товары!B416</f>
        <v xml:space="preserve">Клавиатура Corsair K100 RGB</v>
      </c>
      <c r="D417" s="11" t="str">
        <f>RAW_Товары!C416</f>
        <v>Аксессуары</v>
      </c>
      <c r="E417" s="11" t="str">
        <f>RAW_Товары!D416</f>
        <v>Corsair</v>
      </c>
      <c r="F417" s="11" t="str">
        <f>RAW_Товары!E416</f>
        <v xml:space="preserve">9 000</v>
      </c>
      <c r="G417" s="11" t="str">
        <f>RAW_Товары!F416</f>
        <v xml:space="preserve">14 990</v>
      </c>
      <c r="H417" s="11" t="str">
        <f>RAW_Товары!G416</f>
        <v>шт.</v>
      </c>
      <c r="I417" s="12" t="str">
        <f t="shared" si="76"/>
        <v>415</v>
      </c>
      <c r="J417" s="12" t="str">
        <f t="shared" si="77"/>
        <v xml:space="preserve">Клавиатура Corsair K100 RGB</v>
      </c>
      <c r="K417" s="12" t="str">
        <f t="shared" si="78"/>
        <v>Аксессуары</v>
      </c>
      <c r="L417" s="13" t="str">
        <f t="shared" si="79"/>
        <v>АРТ-415</v>
      </c>
      <c r="M417" s="13" t="str">
        <f t="shared" si="80"/>
        <v xml:space="preserve">Клавиатура Corsair K100 Rgb</v>
      </c>
      <c r="N417" s="13" t="str">
        <f>IFERROR(VLOOKUP(K417,Справочники!$A$6:$B$16,2,0),"НЕТ В СПРАВОЧНИКЕ")</f>
        <v>Аксессуары</v>
      </c>
      <c r="O417" s="13" t="str">
        <f t="shared" si="81"/>
        <v>Corsair</v>
      </c>
      <c r="P417" s="14">
        <f t="shared" si="82"/>
        <v>9000</v>
      </c>
      <c r="Q417" s="14">
        <f t="shared" si="83"/>
        <v>14990</v>
      </c>
      <c r="R417" s="13" t="str">
        <f t="shared" si="86"/>
        <v>шт</v>
      </c>
      <c r="S417" s="10" t="str">
        <f t="shared" si="84"/>
        <v>OK</v>
      </c>
      <c r="T417" s="10" t="str">
        <f t="shared" si="85"/>
        <v>уникален</v>
      </c>
    </row>
    <row r="418" ht="15" customHeight="1">
      <c r="A418" s="10">
        <v>416</v>
      </c>
      <c r="B418" s="11" t="str">
        <f>RAW_Товары!A417</f>
        <v>АРТ_416</v>
      </c>
      <c r="C418" s="11" t="str">
        <f>RAW_Товары!B417</f>
        <v xml:space="preserve">клавиатура CORSAIR K100 RGB</v>
      </c>
      <c r="D418" s="11" t="str">
        <f>RAW_Товары!C417</f>
        <v>Аксессуары</v>
      </c>
      <c r="E418" s="11" t="str">
        <f>RAW_Товары!D417</f>
        <v>corsair</v>
      </c>
      <c r="F418" s="11" t="str">
        <f>RAW_Товары!E417</f>
        <v xml:space="preserve">8 500</v>
      </c>
      <c r="G418" s="11" t="str">
        <f>RAW_Товары!F417</f>
        <v xml:space="preserve">14 000</v>
      </c>
      <c r="H418" s="11" t="str">
        <f>RAW_Товары!G417</f>
        <v>штуки</v>
      </c>
      <c r="I418" s="12" t="str">
        <f t="shared" si="76"/>
        <v>416</v>
      </c>
      <c r="J418" s="12" t="str">
        <f t="shared" si="77"/>
        <v xml:space="preserve">клавиатура CORSAIR K100 RGB</v>
      </c>
      <c r="K418" s="12" t="str">
        <f t="shared" si="78"/>
        <v>Аксессуары</v>
      </c>
      <c r="L418" s="13" t="str">
        <f t="shared" si="79"/>
        <v>АРТ-416</v>
      </c>
      <c r="M418" s="13" t="str">
        <f t="shared" si="80"/>
        <v xml:space="preserve">Клавиатура Corsair K100 Rgb</v>
      </c>
      <c r="N418" s="13" t="str">
        <f>IFERROR(VLOOKUP(K418,Справочники!$A$6:$B$16,2,0),"НЕТ В СПРАВОЧНИКЕ")</f>
        <v>Аксессуары</v>
      </c>
      <c r="O418" s="13" t="str">
        <f t="shared" si="81"/>
        <v>Corsair</v>
      </c>
      <c r="P418" s="14">
        <f t="shared" si="82"/>
        <v>8500</v>
      </c>
      <c r="Q418" s="14">
        <f t="shared" si="83"/>
        <v>14000</v>
      </c>
      <c r="R418" s="13" t="str">
        <f t="shared" si="86"/>
        <v>шт</v>
      </c>
      <c r="S418" s="10" t="str">
        <f t="shared" si="84"/>
        <v>OK</v>
      </c>
      <c r="T418" s="10" t="str">
        <f t="shared" si="85"/>
        <v>уникален</v>
      </c>
    </row>
    <row r="419" ht="15" customHeight="1">
      <c r="A419" s="10">
        <v>417</v>
      </c>
      <c r="B419" s="11" t="str">
        <f>RAW_Товары!A418</f>
        <v>417/24</v>
      </c>
      <c r="C419" s="11" t="str">
        <f>RAW_Товары!B418</f>
        <v xml:space="preserve">Клавиатура Corsair K100 RGB (OPX)</v>
      </c>
      <c r="D419" s="11" t="str">
        <f>RAW_Товары!C418</f>
        <v>Аксессуары</v>
      </c>
      <c r="E419" s="11" t="str">
        <f>RAW_Товары!D418</f>
        <v>CORSAIR</v>
      </c>
      <c r="F419" s="11" t="str">
        <f>RAW_Товары!E418</f>
        <v xml:space="preserve">9 500</v>
      </c>
      <c r="G419" s="11" t="str">
        <f>RAW_Товары!F418</f>
        <v xml:space="preserve">15 800</v>
      </c>
      <c r="H419" s="11" t="str">
        <f>RAW_Товары!G418</f>
        <v>шт</v>
      </c>
      <c r="I419" s="12" t="str">
        <f t="shared" si="76"/>
        <v>417/24</v>
      </c>
      <c r="J419" s="12" t="str">
        <f t="shared" si="77"/>
        <v xml:space="preserve">Клавиатура Corsair K100 RGB</v>
      </c>
      <c r="K419" s="12" t="str">
        <f t="shared" si="78"/>
        <v>Аксессуары</v>
      </c>
      <c r="L419" s="13" t="str">
        <f t="shared" si="79"/>
        <v>АРТ-417</v>
      </c>
      <c r="M419" s="13" t="str">
        <f t="shared" si="80"/>
        <v xml:space="preserve">Клавиатура Corsair K100 Rgb</v>
      </c>
      <c r="N419" s="13" t="str">
        <f>IFERROR(VLOOKUP(K419,Справочники!$A$6:$B$16,2,0),"НЕТ В СПРАВОЧНИКЕ")</f>
        <v>Аксессуары</v>
      </c>
      <c r="O419" s="13" t="str">
        <f t="shared" si="81"/>
        <v>Corsair</v>
      </c>
      <c r="P419" s="14">
        <f t="shared" si="82"/>
        <v>9500</v>
      </c>
      <c r="Q419" s="14">
        <f t="shared" si="83"/>
        <v>15800</v>
      </c>
      <c r="R419" s="13" t="str">
        <f t="shared" si="86"/>
        <v>шт</v>
      </c>
      <c r="S419" s="10" t="str">
        <f t="shared" si="84"/>
        <v>OK</v>
      </c>
      <c r="T419" s="10" t="str">
        <f t="shared" si="85"/>
        <v>уникален</v>
      </c>
    </row>
    <row r="420" ht="15" customHeight="1">
      <c r="A420" s="10">
        <v>418</v>
      </c>
      <c r="B420" s="11" t="str">
        <f>RAW_Товары!A419</f>
        <v>№АРТ-418</v>
      </c>
      <c r="C420" s="11" t="str">
        <f>RAW_Товары!B419</f>
        <v xml:space="preserve">Смарт-часы Amazfit T-Rex 2</v>
      </c>
      <c r="D420" s="11" t="str">
        <f>RAW_Товары!C419</f>
        <v>Часы</v>
      </c>
      <c r="E420" s="11" t="str">
        <f>RAW_Товары!D419</f>
        <v>Amazfit</v>
      </c>
      <c r="F420" s="11" t="str">
        <f>RAW_Товары!E419</f>
        <v xml:space="preserve">18 000</v>
      </c>
      <c r="G420" s="11" t="str">
        <f>RAW_Товары!F419</f>
        <v xml:space="preserve">29 990</v>
      </c>
      <c r="H420" s="11" t="str">
        <f>RAW_Товары!G419</f>
        <v>шт.</v>
      </c>
      <c r="I420" s="12" t="str">
        <f t="shared" ref="I420:I483" si="87">SUBSTITUTE(SUBSTITUTE(B420,"№АРТ-",""),"АРТ_","")</f>
        <v>418</v>
      </c>
      <c r="J420" s="12" t="str">
        <f t="shared" ref="J420:J483" si="88">TRIM(LEFT(C420,IFERROR(FIND("(",C420)-1,LEN(C420))))</f>
        <v xml:space="preserve">Смарт-часы Amazfit T-Rex 2</v>
      </c>
      <c r="K420" s="12" t="str">
        <f t="shared" ref="K420:K483" si="89">TRIM(D420)</f>
        <v>Часы</v>
      </c>
      <c r="L420" s="13" t="str">
        <f t="shared" ref="L420:L483" si="90">"АРТ-"&amp;LEFT(I420,3)</f>
        <v>АРТ-418</v>
      </c>
      <c r="M420" s="13" t="str">
        <f t="shared" ref="M420:M483" si="91">PROPER(TRIM(J420))</f>
        <v xml:space="preserve">Смарт-Часы Amazfit T-Rex 2</v>
      </c>
      <c r="N420" s="13" t="str">
        <f>IFERROR(VLOOKUP(K420,Справочники!$A$6:$B$16,2,0),"НЕТ В СПРАВОЧНИКЕ")</f>
        <v>Часы</v>
      </c>
      <c r="O420" s="13" t="str">
        <f t="shared" ref="O420:O483" si="92">PROPER(TRIM(E420))</f>
        <v>Amazfit</v>
      </c>
      <c r="P420" s="14">
        <f t="shared" ref="P420:P483" si="93">ROUND(VALUE(SUBSTITUTE(SUBSTITUTE(F420," ",""),",",".")),2)</f>
        <v>18000</v>
      </c>
      <c r="Q420" s="14">
        <f t="shared" ref="Q420:Q483" si="94">ROUND(VALUE(SUBSTITUTE(SUBSTITUTE(G420," ",""),",",".")),2)</f>
        <v>29990</v>
      </c>
      <c r="R420" s="13" t="str">
        <f t="shared" si="86"/>
        <v>шт</v>
      </c>
      <c r="S420" s="10" t="str">
        <f t="shared" ref="S420:S483" si="95">IF(Q420&gt;=P420,"OK","ОШИБКА: розница &lt; закупки")</f>
        <v>OK</v>
      </c>
      <c r="T420" s="10" t="str">
        <f t="shared" ref="T420:T483" si="96">IF(COUNTIF($L$3:$L$503,L420)=1,"уникален","ДУБЛЬ")</f>
        <v>уникален</v>
      </c>
    </row>
    <row r="421" ht="15" customHeight="1">
      <c r="A421" s="10">
        <v>419</v>
      </c>
      <c r="B421" s="11" t="str">
        <f>RAW_Товары!A420</f>
        <v>АРТ_419</v>
      </c>
      <c r="C421" s="11" t="str">
        <f>RAW_Товары!B420</f>
        <v xml:space="preserve">смарт-часы AMAZFIT T-REX 2</v>
      </c>
      <c r="D421" s="11" t="str">
        <f>RAW_Товары!C420</f>
        <v>Часы</v>
      </c>
      <c r="E421" s="11" t="str">
        <f>RAW_Товары!D420</f>
        <v>amazfit</v>
      </c>
      <c r="F421" s="11" t="str">
        <f>RAW_Товары!E420</f>
        <v xml:space="preserve">17 000</v>
      </c>
      <c r="G421" s="11" t="str">
        <f>RAW_Товары!F420</f>
        <v xml:space="preserve">28 500</v>
      </c>
      <c r="H421" s="11" t="str">
        <f>RAW_Товары!G420</f>
        <v>штука</v>
      </c>
      <c r="I421" s="12" t="str">
        <f t="shared" si="87"/>
        <v>419</v>
      </c>
      <c r="J421" s="12" t="str">
        <f t="shared" si="88"/>
        <v xml:space="preserve">смарт-часы AMAZFIT T-REX 2</v>
      </c>
      <c r="K421" s="12" t="str">
        <f t="shared" si="89"/>
        <v>Часы</v>
      </c>
      <c r="L421" s="13" t="str">
        <f t="shared" si="90"/>
        <v>АРТ-419</v>
      </c>
      <c r="M421" s="13" t="str">
        <f t="shared" si="91"/>
        <v xml:space="preserve">Смарт-Часы Amazfit T-Rex 2</v>
      </c>
      <c r="N421" s="13" t="str">
        <f>IFERROR(VLOOKUP(K421,Справочники!$A$6:$B$16,2,0),"НЕТ В СПРАВОЧНИКЕ")</f>
        <v>Часы</v>
      </c>
      <c r="O421" s="13" t="str">
        <f t="shared" si="92"/>
        <v>Amazfit</v>
      </c>
      <c r="P421" s="14">
        <f t="shared" si="93"/>
        <v>17000</v>
      </c>
      <c r="Q421" s="14">
        <f t="shared" si="94"/>
        <v>28500</v>
      </c>
      <c r="R421" s="13" t="str">
        <f t="shared" si="86"/>
        <v>шт</v>
      </c>
      <c r="S421" s="10" t="str">
        <f t="shared" si="95"/>
        <v>OK</v>
      </c>
      <c r="T421" s="10" t="str">
        <f t="shared" si="96"/>
        <v>уникален</v>
      </c>
    </row>
    <row r="422" ht="15" customHeight="1">
      <c r="A422" s="10">
        <v>420</v>
      </c>
      <c r="B422" s="11" t="str">
        <f>RAW_Товары!A421</f>
        <v>420-24</v>
      </c>
      <c r="C422" s="11" t="str">
        <f>RAW_Товары!B421</f>
        <v xml:space="preserve">Смарт-часы Amazfit T-Rex 2 (Military)</v>
      </c>
      <c r="D422" s="11" t="str">
        <f>RAW_Товары!C421</f>
        <v>Часы</v>
      </c>
      <c r="E422" s="11" t="str">
        <f>RAW_Товары!D421</f>
        <v>AMAZFIT</v>
      </c>
      <c r="F422" s="11" t="str">
        <f>RAW_Товары!E421</f>
        <v xml:space="preserve">19 000</v>
      </c>
      <c r="G422" s="11" t="str">
        <f>RAW_Товары!F421</f>
        <v xml:space="preserve">31 500</v>
      </c>
      <c r="H422" s="11" t="str">
        <f>RAW_Товары!G421</f>
        <v>шт</v>
      </c>
      <c r="I422" s="12" t="str">
        <f t="shared" si="87"/>
        <v>420-24</v>
      </c>
      <c r="J422" s="12" t="str">
        <f t="shared" si="88"/>
        <v xml:space="preserve">Смарт-часы Amazfit T-Rex 2</v>
      </c>
      <c r="K422" s="12" t="str">
        <f t="shared" si="89"/>
        <v>Часы</v>
      </c>
      <c r="L422" s="13" t="str">
        <f t="shared" si="90"/>
        <v>АРТ-420</v>
      </c>
      <c r="M422" s="13" t="str">
        <f t="shared" si="91"/>
        <v xml:space="preserve">Смарт-Часы Amazfit T-Rex 2</v>
      </c>
      <c r="N422" s="13" t="str">
        <f>IFERROR(VLOOKUP(K422,Справочники!$A$6:$B$16,2,0),"НЕТ В СПРАВОЧНИКЕ")</f>
        <v>Часы</v>
      </c>
      <c r="O422" s="13" t="str">
        <f t="shared" si="92"/>
        <v>Amazfit</v>
      </c>
      <c r="P422" s="14">
        <f t="shared" si="93"/>
        <v>19000</v>
      </c>
      <c r="Q422" s="14">
        <f t="shared" si="94"/>
        <v>31500</v>
      </c>
      <c r="R422" s="13" t="str">
        <f t="shared" si="86"/>
        <v>шт</v>
      </c>
      <c r="S422" s="10" t="str">
        <f t="shared" si="95"/>
        <v>OK</v>
      </c>
      <c r="T422" s="10" t="str">
        <f t="shared" si="96"/>
        <v>уникален</v>
      </c>
    </row>
    <row r="423" ht="15" customHeight="1">
      <c r="A423" s="10">
        <v>421</v>
      </c>
      <c r="B423" s="11" t="str">
        <f>RAW_Товары!A422</f>
        <v>№АРТ-421</v>
      </c>
      <c r="C423" s="11" t="str">
        <f>RAW_Товары!B422</f>
        <v xml:space="preserve">Ноутбук Acer Predator Helios 300</v>
      </c>
      <c r="D423" s="11" t="str">
        <f>RAW_Товары!C422</f>
        <v>Ноутбуки</v>
      </c>
      <c r="E423" s="11" t="str">
        <f>RAW_Товары!D422</f>
        <v>Acer</v>
      </c>
      <c r="F423" s="11" t="str">
        <f>RAW_Товары!E422</f>
        <v xml:space="preserve">82 000</v>
      </c>
      <c r="G423" s="11" t="str">
        <f>RAW_Товары!F422</f>
        <v xml:space="preserve">126 990</v>
      </c>
      <c r="H423" s="11" t="str">
        <f>RAW_Товары!G422</f>
        <v>шт.</v>
      </c>
      <c r="I423" s="12" t="str">
        <f t="shared" si="87"/>
        <v>421</v>
      </c>
      <c r="J423" s="12" t="str">
        <f t="shared" si="88"/>
        <v xml:space="preserve">Ноутбук Acer Predator Helios 300</v>
      </c>
      <c r="K423" s="12" t="str">
        <f t="shared" si="89"/>
        <v>Ноутбуки</v>
      </c>
      <c r="L423" s="13" t="str">
        <f t="shared" si="90"/>
        <v>АРТ-421</v>
      </c>
      <c r="M423" s="13" t="str">
        <f t="shared" si="91"/>
        <v xml:space="preserve">Ноутбук Acer Predator Helios 300</v>
      </c>
      <c r="N423" s="13" t="str">
        <f>IFERROR(VLOOKUP(K423,Справочники!$A$6:$B$16,2,0),"НЕТ В СПРАВОЧНИКЕ")</f>
        <v>Ноутбуки</v>
      </c>
      <c r="O423" s="13" t="str">
        <f t="shared" si="92"/>
        <v>Acer</v>
      </c>
      <c r="P423" s="14">
        <f t="shared" si="93"/>
        <v>82000</v>
      </c>
      <c r="Q423" s="14">
        <f t="shared" si="94"/>
        <v>126990</v>
      </c>
      <c r="R423" s="13" t="str">
        <f t="shared" si="86"/>
        <v>шт</v>
      </c>
      <c r="S423" s="10" t="str">
        <f t="shared" si="95"/>
        <v>OK</v>
      </c>
      <c r="T423" s="10" t="str">
        <f t="shared" si="96"/>
        <v>уникален</v>
      </c>
    </row>
    <row r="424" ht="15" customHeight="1">
      <c r="A424" s="10">
        <v>422</v>
      </c>
      <c r="B424" s="11" t="str">
        <f>RAW_Товары!A423</f>
        <v>АРТ_422</v>
      </c>
      <c r="C424" s="11" t="str">
        <f>RAW_Товары!B423</f>
        <v xml:space="preserve">ноутбук ACER PREDATOR HELIOS 300</v>
      </c>
      <c r="D424" s="11" t="str">
        <f>RAW_Товары!C423</f>
        <v>Лэптопы</v>
      </c>
      <c r="E424" s="11" t="str">
        <f>RAW_Товары!D423</f>
        <v>acer</v>
      </c>
      <c r="F424" s="11" t="str">
        <f>RAW_Товары!E423</f>
        <v xml:space="preserve">80 000</v>
      </c>
      <c r="G424" s="11" t="str">
        <f>RAW_Товары!F423</f>
        <v xml:space="preserve">124 000</v>
      </c>
      <c r="H424" s="11" t="str">
        <f>RAW_Товары!G423</f>
        <v>штуки</v>
      </c>
      <c r="I424" s="12" t="str">
        <f t="shared" si="87"/>
        <v>422</v>
      </c>
      <c r="J424" s="12" t="str">
        <f t="shared" si="88"/>
        <v xml:space="preserve">ноутбук ACER PREDATOR HELIOS 300</v>
      </c>
      <c r="K424" s="12" t="str">
        <f t="shared" si="89"/>
        <v>Лэптопы</v>
      </c>
      <c r="L424" s="13" t="str">
        <f t="shared" si="90"/>
        <v>АРТ-422</v>
      </c>
      <c r="M424" s="13" t="str">
        <f t="shared" si="91"/>
        <v xml:space="preserve">Ноутбук Acer Predator Helios 300</v>
      </c>
      <c r="N424" s="13" t="str">
        <f>IFERROR(VLOOKUP(K424,Справочники!$A$6:$B$16,2,0),"НЕТ В СПРАВОЧНИКЕ")</f>
        <v>Ноутбуки</v>
      </c>
      <c r="O424" s="13" t="str">
        <f t="shared" si="92"/>
        <v>Acer</v>
      </c>
      <c r="P424" s="14">
        <f t="shared" si="93"/>
        <v>80000</v>
      </c>
      <c r="Q424" s="14">
        <f t="shared" si="94"/>
        <v>124000</v>
      </c>
      <c r="R424" s="13" t="str">
        <f t="shared" si="86"/>
        <v>шт</v>
      </c>
      <c r="S424" s="10" t="str">
        <f t="shared" si="95"/>
        <v>OK</v>
      </c>
      <c r="T424" s="10" t="str">
        <f t="shared" si="96"/>
        <v>уникален</v>
      </c>
    </row>
    <row r="425" ht="15" customHeight="1">
      <c r="A425" s="10">
        <v>423</v>
      </c>
      <c r="B425" s="11" t="str">
        <f>RAW_Товары!A424</f>
        <v>423/24</v>
      </c>
      <c r="C425" s="11" t="str">
        <f>RAW_Товары!B424</f>
        <v xml:space="preserve">Ноутбук Acer Predator Helios 300 (Gaming)</v>
      </c>
      <c r="D425" s="11" t="str">
        <f>RAW_Товары!C424</f>
        <v>Ноутбуки</v>
      </c>
      <c r="E425" s="11" t="str">
        <f>RAW_Товары!D424</f>
        <v>ACER</v>
      </c>
      <c r="F425" s="11" t="str">
        <f>RAW_Товары!E424</f>
        <v xml:space="preserve">83 500</v>
      </c>
      <c r="G425" s="11" t="str">
        <f>RAW_Товары!F424</f>
        <v xml:space="preserve">129 500</v>
      </c>
      <c r="H425" s="11" t="str">
        <f>RAW_Товары!G424</f>
        <v>шт</v>
      </c>
      <c r="I425" s="12" t="str">
        <f t="shared" si="87"/>
        <v>423/24</v>
      </c>
      <c r="J425" s="12" t="str">
        <f t="shared" si="88"/>
        <v xml:space="preserve">Ноутбук Acer Predator Helios 300</v>
      </c>
      <c r="K425" s="12" t="str">
        <f t="shared" si="89"/>
        <v>Ноутбуки</v>
      </c>
      <c r="L425" s="13" t="str">
        <f t="shared" si="90"/>
        <v>АРТ-423</v>
      </c>
      <c r="M425" s="13" t="str">
        <f t="shared" si="91"/>
        <v xml:space="preserve">Ноутбук Acer Predator Helios 300</v>
      </c>
      <c r="N425" s="13" t="str">
        <f>IFERROR(VLOOKUP(K425,Справочники!$A$6:$B$16,2,0),"НЕТ В СПРАВОЧНИКЕ")</f>
        <v>Ноутбуки</v>
      </c>
      <c r="O425" s="13" t="str">
        <f t="shared" si="92"/>
        <v>Acer</v>
      </c>
      <c r="P425" s="14">
        <f t="shared" si="93"/>
        <v>83500</v>
      </c>
      <c r="Q425" s="14">
        <f t="shared" si="94"/>
        <v>129500</v>
      </c>
      <c r="R425" s="13" t="str">
        <f t="shared" si="86"/>
        <v>шт</v>
      </c>
      <c r="S425" s="10" t="str">
        <f t="shared" si="95"/>
        <v>OK</v>
      </c>
      <c r="T425" s="10" t="str">
        <f t="shared" si="96"/>
        <v>уникален</v>
      </c>
    </row>
    <row r="426" ht="15" customHeight="1">
      <c r="A426" s="10">
        <v>424</v>
      </c>
      <c r="B426" s="11" t="str">
        <f>RAW_Товары!A425</f>
        <v>№АРТ-424</v>
      </c>
      <c r="C426" s="11" t="str">
        <f>RAW_Товары!B425</f>
        <v xml:space="preserve">Смартфон Oppo Reno 10</v>
      </c>
      <c r="D426" s="11" t="str">
        <f>RAW_Товары!C425</f>
        <v>Смартфоны</v>
      </c>
      <c r="E426" s="11" t="str">
        <f>RAW_Товары!D425</f>
        <v>Oppo</v>
      </c>
      <c r="F426" s="11" t="str">
        <f>RAW_Товары!E425</f>
        <v xml:space="preserve">29 000</v>
      </c>
      <c r="G426" s="11" t="str">
        <f>RAW_Товары!F425</f>
        <v xml:space="preserve">48 990</v>
      </c>
      <c r="H426" s="11" t="str">
        <f>RAW_Товары!G425</f>
        <v>шт.</v>
      </c>
      <c r="I426" s="12" t="str">
        <f t="shared" si="87"/>
        <v>424</v>
      </c>
      <c r="J426" s="12" t="str">
        <f t="shared" si="88"/>
        <v xml:space="preserve">Смартфон Oppo Reno 10</v>
      </c>
      <c r="K426" s="12" t="str">
        <f t="shared" si="89"/>
        <v>Смартфоны</v>
      </c>
      <c r="L426" s="13" t="str">
        <f t="shared" si="90"/>
        <v>АРТ-424</v>
      </c>
      <c r="M426" s="13" t="str">
        <f t="shared" si="91"/>
        <v xml:space="preserve">Смартфон Oppo Reno 10</v>
      </c>
      <c r="N426" s="13" t="str">
        <f>IFERROR(VLOOKUP(K426,Справочники!$A$6:$B$16,2,0),"НЕТ В СПРАВОЧНИКЕ")</f>
        <v>Смартфоны</v>
      </c>
      <c r="O426" s="13" t="str">
        <f t="shared" si="92"/>
        <v>Oppo</v>
      </c>
      <c r="P426" s="14">
        <f t="shared" si="93"/>
        <v>29000</v>
      </c>
      <c r="Q426" s="14">
        <f t="shared" si="94"/>
        <v>48990</v>
      </c>
      <c r="R426" s="13" t="str">
        <f t="shared" si="86"/>
        <v>шт</v>
      </c>
      <c r="S426" s="10" t="str">
        <f t="shared" si="95"/>
        <v>OK</v>
      </c>
      <c r="T426" s="10" t="str">
        <f t="shared" si="96"/>
        <v>уникален</v>
      </c>
    </row>
    <row r="427" ht="15" customHeight="1">
      <c r="A427" s="10">
        <v>425</v>
      </c>
      <c r="B427" s="11" t="str">
        <f>RAW_Товары!A426</f>
        <v>АРТ_425</v>
      </c>
      <c r="C427" s="11" t="str">
        <f>RAW_Товары!B426</f>
        <v xml:space="preserve">смартфон OPPO RENO 10</v>
      </c>
      <c r="D427" s="11" t="str">
        <f>RAW_Товары!C426</f>
        <v>Телефоны</v>
      </c>
      <c r="E427" s="11" t="str">
        <f>RAW_Товары!D426</f>
        <v>oppo</v>
      </c>
      <c r="F427" s="11" t="str">
        <f>RAW_Товары!E426</f>
        <v xml:space="preserve">28 000</v>
      </c>
      <c r="G427" s="11" t="str">
        <f>RAW_Товары!F426</f>
        <v xml:space="preserve">47 500</v>
      </c>
      <c r="H427" s="11" t="str">
        <f>RAW_Товары!G426</f>
        <v>штука</v>
      </c>
      <c r="I427" s="12" t="str">
        <f t="shared" si="87"/>
        <v>425</v>
      </c>
      <c r="J427" s="12" t="str">
        <f t="shared" si="88"/>
        <v xml:space="preserve">смартфон OPPO RENO 10</v>
      </c>
      <c r="K427" s="12" t="str">
        <f t="shared" si="89"/>
        <v>Телефоны</v>
      </c>
      <c r="L427" s="13" t="str">
        <f t="shared" si="90"/>
        <v>АРТ-425</v>
      </c>
      <c r="M427" s="13" t="str">
        <f t="shared" si="91"/>
        <v xml:space="preserve">Смартфон Oppo Reno 10</v>
      </c>
      <c r="N427" s="13" t="str">
        <f>IFERROR(VLOOKUP(K427,Справочники!$A$6:$B$16,2,0),"НЕТ В СПРАВОЧНИКЕ")</f>
        <v>Смартфоны</v>
      </c>
      <c r="O427" s="13" t="str">
        <f t="shared" si="92"/>
        <v>Oppo</v>
      </c>
      <c r="P427" s="14">
        <f t="shared" si="93"/>
        <v>28000</v>
      </c>
      <c r="Q427" s="14">
        <f t="shared" si="94"/>
        <v>47500</v>
      </c>
      <c r="R427" s="13" t="str">
        <f t="shared" si="86"/>
        <v>шт</v>
      </c>
      <c r="S427" s="10" t="str">
        <f t="shared" si="95"/>
        <v>OK</v>
      </c>
      <c r="T427" s="10" t="str">
        <f t="shared" si="96"/>
        <v>уникален</v>
      </c>
    </row>
    <row r="428" ht="15" customHeight="1">
      <c r="A428" s="10">
        <v>426</v>
      </c>
      <c r="B428" s="11" t="str">
        <f>RAW_Товары!A427</f>
        <v>426-24</v>
      </c>
      <c r="C428" s="11" t="str">
        <f>RAW_Товары!B427</f>
        <v xml:space="preserve">Смартфон Oppo Reno 10 (Pro)</v>
      </c>
      <c r="D428" s="11" t="str">
        <f>RAW_Товары!C427</f>
        <v xml:space="preserve">Мобильные телефоны</v>
      </c>
      <c r="E428" s="11" t="str">
        <f>RAW_Товары!D427</f>
        <v>OPPO</v>
      </c>
      <c r="F428" s="11" t="str">
        <f>RAW_Товары!E427</f>
        <v xml:space="preserve">30 000</v>
      </c>
      <c r="G428" s="11" t="str">
        <f>RAW_Товары!F427</f>
        <v xml:space="preserve">50 500</v>
      </c>
      <c r="H428" s="11" t="str">
        <f>RAW_Товары!G427</f>
        <v>шт</v>
      </c>
      <c r="I428" s="12" t="str">
        <f t="shared" si="87"/>
        <v>426-24</v>
      </c>
      <c r="J428" s="12" t="str">
        <f t="shared" si="88"/>
        <v xml:space="preserve">Смартфон Oppo Reno 10</v>
      </c>
      <c r="K428" s="12" t="str">
        <f t="shared" si="89"/>
        <v xml:space="preserve">Мобильные телефоны</v>
      </c>
      <c r="L428" s="13" t="str">
        <f t="shared" si="90"/>
        <v>АРТ-426</v>
      </c>
      <c r="M428" s="13" t="str">
        <f t="shared" si="91"/>
        <v xml:space="preserve">Смартфон Oppo Reno 10</v>
      </c>
      <c r="N428" s="13" t="str">
        <f>IFERROR(VLOOKUP(K428,Справочники!$A$6:$B$16,2,0),"НЕТ В СПРАВОЧНИКЕ")</f>
        <v>Смартфоны</v>
      </c>
      <c r="O428" s="13" t="str">
        <f t="shared" si="92"/>
        <v>Oppo</v>
      </c>
      <c r="P428" s="14">
        <f t="shared" si="93"/>
        <v>30000</v>
      </c>
      <c r="Q428" s="14">
        <f t="shared" si="94"/>
        <v>50500</v>
      </c>
      <c r="R428" s="13" t="str">
        <f t="shared" si="86"/>
        <v>шт</v>
      </c>
      <c r="S428" s="10" t="str">
        <f t="shared" si="95"/>
        <v>OK</v>
      </c>
      <c r="T428" s="10" t="str">
        <f t="shared" si="96"/>
        <v>уникален</v>
      </c>
    </row>
    <row r="429" ht="15" customHeight="1">
      <c r="A429" s="10">
        <v>427</v>
      </c>
      <c r="B429" s="11" t="str">
        <f>RAW_Товары!A428</f>
        <v>№АРТ-427</v>
      </c>
      <c r="C429" s="11" t="str">
        <f>RAW_Товары!B428</f>
        <v xml:space="preserve">Телевизор Xiaomi TV 5</v>
      </c>
      <c r="D429" s="11" t="str">
        <f>RAW_Товары!C428</f>
        <v>Телевизоры</v>
      </c>
      <c r="E429" s="11" t="str">
        <f>RAW_Товары!D428</f>
        <v>Xiaomi</v>
      </c>
      <c r="F429" s="11" t="str">
        <f>RAW_Товары!E428</f>
        <v xml:space="preserve">32 000</v>
      </c>
      <c r="G429" s="11" t="str">
        <f>RAW_Товары!F428</f>
        <v xml:space="preserve">49 990</v>
      </c>
      <c r="H429" s="11" t="str">
        <f>RAW_Товары!G428</f>
        <v>шт.</v>
      </c>
      <c r="I429" s="12" t="str">
        <f t="shared" si="87"/>
        <v>427</v>
      </c>
      <c r="J429" s="12" t="str">
        <f t="shared" si="88"/>
        <v xml:space="preserve">Телевизор Xiaomi TV 5</v>
      </c>
      <c r="K429" s="12" t="str">
        <f t="shared" si="89"/>
        <v>Телевизоры</v>
      </c>
      <c r="L429" s="13" t="str">
        <f t="shared" si="90"/>
        <v>АРТ-427</v>
      </c>
      <c r="M429" s="13" t="str">
        <f t="shared" si="91"/>
        <v xml:space="preserve">Телевизор Xiaomi Tv 5</v>
      </c>
      <c r="N429" s="13" t="str">
        <f>IFERROR(VLOOKUP(K429,Справочники!$A$6:$B$16,2,0),"НЕТ В СПРАВОЧНИКЕ")</f>
        <v>Телевизоры</v>
      </c>
      <c r="O429" s="13" t="str">
        <f t="shared" si="92"/>
        <v>Xiaomi</v>
      </c>
      <c r="P429" s="14">
        <f t="shared" si="93"/>
        <v>32000</v>
      </c>
      <c r="Q429" s="14">
        <f t="shared" si="94"/>
        <v>49990</v>
      </c>
      <c r="R429" s="13" t="str">
        <f t="shared" si="86"/>
        <v>шт</v>
      </c>
      <c r="S429" s="10" t="str">
        <f t="shared" si="95"/>
        <v>OK</v>
      </c>
      <c r="T429" s="10" t="str">
        <f t="shared" si="96"/>
        <v>уникален</v>
      </c>
    </row>
    <row r="430" ht="15" customHeight="1">
      <c r="A430" s="10">
        <v>428</v>
      </c>
      <c r="B430" s="11" t="str">
        <f>RAW_Товары!A429</f>
        <v>АРТ_428</v>
      </c>
      <c r="C430" s="11" t="str">
        <f>RAW_Товары!B429</f>
        <v xml:space="preserve">телевизор XIAOMI TV 5</v>
      </c>
      <c r="D430" s="11" t="str">
        <f>RAW_Товары!C429</f>
        <v>Телевизоры</v>
      </c>
      <c r="E430" s="11" t="str">
        <f>RAW_Товары!D429</f>
        <v>xiaomi</v>
      </c>
      <c r="F430" s="11" t="str">
        <f>RAW_Товары!E429</f>
        <v xml:space="preserve">30 500</v>
      </c>
      <c r="G430" s="11" t="str">
        <f>RAW_Товары!F429</f>
        <v xml:space="preserve">48 000</v>
      </c>
      <c r="H430" s="11" t="str">
        <f>RAW_Товары!G429</f>
        <v>штуки</v>
      </c>
      <c r="I430" s="12" t="str">
        <f t="shared" si="87"/>
        <v>428</v>
      </c>
      <c r="J430" s="12" t="str">
        <f t="shared" si="88"/>
        <v xml:space="preserve">телевизор XIAOMI TV 5</v>
      </c>
      <c r="K430" s="12" t="str">
        <f t="shared" si="89"/>
        <v>Телевизоры</v>
      </c>
      <c r="L430" s="13" t="str">
        <f t="shared" si="90"/>
        <v>АРТ-428</v>
      </c>
      <c r="M430" s="13" t="str">
        <f t="shared" si="91"/>
        <v xml:space="preserve">Телевизор Xiaomi Tv 5</v>
      </c>
      <c r="N430" s="13" t="str">
        <f>IFERROR(VLOOKUP(K430,Справочники!$A$6:$B$16,2,0),"НЕТ В СПРАВОЧНИКЕ")</f>
        <v>Телевизоры</v>
      </c>
      <c r="O430" s="13" t="str">
        <f t="shared" si="92"/>
        <v>Xiaomi</v>
      </c>
      <c r="P430" s="14">
        <f t="shared" si="93"/>
        <v>30500</v>
      </c>
      <c r="Q430" s="14">
        <f t="shared" si="94"/>
        <v>48000</v>
      </c>
      <c r="R430" s="13" t="str">
        <f t="shared" si="86"/>
        <v>шт</v>
      </c>
      <c r="S430" s="10" t="str">
        <f t="shared" si="95"/>
        <v>OK</v>
      </c>
      <c r="T430" s="10" t="str">
        <f t="shared" si="96"/>
        <v>уникален</v>
      </c>
    </row>
    <row r="431" ht="15" customHeight="1">
      <c r="A431" s="10">
        <v>429</v>
      </c>
      <c r="B431" s="11" t="str">
        <f>RAW_Товары!A430</f>
        <v>429/24</v>
      </c>
      <c r="C431" s="11" t="str">
        <f>RAW_Товары!B430</f>
        <v xml:space="preserve">Телевизор Xiaomi TV 5 (55")</v>
      </c>
      <c r="D431" s="11" t="str">
        <f>RAW_Товары!C430</f>
        <v>Телевизоры</v>
      </c>
      <c r="E431" s="11" t="str">
        <f>RAW_Товары!D430</f>
        <v>XIAOMI</v>
      </c>
      <c r="F431" s="11" t="str">
        <f>RAW_Товары!E430</f>
        <v xml:space="preserve">33 500</v>
      </c>
      <c r="G431" s="11" t="str">
        <f>RAW_Товары!F430</f>
        <v xml:space="preserve">52 000</v>
      </c>
      <c r="H431" s="11" t="str">
        <f>RAW_Товары!G430</f>
        <v>шт</v>
      </c>
      <c r="I431" s="12" t="str">
        <f t="shared" si="87"/>
        <v>429/24</v>
      </c>
      <c r="J431" s="12" t="str">
        <f t="shared" si="88"/>
        <v xml:space="preserve">Телевизор Xiaomi TV 5</v>
      </c>
      <c r="K431" s="12" t="str">
        <f t="shared" si="89"/>
        <v>Телевизоры</v>
      </c>
      <c r="L431" s="13" t="str">
        <f t="shared" si="90"/>
        <v>АРТ-429</v>
      </c>
      <c r="M431" s="13" t="str">
        <f t="shared" si="91"/>
        <v xml:space="preserve">Телевизор Xiaomi Tv 5</v>
      </c>
      <c r="N431" s="13" t="str">
        <f>IFERROR(VLOOKUP(K431,Справочники!$A$6:$B$16,2,0),"НЕТ В СПРАВОЧНИКЕ")</f>
        <v>Телевизоры</v>
      </c>
      <c r="O431" s="13" t="str">
        <f t="shared" si="92"/>
        <v>Xiaomi</v>
      </c>
      <c r="P431" s="14">
        <f t="shared" si="93"/>
        <v>33500</v>
      </c>
      <c r="Q431" s="14">
        <f t="shared" si="94"/>
        <v>52000</v>
      </c>
      <c r="R431" s="13" t="str">
        <f t="shared" si="86"/>
        <v>шт</v>
      </c>
      <c r="S431" s="10" t="str">
        <f t="shared" si="95"/>
        <v>OK</v>
      </c>
      <c r="T431" s="10" t="str">
        <f t="shared" si="96"/>
        <v>уникален</v>
      </c>
    </row>
    <row r="432" ht="15" customHeight="1">
      <c r="A432" s="10">
        <v>430</v>
      </c>
      <c r="B432" s="11" t="str">
        <f>RAW_Товары!A431</f>
        <v>№АРТ-430</v>
      </c>
      <c r="C432" s="11" t="str">
        <f>RAW_Товары!B431</f>
        <v xml:space="preserve">Наушники Marshall Motif II</v>
      </c>
      <c r="D432" s="11" t="str">
        <f>RAW_Товары!C431</f>
        <v>Наушники</v>
      </c>
      <c r="E432" s="11" t="str">
        <f>RAW_Товары!D431</f>
        <v>Marshall</v>
      </c>
      <c r="F432" s="11" t="str">
        <f>RAW_Товары!E431</f>
        <v xml:space="preserve">9 000</v>
      </c>
      <c r="G432" s="11" t="str">
        <f>RAW_Товары!F431</f>
        <v xml:space="preserve">14 990</v>
      </c>
      <c r="H432" s="11" t="str">
        <f>RAW_Товары!G431</f>
        <v>шт.</v>
      </c>
      <c r="I432" s="12" t="str">
        <f t="shared" si="87"/>
        <v>430</v>
      </c>
      <c r="J432" s="12" t="str">
        <f t="shared" si="88"/>
        <v xml:space="preserve">Наушники Marshall Motif II</v>
      </c>
      <c r="K432" s="12" t="str">
        <f t="shared" si="89"/>
        <v>Наушники</v>
      </c>
      <c r="L432" s="13" t="str">
        <f t="shared" si="90"/>
        <v>АРТ-430</v>
      </c>
      <c r="M432" s="13" t="str">
        <f t="shared" si="91"/>
        <v xml:space="preserve">Наушники Marshall Motif Ii</v>
      </c>
      <c r="N432" s="13" t="str">
        <f>IFERROR(VLOOKUP(K432,Справочники!$A$6:$B$16,2,0),"НЕТ В СПРАВОЧНИКЕ")</f>
        <v>Наушники</v>
      </c>
      <c r="O432" s="13" t="str">
        <f t="shared" si="92"/>
        <v>Marshall</v>
      </c>
      <c r="P432" s="14">
        <f t="shared" si="93"/>
        <v>9000</v>
      </c>
      <c r="Q432" s="14">
        <f t="shared" si="94"/>
        <v>14990</v>
      </c>
      <c r="R432" s="13" t="str">
        <f t="shared" si="86"/>
        <v>шт</v>
      </c>
      <c r="S432" s="10" t="str">
        <f t="shared" si="95"/>
        <v>OK</v>
      </c>
      <c r="T432" s="10" t="str">
        <f t="shared" si="96"/>
        <v>уникален</v>
      </c>
    </row>
    <row r="433" ht="15" customHeight="1">
      <c r="A433" s="10">
        <v>431</v>
      </c>
      <c r="B433" s="11" t="str">
        <f>RAW_Товары!A432</f>
        <v>АРТ_431</v>
      </c>
      <c r="C433" s="11" t="str">
        <f>RAW_Товары!B432</f>
        <v xml:space="preserve">наушники MARSHALL MOTIF II</v>
      </c>
      <c r="D433" s="11" t="str">
        <f>RAW_Товары!C432</f>
        <v>Наушники</v>
      </c>
      <c r="E433" s="11" t="str">
        <f>RAW_Товары!D432</f>
        <v>marshall</v>
      </c>
      <c r="F433" s="11" t="str">
        <f>RAW_Товары!E432</f>
        <v xml:space="preserve">8 500</v>
      </c>
      <c r="G433" s="11" t="str">
        <f>RAW_Товары!F432</f>
        <v xml:space="preserve">14 000</v>
      </c>
      <c r="H433" s="11" t="str">
        <f>RAW_Товары!G432</f>
        <v>штука</v>
      </c>
      <c r="I433" s="12" t="str">
        <f t="shared" si="87"/>
        <v>431</v>
      </c>
      <c r="J433" s="12" t="str">
        <f t="shared" si="88"/>
        <v xml:space="preserve">наушники MARSHALL MOTIF II</v>
      </c>
      <c r="K433" s="12" t="str">
        <f t="shared" si="89"/>
        <v>Наушники</v>
      </c>
      <c r="L433" s="13" t="str">
        <f t="shared" si="90"/>
        <v>АРТ-431</v>
      </c>
      <c r="M433" s="13" t="str">
        <f t="shared" si="91"/>
        <v xml:space="preserve">Наушники Marshall Motif Ii</v>
      </c>
      <c r="N433" s="13" t="str">
        <f>IFERROR(VLOOKUP(K433,Справочники!$A$6:$B$16,2,0),"НЕТ В СПРАВОЧНИКЕ")</f>
        <v>Наушники</v>
      </c>
      <c r="O433" s="13" t="str">
        <f t="shared" si="92"/>
        <v>Marshall</v>
      </c>
      <c r="P433" s="14">
        <f t="shared" si="93"/>
        <v>8500</v>
      </c>
      <c r="Q433" s="14">
        <f t="shared" si="94"/>
        <v>14000</v>
      </c>
      <c r="R433" s="13" t="str">
        <f t="shared" si="86"/>
        <v>шт</v>
      </c>
      <c r="S433" s="10" t="str">
        <f t="shared" si="95"/>
        <v>OK</v>
      </c>
      <c r="T433" s="10" t="str">
        <f t="shared" si="96"/>
        <v>уникален</v>
      </c>
    </row>
    <row r="434" ht="15" customHeight="1">
      <c r="A434" s="10">
        <v>432</v>
      </c>
      <c r="B434" s="11" t="str">
        <f>RAW_Товары!A433</f>
        <v>432-24</v>
      </c>
      <c r="C434" s="11" t="str">
        <f>RAW_Товары!B433</f>
        <v xml:space="preserve">Наушники Marshall Motif II (Black)</v>
      </c>
      <c r="D434" s="11" t="str">
        <f>RAW_Товары!C433</f>
        <v>Наушники</v>
      </c>
      <c r="E434" s="11" t="str">
        <f>RAW_Товары!D433</f>
        <v>MARSHALL</v>
      </c>
      <c r="F434" s="11" t="str">
        <f>RAW_Товары!E433</f>
        <v xml:space="preserve">9 500</v>
      </c>
      <c r="G434" s="11" t="str">
        <f>RAW_Товары!F433</f>
        <v xml:space="preserve">15 800</v>
      </c>
      <c r="H434" s="11" t="str">
        <f>RAW_Товары!G433</f>
        <v>шт</v>
      </c>
      <c r="I434" s="12" t="str">
        <f t="shared" si="87"/>
        <v>432-24</v>
      </c>
      <c r="J434" s="12" t="str">
        <f t="shared" si="88"/>
        <v xml:space="preserve">Наушники Marshall Motif II</v>
      </c>
      <c r="K434" s="12" t="str">
        <f t="shared" si="89"/>
        <v>Наушники</v>
      </c>
      <c r="L434" s="13" t="str">
        <f t="shared" si="90"/>
        <v>АРТ-432</v>
      </c>
      <c r="M434" s="13" t="str">
        <f t="shared" si="91"/>
        <v xml:space="preserve">Наушники Marshall Motif Ii</v>
      </c>
      <c r="N434" s="13" t="str">
        <f>IFERROR(VLOOKUP(K434,Справочники!$A$6:$B$16,2,0),"НЕТ В СПРАВОЧНИКЕ")</f>
        <v>Наушники</v>
      </c>
      <c r="O434" s="13" t="str">
        <f t="shared" si="92"/>
        <v>Marshall</v>
      </c>
      <c r="P434" s="14">
        <f t="shared" si="93"/>
        <v>9500</v>
      </c>
      <c r="Q434" s="14">
        <f t="shared" si="94"/>
        <v>15800</v>
      </c>
      <c r="R434" s="13" t="str">
        <f t="shared" si="86"/>
        <v>шт</v>
      </c>
      <c r="S434" s="10" t="str">
        <f t="shared" si="95"/>
        <v>OK</v>
      </c>
      <c r="T434" s="10" t="str">
        <f t="shared" si="96"/>
        <v>уникален</v>
      </c>
    </row>
    <row r="435" ht="15" customHeight="1">
      <c r="A435" s="10">
        <v>433</v>
      </c>
      <c r="B435" s="11" t="str">
        <f>RAW_Товары!A434</f>
        <v>№АРТ-433</v>
      </c>
      <c r="C435" s="11" t="str">
        <f>RAW_Товары!B434</f>
        <v xml:space="preserve">Монитор MSI PRO MP271</v>
      </c>
      <c r="D435" s="11" t="str">
        <f>RAW_Товары!C434</f>
        <v>Мониторы</v>
      </c>
      <c r="E435" s="11" t="str">
        <f>RAW_Товары!D434</f>
        <v>MSI</v>
      </c>
      <c r="F435" s="11" t="str">
        <f>RAW_Товары!E434</f>
        <v xml:space="preserve">28 000</v>
      </c>
      <c r="G435" s="11" t="str">
        <f>RAW_Товары!F434</f>
        <v xml:space="preserve">43 990</v>
      </c>
      <c r="H435" s="11" t="str">
        <f>RAW_Товары!G434</f>
        <v>шт.</v>
      </c>
      <c r="I435" s="12" t="str">
        <f t="shared" si="87"/>
        <v>433</v>
      </c>
      <c r="J435" s="12" t="str">
        <f t="shared" si="88"/>
        <v xml:space="preserve">Монитор MSI PRO MP271</v>
      </c>
      <c r="K435" s="12" t="str">
        <f t="shared" si="89"/>
        <v>Мониторы</v>
      </c>
      <c r="L435" s="13" t="str">
        <f t="shared" si="90"/>
        <v>АРТ-433</v>
      </c>
      <c r="M435" s="13" t="str">
        <f t="shared" si="91"/>
        <v xml:space="preserve">Монитор Msi Pro Mp271</v>
      </c>
      <c r="N435" s="13" t="str">
        <f>IFERROR(VLOOKUP(K435,Справочники!$A$6:$B$16,2,0),"НЕТ В СПРАВОЧНИКЕ")</f>
        <v>Мониторы</v>
      </c>
      <c r="O435" s="13" t="str">
        <f t="shared" si="92"/>
        <v>Msi</v>
      </c>
      <c r="P435" s="14">
        <f t="shared" si="93"/>
        <v>28000</v>
      </c>
      <c r="Q435" s="14">
        <f t="shared" si="94"/>
        <v>43990</v>
      </c>
      <c r="R435" s="13" t="str">
        <f t="shared" si="86"/>
        <v>шт</v>
      </c>
      <c r="S435" s="10" t="str">
        <f t="shared" si="95"/>
        <v>OK</v>
      </c>
      <c r="T435" s="10" t="str">
        <f t="shared" si="96"/>
        <v>уникален</v>
      </c>
    </row>
    <row r="436" ht="15" customHeight="1">
      <c r="A436" s="10">
        <v>434</v>
      </c>
      <c r="B436" s="11" t="str">
        <f>RAW_Товары!A435</f>
        <v>АРТ_434</v>
      </c>
      <c r="C436" s="11" t="str">
        <f>RAW_Товары!B435</f>
        <v xml:space="preserve">монитор MSI PRO MP271</v>
      </c>
      <c r="D436" s="11" t="str">
        <f>RAW_Товары!C435</f>
        <v>Мониторы</v>
      </c>
      <c r="E436" s="11" t="str">
        <f>RAW_Товары!D435</f>
        <v>msi</v>
      </c>
      <c r="F436" s="11" t="str">
        <f>RAW_Товары!E435</f>
        <v xml:space="preserve">26 500</v>
      </c>
      <c r="G436" s="11" t="str">
        <f>RAW_Товары!F435</f>
        <v xml:space="preserve">42 000</v>
      </c>
      <c r="H436" s="11" t="str">
        <f>RAW_Товары!G435</f>
        <v>штуки</v>
      </c>
      <c r="I436" s="12" t="str">
        <f t="shared" si="87"/>
        <v>434</v>
      </c>
      <c r="J436" s="12" t="str">
        <f t="shared" si="88"/>
        <v xml:space="preserve">монитор MSI PRO MP271</v>
      </c>
      <c r="K436" s="12" t="str">
        <f t="shared" si="89"/>
        <v>Мониторы</v>
      </c>
      <c r="L436" s="13" t="str">
        <f t="shared" si="90"/>
        <v>АРТ-434</v>
      </c>
      <c r="M436" s="13" t="str">
        <f t="shared" si="91"/>
        <v xml:space="preserve">Монитор Msi Pro Mp271</v>
      </c>
      <c r="N436" s="13" t="str">
        <f>IFERROR(VLOOKUP(K436,Справочники!$A$6:$B$16,2,0),"НЕТ В СПРАВОЧНИКЕ")</f>
        <v>Мониторы</v>
      </c>
      <c r="O436" s="13" t="str">
        <f t="shared" si="92"/>
        <v>Msi</v>
      </c>
      <c r="P436" s="14">
        <f t="shared" si="93"/>
        <v>26500</v>
      </c>
      <c r="Q436" s="14">
        <f t="shared" si="94"/>
        <v>42000</v>
      </c>
      <c r="R436" s="13" t="str">
        <f t="shared" si="86"/>
        <v>шт</v>
      </c>
      <c r="S436" s="10" t="str">
        <f t="shared" si="95"/>
        <v>OK</v>
      </c>
      <c r="T436" s="10" t="str">
        <f t="shared" si="96"/>
        <v>уникален</v>
      </c>
    </row>
    <row r="437" ht="15" customHeight="1">
      <c r="A437" s="10">
        <v>435</v>
      </c>
      <c r="B437" s="11" t="str">
        <f>RAW_Товары!A436</f>
        <v>435/24</v>
      </c>
      <c r="C437" s="11" t="str">
        <f>RAW_Товары!B436</f>
        <v xml:space="preserve">Монитор MSI PRO MP271 (Business)</v>
      </c>
      <c r="D437" s="11" t="str">
        <f>RAW_Товары!C436</f>
        <v>Мониторы</v>
      </c>
      <c r="E437" s="11" t="str">
        <f>RAW_Товары!D436</f>
        <v>MSI</v>
      </c>
      <c r="F437" s="11" t="str">
        <f>RAW_Товары!E436</f>
        <v xml:space="preserve">29 500</v>
      </c>
      <c r="G437" s="11" t="str">
        <f>RAW_Товары!F436</f>
        <v xml:space="preserve">45 500</v>
      </c>
      <c r="H437" s="11" t="str">
        <f>RAW_Товары!G436</f>
        <v>шт</v>
      </c>
      <c r="I437" s="12" t="str">
        <f t="shared" si="87"/>
        <v>435/24</v>
      </c>
      <c r="J437" s="12" t="str">
        <f t="shared" si="88"/>
        <v xml:space="preserve">Монитор MSI PRO MP271</v>
      </c>
      <c r="K437" s="12" t="str">
        <f t="shared" si="89"/>
        <v>Мониторы</v>
      </c>
      <c r="L437" s="13" t="str">
        <f t="shared" si="90"/>
        <v>АРТ-435</v>
      </c>
      <c r="M437" s="13" t="str">
        <f t="shared" si="91"/>
        <v xml:space="preserve">Монитор Msi Pro Mp271</v>
      </c>
      <c r="N437" s="13" t="str">
        <f>IFERROR(VLOOKUP(K437,Справочники!$A$6:$B$16,2,0),"НЕТ В СПРАВОЧНИКЕ")</f>
        <v>Мониторы</v>
      </c>
      <c r="O437" s="13" t="str">
        <f t="shared" si="92"/>
        <v>Msi</v>
      </c>
      <c r="P437" s="14">
        <f t="shared" si="93"/>
        <v>29500</v>
      </c>
      <c r="Q437" s="14">
        <f t="shared" si="94"/>
        <v>45500</v>
      </c>
      <c r="R437" s="13" t="str">
        <f t="shared" si="86"/>
        <v>шт</v>
      </c>
      <c r="S437" s="10" t="str">
        <f t="shared" si="95"/>
        <v>OK</v>
      </c>
      <c r="T437" s="10" t="str">
        <f t="shared" si="96"/>
        <v>уникален</v>
      </c>
    </row>
    <row r="438" ht="15" customHeight="1">
      <c r="A438" s="10">
        <v>436</v>
      </c>
      <c r="B438" s="11" t="str">
        <f>RAW_Товары!A437</f>
        <v>№АРТ-436</v>
      </c>
      <c r="C438" s="11" t="str">
        <f>RAW_Товары!B437</f>
        <v xml:space="preserve">Колонка Sony SRS-XB13</v>
      </c>
      <c r="D438" s="11" t="str">
        <f>RAW_Товары!C437</f>
        <v>Аксессуары</v>
      </c>
      <c r="E438" s="11" t="str">
        <f>RAW_Товары!D437</f>
        <v>Sony</v>
      </c>
      <c r="F438" s="11" t="str">
        <f>RAW_Товары!E437</f>
        <v xml:space="preserve">3 500</v>
      </c>
      <c r="G438" s="11" t="str">
        <f>RAW_Товары!F437</f>
        <v xml:space="preserve">5 990</v>
      </c>
      <c r="H438" s="11" t="str">
        <f>RAW_Товары!G437</f>
        <v>шт.</v>
      </c>
      <c r="I438" s="12" t="str">
        <f t="shared" si="87"/>
        <v>436</v>
      </c>
      <c r="J438" s="12" t="str">
        <f t="shared" si="88"/>
        <v xml:space="preserve">Колонка Sony SRS-XB13</v>
      </c>
      <c r="K438" s="12" t="str">
        <f t="shared" si="89"/>
        <v>Аксессуары</v>
      </c>
      <c r="L438" s="13" t="str">
        <f t="shared" si="90"/>
        <v>АРТ-436</v>
      </c>
      <c r="M438" s="13" t="str">
        <f t="shared" si="91"/>
        <v xml:space="preserve">Колонка Sony Srs-Xb13</v>
      </c>
      <c r="N438" s="13" t="str">
        <f>IFERROR(VLOOKUP(K438,Справочники!$A$6:$B$16,2,0),"НЕТ В СПРАВОЧНИКЕ")</f>
        <v>Аксессуары</v>
      </c>
      <c r="O438" s="13" t="str">
        <f t="shared" si="92"/>
        <v>Sony</v>
      </c>
      <c r="P438" s="14">
        <f t="shared" si="93"/>
        <v>3500</v>
      </c>
      <c r="Q438" s="14">
        <f t="shared" si="94"/>
        <v>5990</v>
      </c>
      <c r="R438" s="13" t="str">
        <f t="shared" si="86"/>
        <v>шт</v>
      </c>
      <c r="S438" s="10" t="str">
        <f t="shared" si="95"/>
        <v>OK</v>
      </c>
      <c r="T438" s="10" t="str">
        <f t="shared" si="96"/>
        <v>уникален</v>
      </c>
    </row>
    <row r="439" ht="15" customHeight="1">
      <c r="A439" s="10">
        <v>437</v>
      </c>
      <c r="B439" s="11" t="str">
        <f>RAW_Товары!A438</f>
        <v>АРТ_437</v>
      </c>
      <c r="C439" s="11" t="str">
        <f>RAW_Товары!B438</f>
        <v xml:space="preserve">колонка SONY SRS-XB13</v>
      </c>
      <c r="D439" s="11" t="str">
        <f>RAW_Товары!C438</f>
        <v>Аксессуары</v>
      </c>
      <c r="E439" s="11" t="str">
        <f>RAW_Товары!D438</f>
        <v>sony</v>
      </c>
      <c r="F439" s="11" t="str">
        <f>RAW_Товары!E438</f>
        <v xml:space="preserve">3 000</v>
      </c>
      <c r="G439" s="11" t="str">
        <f>RAW_Товары!F438</f>
        <v xml:space="preserve">5 500</v>
      </c>
      <c r="H439" s="11" t="str">
        <f>RAW_Товары!G438</f>
        <v>штука</v>
      </c>
      <c r="I439" s="12" t="str">
        <f t="shared" si="87"/>
        <v>437</v>
      </c>
      <c r="J439" s="12" t="str">
        <f t="shared" si="88"/>
        <v xml:space="preserve">колонка SONY SRS-XB13</v>
      </c>
      <c r="K439" s="12" t="str">
        <f t="shared" si="89"/>
        <v>Аксессуары</v>
      </c>
      <c r="L439" s="13" t="str">
        <f t="shared" si="90"/>
        <v>АРТ-437</v>
      </c>
      <c r="M439" s="13" t="str">
        <f t="shared" si="91"/>
        <v xml:space="preserve">Колонка Sony Srs-Xb13</v>
      </c>
      <c r="N439" s="13" t="str">
        <f>IFERROR(VLOOKUP(K439,Справочники!$A$6:$B$16,2,0),"НЕТ В СПРАВОЧНИКЕ")</f>
        <v>Аксессуары</v>
      </c>
      <c r="O439" s="13" t="str">
        <f t="shared" si="92"/>
        <v>Sony</v>
      </c>
      <c r="P439" s="14">
        <f t="shared" si="93"/>
        <v>3000</v>
      </c>
      <c r="Q439" s="14">
        <f t="shared" si="94"/>
        <v>5500</v>
      </c>
      <c r="R439" s="13" t="str">
        <f t="shared" si="86"/>
        <v>шт</v>
      </c>
      <c r="S439" s="10" t="str">
        <f t="shared" si="95"/>
        <v>OK</v>
      </c>
      <c r="T439" s="10" t="str">
        <f t="shared" si="96"/>
        <v>уникален</v>
      </c>
    </row>
    <row r="440" ht="15" customHeight="1">
      <c r="A440" s="10">
        <v>438</v>
      </c>
      <c r="B440" s="11" t="str">
        <f>RAW_Товары!A439</f>
        <v>438-24</v>
      </c>
      <c r="C440" s="11" t="str">
        <f>RAW_Товары!B439</f>
        <v xml:space="preserve">Колонка Sony SRS-XB13 (Blue)</v>
      </c>
      <c r="D440" s="11" t="str">
        <f>RAW_Товары!C439</f>
        <v>Аксессуары</v>
      </c>
      <c r="E440" s="11" t="str">
        <f>RAW_Товары!D439</f>
        <v>SONY</v>
      </c>
      <c r="F440" s="11" t="str">
        <f>RAW_Товары!E439</f>
        <v xml:space="preserve">4 000</v>
      </c>
      <c r="G440" s="11" t="str">
        <f>RAW_Товары!F439</f>
        <v xml:space="preserve">6 800</v>
      </c>
      <c r="H440" s="11" t="str">
        <f>RAW_Товары!G439</f>
        <v>шт</v>
      </c>
      <c r="I440" s="12" t="str">
        <f t="shared" si="87"/>
        <v>438-24</v>
      </c>
      <c r="J440" s="12" t="str">
        <f t="shared" si="88"/>
        <v xml:space="preserve">Колонка Sony SRS-XB13</v>
      </c>
      <c r="K440" s="12" t="str">
        <f t="shared" si="89"/>
        <v>Аксессуары</v>
      </c>
      <c r="L440" s="13" t="str">
        <f t="shared" si="90"/>
        <v>АРТ-438</v>
      </c>
      <c r="M440" s="13" t="str">
        <f t="shared" si="91"/>
        <v xml:space="preserve">Колонка Sony Srs-Xb13</v>
      </c>
      <c r="N440" s="13" t="str">
        <f>IFERROR(VLOOKUP(K440,Справочники!$A$6:$B$16,2,0),"НЕТ В СПРАВОЧНИКЕ")</f>
        <v>Аксессуары</v>
      </c>
      <c r="O440" s="13" t="str">
        <f t="shared" si="92"/>
        <v>Sony</v>
      </c>
      <c r="P440" s="14">
        <f t="shared" si="93"/>
        <v>4000</v>
      </c>
      <c r="Q440" s="14">
        <f t="shared" si="94"/>
        <v>6800</v>
      </c>
      <c r="R440" s="13" t="str">
        <f t="shared" si="86"/>
        <v>шт</v>
      </c>
      <c r="S440" s="10" t="str">
        <f t="shared" si="95"/>
        <v>OK</v>
      </c>
      <c r="T440" s="10" t="str">
        <f t="shared" si="96"/>
        <v>уникален</v>
      </c>
    </row>
    <row r="441" ht="15" customHeight="1">
      <c r="A441" s="10">
        <v>439</v>
      </c>
      <c r="B441" s="11" t="str">
        <f>RAW_Товары!A440</f>
        <v>№АРТ-439</v>
      </c>
      <c r="C441" s="11" t="str">
        <f>RAW_Товары!B440</f>
        <v xml:space="preserve">Планшет Honor Pad 8</v>
      </c>
      <c r="D441" s="11" t="str">
        <f>RAW_Товары!C440</f>
        <v>Планшеты</v>
      </c>
      <c r="E441" s="11" t="str">
        <f>RAW_Товары!D440</f>
        <v>Honor</v>
      </c>
      <c r="F441" s="11" t="str">
        <f>RAW_Товары!E440</f>
        <v xml:space="preserve">18 000</v>
      </c>
      <c r="G441" s="11" t="str">
        <f>RAW_Товары!F440</f>
        <v xml:space="preserve">29 990</v>
      </c>
      <c r="H441" s="11" t="str">
        <f>RAW_Товары!G440</f>
        <v>шт.</v>
      </c>
      <c r="I441" s="12" t="str">
        <f t="shared" si="87"/>
        <v>439</v>
      </c>
      <c r="J441" s="12" t="str">
        <f t="shared" si="88"/>
        <v xml:space="preserve">Планшет Honor Pad 8</v>
      </c>
      <c r="K441" s="12" t="str">
        <f t="shared" si="89"/>
        <v>Планшеты</v>
      </c>
      <c r="L441" s="13" t="str">
        <f t="shared" si="90"/>
        <v>АРТ-439</v>
      </c>
      <c r="M441" s="13" t="str">
        <f t="shared" si="91"/>
        <v xml:space="preserve">Планшет Honor Pad 8</v>
      </c>
      <c r="N441" s="13" t="str">
        <f>IFERROR(VLOOKUP(K441,Справочники!$A$6:$B$16,2,0),"НЕТ В СПРАВОЧНИКЕ")</f>
        <v>Планшеты</v>
      </c>
      <c r="O441" s="13" t="str">
        <f t="shared" si="92"/>
        <v>Honor</v>
      </c>
      <c r="P441" s="14">
        <f t="shared" si="93"/>
        <v>18000</v>
      </c>
      <c r="Q441" s="14">
        <f t="shared" si="94"/>
        <v>29990</v>
      </c>
      <c r="R441" s="13" t="str">
        <f t="shared" si="86"/>
        <v>шт</v>
      </c>
      <c r="S441" s="10" t="str">
        <f t="shared" si="95"/>
        <v>OK</v>
      </c>
      <c r="T441" s="10" t="str">
        <f t="shared" si="96"/>
        <v>уникален</v>
      </c>
    </row>
    <row r="442" ht="15" customHeight="1">
      <c r="A442" s="10">
        <v>440</v>
      </c>
      <c r="B442" s="11" t="str">
        <f>RAW_Товары!A441</f>
        <v>АРТ_440</v>
      </c>
      <c r="C442" s="11" t="str">
        <f>RAW_Товары!B441</f>
        <v xml:space="preserve">планшет HONOR PAD 8</v>
      </c>
      <c r="D442" s="11" t="str">
        <f>RAW_Товары!C441</f>
        <v>Планшеты</v>
      </c>
      <c r="E442" s="11" t="str">
        <f>RAW_Товары!D441</f>
        <v>honor</v>
      </c>
      <c r="F442" s="11" t="str">
        <f>RAW_Товары!E441</f>
        <v xml:space="preserve">17 000</v>
      </c>
      <c r="G442" s="11" t="str">
        <f>RAW_Товары!F441</f>
        <v xml:space="preserve">28 500</v>
      </c>
      <c r="H442" s="11" t="str">
        <f>RAW_Товары!G441</f>
        <v>штуки</v>
      </c>
      <c r="I442" s="12" t="str">
        <f t="shared" si="87"/>
        <v>440</v>
      </c>
      <c r="J442" s="12" t="str">
        <f t="shared" si="88"/>
        <v xml:space="preserve">планшет HONOR PAD 8</v>
      </c>
      <c r="K442" s="12" t="str">
        <f t="shared" si="89"/>
        <v>Планшеты</v>
      </c>
      <c r="L442" s="13" t="str">
        <f t="shared" si="90"/>
        <v>АРТ-440</v>
      </c>
      <c r="M442" s="13" t="str">
        <f t="shared" si="91"/>
        <v xml:space="preserve">Планшет Honor Pad 8</v>
      </c>
      <c r="N442" s="13" t="str">
        <f>IFERROR(VLOOKUP(K442,Справочники!$A$6:$B$16,2,0),"НЕТ В СПРАВОЧНИКЕ")</f>
        <v>Планшеты</v>
      </c>
      <c r="O442" s="13" t="str">
        <f t="shared" si="92"/>
        <v>Honor</v>
      </c>
      <c r="P442" s="14">
        <f t="shared" si="93"/>
        <v>17000</v>
      </c>
      <c r="Q442" s="14">
        <f t="shared" si="94"/>
        <v>28500</v>
      </c>
      <c r="R442" s="13" t="str">
        <f t="shared" si="86"/>
        <v>шт</v>
      </c>
      <c r="S442" s="10" t="str">
        <f t="shared" si="95"/>
        <v>OK</v>
      </c>
      <c r="T442" s="10" t="str">
        <f t="shared" si="96"/>
        <v>уникален</v>
      </c>
    </row>
    <row r="443" ht="15" customHeight="1">
      <c r="A443" s="10">
        <v>441</v>
      </c>
      <c r="B443" s="11" t="str">
        <f>RAW_Товары!A442</f>
        <v>441/24</v>
      </c>
      <c r="C443" s="11" t="str">
        <f>RAW_Товары!B442</f>
        <v xml:space="preserve">Планшет Honor Pad 8 (Wi-Fi)</v>
      </c>
      <c r="D443" s="11" t="str">
        <f>RAW_Товары!C442</f>
        <v>Планшеты</v>
      </c>
      <c r="E443" s="11" t="str">
        <f>RAW_Товары!D442</f>
        <v>HONOR</v>
      </c>
      <c r="F443" s="11" t="str">
        <f>RAW_Товары!E442</f>
        <v xml:space="preserve">19 000</v>
      </c>
      <c r="G443" s="11" t="str">
        <f>RAW_Товары!F442</f>
        <v xml:space="preserve">31 500</v>
      </c>
      <c r="H443" s="11" t="str">
        <f>RAW_Товары!G442</f>
        <v>шт</v>
      </c>
      <c r="I443" s="12" t="str">
        <f t="shared" si="87"/>
        <v>441/24</v>
      </c>
      <c r="J443" s="12" t="str">
        <f t="shared" si="88"/>
        <v xml:space="preserve">Планшет Honor Pad 8</v>
      </c>
      <c r="K443" s="12" t="str">
        <f t="shared" si="89"/>
        <v>Планшеты</v>
      </c>
      <c r="L443" s="13" t="str">
        <f t="shared" si="90"/>
        <v>АРТ-441</v>
      </c>
      <c r="M443" s="13" t="str">
        <f t="shared" si="91"/>
        <v xml:space="preserve">Планшет Honor Pad 8</v>
      </c>
      <c r="N443" s="13" t="str">
        <f>IFERROR(VLOOKUP(K443,Справочники!$A$6:$B$16,2,0),"НЕТ В СПРАВОЧНИКЕ")</f>
        <v>Планшеты</v>
      </c>
      <c r="O443" s="13" t="str">
        <f t="shared" si="92"/>
        <v>Honor</v>
      </c>
      <c r="P443" s="14">
        <f t="shared" si="93"/>
        <v>19000</v>
      </c>
      <c r="Q443" s="14">
        <f t="shared" si="94"/>
        <v>31500</v>
      </c>
      <c r="R443" s="13" t="str">
        <f t="shared" si="86"/>
        <v>шт</v>
      </c>
      <c r="S443" s="10" t="str">
        <f t="shared" si="95"/>
        <v>OK</v>
      </c>
      <c r="T443" s="10" t="str">
        <f t="shared" si="96"/>
        <v>уникален</v>
      </c>
    </row>
    <row r="444" ht="15" customHeight="1">
      <c r="A444" s="10">
        <v>442</v>
      </c>
      <c r="B444" s="11" t="str">
        <f>RAW_Товары!A443</f>
        <v>№АРТ-442</v>
      </c>
      <c r="C444" s="11" t="str">
        <f>RAW_Товары!B443</f>
        <v xml:space="preserve">Смартфон Vivo Y100</v>
      </c>
      <c r="D444" s="11" t="str">
        <f>RAW_Товары!C443</f>
        <v>Смартфоны</v>
      </c>
      <c r="E444" s="11" t="str">
        <f>RAW_Товары!D443</f>
        <v>Vivo</v>
      </c>
      <c r="F444" s="11" t="str">
        <f>RAW_Товары!E443</f>
        <v xml:space="preserve">15 000</v>
      </c>
      <c r="G444" s="11" t="str">
        <f>RAW_Товары!F443</f>
        <v xml:space="preserve">24 990</v>
      </c>
      <c r="H444" s="11" t="str">
        <f>RAW_Товары!G443</f>
        <v>шт.</v>
      </c>
      <c r="I444" s="12" t="str">
        <f t="shared" si="87"/>
        <v>442</v>
      </c>
      <c r="J444" s="12" t="str">
        <f t="shared" si="88"/>
        <v xml:space="preserve">Смартфон Vivo Y100</v>
      </c>
      <c r="K444" s="12" t="str">
        <f t="shared" si="89"/>
        <v>Смартфоны</v>
      </c>
      <c r="L444" s="13" t="str">
        <f t="shared" si="90"/>
        <v>АРТ-442</v>
      </c>
      <c r="M444" s="13" t="str">
        <f t="shared" si="91"/>
        <v xml:space="preserve">Смартфон Vivo Y100</v>
      </c>
      <c r="N444" s="13" t="str">
        <f>IFERROR(VLOOKUP(K444,Справочники!$A$6:$B$16,2,0),"НЕТ В СПРАВОЧНИКЕ")</f>
        <v>Смартфоны</v>
      </c>
      <c r="O444" s="13" t="str">
        <f t="shared" si="92"/>
        <v>Vivo</v>
      </c>
      <c r="P444" s="14">
        <f t="shared" si="93"/>
        <v>15000</v>
      </c>
      <c r="Q444" s="14">
        <f t="shared" si="94"/>
        <v>24990</v>
      </c>
      <c r="R444" s="13" t="str">
        <f t="shared" si="86"/>
        <v>шт</v>
      </c>
      <c r="S444" s="10" t="str">
        <f t="shared" si="95"/>
        <v>OK</v>
      </c>
      <c r="T444" s="10" t="str">
        <f t="shared" si="96"/>
        <v>уникален</v>
      </c>
    </row>
    <row r="445" ht="15" customHeight="1">
      <c r="A445" s="10">
        <v>443</v>
      </c>
      <c r="B445" s="11" t="str">
        <f>RAW_Товары!A444</f>
        <v>АРТ_443</v>
      </c>
      <c r="C445" s="11" t="str">
        <f>RAW_Товары!B444</f>
        <v xml:space="preserve">смартфон VIVO Y100</v>
      </c>
      <c r="D445" s="11" t="str">
        <f>RAW_Товары!C444</f>
        <v>Телефоны</v>
      </c>
      <c r="E445" s="11" t="str">
        <f>RAW_Товары!D444</f>
        <v>vivo</v>
      </c>
      <c r="F445" s="11" t="str">
        <f>RAW_Товары!E444</f>
        <v xml:space="preserve">14 000</v>
      </c>
      <c r="G445" s="11" t="str">
        <f>RAW_Товары!F444</f>
        <v xml:space="preserve">23 500</v>
      </c>
      <c r="H445" s="11" t="str">
        <f>RAW_Товары!G444</f>
        <v>штука</v>
      </c>
      <c r="I445" s="12" t="str">
        <f t="shared" si="87"/>
        <v>443</v>
      </c>
      <c r="J445" s="12" t="str">
        <f t="shared" si="88"/>
        <v xml:space="preserve">смартфон VIVO Y100</v>
      </c>
      <c r="K445" s="12" t="str">
        <f t="shared" si="89"/>
        <v>Телефоны</v>
      </c>
      <c r="L445" s="13" t="str">
        <f t="shared" si="90"/>
        <v>АРТ-443</v>
      </c>
      <c r="M445" s="13" t="str">
        <f t="shared" si="91"/>
        <v xml:space="preserve">Смартфон Vivo Y100</v>
      </c>
      <c r="N445" s="13" t="str">
        <f>IFERROR(VLOOKUP(K445,Справочники!$A$6:$B$16,2,0),"НЕТ В СПРАВОЧНИКЕ")</f>
        <v>Смартфоны</v>
      </c>
      <c r="O445" s="13" t="str">
        <f t="shared" si="92"/>
        <v>Vivo</v>
      </c>
      <c r="P445" s="14">
        <f t="shared" si="93"/>
        <v>14000</v>
      </c>
      <c r="Q445" s="14">
        <f t="shared" si="94"/>
        <v>23500</v>
      </c>
      <c r="R445" s="13" t="str">
        <f t="shared" si="86"/>
        <v>шт</v>
      </c>
      <c r="S445" s="10" t="str">
        <f t="shared" si="95"/>
        <v>OK</v>
      </c>
      <c r="T445" s="10" t="str">
        <f t="shared" si="96"/>
        <v>уникален</v>
      </c>
    </row>
    <row r="446" ht="15" customHeight="1">
      <c r="A446" s="10">
        <v>444</v>
      </c>
      <c r="B446" s="11" t="str">
        <f>RAW_Товары!A445</f>
        <v>444-24</v>
      </c>
      <c r="C446" s="11" t="str">
        <f>RAW_Товары!B445</f>
        <v xml:space="preserve">Смартфон Vivo Y100 (Black)</v>
      </c>
      <c r="D446" s="11" t="str">
        <f>RAW_Товары!C445</f>
        <v xml:space="preserve">Мобильные телефоны</v>
      </c>
      <c r="E446" s="11" t="str">
        <f>RAW_Товары!D445</f>
        <v>VIVO</v>
      </c>
      <c r="F446" s="11" t="str">
        <f>RAW_Товары!E445</f>
        <v xml:space="preserve">16 000</v>
      </c>
      <c r="G446" s="11" t="str">
        <f>RAW_Товары!F445</f>
        <v xml:space="preserve">26 500</v>
      </c>
      <c r="H446" s="11" t="str">
        <f>RAW_Товары!G445</f>
        <v>шт</v>
      </c>
      <c r="I446" s="12" t="str">
        <f t="shared" si="87"/>
        <v>444-24</v>
      </c>
      <c r="J446" s="12" t="str">
        <f t="shared" si="88"/>
        <v xml:space="preserve">Смартфон Vivo Y100</v>
      </c>
      <c r="K446" s="12" t="str">
        <f t="shared" si="89"/>
        <v xml:space="preserve">Мобильные телефоны</v>
      </c>
      <c r="L446" s="13" t="str">
        <f t="shared" si="90"/>
        <v>АРТ-444</v>
      </c>
      <c r="M446" s="13" t="str">
        <f t="shared" si="91"/>
        <v xml:space="preserve">Смартфон Vivo Y100</v>
      </c>
      <c r="N446" s="13" t="str">
        <f>IFERROR(VLOOKUP(K446,Справочники!$A$6:$B$16,2,0),"НЕТ В СПРАВОЧНИКЕ")</f>
        <v>Смартфоны</v>
      </c>
      <c r="O446" s="13" t="str">
        <f t="shared" si="92"/>
        <v>Vivo</v>
      </c>
      <c r="P446" s="14">
        <f t="shared" si="93"/>
        <v>16000</v>
      </c>
      <c r="Q446" s="14">
        <f t="shared" si="94"/>
        <v>26500</v>
      </c>
      <c r="R446" s="13" t="str">
        <f t="shared" si="86"/>
        <v>шт</v>
      </c>
      <c r="S446" s="10" t="str">
        <f t="shared" si="95"/>
        <v>OK</v>
      </c>
      <c r="T446" s="10" t="str">
        <f t="shared" si="96"/>
        <v>уникален</v>
      </c>
    </row>
    <row r="447" ht="15" customHeight="1">
      <c r="A447" s="10">
        <v>445</v>
      </c>
      <c r="B447" s="11" t="str">
        <f>RAW_Товары!A446</f>
        <v>№АРТ-445</v>
      </c>
      <c r="C447" s="11" t="str">
        <f>RAW_Товары!B446</f>
        <v xml:space="preserve">Ноутбук Framework Laptop 16</v>
      </c>
      <c r="D447" s="11" t="str">
        <f>RAW_Товары!C446</f>
        <v>Ноутбуки</v>
      </c>
      <c r="E447" s="11" t="str">
        <f>RAW_Товары!D446</f>
        <v>Framework</v>
      </c>
      <c r="F447" s="11" t="str">
        <f>RAW_Товары!E446</f>
        <v xml:space="preserve">92 000</v>
      </c>
      <c r="G447" s="11" t="str">
        <f>RAW_Товары!F446</f>
        <v xml:space="preserve">141 990</v>
      </c>
      <c r="H447" s="11" t="str">
        <f>RAW_Товары!G446</f>
        <v>шт.</v>
      </c>
      <c r="I447" s="12" t="str">
        <f t="shared" si="87"/>
        <v>445</v>
      </c>
      <c r="J447" s="12" t="str">
        <f t="shared" si="88"/>
        <v xml:space="preserve">Ноутбук Framework Laptop 16</v>
      </c>
      <c r="K447" s="12" t="str">
        <f t="shared" si="89"/>
        <v>Ноутбуки</v>
      </c>
      <c r="L447" s="13" t="str">
        <f t="shared" si="90"/>
        <v>АРТ-445</v>
      </c>
      <c r="M447" s="13" t="str">
        <f t="shared" si="91"/>
        <v xml:space="preserve">Ноутбук Framework Laptop 16</v>
      </c>
      <c r="N447" s="13" t="str">
        <f>IFERROR(VLOOKUP(K447,Справочники!$A$6:$B$16,2,0),"НЕТ В СПРАВОЧНИКЕ")</f>
        <v>Ноутбуки</v>
      </c>
      <c r="O447" s="13" t="str">
        <f t="shared" si="92"/>
        <v>Framework</v>
      </c>
      <c r="P447" s="14">
        <f t="shared" si="93"/>
        <v>92000</v>
      </c>
      <c r="Q447" s="14">
        <f t="shared" si="94"/>
        <v>141990</v>
      </c>
      <c r="R447" s="13" t="str">
        <f t="shared" si="86"/>
        <v>шт</v>
      </c>
      <c r="S447" s="10" t="str">
        <f t="shared" si="95"/>
        <v>OK</v>
      </c>
      <c r="T447" s="10" t="str">
        <f t="shared" si="96"/>
        <v>уникален</v>
      </c>
    </row>
    <row r="448" ht="15" customHeight="1">
      <c r="A448" s="10">
        <v>446</v>
      </c>
      <c r="B448" s="11" t="str">
        <f>RAW_Товары!A447</f>
        <v>АРТ_446</v>
      </c>
      <c r="C448" s="11" t="str">
        <f>RAW_Товары!B447</f>
        <v xml:space="preserve">ноутбук FRAMEWORK LAPTOP 16</v>
      </c>
      <c r="D448" s="11" t="str">
        <f>RAW_Товары!C447</f>
        <v>Лэптопы</v>
      </c>
      <c r="E448" s="11" t="str">
        <f>RAW_Товары!D447</f>
        <v>framework</v>
      </c>
      <c r="F448" s="11" t="str">
        <f>RAW_Товары!E447</f>
        <v xml:space="preserve">90 000</v>
      </c>
      <c r="G448" s="11" t="str">
        <f>RAW_Товары!F447</f>
        <v xml:space="preserve">139 000</v>
      </c>
      <c r="H448" s="11" t="str">
        <f>RAW_Товары!G447</f>
        <v>штуки</v>
      </c>
      <c r="I448" s="12" t="str">
        <f t="shared" si="87"/>
        <v>446</v>
      </c>
      <c r="J448" s="12" t="str">
        <f t="shared" si="88"/>
        <v xml:space="preserve">ноутбук FRAMEWORK LAPTOP 16</v>
      </c>
      <c r="K448" s="12" t="str">
        <f t="shared" si="89"/>
        <v>Лэптопы</v>
      </c>
      <c r="L448" s="13" t="str">
        <f t="shared" si="90"/>
        <v>АРТ-446</v>
      </c>
      <c r="M448" s="13" t="str">
        <f t="shared" si="91"/>
        <v xml:space="preserve">Ноутбук Framework Laptop 16</v>
      </c>
      <c r="N448" s="13" t="str">
        <f>IFERROR(VLOOKUP(K448,Справочники!$A$6:$B$16,2,0),"НЕТ В СПРАВОЧНИКЕ")</f>
        <v>Ноутбуки</v>
      </c>
      <c r="O448" s="13" t="str">
        <f t="shared" si="92"/>
        <v>Framework</v>
      </c>
      <c r="P448" s="14">
        <f t="shared" si="93"/>
        <v>90000</v>
      </c>
      <c r="Q448" s="14">
        <f t="shared" si="94"/>
        <v>139000</v>
      </c>
      <c r="R448" s="13" t="str">
        <f t="shared" si="86"/>
        <v>шт</v>
      </c>
      <c r="S448" s="10" t="str">
        <f t="shared" si="95"/>
        <v>OK</v>
      </c>
      <c r="T448" s="10" t="str">
        <f t="shared" si="96"/>
        <v>уникален</v>
      </c>
    </row>
    <row r="449" ht="15" customHeight="1">
      <c r="A449" s="10">
        <v>447</v>
      </c>
      <c r="B449" s="11" t="str">
        <f>RAW_Товары!A448</f>
        <v>447/24</v>
      </c>
      <c r="C449" s="11" t="str">
        <f>RAW_Товары!B448</f>
        <v xml:space="preserve">Ноутбук Framework Laptop 16 (Gaming)</v>
      </c>
      <c r="D449" s="11" t="str">
        <f>RAW_Товары!C448</f>
        <v>Ноутбуки</v>
      </c>
      <c r="E449" s="11" t="str">
        <f>RAW_Товары!D448</f>
        <v>FRAMEWORK</v>
      </c>
      <c r="F449" s="11" t="str">
        <f>RAW_Товары!E448</f>
        <v xml:space="preserve">93 500</v>
      </c>
      <c r="G449" s="11" t="str">
        <f>RAW_Товары!F448</f>
        <v xml:space="preserve">144 500</v>
      </c>
      <c r="H449" s="11" t="str">
        <f>RAW_Товары!G448</f>
        <v>шт</v>
      </c>
      <c r="I449" s="12" t="str">
        <f t="shared" si="87"/>
        <v>447/24</v>
      </c>
      <c r="J449" s="12" t="str">
        <f t="shared" si="88"/>
        <v xml:space="preserve">Ноутбук Framework Laptop 16</v>
      </c>
      <c r="K449" s="12" t="str">
        <f t="shared" si="89"/>
        <v>Ноутбуки</v>
      </c>
      <c r="L449" s="13" t="str">
        <f t="shared" si="90"/>
        <v>АРТ-447</v>
      </c>
      <c r="M449" s="13" t="str">
        <f t="shared" si="91"/>
        <v xml:space="preserve">Ноутбук Framework Laptop 16</v>
      </c>
      <c r="N449" s="13" t="str">
        <f>IFERROR(VLOOKUP(K449,Справочники!$A$6:$B$16,2,0),"НЕТ В СПРАВОЧНИКЕ")</f>
        <v>Ноутбуки</v>
      </c>
      <c r="O449" s="13" t="str">
        <f t="shared" si="92"/>
        <v>Framework</v>
      </c>
      <c r="P449" s="14">
        <f t="shared" si="93"/>
        <v>93500</v>
      </c>
      <c r="Q449" s="14">
        <f t="shared" si="94"/>
        <v>144500</v>
      </c>
      <c r="R449" s="13" t="str">
        <f t="shared" si="86"/>
        <v>шт</v>
      </c>
      <c r="S449" s="10" t="str">
        <f t="shared" si="95"/>
        <v>OK</v>
      </c>
      <c r="T449" s="10" t="str">
        <f t="shared" si="96"/>
        <v>уникален</v>
      </c>
    </row>
    <row r="450" ht="15" customHeight="1">
      <c r="A450" s="10">
        <v>448</v>
      </c>
      <c r="B450" s="11" t="str">
        <f>RAW_Товары!A449</f>
        <v>№АРТ-448</v>
      </c>
      <c r="C450" s="11" t="str">
        <f>RAW_Товары!B449</f>
        <v xml:space="preserve">Телевизор Philips 50PUS8507</v>
      </c>
      <c r="D450" s="11" t="str">
        <f>RAW_Товары!C449</f>
        <v>Телевизоры</v>
      </c>
      <c r="E450" s="11" t="str">
        <f>RAW_Товары!D449</f>
        <v>Philips</v>
      </c>
      <c r="F450" s="11" t="str">
        <f>RAW_Товары!E449</f>
        <v xml:space="preserve">48 000</v>
      </c>
      <c r="G450" s="11" t="str">
        <f>RAW_Товары!F449</f>
        <v xml:space="preserve">73 990</v>
      </c>
      <c r="H450" s="11" t="str">
        <f>RAW_Товары!G449</f>
        <v>шт.</v>
      </c>
      <c r="I450" s="12" t="str">
        <f t="shared" si="87"/>
        <v>448</v>
      </c>
      <c r="J450" s="12" t="str">
        <f t="shared" si="88"/>
        <v xml:space="preserve">Телевизор Philips 50PUS8507</v>
      </c>
      <c r="K450" s="12" t="str">
        <f t="shared" si="89"/>
        <v>Телевизоры</v>
      </c>
      <c r="L450" s="13" t="str">
        <f t="shared" si="90"/>
        <v>АРТ-448</v>
      </c>
      <c r="M450" s="13" t="str">
        <f t="shared" si="91"/>
        <v xml:space="preserve">Телевизор Philips 50Pus8507</v>
      </c>
      <c r="N450" s="13" t="str">
        <f>IFERROR(VLOOKUP(K450,Справочники!$A$6:$B$16,2,0),"НЕТ В СПРАВОЧНИКЕ")</f>
        <v>Телевизоры</v>
      </c>
      <c r="O450" s="13" t="str">
        <f t="shared" si="92"/>
        <v>Philips</v>
      </c>
      <c r="P450" s="14">
        <f t="shared" si="93"/>
        <v>48000</v>
      </c>
      <c r="Q450" s="14">
        <f t="shared" si="94"/>
        <v>73990</v>
      </c>
      <c r="R450" s="13" t="str">
        <f t="shared" si="86"/>
        <v>шт</v>
      </c>
      <c r="S450" s="10" t="str">
        <f t="shared" si="95"/>
        <v>OK</v>
      </c>
      <c r="T450" s="10" t="str">
        <f t="shared" si="96"/>
        <v>уникален</v>
      </c>
    </row>
    <row r="451" ht="15" customHeight="1">
      <c r="A451" s="10">
        <v>449</v>
      </c>
      <c r="B451" s="11" t="str">
        <f>RAW_Товары!A450</f>
        <v>АРТ_449</v>
      </c>
      <c r="C451" s="11" t="str">
        <f>RAW_Товары!B450</f>
        <v xml:space="preserve">телевизор PHILIPS 50PUS8507</v>
      </c>
      <c r="D451" s="11" t="str">
        <f>RAW_Товары!C450</f>
        <v>Телевизоры</v>
      </c>
      <c r="E451" s="11" t="str">
        <f>RAW_Товары!D450</f>
        <v>philips</v>
      </c>
      <c r="F451" s="11" t="str">
        <f>RAW_Товары!E450</f>
        <v xml:space="preserve">46 500</v>
      </c>
      <c r="G451" s="11" t="str">
        <f>RAW_Товары!F450</f>
        <v xml:space="preserve">71 500</v>
      </c>
      <c r="H451" s="11" t="str">
        <f>RAW_Товары!G450</f>
        <v>штука</v>
      </c>
      <c r="I451" s="12" t="str">
        <f t="shared" si="87"/>
        <v>449</v>
      </c>
      <c r="J451" s="12" t="str">
        <f t="shared" si="88"/>
        <v xml:space="preserve">телевизор PHILIPS 50PUS8507</v>
      </c>
      <c r="K451" s="12" t="str">
        <f t="shared" si="89"/>
        <v>Телевизоры</v>
      </c>
      <c r="L451" s="13" t="str">
        <f t="shared" si="90"/>
        <v>АРТ-449</v>
      </c>
      <c r="M451" s="13" t="str">
        <f t="shared" si="91"/>
        <v xml:space="preserve">Телевизор Philips 50Pus8507</v>
      </c>
      <c r="N451" s="13" t="str">
        <f>IFERROR(VLOOKUP(K451,Справочники!$A$6:$B$16,2,0),"НЕТ В СПРАВОЧНИКЕ")</f>
        <v>Телевизоры</v>
      </c>
      <c r="O451" s="13" t="str">
        <f t="shared" si="92"/>
        <v>Philips</v>
      </c>
      <c r="P451" s="14">
        <f t="shared" si="93"/>
        <v>46500</v>
      </c>
      <c r="Q451" s="14">
        <f t="shared" si="94"/>
        <v>71500</v>
      </c>
      <c r="R451" s="13" t="str">
        <f t="shared" ref="R451:R503" si="97">"шт"</f>
        <v>шт</v>
      </c>
      <c r="S451" s="10" t="str">
        <f t="shared" si="95"/>
        <v>OK</v>
      </c>
      <c r="T451" s="10" t="str">
        <f t="shared" si="96"/>
        <v>уникален</v>
      </c>
    </row>
    <row r="452" ht="15" customHeight="1">
      <c r="A452" s="10">
        <v>450</v>
      </c>
      <c r="B452" s="11" t="str">
        <f>RAW_Товары!A451</f>
        <v>450-24</v>
      </c>
      <c r="C452" s="11" t="str">
        <f>RAW_Товары!B451</f>
        <v xml:space="preserve">Телевизор Philips 50PUS8507 (The One)</v>
      </c>
      <c r="D452" s="11" t="str">
        <f>RAW_Товары!C451</f>
        <v>Телевизоры</v>
      </c>
      <c r="E452" s="11" t="str">
        <f>RAW_Товары!D451</f>
        <v>PHILIPS</v>
      </c>
      <c r="F452" s="11" t="str">
        <f>RAW_Товары!E451</f>
        <v xml:space="preserve">49 500</v>
      </c>
      <c r="G452" s="11" t="str">
        <f>RAW_Товары!F451</f>
        <v xml:space="preserve">76 500</v>
      </c>
      <c r="H452" s="11" t="str">
        <f>RAW_Товары!G451</f>
        <v>шт</v>
      </c>
      <c r="I452" s="12" t="str">
        <f t="shared" si="87"/>
        <v>450-24</v>
      </c>
      <c r="J452" s="12" t="str">
        <f t="shared" si="88"/>
        <v xml:space="preserve">Телевизор Philips 50PUS8507</v>
      </c>
      <c r="K452" s="12" t="str">
        <f t="shared" si="89"/>
        <v>Телевизоры</v>
      </c>
      <c r="L452" s="13" t="str">
        <f t="shared" si="90"/>
        <v>АРТ-450</v>
      </c>
      <c r="M452" s="13" t="str">
        <f t="shared" si="91"/>
        <v xml:space="preserve">Телевизор Philips 50Pus8507</v>
      </c>
      <c r="N452" s="13" t="str">
        <f>IFERROR(VLOOKUP(K452,Справочники!$A$6:$B$16,2,0),"НЕТ В СПРАВОЧНИКЕ")</f>
        <v>Телевизоры</v>
      </c>
      <c r="O452" s="13" t="str">
        <f t="shared" si="92"/>
        <v>Philips</v>
      </c>
      <c r="P452" s="14">
        <f t="shared" si="93"/>
        <v>49500</v>
      </c>
      <c r="Q452" s="14">
        <f t="shared" si="94"/>
        <v>76500</v>
      </c>
      <c r="R452" s="13" t="str">
        <f t="shared" si="97"/>
        <v>шт</v>
      </c>
      <c r="S452" s="10" t="str">
        <f t="shared" si="95"/>
        <v>OK</v>
      </c>
      <c r="T452" s="10" t="str">
        <f t="shared" si="96"/>
        <v>уникален</v>
      </c>
    </row>
    <row r="453" ht="15" customHeight="1">
      <c r="A453" s="10">
        <v>451</v>
      </c>
      <c r="B453" s="11" t="str">
        <f>RAW_Товары!A452</f>
        <v>№АРТ-451</v>
      </c>
      <c r="C453" s="11" t="str">
        <f>RAW_Товары!B452</f>
        <v xml:space="preserve">Наушники Apple AirPods Max</v>
      </c>
      <c r="D453" s="11" t="str">
        <f>RAW_Товары!C452</f>
        <v>Наушники</v>
      </c>
      <c r="E453" s="11" t="str">
        <f>RAW_Товары!D452</f>
        <v>Apple</v>
      </c>
      <c r="F453" s="11" t="str">
        <f>RAW_Товары!E452</f>
        <v xml:space="preserve">25 000</v>
      </c>
      <c r="G453" s="11" t="str">
        <f>RAW_Товары!F452</f>
        <v xml:space="preserve">39 990</v>
      </c>
      <c r="H453" s="11" t="str">
        <f>RAW_Товары!G452</f>
        <v>шт.</v>
      </c>
      <c r="I453" s="12" t="str">
        <f t="shared" si="87"/>
        <v>451</v>
      </c>
      <c r="J453" s="12" t="str">
        <f t="shared" si="88"/>
        <v xml:space="preserve">Наушники Apple AirPods Max</v>
      </c>
      <c r="K453" s="12" t="str">
        <f t="shared" si="89"/>
        <v>Наушники</v>
      </c>
      <c r="L453" s="13" t="str">
        <f t="shared" si="90"/>
        <v>АРТ-451</v>
      </c>
      <c r="M453" s="13" t="str">
        <f t="shared" si="91"/>
        <v xml:space="preserve">Наушники Apple Airpods Max</v>
      </c>
      <c r="N453" s="13" t="str">
        <f>IFERROR(VLOOKUP(K453,Справочники!$A$6:$B$16,2,0),"НЕТ В СПРАВОЧНИКЕ")</f>
        <v>Наушники</v>
      </c>
      <c r="O453" s="13" t="str">
        <f t="shared" si="92"/>
        <v>Apple</v>
      </c>
      <c r="P453" s="14">
        <f t="shared" si="93"/>
        <v>25000</v>
      </c>
      <c r="Q453" s="14">
        <f t="shared" si="94"/>
        <v>39990</v>
      </c>
      <c r="R453" s="13" t="str">
        <f t="shared" si="97"/>
        <v>шт</v>
      </c>
      <c r="S453" s="10" t="str">
        <f t="shared" si="95"/>
        <v>OK</v>
      </c>
      <c r="T453" s="10" t="str">
        <f t="shared" si="96"/>
        <v>уникален</v>
      </c>
    </row>
    <row r="454" ht="15" customHeight="1">
      <c r="A454" s="10">
        <v>452</v>
      </c>
      <c r="B454" s="11" t="str">
        <f>RAW_Товары!A453</f>
        <v>АРТ_452</v>
      </c>
      <c r="C454" s="11" t="str">
        <f>RAW_Товары!B453</f>
        <v xml:space="preserve">наушники APPLE AIRPODS MAX</v>
      </c>
      <c r="D454" s="11" t="str">
        <f>RAW_Товары!C453</f>
        <v>Наушники</v>
      </c>
      <c r="E454" s="11" t="str">
        <f>RAW_Товары!D453</f>
        <v>apple</v>
      </c>
      <c r="F454" s="11" t="str">
        <f>RAW_Товары!E453</f>
        <v xml:space="preserve">24 000</v>
      </c>
      <c r="G454" s="11" t="str">
        <f>RAW_Товары!F453</f>
        <v xml:space="preserve">38 500</v>
      </c>
      <c r="H454" s="11" t="str">
        <f>RAW_Товары!G453</f>
        <v>штуки</v>
      </c>
      <c r="I454" s="12" t="str">
        <f t="shared" si="87"/>
        <v>452</v>
      </c>
      <c r="J454" s="12" t="str">
        <f t="shared" si="88"/>
        <v xml:space="preserve">наушники APPLE AIRPODS MAX</v>
      </c>
      <c r="K454" s="12" t="str">
        <f t="shared" si="89"/>
        <v>Наушники</v>
      </c>
      <c r="L454" s="13" t="str">
        <f t="shared" si="90"/>
        <v>АРТ-452</v>
      </c>
      <c r="M454" s="13" t="str">
        <f t="shared" si="91"/>
        <v xml:space="preserve">Наушники Apple Airpods Max</v>
      </c>
      <c r="N454" s="13" t="str">
        <f>IFERROR(VLOOKUP(K454,Справочники!$A$6:$B$16,2,0),"НЕТ В СПРАВОЧНИКЕ")</f>
        <v>Наушники</v>
      </c>
      <c r="O454" s="13" t="str">
        <f t="shared" si="92"/>
        <v>Apple</v>
      </c>
      <c r="P454" s="14">
        <f t="shared" si="93"/>
        <v>24000</v>
      </c>
      <c r="Q454" s="14">
        <f t="shared" si="94"/>
        <v>38500</v>
      </c>
      <c r="R454" s="13" t="str">
        <f t="shared" si="97"/>
        <v>шт</v>
      </c>
      <c r="S454" s="10" t="str">
        <f t="shared" si="95"/>
        <v>OK</v>
      </c>
      <c r="T454" s="10" t="str">
        <f t="shared" si="96"/>
        <v>уникален</v>
      </c>
    </row>
    <row r="455" ht="15" customHeight="1">
      <c r="A455" s="10">
        <v>453</v>
      </c>
      <c r="B455" s="11" t="str">
        <f>RAW_Товары!A454</f>
        <v>453/24</v>
      </c>
      <c r="C455" s="11" t="str">
        <f>RAW_Товары!B454</f>
        <v xml:space="preserve">Наушники Apple AirPods Max (Silver)</v>
      </c>
      <c r="D455" s="11" t="str">
        <f>RAW_Товары!C454</f>
        <v>Наушники</v>
      </c>
      <c r="E455" s="11" t="str">
        <f>RAW_Товары!D454</f>
        <v>APPLE</v>
      </c>
      <c r="F455" s="11" t="str">
        <f>RAW_Товары!E454</f>
        <v xml:space="preserve">26 000</v>
      </c>
      <c r="G455" s="11" t="str">
        <f>RAW_Товары!F454</f>
        <v xml:space="preserve">41 500</v>
      </c>
      <c r="H455" s="11" t="str">
        <f>RAW_Товары!G454</f>
        <v>шт</v>
      </c>
      <c r="I455" s="12" t="str">
        <f t="shared" si="87"/>
        <v>453/24</v>
      </c>
      <c r="J455" s="12" t="str">
        <f t="shared" si="88"/>
        <v xml:space="preserve">Наушники Apple AirPods Max</v>
      </c>
      <c r="K455" s="12" t="str">
        <f t="shared" si="89"/>
        <v>Наушники</v>
      </c>
      <c r="L455" s="13" t="str">
        <f t="shared" si="90"/>
        <v>АРТ-453</v>
      </c>
      <c r="M455" s="13" t="str">
        <f t="shared" si="91"/>
        <v xml:space="preserve">Наушники Apple Airpods Max</v>
      </c>
      <c r="N455" s="13" t="str">
        <f>IFERROR(VLOOKUP(K455,Справочники!$A$6:$B$16,2,0),"НЕТ В СПРАВОЧНИКЕ")</f>
        <v>Наушники</v>
      </c>
      <c r="O455" s="13" t="str">
        <f t="shared" si="92"/>
        <v>Apple</v>
      </c>
      <c r="P455" s="14">
        <f t="shared" si="93"/>
        <v>26000</v>
      </c>
      <c r="Q455" s="14">
        <f t="shared" si="94"/>
        <v>41500</v>
      </c>
      <c r="R455" s="13" t="str">
        <f t="shared" si="97"/>
        <v>шт</v>
      </c>
      <c r="S455" s="10" t="str">
        <f t="shared" si="95"/>
        <v>OK</v>
      </c>
      <c r="T455" s="10" t="str">
        <f t="shared" si="96"/>
        <v>уникален</v>
      </c>
    </row>
    <row r="456" ht="15" customHeight="1">
      <c r="A456" s="10">
        <v>454</v>
      </c>
      <c r="B456" s="11" t="str">
        <f>RAW_Товары!A455</f>
        <v>№АРТ-454</v>
      </c>
      <c r="C456" s="11" t="str">
        <f>RAW_Товары!B455</f>
        <v xml:space="preserve">Монитор Samsung Odyssey G7</v>
      </c>
      <c r="D456" s="11" t="str">
        <f>RAW_Товары!C455</f>
        <v>Мониторы</v>
      </c>
      <c r="E456" s="11" t="str">
        <f>RAW_Товары!D455</f>
        <v>Samsung</v>
      </c>
      <c r="F456" s="11" t="str">
        <f>RAW_Товары!E455</f>
        <v xml:space="preserve">48 000</v>
      </c>
      <c r="G456" s="11" t="str">
        <f>RAW_Товары!F455</f>
        <v xml:space="preserve">74 990</v>
      </c>
      <c r="H456" s="11" t="str">
        <f>RAW_Товары!G455</f>
        <v>шт.</v>
      </c>
      <c r="I456" s="12" t="str">
        <f t="shared" si="87"/>
        <v>454</v>
      </c>
      <c r="J456" s="12" t="str">
        <f t="shared" si="88"/>
        <v xml:space="preserve">Монитор Samsung Odyssey G7</v>
      </c>
      <c r="K456" s="12" t="str">
        <f t="shared" si="89"/>
        <v>Мониторы</v>
      </c>
      <c r="L456" s="13" t="str">
        <f t="shared" si="90"/>
        <v>АРТ-454</v>
      </c>
      <c r="M456" s="13" t="str">
        <f t="shared" si="91"/>
        <v xml:space="preserve">Монитор Samsung Odyssey G7</v>
      </c>
      <c r="N456" s="13" t="str">
        <f>IFERROR(VLOOKUP(K456,Справочники!$A$6:$B$16,2,0),"НЕТ В СПРАВОЧНИКЕ")</f>
        <v>Мониторы</v>
      </c>
      <c r="O456" s="13" t="str">
        <f t="shared" si="92"/>
        <v>Samsung</v>
      </c>
      <c r="P456" s="14">
        <f t="shared" si="93"/>
        <v>48000</v>
      </c>
      <c r="Q456" s="14">
        <f t="shared" si="94"/>
        <v>74990</v>
      </c>
      <c r="R456" s="13" t="str">
        <f t="shared" si="97"/>
        <v>шт</v>
      </c>
      <c r="S456" s="10" t="str">
        <f t="shared" si="95"/>
        <v>OK</v>
      </c>
      <c r="T456" s="10" t="str">
        <f t="shared" si="96"/>
        <v>уникален</v>
      </c>
    </row>
    <row r="457" ht="15" customHeight="1">
      <c r="A457" s="10">
        <v>455</v>
      </c>
      <c r="B457" s="11" t="str">
        <f>RAW_Товары!A456</f>
        <v>АРТ_455</v>
      </c>
      <c r="C457" s="11" t="str">
        <f>RAW_Товары!B456</f>
        <v xml:space="preserve">монитор SAMSUNG ODYSSEY G7</v>
      </c>
      <c r="D457" s="11" t="str">
        <f>RAW_Товары!C456</f>
        <v>Мониторы</v>
      </c>
      <c r="E457" s="11" t="str">
        <f>RAW_Товары!D456</f>
        <v>samsung</v>
      </c>
      <c r="F457" s="11" t="str">
        <f>RAW_Товары!E456</f>
        <v xml:space="preserve">46 500</v>
      </c>
      <c r="G457" s="11" t="str">
        <f>RAW_Товары!F456</f>
        <v xml:space="preserve">72 000</v>
      </c>
      <c r="H457" s="11" t="str">
        <f>RAW_Товары!G456</f>
        <v>штука</v>
      </c>
      <c r="I457" s="12" t="str">
        <f t="shared" si="87"/>
        <v>455</v>
      </c>
      <c r="J457" s="12" t="str">
        <f t="shared" si="88"/>
        <v xml:space="preserve">монитор SAMSUNG ODYSSEY G7</v>
      </c>
      <c r="K457" s="12" t="str">
        <f t="shared" si="89"/>
        <v>Мониторы</v>
      </c>
      <c r="L457" s="13" t="str">
        <f t="shared" si="90"/>
        <v>АРТ-455</v>
      </c>
      <c r="M457" s="13" t="str">
        <f t="shared" si="91"/>
        <v xml:space="preserve">Монитор Samsung Odyssey G7</v>
      </c>
      <c r="N457" s="13" t="str">
        <f>IFERROR(VLOOKUP(K457,Справочники!$A$6:$B$16,2,0),"НЕТ В СПРАВОЧНИКЕ")</f>
        <v>Мониторы</v>
      </c>
      <c r="O457" s="13" t="str">
        <f t="shared" si="92"/>
        <v>Samsung</v>
      </c>
      <c r="P457" s="14">
        <f t="shared" si="93"/>
        <v>46500</v>
      </c>
      <c r="Q457" s="14">
        <f t="shared" si="94"/>
        <v>72000</v>
      </c>
      <c r="R457" s="13" t="str">
        <f t="shared" si="97"/>
        <v>шт</v>
      </c>
      <c r="S457" s="10" t="str">
        <f t="shared" si="95"/>
        <v>OK</v>
      </c>
      <c r="T457" s="10" t="str">
        <f t="shared" si="96"/>
        <v>уникален</v>
      </c>
    </row>
    <row r="458" ht="15" customHeight="1">
      <c r="A458" s="10">
        <v>456</v>
      </c>
      <c r="B458" s="11" t="str">
        <f>RAW_Товары!A457</f>
        <v>456-24</v>
      </c>
      <c r="C458" s="11" t="str">
        <f>RAW_Товары!B457</f>
        <v xml:space="preserve">Монитор Samsung Odyssey G7 (Curved)</v>
      </c>
      <c r="D458" s="11" t="str">
        <f>RAW_Товары!C457</f>
        <v>Мониторы</v>
      </c>
      <c r="E458" s="11" t="str">
        <f>RAW_Товары!D457</f>
        <v>SAMSUNG</v>
      </c>
      <c r="F458" s="11" t="str">
        <f>RAW_Товары!E457</f>
        <v xml:space="preserve">49 500</v>
      </c>
      <c r="G458" s="11" t="str">
        <f>RAW_Товары!F457</f>
        <v xml:space="preserve">77 500</v>
      </c>
      <c r="H458" s="11" t="str">
        <f>RAW_Товары!G457</f>
        <v>шт</v>
      </c>
      <c r="I458" s="12" t="str">
        <f t="shared" si="87"/>
        <v>456-24</v>
      </c>
      <c r="J458" s="12" t="str">
        <f t="shared" si="88"/>
        <v xml:space="preserve">Монитор Samsung Odyssey G7</v>
      </c>
      <c r="K458" s="12" t="str">
        <f t="shared" si="89"/>
        <v>Мониторы</v>
      </c>
      <c r="L458" s="13" t="str">
        <f t="shared" si="90"/>
        <v>АРТ-456</v>
      </c>
      <c r="M458" s="13" t="str">
        <f t="shared" si="91"/>
        <v xml:space="preserve">Монитор Samsung Odyssey G7</v>
      </c>
      <c r="N458" s="13" t="str">
        <f>IFERROR(VLOOKUP(K458,Справочники!$A$6:$B$16,2,0),"НЕТ В СПРАВОЧНИКЕ")</f>
        <v>Мониторы</v>
      </c>
      <c r="O458" s="13" t="str">
        <f t="shared" si="92"/>
        <v>Samsung</v>
      </c>
      <c r="P458" s="14">
        <f t="shared" si="93"/>
        <v>49500</v>
      </c>
      <c r="Q458" s="14">
        <f t="shared" si="94"/>
        <v>77500</v>
      </c>
      <c r="R458" s="13" t="str">
        <f t="shared" si="97"/>
        <v>шт</v>
      </c>
      <c r="S458" s="10" t="str">
        <f t="shared" si="95"/>
        <v>OK</v>
      </c>
      <c r="T458" s="10" t="str">
        <f t="shared" si="96"/>
        <v>уникален</v>
      </c>
    </row>
    <row r="459" ht="15" customHeight="1">
      <c r="A459" s="10">
        <v>457</v>
      </c>
      <c r="B459" s="11" t="str">
        <f>RAW_Товары!A458</f>
        <v>№АРТ-457</v>
      </c>
      <c r="C459" s="11" t="str">
        <f>RAW_Товары!B458</f>
        <v xml:space="preserve">Клавиатура Ducky One 2 Mini</v>
      </c>
      <c r="D459" s="11" t="str">
        <f>RAW_Товары!C458</f>
        <v>Аксессуары</v>
      </c>
      <c r="E459" s="11" t="str">
        <f>RAW_Товары!D458</f>
        <v>Ducky</v>
      </c>
      <c r="F459" s="11" t="str">
        <f>RAW_Товары!E458</f>
        <v xml:space="preserve">4 000</v>
      </c>
      <c r="G459" s="11" t="str">
        <f>RAW_Товары!F458</f>
        <v xml:space="preserve">6 990</v>
      </c>
      <c r="H459" s="11" t="str">
        <f>RAW_Товары!G458</f>
        <v>шт.</v>
      </c>
      <c r="I459" s="12" t="str">
        <f t="shared" si="87"/>
        <v>457</v>
      </c>
      <c r="J459" s="12" t="str">
        <f t="shared" si="88"/>
        <v xml:space="preserve">Клавиатура Ducky One 2 Mini</v>
      </c>
      <c r="K459" s="12" t="str">
        <f t="shared" si="89"/>
        <v>Аксессуары</v>
      </c>
      <c r="L459" s="13" t="str">
        <f t="shared" si="90"/>
        <v>АРТ-457</v>
      </c>
      <c r="M459" s="13" t="str">
        <f t="shared" si="91"/>
        <v xml:space="preserve">Клавиатура Ducky One 2 Mini</v>
      </c>
      <c r="N459" s="13" t="str">
        <f>IFERROR(VLOOKUP(K459,Справочники!$A$6:$B$16,2,0),"НЕТ В СПРАВОЧНИКЕ")</f>
        <v>Аксессуары</v>
      </c>
      <c r="O459" s="13" t="str">
        <f t="shared" si="92"/>
        <v>Ducky</v>
      </c>
      <c r="P459" s="14">
        <f t="shared" si="93"/>
        <v>4000</v>
      </c>
      <c r="Q459" s="14">
        <f t="shared" si="94"/>
        <v>6990</v>
      </c>
      <c r="R459" s="13" t="str">
        <f t="shared" si="97"/>
        <v>шт</v>
      </c>
      <c r="S459" s="10" t="str">
        <f t="shared" si="95"/>
        <v>OK</v>
      </c>
      <c r="T459" s="10" t="str">
        <f t="shared" si="96"/>
        <v>уникален</v>
      </c>
    </row>
    <row r="460" ht="15" customHeight="1">
      <c r="A460" s="10">
        <v>458</v>
      </c>
      <c r="B460" s="11" t="str">
        <f>RAW_Товары!A459</f>
        <v>АРТ_458</v>
      </c>
      <c r="C460" s="11" t="str">
        <f>RAW_Товары!B459</f>
        <v xml:space="preserve">клавиатура DUCKY ONE 2 MINI</v>
      </c>
      <c r="D460" s="11" t="str">
        <f>RAW_Товары!C459</f>
        <v>Аксессуары</v>
      </c>
      <c r="E460" s="11" t="str">
        <f>RAW_Товары!D459</f>
        <v>ducky</v>
      </c>
      <c r="F460" s="11" t="str">
        <f>RAW_Товары!E459</f>
        <v xml:space="preserve">3 500</v>
      </c>
      <c r="G460" s="11" t="str">
        <f>RAW_Товары!F459</f>
        <v xml:space="preserve">6 500</v>
      </c>
      <c r="H460" s="11" t="str">
        <f>RAW_Товары!G459</f>
        <v>штуки</v>
      </c>
      <c r="I460" s="12" t="str">
        <f t="shared" si="87"/>
        <v>458</v>
      </c>
      <c r="J460" s="12" t="str">
        <f t="shared" si="88"/>
        <v xml:space="preserve">клавиатура DUCKY ONE 2 MINI</v>
      </c>
      <c r="K460" s="12" t="str">
        <f t="shared" si="89"/>
        <v>Аксессуары</v>
      </c>
      <c r="L460" s="13" t="str">
        <f t="shared" si="90"/>
        <v>АРТ-458</v>
      </c>
      <c r="M460" s="13" t="str">
        <f t="shared" si="91"/>
        <v xml:space="preserve">Клавиатура Ducky One 2 Mini</v>
      </c>
      <c r="N460" s="13" t="str">
        <f>IFERROR(VLOOKUP(K460,Справочники!$A$6:$B$16,2,0),"НЕТ В СПРАВОЧНИКЕ")</f>
        <v>Аксессуары</v>
      </c>
      <c r="O460" s="13" t="str">
        <f t="shared" si="92"/>
        <v>Ducky</v>
      </c>
      <c r="P460" s="14">
        <f t="shared" si="93"/>
        <v>3500</v>
      </c>
      <c r="Q460" s="14">
        <f t="shared" si="94"/>
        <v>6500</v>
      </c>
      <c r="R460" s="13" t="str">
        <f t="shared" si="97"/>
        <v>шт</v>
      </c>
      <c r="S460" s="10" t="str">
        <f t="shared" si="95"/>
        <v>OK</v>
      </c>
      <c r="T460" s="10" t="str">
        <f t="shared" si="96"/>
        <v>уникален</v>
      </c>
    </row>
    <row r="461" ht="15" customHeight="1">
      <c r="A461" s="10">
        <v>459</v>
      </c>
      <c r="B461" s="11" t="str">
        <f>RAW_Товары!A460</f>
        <v>459/24</v>
      </c>
      <c r="C461" s="11" t="str">
        <f>RAW_Товары!B460</f>
        <v xml:space="preserve">Клавиатура Ducky One 2 Mini (RGB)</v>
      </c>
      <c r="D461" s="11" t="str">
        <f>RAW_Товары!C460</f>
        <v>Аксессуары</v>
      </c>
      <c r="E461" s="11" t="str">
        <f>RAW_Товары!D460</f>
        <v>DUCKY</v>
      </c>
      <c r="F461" s="11" t="str">
        <f>RAW_Товары!E460</f>
        <v xml:space="preserve">4 500</v>
      </c>
      <c r="G461" s="11" t="str">
        <f>RAW_Товары!F460</f>
        <v xml:space="preserve">7 800</v>
      </c>
      <c r="H461" s="11" t="str">
        <f>RAW_Товары!G460</f>
        <v>шт</v>
      </c>
      <c r="I461" s="12" t="str">
        <f t="shared" si="87"/>
        <v>459/24</v>
      </c>
      <c r="J461" s="12" t="str">
        <f t="shared" si="88"/>
        <v xml:space="preserve">Клавиатура Ducky One 2 Mini</v>
      </c>
      <c r="K461" s="12" t="str">
        <f t="shared" si="89"/>
        <v>Аксессуары</v>
      </c>
      <c r="L461" s="13" t="str">
        <f t="shared" si="90"/>
        <v>АРТ-459</v>
      </c>
      <c r="M461" s="13" t="str">
        <f t="shared" si="91"/>
        <v xml:space="preserve">Клавиатура Ducky One 2 Mini</v>
      </c>
      <c r="N461" s="13" t="str">
        <f>IFERROR(VLOOKUP(K461,Справочники!$A$6:$B$16,2,0),"НЕТ В СПРАВОЧНИКЕ")</f>
        <v>Аксессуары</v>
      </c>
      <c r="O461" s="13" t="str">
        <f t="shared" si="92"/>
        <v>Ducky</v>
      </c>
      <c r="P461" s="14">
        <f t="shared" si="93"/>
        <v>4500</v>
      </c>
      <c r="Q461" s="14">
        <f t="shared" si="94"/>
        <v>7800</v>
      </c>
      <c r="R461" s="13" t="str">
        <f t="shared" si="97"/>
        <v>шт</v>
      </c>
      <c r="S461" s="10" t="str">
        <f t="shared" si="95"/>
        <v>OK</v>
      </c>
      <c r="T461" s="10" t="str">
        <f t="shared" si="96"/>
        <v>уникален</v>
      </c>
    </row>
    <row r="462" ht="15" customHeight="1">
      <c r="A462" s="10">
        <v>460</v>
      </c>
      <c r="B462" s="11" t="str">
        <f>RAW_Товары!A461</f>
        <v>№АРТ-460</v>
      </c>
      <c r="C462" s="11" t="str">
        <f>RAW_Товары!B461</f>
        <v xml:space="preserve">Смарт-часы Garmin Instinct 2</v>
      </c>
      <c r="D462" s="11" t="str">
        <f>RAW_Товары!C461</f>
        <v>Часы</v>
      </c>
      <c r="E462" s="11" t="str">
        <f>RAW_Товары!D461</f>
        <v>Garmin</v>
      </c>
      <c r="F462" s="11" t="str">
        <f>RAW_Товары!E461</f>
        <v xml:space="preserve">30 000</v>
      </c>
      <c r="G462" s="11" t="str">
        <f>RAW_Товары!F461</f>
        <v xml:space="preserve">47 990</v>
      </c>
      <c r="H462" s="11" t="str">
        <f>RAW_Товары!G461</f>
        <v>шт.</v>
      </c>
      <c r="I462" s="12" t="str">
        <f t="shared" si="87"/>
        <v>460</v>
      </c>
      <c r="J462" s="12" t="str">
        <f t="shared" si="88"/>
        <v xml:space="preserve">Смарт-часы Garmin Instinct 2</v>
      </c>
      <c r="K462" s="12" t="str">
        <f t="shared" si="89"/>
        <v>Часы</v>
      </c>
      <c r="L462" s="13" t="str">
        <f t="shared" si="90"/>
        <v>АРТ-460</v>
      </c>
      <c r="M462" s="13" t="str">
        <f t="shared" si="91"/>
        <v xml:space="preserve">Смарт-Часы Garmin Instinct 2</v>
      </c>
      <c r="N462" s="13" t="str">
        <f>IFERROR(VLOOKUP(K462,Справочники!$A$6:$B$16,2,0),"НЕТ В СПРАВОЧНИКЕ")</f>
        <v>Часы</v>
      </c>
      <c r="O462" s="13" t="str">
        <f t="shared" si="92"/>
        <v>Garmin</v>
      </c>
      <c r="P462" s="14">
        <f t="shared" si="93"/>
        <v>30000</v>
      </c>
      <c r="Q462" s="14">
        <f t="shared" si="94"/>
        <v>47990</v>
      </c>
      <c r="R462" s="13" t="str">
        <f t="shared" si="97"/>
        <v>шт</v>
      </c>
      <c r="S462" s="10" t="str">
        <f t="shared" si="95"/>
        <v>OK</v>
      </c>
      <c r="T462" s="10" t="str">
        <f t="shared" si="96"/>
        <v>уникален</v>
      </c>
    </row>
    <row r="463" ht="15" customHeight="1">
      <c r="A463" s="10">
        <v>461</v>
      </c>
      <c r="B463" s="11" t="str">
        <f>RAW_Товары!A462</f>
        <v>АРТ_461</v>
      </c>
      <c r="C463" s="11" t="str">
        <f>RAW_Товары!B462</f>
        <v xml:space="preserve">смарт-часы GARMIN INSTINCT 2</v>
      </c>
      <c r="D463" s="11" t="str">
        <f>RAW_Товары!C462</f>
        <v>Часы</v>
      </c>
      <c r="E463" s="11" t="str">
        <f>RAW_Товары!D462</f>
        <v>garmin</v>
      </c>
      <c r="F463" s="11" t="str">
        <f>RAW_Товары!E462</f>
        <v xml:space="preserve">28 500</v>
      </c>
      <c r="G463" s="11" t="str">
        <f>RAW_Товары!F462</f>
        <v xml:space="preserve">46 000</v>
      </c>
      <c r="H463" s="11" t="str">
        <f>RAW_Товары!G462</f>
        <v>штука</v>
      </c>
      <c r="I463" s="12" t="str">
        <f t="shared" si="87"/>
        <v>461</v>
      </c>
      <c r="J463" s="12" t="str">
        <f t="shared" si="88"/>
        <v xml:space="preserve">смарт-часы GARMIN INSTINCT 2</v>
      </c>
      <c r="K463" s="12" t="str">
        <f t="shared" si="89"/>
        <v>Часы</v>
      </c>
      <c r="L463" s="13" t="str">
        <f t="shared" si="90"/>
        <v>АРТ-461</v>
      </c>
      <c r="M463" s="13" t="str">
        <f t="shared" si="91"/>
        <v xml:space="preserve">Смарт-Часы Garmin Instinct 2</v>
      </c>
      <c r="N463" s="13" t="str">
        <f>IFERROR(VLOOKUP(K463,Справочники!$A$6:$B$16,2,0),"НЕТ В СПРАВОЧНИКЕ")</f>
        <v>Часы</v>
      </c>
      <c r="O463" s="13" t="str">
        <f t="shared" si="92"/>
        <v>Garmin</v>
      </c>
      <c r="P463" s="14">
        <f t="shared" si="93"/>
        <v>28500</v>
      </c>
      <c r="Q463" s="14">
        <f t="shared" si="94"/>
        <v>46000</v>
      </c>
      <c r="R463" s="13" t="str">
        <f t="shared" si="97"/>
        <v>шт</v>
      </c>
      <c r="S463" s="10" t="str">
        <f t="shared" si="95"/>
        <v>OK</v>
      </c>
      <c r="T463" s="10" t="str">
        <f t="shared" si="96"/>
        <v>уникален</v>
      </c>
    </row>
    <row r="464" ht="15" customHeight="1">
      <c r="A464" s="10">
        <v>462</v>
      </c>
      <c r="B464" s="11" t="str">
        <f>RAW_Товары!A463</f>
        <v>462-24</v>
      </c>
      <c r="C464" s="11" t="str">
        <f>RAW_Товары!B463</f>
        <v xml:space="preserve">Смарт-часы Garmin Instinct 2 (Solar)</v>
      </c>
      <c r="D464" s="11" t="str">
        <f>RAW_Товары!C463</f>
        <v>Часы</v>
      </c>
      <c r="E464" s="11" t="str">
        <f>RAW_Товары!D463</f>
        <v>GARMIN</v>
      </c>
      <c r="F464" s="11" t="str">
        <f>RAW_Товары!E463</f>
        <v xml:space="preserve">31 500</v>
      </c>
      <c r="G464" s="11" t="str">
        <f>RAW_Товары!F463</f>
        <v xml:space="preserve">49 500</v>
      </c>
      <c r="H464" s="11" t="str">
        <f>RAW_Товары!G463</f>
        <v>шт</v>
      </c>
      <c r="I464" s="12" t="str">
        <f t="shared" si="87"/>
        <v>462-24</v>
      </c>
      <c r="J464" s="12" t="str">
        <f t="shared" si="88"/>
        <v xml:space="preserve">Смарт-часы Garmin Instinct 2</v>
      </c>
      <c r="K464" s="12" t="str">
        <f t="shared" si="89"/>
        <v>Часы</v>
      </c>
      <c r="L464" s="13" t="str">
        <f t="shared" si="90"/>
        <v>АРТ-462</v>
      </c>
      <c r="M464" s="13" t="str">
        <f t="shared" si="91"/>
        <v xml:space="preserve">Смарт-Часы Garmin Instinct 2</v>
      </c>
      <c r="N464" s="13" t="str">
        <f>IFERROR(VLOOKUP(K464,Справочники!$A$6:$B$16,2,0),"НЕТ В СПРАВОЧНИКЕ")</f>
        <v>Часы</v>
      </c>
      <c r="O464" s="13" t="str">
        <f t="shared" si="92"/>
        <v>Garmin</v>
      </c>
      <c r="P464" s="14">
        <f t="shared" si="93"/>
        <v>31500</v>
      </c>
      <c r="Q464" s="14">
        <f t="shared" si="94"/>
        <v>49500</v>
      </c>
      <c r="R464" s="13" t="str">
        <f t="shared" si="97"/>
        <v>шт</v>
      </c>
      <c r="S464" s="10" t="str">
        <f t="shared" si="95"/>
        <v>OK</v>
      </c>
      <c r="T464" s="10" t="str">
        <f t="shared" si="96"/>
        <v>уникален</v>
      </c>
    </row>
    <row r="465" ht="15" customHeight="1">
      <c r="A465" s="10">
        <v>463</v>
      </c>
      <c r="B465" s="11" t="str">
        <f>RAW_Товары!A464</f>
        <v>№АРТ-463</v>
      </c>
      <c r="C465" s="11" t="str">
        <f>RAW_Товары!B464</f>
        <v xml:space="preserve">Планшет Amazon Fire Max 11</v>
      </c>
      <c r="D465" s="11" t="str">
        <f>RAW_Товары!C464</f>
        <v>Планшеты</v>
      </c>
      <c r="E465" s="11" t="str">
        <f>RAW_Товары!D464</f>
        <v>Amazon</v>
      </c>
      <c r="F465" s="11" t="str">
        <f>RAW_Товары!E464</f>
        <v xml:space="preserve">18 000</v>
      </c>
      <c r="G465" s="11" t="str">
        <f>RAW_Товары!F464</f>
        <v xml:space="preserve">29 990</v>
      </c>
      <c r="H465" s="11" t="str">
        <f>RAW_Товары!G464</f>
        <v>шт.</v>
      </c>
      <c r="I465" s="12" t="str">
        <f t="shared" si="87"/>
        <v>463</v>
      </c>
      <c r="J465" s="12" t="str">
        <f t="shared" si="88"/>
        <v xml:space="preserve">Планшет Amazon Fire Max 11</v>
      </c>
      <c r="K465" s="12" t="str">
        <f t="shared" si="89"/>
        <v>Планшеты</v>
      </c>
      <c r="L465" s="13" t="str">
        <f t="shared" si="90"/>
        <v>АРТ-463</v>
      </c>
      <c r="M465" s="13" t="str">
        <f t="shared" si="91"/>
        <v xml:space="preserve">Планшет Amazon Fire Max 11</v>
      </c>
      <c r="N465" s="13" t="str">
        <f>IFERROR(VLOOKUP(K465,Справочники!$A$6:$B$16,2,0),"НЕТ В СПРАВОЧНИКЕ")</f>
        <v>Планшеты</v>
      </c>
      <c r="O465" s="13" t="str">
        <f t="shared" si="92"/>
        <v>Amazon</v>
      </c>
      <c r="P465" s="14">
        <f t="shared" si="93"/>
        <v>18000</v>
      </c>
      <c r="Q465" s="14">
        <f t="shared" si="94"/>
        <v>29990</v>
      </c>
      <c r="R465" s="13" t="str">
        <f t="shared" si="97"/>
        <v>шт</v>
      </c>
      <c r="S465" s="10" t="str">
        <f t="shared" si="95"/>
        <v>OK</v>
      </c>
      <c r="T465" s="10" t="str">
        <f t="shared" si="96"/>
        <v>уникален</v>
      </c>
    </row>
    <row r="466" ht="15" customHeight="1">
      <c r="A466" s="10">
        <v>464</v>
      </c>
      <c r="B466" s="11" t="str">
        <f>RAW_Товары!A465</f>
        <v>АРТ_464</v>
      </c>
      <c r="C466" s="11" t="str">
        <f>RAW_Товары!B465</f>
        <v xml:space="preserve">планшет AMAZON FIRE MAX 11</v>
      </c>
      <c r="D466" s="11" t="str">
        <f>RAW_Товары!C465</f>
        <v>Планшеты</v>
      </c>
      <c r="E466" s="11" t="str">
        <f>RAW_Товары!D465</f>
        <v>amazon</v>
      </c>
      <c r="F466" s="11" t="str">
        <f>RAW_Товары!E465</f>
        <v xml:space="preserve">17 000</v>
      </c>
      <c r="G466" s="11" t="str">
        <f>RAW_Товары!F465</f>
        <v xml:space="preserve">28 500</v>
      </c>
      <c r="H466" s="11" t="str">
        <f>RAW_Товары!G465</f>
        <v>штуки</v>
      </c>
      <c r="I466" s="12" t="str">
        <f t="shared" si="87"/>
        <v>464</v>
      </c>
      <c r="J466" s="12" t="str">
        <f t="shared" si="88"/>
        <v xml:space="preserve">планшет AMAZON FIRE MAX 11</v>
      </c>
      <c r="K466" s="12" t="str">
        <f t="shared" si="89"/>
        <v>Планшеты</v>
      </c>
      <c r="L466" s="13" t="str">
        <f t="shared" si="90"/>
        <v>АРТ-464</v>
      </c>
      <c r="M466" s="13" t="str">
        <f t="shared" si="91"/>
        <v xml:space="preserve">Планшет Amazon Fire Max 11</v>
      </c>
      <c r="N466" s="13" t="str">
        <f>IFERROR(VLOOKUP(K466,Справочники!$A$6:$B$16,2,0),"НЕТ В СПРАВОЧНИКЕ")</f>
        <v>Планшеты</v>
      </c>
      <c r="O466" s="13" t="str">
        <f t="shared" si="92"/>
        <v>Amazon</v>
      </c>
      <c r="P466" s="14">
        <f t="shared" si="93"/>
        <v>17000</v>
      </c>
      <c r="Q466" s="14">
        <f t="shared" si="94"/>
        <v>28500</v>
      </c>
      <c r="R466" s="13" t="str">
        <f t="shared" si="97"/>
        <v>шт</v>
      </c>
      <c r="S466" s="10" t="str">
        <f t="shared" si="95"/>
        <v>OK</v>
      </c>
      <c r="T466" s="10" t="str">
        <f t="shared" si="96"/>
        <v>уникален</v>
      </c>
    </row>
    <row r="467" ht="15" customHeight="1">
      <c r="A467" s="10">
        <v>465</v>
      </c>
      <c r="B467" s="11" t="str">
        <f>RAW_Товары!A466</f>
        <v>465/24</v>
      </c>
      <c r="C467" s="11" t="str">
        <f>RAW_Товары!B466</f>
        <v xml:space="preserve">Планшет Amazon Fire Max 11 (Pro)</v>
      </c>
      <c r="D467" s="11" t="str">
        <f>RAW_Товары!C466</f>
        <v>Планшеты</v>
      </c>
      <c r="E467" s="11" t="str">
        <f>RAW_Товары!D466</f>
        <v>AMAZON</v>
      </c>
      <c r="F467" s="11" t="str">
        <f>RAW_Товары!E466</f>
        <v xml:space="preserve">19 000</v>
      </c>
      <c r="G467" s="11" t="str">
        <f>RAW_Товары!F466</f>
        <v xml:space="preserve">31 500</v>
      </c>
      <c r="H467" s="11" t="str">
        <f>RAW_Товары!G466</f>
        <v>шт</v>
      </c>
      <c r="I467" s="12" t="str">
        <f t="shared" si="87"/>
        <v>465/24</v>
      </c>
      <c r="J467" s="12" t="str">
        <f t="shared" si="88"/>
        <v xml:space="preserve">Планшет Amazon Fire Max 11</v>
      </c>
      <c r="K467" s="12" t="str">
        <f t="shared" si="89"/>
        <v>Планшеты</v>
      </c>
      <c r="L467" s="13" t="str">
        <f t="shared" si="90"/>
        <v>АРТ-465</v>
      </c>
      <c r="M467" s="13" t="str">
        <f t="shared" si="91"/>
        <v xml:space="preserve">Планшет Amazon Fire Max 11</v>
      </c>
      <c r="N467" s="13" t="str">
        <f>IFERROR(VLOOKUP(K467,Справочники!$A$6:$B$16,2,0),"НЕТ В СПРАВОЧНИКЕ")</f>
        <v>Планшеты</v>
      </c>
      <c r="O467" s="13" t="str">
        <f t="shared" si="92"/>
        <v>Amazon</v>
      </c>
      <c r="P467" s="14">
        <f t="shared" si="93"/>
        <v>19000</v>
      </c>
      <c r="Q467" s="14">
        <f t="shared" si="94"/>
        <v>31500</v>
      </c>
      <c r="R467" s="13" t="str">
        <f t="shared" si="97"/>
        <v>шт</v>
      </c>
      <c r="S467" s="10" t="str">
        <f t="shared" si="95"/>
        <v>OK</v>
      </c>
      <c r="T467" s="10" t="str">
        <f t="shared" si="96"/>
        <v>уникален</v>
      </c>
    </row>
    <row r="468" ht="15" customHeight="1">
      <c r="A468" s="10">
        <v>466</v>
      </c>
      <c r="B468" s="11" t="str">
        <f>RAW_Товары!A467</f>
        <v>№АРТ-466</v>
      </c>
      <c r="C468" s="11" t="str">
        <f>RAW_Товары!B467</f>
        <v xml:space="preserve">Смартфон Nokia G60</v>
      </c>
      <c r="D468" s="11" t="str">
        <f>RAW_Товары!C467</f>
        <v>Смартфоны</v>
      </c>
      <c r="E468" s="11" t="str">
        <f>RAW_Товары!D467</f>
        <v>Nokia</v>
      </c>
      <c r="F468" s="11" t="str">
        <f>RAW_Товары!E467</f>
        <v xml:space="preserve">14 000</v>
      </c>
      <c r="G468" s="11" t="str">
        <f>RAW_Товары!F467</f>
        <v xml:space="preserve">22 990</v>
      </c>
      <c r="H468" s="11" t="str">
        <f>RAW_Товары!G467</f>
        <v>шт.</v>
      </c>
      <c r="I468" s="12" t="str">
        <f t="shared" si="87"/>
        <v>466</v>
      </c>
      <c r="J468" s="12" t="str">
        <f t="shared" si="88"/>
        <v xml:space="preserve">Смартфон Nokia G60</v>
      </c>
      <c r="K468" s="12" t="str">
        <f t="shared" si="89"/>
        <v>Смартфоны</v>
      </c>
      <c r="L468" s="13" t="str">
        <f t="shared" si="90"/>
        <v>АРТ-466</v>
      </c>
      <c r="M468" s="13" t="str">
        <f t="shared" si="91"/>
        <v xml:space="preserve">Смартфон Nokia G60</v>
      </c>
      <c r="N468" s="13" t="str">
        <f>IFERROR(VLOOKUP(K468,Справочники!$A$6:$B$16,2,0),"НЕТ В СПРАВОЧНИКЕ")</f>
        <v>Смартфоны</v>
      </c>
      <c r="O468" s="13" t="str">
        <f t="shared" si="92"/>
        <v>Nokia</v>
      </c>
      <c r="P468" s="14">
        <f t="shared" si="93"/>
        <v>14000</v>
      </c>
      <c r="Q468" s="14">
        <f t="shared" si="94"/>
        <v>22990</v>
      </c>
      <c r="R468" s="13" t="str">
        <f t="shared" si="97"/>
        <v>шт</v>
      </c>
      <c r="S468" s="10" t="str">
        <f t="shared" si="95"/>
        <v>OK</v>
      </c>
      <c r="T468" s="10" t="str">
        <f t="shared" si="96"/>
        <v>уникален</v>
      </c>
    </row>
    <row r="469" ht="15" customHeight="1">
      <c r="A469" s="10">
        <v>467</v>
      </c>
      <c r="B469" s="11" t="str">
        <f>RAW_Товары!A468</f>
        <v>АРТ_467</v>
      </c>
      <c r="C469" s="11" t="str">
        <f>RAW_Товары!B468</f>
        <v xml:space="preserve">смартфон NOKIA G60</v>
      </c>
      <c r="D469" s="11" t="str">
        <f>RAW_Товары!C468</f>
        <v>Телефоны</v>
      </c>
      <c r="E469" s="11" t="str">
        <f>RAW_Товары!D468</f>
        <v>nokia</v>
      </c>
      <c r="F469" s="11" t="str">
        <f>RAW_Товары!E468</f>
        <v xml:space="preserve">13 000</v>
      </c>
      <c r="G469" s="11" t="str">
        <f>RAW_Товары!F468</f>
        <v xml:space="preserve">21 500</v>
      </c>
      <c r="H469" s="11" t="str">
        <f>RAW_Товары!G468</f>
        <v>штука</v>
      </c>
      <c r="I469" s="12" t="str">
        <f t="shared" si="87"/>
        <v>467</v>
      </c>
      <c r="J469" s="12" t="str">
        <f t="shared" si="88"/>
        <v xml:space="preserve">смартфон NOKIA G60</v>
      </c>
      <c r="K469" s="12" t="str">
        <f t="shared" si="89"/>
        <v>Телефоны</v>
      </c>
      <c r="L469" s="13" t="str">
        <f t="shared" si="90"/>
        <v>АРТ-467</v>
      </c>
      <c r="M469" s="13" t="str">
        <f t="shared" si="91"/>
        <v xml:space="preserve">Смартфон Nokia G60</v>
      </c>
      <c r="N469" s="13" t="str">
        <f>IFERROR(VLOOKUP(K469,Справочники!$A$6:$B$16,2,0),"НЕТ В СПРАВОЧНИКЕ")</f>
        <v>Смартфоны</v>
      </c>
      <c r="O469" s="13" t="str">
        <f t="shared" si="92"/>
        <v>Nokia</v>
      </c>
      <c r="P469" s="14">
        <f t="shared" si="93"/>
        <v>13000</v>
      </c>
      <c r="Q469" s="14">
        <f t="shared" si="94"/>
        <v>21500</v>
      </c>
      <c r="R469" s="13" t="str">
        <f t="shared" si="97"/>
        <v>шт</v>
      </c>
      <c r="S469" s="10" t="str">
        <f t="shared" si="95"/>
        <v>OK</v>
      </c>
      <c r="T469" s="10" t="str">
        <f t="shared" si="96"/>
        <v>уникален</v>
      </c>
    </row>
    <row r="470" ht="15" customHeight="1">
      <c r="A470" s="10">
        <v>468</v>
      </c>
      <c r="B470" s="11" t="str">
        <f>RAW_Товары!A469</f>
        <v>468-24</v>
      </c>
      <c r="C470" s="11" t="str">
        <f>RAW_Товары!B469</f>
        <v xml:space="preserve">Смартфон Nokia G60 (Black)</v>
      </c>
      <c r="D470" s="11" t="str">
        <f>RAW_Товары!C469</f>
        <v xml:space="preserve">Мобильные телефоны</v>
      </c>
      <c r="E470" s="11" t="str">
        <f>RAW_Товары!D469</f>
        <v>NOKIA</v>
      </c>
      <c r="F470" s="11" t="str">
        <f>RAW_Товары!E469</f>
        <v xml:space="preserve">15 000</v>
      </c>
      <c r="G470" s="11" t="str">
        <f>RAW_Товары!F469</f>
        <v xml:space="preserve">24 500</v>
      </c>
      <c r="H470" s="11" t="str">
        <f>RAW_Товары!G469</f>
        <v>шт</v>
      </c>
      <c r="I470" s="12" t="str">
        <f t="shared" si="87"/>
        <v>468-24</v>
      </c>
      <c r="J470" s="12" t="str">
        <f t="shared" si="88"/>
        <v xml:space="preserve">Смартфон Nokia G60</v>
      </c>
      <c r="K470" s="12" t="str">
        <f t="shared" si="89"/>
        <v xml:space="preserve">Мобильные телефоны</v>
      </c>
      <c r="L470" s="13" t="str">
        <f t="shared" si="90"/>
        <v>АРТ-468</v>
      </c>
      <c r="M470" s="13" t="str">
        <f t="shared" si="91"/>
        <v xml:space="preserve">Смартфон Nokia G60</v>
      </c>
      <c r="N470" s="13" t="str">
        <f>IFERROR(VLOOKUP(K470,Справочники!$A$6:$B$16,2,0),"НЕТ В СПРАВОЧНИКЕ")</f>
        <v>Смартфоны</v>
      </c>
      <c r="O470" s="13" t="str">
        <f t="shared" si="92"/>
        <v>Nokia</v>
      </c>
      <c r="P470" s="14">
        <f t="shared" si="93"/>
        <v>15000</v>
      </c>
      <c r="Q470" s="14">
        <f t="shared" si="94"/>
        <v>24500</v>
      </c>
      <c r="R470" s="13" t="str">
        <f t="shared" si="97"/>
        <v>шт</v>
      </c>
      <c r="S470" s="10" t="str">
        <f t="shared" si="95"/>
        <v>OK</v>
      </c>
      <c r="T470" s="10" t="str">
        <f t="shared" si="96"/>
        <v>уникален</v>
      </c>
    </row>
    <row r="471" ht="15" customHeight="1">
      <c r="A471" s="10">
        <v>469</v>
      </c>
      <c r="B471" s="11" t="str">
        <f>RAW_Товары!A470</f>
        <v>№АРТ-469</v>
      </c>
      <c r="C471" s="11" t="str">
        <f>RAW_Товары!B470</f>
        <v xml:space="preserve">Телевизор Hisense E7K</v>
      </c>
      <c r="D471" s="11" t="str">
        <f>RAW_Товары!C470</f>
        <v>Телевизоры</v>
      </c>
      <c r="E471" s="11" t="str">
        <f>RAW_Товары!D470</f>
        <v>Hisense</v>
      </c>
      <c r="F471" s="11" t="str">
        <f>RAW_Товары!E470</f>
        <v xml:space="preserve">38 000</v>
      </c>
      <c r="G471" s="11" t="str">
        <f>RAW_Товары!F470</f>
        <v xml:space="preserve">58 990</v>
      </c>
      <c r="H471" s="11" t="str">
        <f>RAW_Товары!G470</f>
        <v>шт.</v>
      </c>
      <c r="I471" s="12" t="str">
        <f t="shared" si="87"/>
        <v>469</v>
      </c>
      <c r="J471" s="12" t="str">
        <f t="shared" si="88"/>
        <v xml:space="preserve">Телевизор Hisense E7K</v>
      </c>
      <c r="K471" s="12" t="str">
        <f t="shared" si="89"/>
        <v>Телевизоры</v>
      </c>
      <c r="L471" s="13" t="str">
        <f t="shared" si="90"/>
        <v>АРТ-469</v>
      </c>
      <c r="M471" s="13" t="str">
        <f t="shared" si="91"/>
        <v xml:space="preserve">Телевизор Hisense E7K</v>
      </c>
      <c r="N471" s="13" t="str">
        <f>IFERROR(VLOOKUP(K471,Справочники!$A$6:$B$16,2,0),"НЕТ В СПРАВОЧНИКЕ")</f>
        <v>Телевизоры</v>
      </c>
      <c r="O471" s="13" t="str">
        <f t="shared" si="92"/>
        <v>Hisense</v>
      </c>
      <c r="P471" s="14">
        <f t="shared" si="93"/>
        <v>38000</v>
      </c>
      <c r="Q471" s="14">
        <f t="shared" si="94"/>
        <v>58990</v>
      </c>
      <c r="R471" s="13" t="str">
        <f t="shared" si="97"/>
        <v>шт</v>
      </c>
      <c r="S471" s="10" t="str">
        <f t="shared" si="95"/>
        <v>OK</v>
      </c>
      <c r="T471" s="10" t="str">
        <f t="shared" si="96"/>
        <v>уникален</v>
      </c>
    </row>
    <row r="472" ht="15" customHeight="1">
      <c r="A472" s="10">
        <v>470</v>
      </c>
      <c r="B472" s="11" t="str">
        <f>RAW_Товары!A471</f>
        <v>АРТ_470</v>
      </c>
      <c r="C472" s="11" t="str">
        <f>RAW_Товары!B471</f>
        <v xml:space="preserve">телевизор HISENSE E7K</v>
      </c>
      <c r="D472" s="11" t="str">
        <f>RAW_Товары!C471</f>
        <v>Телевизоры</v>
      </c>
      <c r="E472" s="11" t="str">
        <f>RAW_Товары!D471</f>
        <v>hisense</v>
      </c>
      <c r="F472" s="11" t="str">
        <f>RAW_Товары!E471</f>
        <v xml:space="preserve">36 500</v>
      </c>
      <c r="G472" s="11" t="str">
        <f>RAW_Товары!F471</f>
        <v xml:space="preserve">56 500</v>
      </c>
      <c r="H472" s="11" t="str">
        <f>RAW_Товары!G471</f>
        <v>штуки</v>
      </c>
      <c r="I472" s="12" t="str">
        <f t="shared" si="87"/>
        <v>470</v>
      </c>
      <c r="J472" s="12" t="str">
        <f t="shared" si="88"/>
        <v xml:space="preserve">телевизор HISENSE E7K</v>
      </c>
      <c r="K472" s="12" t="str">
        <f t="shared" si="89"/>
        <v>Телевизоры</v>
      </c>
      <c r="L472" s="13" t="str">
        <f t="shared" si="90"/>
        <v>АРТ-470</v>
      </c>
      <c r="M472" s="13" t="str">
        <f t="shared" si="91"/>
        <v xml:space="preserve">Телевизор Hisense E7K</v>
      </c>
      <c r="N472" s="13" t="str">
        <f>IFERROR(VLOOKUP(K472,Справочники!$A$6:$B$16,2,0),"НЕТ В СПРАВОЧНИКЕ")</f>
        <v>Телевизоры</v>
      </c>
      <c r="O472" s="13" t="str">
        <f t="shared" si="92"/>
        <v>Hisense</v>
      </c>
      <c r="P472" s="14">
        <f t="shared" si="93"/>
        <v>36500</v>
      </c>
      <c r="Q472" s="14">
        <f t="shared" si="94"/>
        <v>56500</v>
      </c>
      <c r="R472" s="13" t="str">
        <f t="shared" si="97"/>
        <v>шт</v>
      </c>
      <c r="S472" s="10" t="str">
        <f t="shared" si="95"/>
        <v>OK</v>
      </c>
      <c r="T472" s="10" t="str">
        <f t="shared" si="96"/>
        <v>уникален</v>
      </c>
    </row>
    <row r="473" ht="15" customHeight="1">
      <c r="A473" s="10">
        <v>471</v>
      </c>
      <c r="B473" s="11" t="str">
        <f>RAW_Товары!A472</f>
        <v>471/24</v>
      </c>
      <c r="C473" s="11" t="str">
        <f>RAW_Товары!B472</f>
        <v xml:space="preserve">Телевизор Hisense E7K (55")</v>
      </c>
      <c r="D473" s="11" t="str">
        <f>RAW_Товары!C472</f>
        <v>Телевизоры</v>
      </c>
      <c r="E473" s="11" t="str">
        <f>RAW_Товары!D472</f>
        <v>HISENSE</v>
      </c>
      <c r="F473" s="11" t="str">
        <f>RAW_Товары!E472</f>
        <v xml:space="preserve">39 500</v>
      </c>
      <c r="G473" s="11" t="str">
        <f>RAW_Товары!F472</f>
        <v xml:space="preserve">61 000</v>
      </c>
      <c r="H473" s="11" t="str">
        <f>RAW_Товары!G472</f>
        <v>шт</v>
      </c>
      <c r="I473" s="12" t="str">
        <f t="shared" si="87"/>
        <v>471/24</v>
      </c>
      <c r="J473" s="12" t="str">
        <f t="shared" si="88"/>
        <v xml:space="preserve">Телевизор Hisense E7K</v>
      </c>
      <c r="K473" s="12" t="str">
        <f t="shared" si="89"/>
        <v>Телевизоры</v>
      </c>
      <c r="L473" s="13" t="str">
        <f t="shared" si="90"/>
        <v>АРТ-471</v>
      </c>
      <c r="M473" s="13" t="str">
        <f t="shared" si="91"/>
        <v xml:space="preserve">Телевизор Hisense E7K</v>
      </c>
      <c r="N473" s="13" t="str">
        <f>IFERROR(VLOOKUP(K473,Справочники!$A$6:$B$16,2,0),"НЕТ В СПРАВОЧНИКЕ")</f>
        <v>Телевизоры</v>
      </c>
      <c r="O473" s="13" t="str">
        <f t="shared" si="92"/>
        <v>Hisense</v>
      </c>
      <c r="P473" s="14">
        <f t="shared" si="93"/>
        <v>39500</v>
      </c>
      <c r="Q473" s="14">
        <f t="shared" si="94"/>
        <v>61000</v>
      </c>
      <c r="R473" s="13" t="str">
        <f t="shared" si="97"/>
        <v>шт</v>
      </c>
      <c r="S473" s="10" t="str">
        <f t="shared" si="95"/>
        <v>OK</v>
      </c>
      <c r="T473" s="10" t="str">
        <f t="shared" si="96"/>
        <v>уникален</v>
      </c>
    </row>
    <row r="474" ht="15" customHeight="1">
      <c r="A474" s="10">
        <v>472</v>
      </c>
      <c r="B474" s="11" t="str">
        <f>RAW_Товары!A473</f>
        <v>№АРТ-472</v>
      </c>
      <c r="C474" s="11" t="str">
        <f>RAW_Товары!B473</f>
        <v xml:space="preserve">Наушники Sony WF-C500</v>
      </c>
      <c r="D474" s="11" t="str">
        <f>RAW_Товары!C473</f>
        <v>Наушники</v>
      </c>
      <c r="E474" s="11" t="str">
        <f>RAW_Товары!D473</f>
        <v>Sony</v>
      </c>
      <c r="F474" s="11" t="str">
        <f>RAW_Товары!E473</f>
        <v xml:space="preserve">5 000</v>
      </c>
      <c r="G474" s="11" t="str">
        <f>RAW_Товары!F473</f>
        <v xml:space="preserve">8 990</v>
      </c>
      <c r="H474" s="11" t="str">
        <f>RAW_Товары!G473</f>
        <v>шт.</v>
      </c>
      <c r="I474" s="12" t="str">
        <f t="shared" si="87"/>
        <v>472</v>
      </c>
      <c r="J474" s="12" t="str">
        <f t="shared" si="88"/>
        <v xml:space="preserve">Наушники Sony WF-C500</v>
      </c>
      <c r="K474" s="12" t="str">
        <f t="shared" si="89"/>
        <v>Наушники</v>
      </c>
      <c r="L474" s="13" t="str">
        <f t="shared" si="90"/>
        <v>АРТ-472</v>
      </c>
      <c r="M474" s="13" t="str">
        <f t="shared" si="91"/>
        <v xml:space="preserve">Наушники Sony Wf-C500</v>
      </c>
      <c r="N474" s="13" t="str">
        <f>IFERROR(VLOOKUP(K474,Справочники!$A$6:$B$16,2,0),"НЕТ В СПРАВОЧНИКЕ")</f>
        <v>Наушники</v>
      </c>
      <c r="O474" s="13" t="str">
        <f t="shared" si="92"/>
        <v>Sony</v>
      </c>
      <c r="P474" s="14">
        <f t="shared" si="93"/>
        <v>5000</v>
      </c>
      <c r="Q474" s="14">
        <f t="shared" si="94"/>
        <v>8990</v>
      </c>
      <c r="R474" s="13" t="str">
        <f t="shared" si="97"/>
        <v>шт</v>
      </c>
      <c r="S474" s="10" t="str">
        <f t="shared" si="95"/>
        <v>OK</v>
      </c>
      <c r="T474" s="10" t="str">
        <f t="shared" si="96"/>
        <v>уникален</v>
      </c>
    </row>
    <row r="475" ht="15" customHeight="1">
      <c r="A475" s="10">
        <v>473</v>
      </c>
      <c r="B475" s="11" t="str">
        <f>RAW_Товары!A474</f>
        <v>АРТ_473</v>
      </c>
      <c r="C475" s="11" t="str">
        <f>RAW_Товары!B474</f>
        <v xml:space="preserve">наушники SONY WF-C500</v>
      </c>
      <c r="D475" s="11" t="str">
        <f>RAW_Товары!C474</f>
        <v>Наушники</v>
      </c>
      <c r="E475" s="11" t="str">
        <f>RAW_Товары!D474</f>
        <v>sony</v>
      </c>
      <c r="F475" s="11" t="str">
        <f>RAW_Товары!E474</f>
        <v xml:space="preserve">4 500</v>
      </c>
      <c r="G475" s="11" t="str">
        <f>RAW_Товары!F474</f>
        <v xml:space="preserve">8 500</v>
      </c>
      <c r="H475" s="11" t="str">
        <f>RAW_Товары!G474</f>
        <v>штука</v>
      </c>
      <c r="I475" s="12" t="str">
        <f t="shared" si="87"/>
        <v>473</v>
      </c>
      <c r="J475" s="12" t="str">
        <f t="shared" si="88"/>
        <v xml:space="preserve">наушники SONY WF-C500</v>
      </c>
      <c r="K475" s="12" t="str">
        <f t="shared" si="89"/>
        <v>Наушники</v>
      </c>
      <c r="L475" s="13" t="str">
        <f t="shared" si="90"/>
        <v>АРТ-473</v>
      </c>
      <c r="M475" s="13" t="str">
        <f t="shared" si="91"/>
        <v xml:space="preserve">Наушники Sony Wf-C500</v>
      </c>
      <c r="N475" s="13" t="str">
        <f>IFERROR(VLOOKUP(K475,Справочники!$A$6:$B$16,2,0),"НЕТ В СПРАВОЧНИКЕ")</f>
        <v>Наушники</v>
      </c>
      <c r="O475" s="13" t="str">
        <f t="shared" si="92"/>
        <v>Sony</v>
      </c>
      <c r="P475" s="14">
        <f t="shared" si="93"/>
        <v>4500</v>
      </c>
      <c r="Q475" s="14">
        <f t="shared" si="94"/>
        <v>8500</v>
      </c>
      <c r="R475" s="13" t="str">
        <f t="shared" si="97"/>
        <v>шт</v>
      </c>
      <c r="S475" s="10" t="str">
        <f t="shared" si="95"/>
        <v>OK</v>
      </c>
      <c r="T475" s="10" t="str">
        <f t="shared" si="96"/>
        <v>уникален</v>
      </c>
    </row>
    <row r="476" ht="15" customHeight="1">
      <c r="A476" s="10">
        <v>474</v>
      </c>
      <c r="B476" s="11" t="str">
        <f>RAW_Товары!A475</f>
        <v>474-24</v>
      </c>
      <c r="C476" s="11" t="str">
        <f>RAW_Товары!B475</f>
        <v xml:space="preserve">Наушники Sony WF-C500 (Black)</v>
      </c>
      <c r="D476" s="11" t="str">
        <f>RAW_Товары!C475</f>
        <v>Наушники</v>
      </c>
      <c r="E476" s="11" t="str">
        <f>RAW_Товары!D475</f>
        <v>SONY</v>
      </c>
      <c r="F476" s="11" t="str">
        <f>RAW_Товары!E475</f>
        <v xml:space="preserve">5 500</v>
      </c>
      <c r="G476" s="11" t="str">
        <f>RAW_Товары!F475</f>
        <v xml:space="preserve">9 800</v>
      </c>
      <c r="H476" s="11" t="str">
        <f>RAW_Товары!G475</f>
        <v>шт</v>
      </c>
      <c r="I476" s="12" t="str">
        <f t="shared" si="87"/>
        <v>474-24</v>
      </c>
      <c r="J476" s="12" t="str">
        <f t="shared" si="88"/>
        <v xml:space="preserve">Наушники Sony WF-C500</v>
      </c>
      <c r="K476" s="12" t="str">
        <f t="shared" si="89"/>
        <v>Наушники</v>
      </c>
      <c r="L476" s="13" t="str">
        <f t="shared" si="90"/>
        <v>АРТ-474</v>
      </c>
      <c r="M476" s="13" t="str">
        <f t="shared" si="91"/>
        <v xml:space="preserve">Наушники Sony Wf-C500</v>
      </c>
      <c r="N476" s="13" t="str">
        <f>IFERROR(VLOOKUP(K476,Справочники!$A$6:$B$16,2,0),"НЕТ В СПРАВОЧНИКЕ")</f>
        <v>Наушники</v>
      </c>
      <c r="O476" s="13" t="str">
        <f t="shared" si="92"/>
        <v>Sony</v>
      </c>
      <c r="P476" s="14">
        <f t="shared" si="93"/>
        <v>5500</v>
      </c>
      <c r="Q476" s="14">
        <f t="shared" si="94"/>
        <v>9800</v>
      </c>
      <c r="R476" s="13" t="str">
        <f t="shared" si="97"/>
        <v>шт</v>
      </c>
      <c r="S476" s="10" t="str">
        <f t="shared" si="95"/>
        <v>OK</v>
      </c>
      <c r="T476" s="10" t="str">
        <f t="shared" si="96"/>
        <v>уникален</v>
      </c>
    </row>
    <row r="477" ht="15" customHeight="1">
      <c r="A477" s="10">
        <v>475</v>
      </c>
      <c r="B477" s="11" t="str">
        <f>RAW_Товары!A476</f>
        <v>№АРТ-475</v>
      </c>
      <c r="C477" s="11" t="str">
        <f>RAW_Товары!B476</f>
        <v xml:space="preserve">Монитор LG 27GN800</v>
      </c>
      <c r="D477" s="11" t="str">
        <f>RAW_Товары!C476</f>
        <v>Мониторы</v>
      </c>
      <c r="E477" s="11" t="str">
        <f>RAW_Товары!D476</f>
        <v>LG</v>
      </c>
      <c r="F477" s="11" t="str">
        <f>RAW_Товары!E476</f>
        <v xml:space="preserve">34 000</v>
      </c>
      <c r="G477" s="11" t="str">
        <f>RAW_Товары!F476</f>
        <v xml:space="preserve">52 990</v>
      </c>
      <c r="H477" s="11" t="str">
        <f>RAW_Товары!G476</f>
        <v>шт.</v>
      </c>
      <c r="I477" s="12" t="str">
        <f t="shared" si="87"/>
        <v>475</v>
      </c>
      <c r="J477" s="12" t="str">
        <f t="shared" si="88"/>
        <v xml:space="preserve">Монитор LG 27GN800</v>
      </c>
      <c r="K477" s="12" t="str">
        <f t="shared" si="89"/>
        <v>Мониторы</v>
      </c>
      <c r="L477" s="13" t="str">
        <f t="shared" si="90"/>
        <v>АРТ-475</v>
      </c>
      <c r="M477" s="13" t="str">
        <f t="shared" si="91"/>
        <v xml:space="preserve">Монитор Lg 27Gn800</v>
      </c>
      <c r="N477" s="13" t="str">
        <f>IFERROR(VLOOKUP(K477,Справочники!$A$6:$B$16,2,0),"НЕТ В СПРАВОЧНИКЕ")</f>
        <v>Мониторы</v>
      </c>
      <c r="O477" s="13" t="str">
        <f t="shared" si="92"/>
        <v>Lg</v>
      </c>
      <c r="P477" s="14">
        <f t="shared" si="93"/>
        <v>34000</v>
      </c>
      <c r="Q477" s="14">
        <f t="shared" si="94"/>
        <v>52990</v>
      </c>
      <c r="R477" s="13" t="str">
        <f t="shared" si="97"/>
        <v>шт</v>
      </c>
      <c r="S477" s="10" t="str">
        <f t="shared" si="95"/>
        <v>OK</v>
      </c>
      <c r="T477" s="10" t="str">
        <f t="shared" si="96"/>
        <v>уникален</v>
      </c>
    </row>
    <row r="478" ht="15" customHeight="1">
      <c r="A478" s="10">
        <v>476</v>
      </c>
      <c r="B478" s="11" t="str">
        <f>RAW_Товары!A477</f>
        <v>АРТ_476</v>
      </c>
      <c r="C478" s="11" t="str">
        <f>RAW_Товары!B477</f>
        <v xml:space="preserve">монитор LG 27GN800</v>
      </c>
      <c r="D478" s="11" t="str">
        <f>RAW_Товары!C477</f>
        <v>Мониторы</v>
      </c>
      <c r="E478" s="11" t="str">
        <f>RAW_Товары!D477</f>
        <v>lg</v>
      </c>
      <c r="F478" s="11" t="str">
        <f>RAW_Товары!E477</f>
        <v xml:space="preserve">32 500</v>
      </c>
      <c r="G478" s="11" t="str">
        <f>RAW_Товары!F477</f>
        <v xml:space="preserve">50 500</v>
      </c>
      <c r="H478" s="11" t="str">
        <f>RAW_Товары!G477</f>
        <v>штуки</v>
      </c>
      <c r="I478" s="12" t="str">
        <f t="shared" si="87"/>
        <v>476</v>
      </c>
      <c r="J478" s="12" t="str">
        <f t="shared" si="88"/>
        <v xml:space="preserve">монитор LG 27GN800</v>
      </c>
      <c r="K478" s="12" t="str">
        <f t="shared" si="89"/>
        <v>Мониторы</v>
      </c>
      <c r="L478" s="13" t="str">
        <f t="shared" si="90"/>
        <v>АРТ-476</v>
      </c>
      <c r="M478" s="13" t="str">
        <f t="shared" si="91"/>
        <v xml:space="preserve">Монитор Lg 27Gn800</v>
      </c>
      <c r="N478" s="13" t="str">
        <f>IFERROR(VLOOKUP(K478,Справочники!$A$6:$B$16,2,0),"НЕТ В СПРАВОЧНИКЕ")</f>
        <v>Мониторы</v>
      </c>
      <c r="O478" s="13" t="str">
        <f t="shared" si="92"/>
        <v>Lg</v>
      </c>
      <c r="P478" s="14">
        <f t="shared" si="93"/>
        <v>32500</v>
      </c>
      <c r="Q478" s="14">
        <f t="shared" si="94"/>
        <v>50500</v>
      </c>
      <c r="R478" s="13" t="str">
        <f t="shared" si="97"/>
        <v>шт</v>
      </c>
      <c r="S478" s="10" t="str">
        <f t="shared" si="95"/>
        <v>OK</v>
      </c>
      <c r="T478" s="10" t="str">
        <f t="shared" si="96"/>
        <v>уникален</v>
      </c>
    </row>
    <row r="479" ht="15" customHeight="1">
      <c r="A479" s="10">
        <v>477</v>
      </c>
      <c r="B479" s="11" t="str">
        <f>RAW_Товары!A478</f>
        <v>477/24</v>
      </c>
      <c r="C479" s="11" t="str">
        <f>RAW_Товары!B478</f>
        <v xml:space="preserve">Монитор LG 27GN800 (Gaming)</v>
      </c>
      <c r="D479" s="11" t="str">
        <f>RAW_Товары!C478</f>
        <v>Мониторы</v>
      </c>
      <c r="E479" s="11" t="str">
        <f>RAW_Товары!D478</f>
        <v>LG</v>
      </c>
      <c r="F479" s="11" t="str">
        <f>RAW_Товары!E478</f>
        <v xml:space="preserve">35 500</v>
      </c>
      <c r="G479" s="11" t="str">
        <f>RAW_Товары!F478</f>
        <v xml:space="preserve">55 000</v>
      </c>
      <c r="H479" s="11" t="str">
        <f>RAW_Товары!G478</f>
        <v>шт</v>
      </c>
      <c r="I479" s="12" t="str">
        <f t="shared" si="87"/>
        <v>477/24</v>
      </c>
      <c r="J479" s="12" t="str">
        <f t="shared" si="88"/>
        <v xml:space="preserve">Монитор LG 27GN800</v>
      </c>
      <c r="K479" s="12" t="str">
        <f t="shared" si="89"/>
        <v>Мониторы</v>
      </c>
      <c r="L479" s="13" t="str">
        <f t="shared" si="90"/>
        <v>АРТ-477</v>
      </c>
      <c r="M479" s="13" t="str">
        <f t="shared" si="91"/>
        <v xml:space="preserve">Монитор Lg 27Gn800</v>
      </c>
      <c r="N479" s="13" t="str">
        <f>IFERROR(VLOOKUP(K479,Справочники!$A$6:$B$16,2,0),"НЕТ В СПРАВОЧНИКЕ")</f>
        <v>Мониторы</v>
      </c>
      <c r="O479" s="13" t="str">
        <f t="shared" si="92"/>
        <v>Lg</v>
      </c>
      <c r="P479" s="14">
        <f t="shared" si="93"/>
        <v>35500</v>
      </c>
      <c r="Q479" s="14">
        <f t="shared" si="94"/>
        <v>55000</v>
      </c>
      <c r="R479" s="13" t="str">
        <f t="shared" si="97"/>
        <v>шт</v>
      </c>
      <c r="S479" s="10" t="str">
        <f t="shared" si="95"/>
        <v>OK</v>
      </c>
      <c r="T479" s="10" t="str">
        <f t="shared" si="96"/>
        <v>уникален</v>
      </c>
    </row>
    <row r="480" ht="15" customHeight="1">
      <c r="A480" s="10">
        <v>478</v>
      </c>
      <c r="B480" s="11" t="str">
        <f>RAW_Товары!A479</f>
        <v>№АРТ-478</v>
      </c>
      <c r="C480" s="11" t="str">
        <f>RAW_Товары!B479</f>
        <v xml:space="preserve">Колонка Marshall Emberton II</v>
      </c>
      <c r="D480" s="11" t="str">
        <f>RAW_Товары!C479</f>
        <v>Аксессуары</v>
      </c>
      <c r="E480" s="11" t="str">
        <f>RAW_Товары!D479</f>
        <v>Marshall</v>
      </c>
      <c r="F480" s="11" t="str">
        <f>RAW_Товары!E479</f>
        <v xml:space="preserve">8 000</v>
      </c>
      <c r="G480" s="11" t="str">
        <f>RAW_Товары!F479</f>
        <v xml:space="preserve">12 990</v>
      </c>
      <c r="H480" s="11" t="str">
        <f>RAW_Товары!G479</f>
        <v>шт.</v>
      </c>
      <c r="I480" s="12" t="str">
        <f t="shared" si="87"/>
        <v>478</v>
      </c>
      <c r="J480" s="12" t="str">
        <f t="shared" si="88"/>
        <v xml:space="preserve">Колонка Marshall Emberton II</v>
      </c>
      <c r="K480" s="12" t="str">
        <f t="shared" si="89"/>
        <v>Аксессуары</v>
      </c>
      <c r="L480" s="13" t="str">
        <f t="shared" si="90"/>
        <v>АРТ-478</v>
      </c>
      <c r="M480" s="13" t="str">
        <f t="shared" si="91"/>
        <v xml:space="preserve">Колонка Marshall Emberton Ii</v>
      </c>
      <c r="N480" s="13" t="str">
        <f>IFERROR(VLOOKUP(K480,Справочники!$A$6:$B$16,2,0),"НЕТ В СПРАВОЧНИКЕ")</f>
        <v>Аксессуары</v>
      </c>
      <c r="O480" s="13" t="str">
        <f t="shared" si="92"/>
        <v>Marshall</v>
      </c>
      <c r="P480" s="14">
        <f t="shared" si="93"/>
        <v>8000</v>
      </c>
      <c r="Q480" s="14">
        <f t="shared" si="94"/>
        <v>12990</v>
      </c>
      <c r="R480" s="13" t="str">
        <f t="shared" si="97"/>
        <v>шт</v>
      </c>
      <c r="S480" s="10" t="str">
        <f t="shared" si="95"/>
        <v>OK</v>
      </c>
      <c r="T480" s="10" t="str">
        <f t="shared" si="96"/>
        <v>уникален</v>
      </c>
    </row>
    <row r="481" ht="15" customHeight="1">
      <c r="A481" s="10">
        <v>479</v>
      </c>
      <c r="B481" s="11" t="str">
        <f>RAW_Товары!A480</f>
        <v>АРТ_479</v>
      </c>
      <c r="C481" s="11" t="str">
        <f>RAW_Товары!B480</f>
        <v xml:space="preserve">колонка MARSHALL EMBERTON II</v>
      </c>
      <c r="D481" s="11" t="str">
        <f>RAW_Товары!C480</f>
        <v>Аксессуары</v>
      </c>
      <c r="E481" s="11" t="str">
        <f>RAW_Товары!D480</f>
        <v>marshall</v>
      </c>
      <c r="F481" s="11" t="str">
        <f>RAW_Товары!E480</f>
        <v xml:space="preserve">7 500</v>
      </c>
      <c r="G481" s="11" t="str">
        <f>RAW_Товары!F480</f>
        <v xml:space="preserve">12 500</v>
      </c>
      <c r="H481" s="11" t="str">
        <f>RAW_Товары!G480</f>
        <v>штука</v>
      </c>
      <c r="I481" s="12" t="str">
        <f t="shared" si="87"/>
        <v>479</v>
      </c>
      <c r="J481" s="12" t="str">
        <f t="shared" si="88"/>
        <v xml:space="preserve">колонка MARSHALL EMBERTON II</v>
      </c>
      <c r="K481" s="12" t="str">
        <f t="shared" si="89"/>
        <v>Аксессуары</v>
      </c>
      <c r="L481" s="13" t="str">
        <f t="shared" si="90"/>
        <v>АРТ-479</v>
      </c>
      <c r="M481" s="13" t="str">
        <f t="shared" si="91"/>
        <v xml:space="preserve">Колонка Marshall Emberton Ii</v>
      </c>
      <c r="N481" s="13" t="str">
        <f>IFERROR(VLOOKUP(K481,Справочники!$A$6:$B$16,2,0),"НЕТ В СПРАВОЧНИКЕ")</f>
        <v>Аксессуары</v>
      </c>
      <c r="O481" s="13" t="str">
        <f t="shared" si="92"/>
        <v>Marshall</v>
      </c>
      <c r="P481" s="14">
        <f t="shared" si="93"/>
        <v>7500</v>
      </c>
      <c r="Q481" s="14">
        <f t="shared" si="94"/>
        <v>12500</v>
      </c>
      <c r="R481" s="13" t="str">
        <f t="shared" si="97"/>
        <v>шт</v>
      </c>
      <c r="S481" s="10" t="str">
        <f t="shared" si="95"/>
        <v>OK</v>
      </c>
      <c r="T481" s="10" t="str">
        <f t="shared" si="96"/>
        <v>уникален</v>
      </c>
    </row>
    <row r="482" ht="15" customHeight="1">
      <c r="A482" s="10">
        <v>480</v>
      </c>
      <c r="B482" s="11" t="str">
        <f>RAW_Товары!A481</f>
        <v>480-24</v>
      </c>
      <c r="C482" s="11" t="str">
        <f>RAW_Товары!B481</f>
        <v xml:space="preserve">Колонка Marshall Emberton II (Black)</v>
      </c>
      <c r="D482" s="11" t="str">
        <f>RAW_Товары!C481</f>
        <v>Аксессуары</v>
      </c>
      <c r="E482" s="11" t="str">
        <f>RAW_Товары!D481</f>
        <v>MARSHALL</v>
      </c>
      <c r="F482" s="11" t="str">
        <f>RAW_Товары!E481</f>
        <v xml:space="preserve">8 500</v>
      </c>
      <c r="G482" s="11" t="str">
        <f>RAW_Товары!F481</f>
        <v xml:space="preserve">13 800</v>
      </c>
      <c r="H482" s="11" t="str">
        <f>RAW_Товары!G481</f>
        <v>шт</v>
      </c>
      <c r="I482" s="12" t="str">
        <f t="shared" si="87"/>
        <v>480-24</v>
      </c>
      <c r="J482" s="12" t="str">
        <f t="shared" si="88"/>
        <v xml:space="preserve">Колонка Marshall Emberton II</v>
      </c>
      <c r="K482" s="12" t="str">
        <f t="shared" si="89"/>
        <v>Аксессуары</v>
      </c>
      <c r="L482" s="13" t="str">
        <f t="shared" si="90"/>
        <v>АРТ-480</v>
      </c>
      <c r="M482" s="13" t="str">
        <f t="shared" si="91"/>
        <v xml:space="preserve">Колонка Marshall Emberton Ii</v>
      </c>
      <c r="N482" s="13" t="str">
        <f>IFERROR(VLOOKUP(K482,Справочники!$A$6:$B$16,2,0),"НЕТ В СПРАВОЧНИКЕ")</f>
        <v>Аксессуары</v>
      </c>
      <c r="O482" s="13" t="str">
        <f t="shared" si="92"/>
        <v>Marshall</v>
      </c>
      <c r="P482" s="14">
        <f t="shared" si="93"/>
        <v>8500</v>
      </c>
      <c r="Q482" s="14">
        <f t="shared" si="94"/>
        <v>13800</v>
      </c>
      <c r="R482" s="13" t="str">
        <f t="shared" si="97"/>
        <v>шт</v>
      </c>
      <c r="S482" s="10" t="str">
        <f t="shared" si="95"/>
        <v>OK</v>
      </c>
      <c r="T482" s="10" t="str">
        <f t="shared" si="96"/>
        <v>уникален</v>
      </c>
    </row>
    <row r="483" ht="15" customHeight="1">
      <c r="A483" s="10">
        <v>481</v>
      </c>
      <c r="B483" s="11" t="str">
        <f>RAW_Товары!A482</f>
        <v>№АРТ-481</v>
      </c>
      <c r="C483" s="11" t="str">
        <f>RAW_Товары!B482</f>
        <v xml:space="preserve">Планшет Huawei MatePad 11</v>
      </c>
      <c r="D483" s="11" t="str">
        <f>RAW_Товары!C482</f>
        <v>Планшеты</v>
      </c>
      <c r="E483" s="11" t="str">
        <f>RAW_Товары!D482</f>
        <v>Huawei</v>
      </c>
      <c r="F483" s="11" t="str">
        <f>RAW_Товары!E482</f>
        <v xml:space="preserve">25 000</v>
      </c>
      <c r="G483" s="11" t="str">
        <f>RAW_Товары!F482</f>
        <v xml:space="preserve">39 990</v>
      </c>
      <c r="H483" s="11" t="str">
        <f>RAW_Товары!G482</f>
        <v>шт.</v>
      </c>
      <c r="I483" s="12" t="str">
        <f t="shared" si="87"/>
        <v>481</v>
      </c>
      <c r="J483" s="12" t="str">
        <f t="shared" si="88"/>
        <v xml:space="preserve">Планшет Huawei MatePad 11</v>
      </c>
      <c r="K483" s="12" t="str">
        <f t="shared" si="89"/>
        <v>Планшеты</v>
      </c>
      <c r="L483" s="13" t="str">
        <f t="shared" si="90"/>
        <v>АРТ-481</v>
      </c>
      <c r="M483" s="13" t="str">
        <f t="shared" si="91"/>
        <v xml:space="preserve">Планшет Huawei Matepad 11</v>
      </c>
      <c r="N483" s="13" t="str">
        <f>IFERROR(VLOOKUP(K483,Справочники!$A$6:$B$16,2,0),"НЕТ В СПРАВОЧНИКЕ")</f>
        <v>Планшеты</v>
      </c>
      <c r="O483" s="13" t="str">
        <f t="shared" si="92"/>
        <v>Huawei</v>
      </c>
      <c r="P483" s="14">
        <f t="shared" si="93"/>
        <v>25000</v>
      </c>
      <c r="Q483" s="14">
        <f t="shared" si="94"/>
        <v>39990</v>
      </c>
      <c r="R483" s="13" t="str">
        <f t="shared" si="97"/>
        <v>шт</v>
      </c>
      <c r="S483" s="10" t="str">
        <f t="shared" si="95"/>
        <v>OK</v>
      </c>
      <c r="T483" s="10" t="str">
        <f t="shared" si="96"/>
        <v>уникален</v>
      </c>
    </row>
    <row r="484" ht="15" customHeight="1">
      <c r="A484" s="10">
        <v>482</v>
      </c>
      <c r="B484" s="11" t="str">
        <f>RAW_Товары!A483</f>
        <v>АРТ_482</v>
      </c>
      <c r="C484" s="11" t="str">
        <f>RAW_Товары!B483</f>
        <v xml:space="preserve">планшет HUAWEI MATEPAD 11</v>
      </c>
      <c r="D484" s="11" t="str">
        <f>RAW_Товары!C483</f>
        <v>Планшеты</v>
      </c>
      <c r="E484" s="11" t="str">
        <f>RAW_Товары!D483</f>
        <v>huawei</v>
      </c>
      <c r="F484" s="11" t="str">
        <f>RAW_Товары!E483</f>
        <v xml:space="preserve">24 000</v>
      </c>
      <c r="G484" s="11" t="str">
        <f>RAW_Товары!F483</f>
        <v xml:space="preserve">38 500</v>
      </c>
      <c r="H484" s="11" t="str">
        <f>RAW_Товары!G483</f>
        <v>штуки</v>
      </c>
      <c r="I484" s="12" t="str">
        <f t="shared" ref="I484:I503" si="98">SUBSTITUTE(SUBSTITUTE(B484,"№АРТ-",""),"АРТ_","")</f>
        <v>482</v>
      </c>
      <c r="J484" s="12" t="str">
        <f t="shared" ref="J484:J503" si="99">TRIM(LEFT(C484,IFERROR(FIND("(",C484)-1,LEN(C484))))</f>
        <v xml:space="preserve">планшет HUAWEI MATEPAD 11</v>
      </c>
      <c r="K484" s="12" t="str">
        <f t="shared" ref="K484:K503" si="100">TRIM(D484)</f>
        <v>Планшеты</v>
      </c>
      <c r="L484" s="13" t="str">
        <f t="shared" ref="L484:L503" si="101">"АРТ-"&amp;LEFT(I484,3)</f>
        <v>АРТ-482</v>
      </c>
      <c r="M484" s="13" t="str">
        <f t="shared" ref="M484:M503" si="102">PROPER(TRIM(J484))</f>
        <v xml:space="preserve">Планшет Huawei Matepad 11</v>
      </c>
      <c r="N484" s="13" t="str">
        <f>IFERROR(VLOOKUP(K484,Справочники!$A$6:$B$16,2,0),"НЕТ В СПРАВОЧНИКЕ")</f>
        <v>Планшеты</v>
      </c>
      <c r="O484" s="13" t="str">
        <f t="shared" ref="O484:O503" si="103">PROPER(TRIM(E484))</f>
        <v>Huawei</v>
      </c>
      <c r="P484" s="14">
        <f t="shared" ref="P484:P503" si="104">ROUND(VALUE(SUBSTITUTE(SUBSTITUTE(F484," ",""),",",".")),2)</f>
        <v>24000</v>
      </c>
      <c r="Q484" s="14">
        <f t="shared" ref="Q484:Q503" si="105">ROUND(VALUE(SUBSTITUTE(SUBSTITUTE(G484," ",""),",",".")),2)</f>
        <v>38500</v>
      </c>
      <c r="R484" s="13" t="str">
        <f t="shared" si="97"/>
        <v>шт</v>
      </c>
      <c r="S484" s="10" t="str">
        <f t="shared" ref="S484:S503" si="106">IF(Q484&gt;=P484,"OK","ОШИБКА: розница &lt; закупки")</f>
        <v>OK</v>
      </c>
      <c r="T484" s="10" t="str">
        <f t="shared" ref="T484:T503" si="107">IF(COUNTIF($L$3:$L$503,L484)=1,"уникален","ДУБЛЬ")</f>
        <v>уникален</v>
      </c>
    </row>
    <row r="485" ht="15" customHeight="1">
      <c r="A485" s="10">
        <v>483</v>
      </c>
      <c r="B485" s="11" t="str">
        <f>RAW_Товары!A484</f>
        <v>483/24</v>
      </c>
      <c r="C485" s="11" t="str">
        <f>RAW_Товары!B484</f>
        <v xml:space="preserve">Планшет Huawei MatePad 11 (2023)</v>
      </c>
      <c r="D485" s="11" t="str">
        <f>RAW_Товары!C484</f>
        <v>Планшеты</v>
      </c>
      <c r="E485" s="11" t="str">
        <f>RAW_Товары!D484</f>
        <v>HUAWEI</v>
      </c>
      <c r="F485" s="11" t="str">
        <f>RAW_Товары!E484</f>
        <v xml:space="preserve">26 000</v>
      </c>
      <c r="G485" s="11" t="str">
        <f>RAW_Товары!F484</f>
        <v xml:space="preserve">41 500</v>
      </c>
      <c r="H485" s="11" t="str">
        <f>RAW_Товары!G484</f>
        <v>шт</v>
      </c>
      <c r="I485" s="12" t="str">
        <f t="shared" si="98"/>
        <v>483/24</v>
      </c>
      <c r="J485" s="12" t="str">
        <f t="shared" si="99"/>
        <v xml:space="preserve">Планшет Huawei MatePad 11</v>
      </c>
      <c r="K485" s="12" t="str">
        <f t="shared" si="100"/>
        <v>Планшеты</v>
      </c>
      <c r="L485" s="13" t="str">
        <f t="shared" si="101"/>
        <v>АРТ-483</v>
      </c>
      <c r="M485" s="13" t="str">
        <f t="shared" si="102"/>
        <v xml:space="preserve">Планшет Huawei Matepad 11</v>
      </c>
      <c r="N485" s="13" t="str">
        <f>IFERROR(VLOOKUP(K485,Справочники!$A$6:$B$16,2,0),"НЕТ В СПРАВОЧНИКЕ")</f>
        <v>Планшеты</v>
      </c>
      <c r="O485" s="13" t="str">
        <f t="shared" si="103"/>
        <v>Huawei</v>
      </c>
      <c r="P485" s="14">
        <f t="shared" si="104"/>
        <v>26000</v>
      </c>
      <c r="Q485" s="14">
        <f t="shared" si="105"/>
        <v>41500</v>
      </c>
      <c r="R485" s="13" t="str">
        <f t="shared" si="97"/>
        <v>шт</v>
      </c>
      <c r="S485" s="10" t="str">
        <f t="shared" si="106"/>
        <v>OK</v>
      </c>
      <c r="T485" s="10" t="str">
        <f t="shared" si="107"/>
        <v>уникален</v>
      </c>
    </row>
    <row r="486" ht="15" customHeight="1">
      <c r="A486" s="10">
        <v>484</v>
      </c>
      <c r="B486" s="11" t="str">
        <f>RAW_Товары!A485</f>
        <v>№АРТ-484</v>
      </c>
      <c r="C486" s="11" t="str">
        <f>RAW_Товары!B485</f>
        <v xml:space="preserve">Смартфон Google Pixel 6a</v>
      </c>
      <c r="D486" s="11" t="str">
        <f>RAW_Товары!C485</f>
        <v>Смартфоны</v>
      </c>
      <c r="E486" s="11" t="str">
        <f>RAW_Товары!D485</f>
        <v>Google</v>
      </c>
      <c r="F486" s="11" t="str">
        <f>RAW_Товары!E485</f>
        <v xml:space="preserve">20 000</v>
      </c>
      <c r="G486" s="11" t="str">
        <f>RAW_Товары!F485</f>
        <v xml:space="preserve">33 990</v>
      </c>
      <c r="H486" s="11" t="str">
        <f>RAW_Товары!G485</f>
        <v>шт.</v>
      </c>
      <c r="I486" s="12" t="str">
        <f t="shared" si="98"/>
        <v>484</v>
      </c>
      <c r="J486" s="12" t="str">
        <f t="shared" si="99"/>
        <v xml:space="preserve">Смартфон Google Pixel 6a</v>
      </c>
      <c r="K486" s="12" t="str">
        <f t="shared" si="100"/>
        <v>Смартфоны</v>
      </c>
      <c r="L486" s="13" t="str">
        <f t="shared" si="101"/>
        <v>АРТ-484</v>
      </c>
      <c r="M486" s="13" t="str">
        <f t="shared" si="102"/>
        <v xml:space="preserve">Смартфон Google Pixel 6A</v>
      </c>
      <c r="N486" s="13" t="str">
        <f>IFERROR(VLOOKUP(K486,Справочники!$A$6:$B$16,2,0),"НЕТ В СПРАВОЧНИКЕ")</f>
        <v>Смартфоны</v>
      </c>
      <c r="O486" s="13" t="str">
        <f t="shared" si="103"/>
        <v>Google</v>
      </c>
      <c r="P486" s="14">
        <f t="shared" si="104"/>
        <v>20000</v>
      </c>
      <c r="Q486" s="14">
        <f t="shared" si="105"/>
        <v>33990</v>
      </c>
      <c r="R486" s="13" t="str">
        <f t="shared" si="97"/>
        <v>шт</v>
      </c>
      <c r="S486" s="10" t="str">
        <f t="shared" si="106"/>
        <v>OK</v>
      </c>
      <c r="T486" s="10" t="str">
        <f t="shared" si="107"/>
        <v>уникален</v>
      </c>
    </row>
    <row r="487" ht="15" customHeight="1">
      <c r="A487" s="10">
        <v>485</v>
      </c>
      <c r="B487" s="11" t="str">
        <f>RAW_Товары!A486</f>
        <v>АРТ_485</v>
      </c>
      <c r="C487" s="11" t="str">
        <f>RAW_Товары!B486</f>
        <v xml:space="preserve">смартфон GOOGLE PIXEL 6A</v>
      </c>
      <c r="D487" s="11" t="str">
        <f>RAW_Товары!C486</f>
        <v>Телефоны</v>
      </c>
      <c r="E487" s="11" t="str">
        <f>RAW_Товары!D486</f>
        <v>google</v>
      </c>
      <c r="F487" s="11" t="str">
        <f>RAW_Товары!E486</f>
        <v xml:space="preserve">19 000</v>
      </c>
      <c r="G487" s="11" t="str">
        <f>RAW_Товары!F486</f>
        <v xml:space="preserve">32 500</v>
      </c>
      <c r="H487" s="11" t="str">
        <f>RAW_Товары!G486</f>
        <v>штука</v>
      </c>
      <c r="I487" s="12" t="str">
        <f t="shared" si="98"/>
        <v>485</v>
      </c>
      <c r="J487" s="12" t="str">
        <f t="shared" si="99"/>
        <v xml:space="preserve">смартфон GOOGLE PIXEL 6A</v>
      </c>
      <c r="K487" s="12" t="str">
        <f t="shared" si="100"/>
        <v>Телефоны</v>
      </c>
      <c r="L487" s="13" t="str">
        <f t="shared" si="101"/>
        <v>АРТ-485</v>
      </c>
      <c r="M487" s="13" t="str">
        <f t="shared" si="102"/>
        <v xml:space="preserve">Смартфон Google Pixel 6A</v>
      </c>
      <c r="N487" s="13" t="str">
        <f>IFERROR(VLOOKUP(K487,Справочники!$A$6:$B$16,2,0),"НЕТ В СПРАВОЧНИКЕ")</f>
        <v>Смартфоны</v>
      </c>
      <c r="O487" s="13" t="str">
        <f t="shared" si="103"/>
        <v>Google</v>
      </c>
      <c r="P487" s="14">
        <f t="shared" si="104"/>
        <v>19000</v>
      </c>
      <c r="Q487" s="14">
        <f t="shared" si="105"/>
        <v>32500</v>
      </c>
      <c r="R487" s="13" t="str">
        <f t="shared" si="97"/>
        <v>шт</v>
      </c>
      <c r="S487" s="10" t="str">
        <f t="shared" si="106"/>
        <v>OK</v>
      </c>
      <c r="T487" s="10" t="str">
        <f t="shared" si="107"/>
        <v>уникален</v>
      </c>
    </row>
    <row r="488" ht="15" customHeight="1">
      <c r="A488" s="10">
        <v>486</v>
      </c>
      <c r="B488" s="11" t="str">
        <f>RAW_Товары!A487</f>
        <v>486-24</v>
      </c>
      <c r="C488" s="11" t="str">
        <f>RAW_Товары!B487</f>
        <v xml:space="preserve">Смартфон Google Pixel 6a (Charcoal)</v>
      </c>
      <c r="D488" s="11" t="str">
        <f>RAW_Товары!C487</f>
        <v xml:space="preserve">Мобильные телефоны</v>
      </c>
      <c r="E488" s="11" t="str">
        <f>RAW_Товары!D487</f>
        <v>GOOGLE</v>
      </c>
      <c r="F488" s="11" t="str">
        <f>RAW_Товары!E487</f>
        <v xml:space="preserve">21 000</v>
      </c>
      <c r="G488" s="11" t="str">
        <f>RAW_Товары!F487</f>
        <v xml:space="preserve">35 500</v>
      </c>
      <c r="H488" s="11" t="str">
        <f>RAW_Товары!G487</f>
        <v>шт</v>
      </c>
      <c r="I488" s="12" t="str">
        <f t="shared" si="98"/>
        <v>486-24</v>
      </c>
      <c r="J488" s="12" t="str">
        <f t="shared" si="99"/>
        <v xml:space="preserve">Смартфон Google Pixel 6a</v>
      </c>
      <c r="K488" s="12" t="str">
        <f t="shared" si="100"/>
        <v xml:space="preserve">Мобильные телефоны</v>
      </c>
      <c r="L488" s="13" t="str">
        <f t="shared" si="101"/>
        <v>АРТ-486</v>
      </c>
      <c r="M488" s="13" t="str">
        <f t="shared" si="102"/>
        <v xml:space="preserve">Смартфон Google Pixel 6A</v>
      </c>
      <c r="N488" s="13" t="str">
        <f>IFERROR(VLOOKUP(K488,Справочники!$A$6:$B$16,2,0),"НЕТ В СПРАВОЧНИКЕ")</f>
        <v>Смартфоны</v>
      </c>
      <c r="O488" s="13" t="str">
        <f t="shared" si="103"/>
        <v>Google</v>
      </c>
      <c r="P488" s="14">
        <f t="shared" si="104"/>
        <v>21000</v>
      </c>
      <c r="Q488" s="14">
        <f t="shared" si="105"/>
        <v>35500</v>
      </c>
      <c r="R488" s="13" t="str">
        <f t="shared" si="97"/>
        <v>шт</v>
      </c>
      <c r="S488" s="10" t="str">
        <f t="shared" si="106"/>
        <v>OK</v>
      </c>
      <c r="T488" s="10" t="str">
        <f t="shared" si="107"/>
        <v>уникален</v>
      </c>
    </row>
    <row r="489" ht="15" customHeight="1">
      <c r="A489" s="10">
        <v>487</v>
      </c>
      <c r="B489" s="11" t="str">
        <f>RAW_Товары!A488</f>
        <v>№АРТ-487</v>
      </c>
      <c r="C489" s="11" t="str">
        <f>RAW_Товары!B488</f>
        <v xml:space="preserve">Ноутбук Dell XPS 13</v>
      </c>
      <c r="D489" s="11" t="str">
        <f>RAW_Товары!C488</f>
        <v>Ноутбуки</v>
      </c>
      <c r="E489" s="11" t="str">
        <f>RAW_Товары!D488</f>
        <v>Dell</v>
      </c>
      <c r="F489" s="11" t="str">
        <f>RAW_Товары!E488</f>
        <v xml:space="preserve">72 000</v>
      </c>
      <c r="G489" s="11" t="str">
        <f>RAW_Товары!F488</f>
        <v xml:space="preserve">110 990</v>
      </c>
      <c r="H489" s="11" t="str">
        <f>RAW_Товары!G488</f>
        <v>шт.</v>
      </c>
      <c r="I489" s="12" t="str">
        <f t="shared" si="98"/>
        <v>487</v>
      </c>
      <c r="J489" s="12" t="str">
        <f t="shared" si="99"/>
        <v xml:space="preserve">Ноутбук Dell XPS 13</v>
      </c>
      <c r="K489" s="12" t="str">
        <f t="shared" si="100"/>
        <v>Ноутбуки</v>
      </c>
      <c r="L489" s="13" t="str">
        <f t="shared" si="101"/>
        <v>АРТ-487</v>
      </c>
      <c r="M489" s="13" t="str">
        <f t="shared" si="102"/>
        <v xml:space="preserve">Ноутбук Dell Xps 13</v>
      </c>
      <c r="N489" s="13" t="str">
        <f>IFERROR(VLOOKUP(K489,Справочники!$A$6:$B$16,2,0),"НЕТ В СПРАВОЧНИКЕ")</f>
        <v>Ноутбуки</v>
      </c>
      <c r="O489" s="13" t="str">
        <f t="shared" si="103"/>
        <v>Dell</v>
      </c>
      <c r="P489" s="14">
        <f t="shared" si="104"/>
        <v>72000</v>
      </c>
      <c r="Q489" s="14">
        <f t="shared" si="105"/>
        <v>110990</v>
      </c>
      <c r="R489" s="13" t="str">
        <f t="shared" si="97"/>
        <v>шт</v>
      </c>
      <c r="S489" s="10" t="str">
        <f t="shared" si="106"/>
        <v>OK</v>
      </c>
      <c r="T489" s="10" t="str">
        <f t="shared" si="107"/>
        <v>уникален</v>
      </c>
    </row>
    <row r="490" ht="15" customHeight="1">
      <c r="A490" s="10">
        <v>488</v>
      </c>
      <c r="B490" s="11" t="str">
        <f>RAW_Товары!A489</f>
        <v>АРТ_488</v>
      </c>
      <c r="C490" s="11" t="str">
        <f>RAW_Товары!B489</f>
        <v xml:space="preserve">ноутбук DELL XPS 13</v>
      </c>
      <c r="D490" s="11" t="str">
        <f>RAW_Товары!C489</f>
        <v>Лэптопы</v>
      </c>
      <c r="E490" s="11" t="str">
        <f>RAW_Товары!D489</f>
        <v>dell</v>
      </c>
      <c r="F490" s="11" t="str">
        <f>RAW_Товары!E489</f>
        <v xml:space="preserve">70 000</v>
      </c>
      <c r="G490" s="11" t="str">
        <f>RAW_Товары!F489</f>
        <v xml:space="preserve">108 000</v>
      </c>
      <c r="H490" s="11" t="str">
        <f>RAW_Товары!G489</f>
        <v>штуки</v>
      </c>
      <c r="I490" s="12" t="str">
        <f t="shared" si="98"/>
        <v>488</v>
      </c>
      <c r="J490" s="12" t="str">
        <f t="shared" si="99"/>
        <v xml:space="preserve">ноутбук DELL XPS 13</v>
      </c>
      <c r="K490" s="12" t="str">
        <f t="shared" si="100"/>
        <v>Лэптопы</v>
      </c>
      <c r="L490" s="13" t="str">
        <f t="shared" si="101"/>
        <v>АРТ-488</v>
      </c>
      <c r="M490" s="13" t="str">
        <f t="shared" si="102"/>
        <v xml:space="preserve">Ноутбук Dell Xps 13</v>
      </c>
      <c r="N490" s="13" t="str">
        <f>IFERROR(VLOOKUP(K490,Справочники!$A$6:$B$16,2,0),"НЕТ В СПРАВОЧНИКЕ")</f>
        <v>Ноутбуки</v>
      </c>
      <c r="O490" s="13" t="str">
        <f t="shared" si="103"/>
        <v>Dell</v>
      </c>
      <c r="P490" s="14">
        <f t="shared" si="104"/>
        <v>70000</v>
      </c>
      <c r="Q490" s="14">
        <f t="shared" si="105"/>
        <v>108000</v>
      </c>
      <c r="R490" s="13" t="str">
        <f t="shared" si="97"/>
        <v>шт</v>
      </c>
      <c r="S490" s="10" t="str">
        <f t="shared" si="106"/>
        <v>OK</v>
      </c>
      <c r="T490" s="10" t="str">
        <f t="shared" si="107"/>
        <v>уникален</v>
      </c>
    </row>
    <row r="491" ht="15" customHeight="1">
      <c r="A491" s="10">
        <v>489</v>
      </c>
      <c r="B491" s="11" t="str">
        <f>RAW_Товары!A490</f>
        <v>489/24</v>
      </c>
      <c r="C491" s="11" t="str">
        <f>RAW_Товары!B490</f>
        <v xml:space="preserve">Ноутбук Dell XPS 13 (Plus)</v>
      </c>
      <c r="D491" s="11" t="str">
        <f>RAW_Товары!C490</f>
        <v>Ноутбуки</v>
      </c>
      <c r="E491" s="11" t="str">
        <f>RAW_Товары!D490</f>
        <v>DELL</v>
      </c>
      <c r="F491" s="11" t="str">
        <f>RAW_Товары!E490</f>
        <v xml:space="preserve">73 500</v>
      </c>
      <c r="G491" s="11" t="str">
        <f>RAW_Товары!F490</f>
        <v xml:space="preserve">113 500</v>
      </c>
      <c r="H491" s="11" t="str">
        <f>RAW_Товары!G490</f>
        <v>шт</v>
      </c>
      <c r="I491" s="12" t="str">
        <f t="shared" si="98"/>
        <v>489/24</v>
      </c>
      <c r="J491" s="12" t="str">
        <f t="shared" si="99"/>
        <v xml:space="preserve">Ноутбук Dell XPS 13</v>
      </c>
      <c r="K491" s="12" t="str">
        <f t="shared" si="100"/>
        <v>Ноутбуки</v>
      </c>
      <c r="L491" s="13" t="str">
        <f t="shared" si="101"/>
        <v>АРТ-489</v>
      </c>
      <c r="M491" s="13" t="str">
        <f t="shared" si="102"/>
        <v xml:space="preserve">Ноутбук Dell Xps 13</v>
      </c>
      <c r="N491" s="13" t="str">
        <f>IFERROR(VLOOKUP(K491,Справочники!$A$6:$B$16,2,0),"НЕТ В СПРАВОЧНИКЕ")</f>
        <v>Ноутбуки</v>
      </c>
      <c r="O491" s="13" t="str">
        <f t="shared" si="103"/>
        <v>Dell</v>
      </c>
      <c r="P491" s="14">
        <f t="shared" si="104"/>
        <v>73500</v>
      </c>
      <c r="Q491" s="14">
        <f t="shared" si="105"/>
        <v>113500</v>
      </c>
      <c r="R491" s="13" t="str">
        <f t="shared" si="97"/>
        <v>шт</v>
      </c>
      <c r="S491" s="10" t="str">
        <f t="shared" si="106"/>
        <v>OK</v>
      </c>
      <c r="T491" s="10" t="str">
        <f t="shared" si="107"/>
        <v>уникален</v>
      </c>
    </row>
    <row r="492" ht="15" customHeight="1">
      <c r="A492" s="10">
        <v>490</v>
      </c>
      <c r="B492" s="11" t="str">
        <f>RAW_Товары!A491</f>
        <v>№АРТ-490</v>
      </c>
      <c r="C492" s="11" t="str">
        <f>RAW_Товары!B491</f>
        <v xml:space="preserve">Телевизор Sony X75L</v>
      </c>
      <c r="D492" s="11" t="str">
        <f>RAW_Товары!C491</f>
        <v>Телевизоры</v>
      </c>
      <c r="E492" s="11" t="str">
        <f>RAW_Товары!D491</f>
        <v>Sony</v>
      </c>
      <c r="F492" s="11" t="str">
        <f>RAW_Товары!E491</f>
        <v xml:space="preserve">40 000</v>
      </c>
      <c r="G492" s="11" t="str">
        <f>RAW_Товары!F491</f>
        <v xml:space="preserve">61 990</v>
      </c>
      <c r="H492" s="11" t="str">
        <f>RAW_Товары!G491</f>
        <v>шт.</v>
      </c>
      <c r="I492" s="12" t="str">
        <f t="shared" si="98"/>
        <v>490</v>
      </c>
      <c r="J492" s="12" t="str">
        <f t="shared" si="99"/>
        <v xml:space="preserve">Телевизор Sony X75L</v>
      </c>
      <c r="K492" s="12" t="str">
        <f t="shared" si="100"/>
        <v>Телевизоры</v>
      </c>
      <c r="L492" s="13" t="str">
        <f t="shared" si="101"/>
        <v>АРТ-490</v>
      </c>
      <c r="M492" s="13" t="str">
        <f t="shared" si="102"/>
        <v xml:space="preserve">Телевизор Sony X75L</v>
      </c>
      <c r="N492" s="13" t="str">
        <f>IFERROR(VLOOKUP(K492,Справочники!$A$6:$B$16,2,0),"НЕТ В СПРАВОЧНИКЕ")</f>
        <v>Телевизоры</v>
      </c>
      <c r="O492" s="13" t="str">
        <f t="shared" si="103"/>
        <v>Sony</v>
      </c>
      <c r="P492" s="14">
        <f t="shared" si="104"/>
        <v>40000</v>
      </c>
      <c r="Q492" s="14">
        <f t="shared" si="105"/>
        <v>61990</v>
      </c>
      <c r="R492" s="13" t="str">
        <f t="shared" si="97"/>
        <v>шт</v>
      </c>
      <c r="S492" s="10" t="str">
        <f t="shared" si="106"/>
        <v>OK</v>
      </c>
      <c r="T492" s="10" t="str">
        <f t="shared" si="107"/>
        <v>уникален</v>
      </c>
    </row>
    <row r="493" ht="15" customHeight="1">
      <c r="A493" s="10">
        <v>491</v>
      </c>
      <c r="B493" s="11" t="str">
        <f>RAW_Товары!A492</f>
        <v>АРТ_491</v>
      </c>
      <c r="C493" s="11" t="str">
        <f>RAW_Товары!B492</f>
        <v xml:space="preserve">телевизор SONY X75L</v>
      </c>
      <c r="D493" s="11" t="str">
        <f>RAW_Товары!C492</f>
        <v>Телевизоры</v>
      </c>
      <c r="E493" s="11" t="str">
        <f>RAW_Товары!D492</f>
        <v>sony</v>
      </c>
      <c r="F493" s="11" t="str">
        <f>RAW_Товары!E492</f>
        <v xml:space="preserve">38 500</v>
      </c>
      <c r="G493" s="11" t="str">
        <f>RAW_Товары!F492</f>
        <v xml:space="preserve">59 500</v>
      </c>
      <c r="H493" s="11" t="str">
        <f>RAW_Товары!G492</f>
        <v>штука</v>
      </c>
      <c r="I493" s="12" t="str">
        <f t="shared" si="98"/>
        <v>491</v>
      </c>
      <c r="J493" s="12" t="str">
        <f t="shared" si="99"/>
        <v xml:space="preserve">телевизор SONY X75L</v>
      </c>
      <c r="K493" s="12" t="str">
        <f t="shared" si="100"/>
        <v>Телевизоры</v>
      </c>
      <c r="L493" s="13" t="str">
        <f t="shared" si="101"/>
        <v>АРТ-491</v>
      </c>
      <c r="M493" s="13" t="str">
        <f t="shared" si="102"/>
        <v xml:space="preserve">Телевизор Sony X75L</v>
      </c>
      <c r="N493" s="13" t="str">
        <f>IFERROR(VLOOKUP(K493,Справочники!$A$6:$B$16,2,0),"НЕТ В СПРАВОЧНИКЕ")</f>
        <v>Телевизоры</v>
      </c>
      <c r="O493" s="13" t="str">
        <f t="shared" si="103"/>
        <v>Sony</v>
      </c>
      <c r="P493" s="14">
        <f t="shared" si="104"/>
        <v>38500</v>
      </c>
      <c r="Q493" s="14">
        <f t="shared" si="105"/>
        <v>59500</v>
      </c>
      <c r="R493" s="13" t="str">
        <f t="shared" si="97"/>
        <v>шт</v>
      </c>
      <c r="S493" s="10" t="str">
        <f t="shared" si="106"/>
        <v>OK</v>
      </c>
      <c r="T493" s="10" t="str">
        <f t="shared" si="107"/>
        <v>уникален</v>
      </c>
    </row>
    <row r="494" ht="15" customHeight="1">
      <c r="A494" s="10">
        <v>492</v>
      </c>
      <c r="B494" s="11" t="str">
        <f>RAW_Товары!A493</f>
        <v>492-24</v>
      </c>
      <c r="C494" s="11" t="str">
        <f>RAW_Товары!B493</f>
        <v xml:space="preserve">Телевизор Sony X75L (50")</v>
      </c>
      <c r="D494" s="11" t="str">
        <f>RAW_Товары!C493</f>
        <v>Телевизоры</v>
      </c>
      <c r="E494" s="11" t="str">
        <f>RAW_Товары!D493</f>
        <v>SONY</v>
      </c>
      <c r="F494" s="11" t="str">
        <f>RAW_Товары!E493</f>
        <v xml:space="preserve">41 500</v>
      </c>
      <c r="G494" s="11" t="str">
        <f>RAW_Товары!F493</f>
        <v xml:space="preserve">64 000</v>
      </c>
      <c r="H494" s="11" t="str">
        <f>RAW_Товары!G493</f>
        <v>шт</v>
      </c>
      <c r="I494" s="12" t="str">
        <f t="shared" si="98"/>
        <v>492-24</v>
      </c>
      <c r="J494" s="12" t="str">
        <f t="shared" si="99"/>
        <v xml:space="preserve">Телевизор Sony X75L</v>
      </c>
      <c r="K494" s="12" t="str">
        <f t="shared" si="100"/>
        <v>Телевизоры</v>
      </c>
      <c r="L494" s="13" t="str">
        <f t="shared" si="101"/>
        <v>АРТ-492</v>
      </c>
      <c r="M494" s="13" t="str">
        <f t="shared" si="102"/>
        <v xml:space="preserve">Телевизор Sony X75L</v>
      </c>
      <c r="N494" s="13" t="str">
        <f>IFERROR(VLOOKUP(K494,Справочники!$A$6:$B$16,2,0),"НЕТ В СПРАВОЧНИКЕ")</f>
        <v>Телевизоры</v>
      </c>
      <c r="O494" s="13" t="str">
        <f t="shared" si="103"/>
        <v>Sony</v>
      </c>
      <c r="P494" s="14">
        <f t="shared" si="104"/>
        <v>41500</v>
      </c>
      <c r="Q494" s="14">
        <f t="shared" si="105"/>
        <v>64000</v>
      </c>
      <c r="R494" s="13" t="str">
        <f t="shared" si="97"/>
        <v>шт</v>
      </c>
      <c r="S494" s="10" t="str">
        <f t="shared" si="106"/>
        <v>OK</v>
      </c>
      <c r="T494" s="10" t="str">
        <f t="shared" si="107"/>
        <v>уникален</v>
      </c>
    </row>
    <row r="495" ht="15" customHeight="1">
      <c r="A495" s="10">
        <v>493</v>
      </c>
      <c r="B495" s="11" t="str">
        <f>RAW_Товары!A494</f>
        <v>№АРТ-493</v>
      </c>
      <c r="C495" s="11" t="str">
        <f>RAW_Товары!B494</f>
        <v xml:space="preserve">Наушники Sennheiser HD 450BT</v>
      </c>
      <c r="D495" s="11" t="str">
        <f>RAW_Товары!C494</f>
        <v>Наушники</v>
      </c>
      <c r="E495" s="11" t="str">
        <f>RAW_Товары!D494</f>
        <v>Sennheiser</v>
      </c>
      <c r="F495" s="11" t="str">
        <f>RAW_Товары!E494</f>
        <v xml:space="preserve">9 000</v>
      </c>
      <c r="G495" s="11" t="str">
        <f>RAW_Товары!F494</f>
        <v xml:space="preserve">14 990</v>
      </c>
      <c r="H495" s="11" t="str">
        <f>RAW_Товары!G494</f>
        <v>шт.</v>
      </c>
      <c r="I495" s="12" t="str">
        <f t="shared" si="98"/>
        <v>493</v>
      </c>
      <c r="J495" s="12" t="str">
        <f t="shared" si="99"/>
        <v xml:space="preserve">Наушники Sennheiser HD 450BT</v>
      </c>
      <c r="K495" s="12" t="str">
        <f t="shared" si="100"/>
        <v>Наушники</v>
      </c>
      <c r="L495" s="13" t="str">
        <f t="shared" si="101"/>
        <v>АРТ-493</v>
      </c>
      <c r="M495" s="13" t="str">
        <f t="shared" si="102"/>
        <v xml:space="preserve">Наушники Sennheiser Hd 450Bt</v>
      </c>
      <c r="N495" s="13" t="str">
        <f>IFERROR(VLOOKUP(K495,Справочники!$A$6:$B$16,2,0),"НЕТ В СПРАВОЧНИКЕ")</f>
        <v>Наушники</v>
      </c>
      <c r="O495" s="13" t="str">
        <f t="shared" si="103"/>
        <v>Sennheiser</v>
      </c>
      <c r="P495" s="14">
        <f t="shared" si="104"/>
        <v>9000</v>
      </c>
      <c r="Q495" s="14">
        <f t="shared" si="105"/>
        <v>14990</v>
      </c>
      <c r="R495" s="13" t="str">
        <f t="shared" si="97"/>
        <v>шт</v>
      </c>
      <c r="S495" s="10" t="str">
        <f t="shared" si="106"/>
        <v>OK</v>
      </c>
      <c r="T495" s="10" t="str">
        <f t="shared" si="107"/>
        <v>уникален</v>
      </c>
    </row>
    <row r="496" ht="15" customHeight="1">
      <c r="A496" s="10">
        <v>494</v>
      </c>
      <c r="B496" s="11" t="str">
        <f>RAW_Товары!A495</f>
        <v>АРТ_494</v>
      </c>
      <c r="C496" s="11" t="str">
        <f>RAW_Товары!B495</f>
        <v xml:space="preserve">наушники SENNHEISER HD 450BT</v>
      </c>
      <c r="D496" s="11" t="str">
        <f>RAW_Товары!C495</f>
        <v>Наушники</v>
      </c>
      <c r="E496" s="11" t="str">
        <f>RAW_Товары!D495</f>
        <v>sennheiser</v>
      </c>
      <c r="F496" s="11" t="str">
        <f>RAW_Товары!E495</f>
        <v xml:space="preserve">8 500</v>
      </c>
      <c r="G496" s="11" t="str">
        <f>RAW_Товары!F495</f>
        <v xml:space="preserve">14 000</v>
      </c>
      <c r="H496" s="11" t="str">
        <f>RAW_Товары!G495</f>
        <v>штуки</v>
      </c>
      <c r="I496" s="12" t="str">
        <f t="shared" si="98"/>
        <v>494</v>
      </c>
      <c r="J496" s="12" t="str">
        <f t="shared" si="99"/>
        <v xml:space="preserve">наушники SENNHEISER HD 450BT</v>
      </c>
      <c r="K496" s="12" t="str">
        <f t="shared" si="100"/>
        <v>Наушники</v>
      </c>
      <c r="L496" s="13" t="str">
        <f t="shared" si="101"/>
        <v>АРТ-494</v>
      </c>
      <c r="M496" s="13" t="str">
        <f t="shared" si="102"/>
        <v xml:space="preserve">Наушники Sennheiser Hd 450Bt</v>
      </c>
      <c r="N496" s="13" t="str">
        <f>IFERROR(VLOOKUP(K496,Справочники!$A$6:$B$16,2,0),"НЕТ В СПРАВОЧНИКЕ")</f>
        <v>Наушники</v>
      </c>
      <c r="O496" s="13" t="str">
        <f t="shared" si="103"/>
        <v>Sennheiser</v>
      </c>
      <c r="P496" s="14">
        <f t="shared" si="104"/>
        <v>8500</v>
      </c>
      <c r="Q496" s="14">
        <f t="shared" si="105"/>
        <v>14000</v>
      </c>
      <c r="R496" s="13" t="str">
        <f t="shared" si="97"/>
        <v>шт</v>
      </c>
      <c r="S496" s="10" t="str">
        <f t="shared" si="106"/>
        <v>OK</v>
      </c>
      <c r="T496" s="10" t="str">
        <f t="shared" si="107"/>
        <v>уникален</v>
      </c>
    </row>
    <row r="497" ht="15" customHeight="1">
      <c r="A497" s="10">
        <v>495</v>
      </c>
      <c r="B497" s="11" t="str">
        <f>RAW_Товары!A496</f>
        <v>495/24</v>
      </c>
      <c r="C497" s="11" t="str">
        <f>RAW_Товары!B496</f>
        <v xml:space="preserve">Наушники Sennheiser HD 450BT (Black)</v>
      </c>
      <c r="D497" s="11" t="str">
        <f>RAW_Товары!C496</f>
        <v>Наушники</v>
      </c>
      <c r="E497" s="11" t="str">
        <f>RAW_Товары!D496</f>
        <v>SENNHEISER</v>
      </c>
      <c r="F497" s="11" t="str">
        <f>RAW_Товары!E496</f>
        <v xml:space="preserve">9 500</v>
      </c>
      <c r="G497" s="11" t="str">
        <f>RAW_Товары!F496</f>
        <v xml:space="preserve">15 800</v>
      </c>
      <c r="H497" s="11" t="str">
        <f>RAW_Товары!G496</f>
        <v>шт</v>
      </c>
      <c r="I497" s="12" t="str">
        <f t="shared" si="98"/>
        <v>495/24</v>
      </c>
      <c r="J497" s="12" t="str">
        <f t="shared" si="99"/>
        <v xml:space="preserve">Наушники Sennheiser HD 450BT</v>
      </c>
      <c r="K497" s="12" t="str">
        <f t="shared" si="100"/>
        <v>Наушники</v>
      </c>
      <c r="L497" s="13" t="str">
        <f t="shared" si="101"/>
        <v>АРТ-495</v>
      </c>
      <c r="M497" s="13" t="str">
        <f t="shared" si="102"/>
        <v xml:space="preserve">Наушники Sennheiser Hd 450Bt</v>
      </c>
      <c r="N497" s="13" t="str">
        <f>IFERROR(VLOOKUP(K497,Справочники!$A$6:$B$16,2,0),"НЕТ В СПРАВОЧНИКЕ")</f>
        <v>Наушники</v>
      </c>
      <c r="O497" s="13" t="str">
        <f t="shared" si="103"/>
        <v>Sennheiser</v>
      </c>
      <c r="P497" s="14">
        <f t="shared" si="104"/>
        <v>9500</v>
      </c>
      <c r="Q497" s="14">
        <f t="shared" si="105"/>
        <v>15800</v>
      </c>
      <c r="R497" s="13" t="str">
        <f t="shared" si="97"/>
        <v>шт</v>
      </c>
      <c r="S497" s="10" t="str">
        <f t="shared" si="106"/>
        <v>OK</v>
      </c>
      <c r="T497" s="10" t="str">
        <f t="shared" si="107"/>
        <v>уникален</v>
      </c>
    </row>
    <row r="498" ht="15" customHeight="1">
      <c r="A498" s="10">
        <v>496</v>
      </c>
      <c r="B498" s="11" t="str">
        <f>RAW_Товары!A497</f>
        <v>№АРТ-496</v>
      </c>
      <c r="C498" s="11" t="str">
        <f>RAW_Товары!B497</f>
        <v xml:space="preserve">Монитор ASUS TUF VG32VQ</v>
      </c>
      <c r="D498" s="11" t="str">
        <f>RAW_Товары!C497</f>
        <v>Мониторы</v>
      </c>
      <c r="E498" s="11" t="str">
        <f>RAW_Товары!D497</f>
        <v>ASUS</v>
      </c>
      <c r="F498" s="11" t="str">
        <f>RAW_Товары!E497</f>
        <v xml:space="preserve">38 000</v>
      </c>
      <c r="G498" s="11" t="str">
        <f>RAW_Товары!F497</f>
        <v xml:space="preserve">59 990</v>
      </c>
      <c r="H498" s="11" t="str">
        <f>RAW_Товары!G497</f>
        <v>шт.</v>
      </c>
      <c r="I498" s="12" t="str">
        <f t="shared" si="98"/>
        <v>496</v>
      </c>
      <c r="J498" s="12" t="str">
        <f t="shared" si="99"/>
        <v xml:space="preserve">Монитор ASUS TUF VG32VQ</v>
      </c>
      <c r="K498" s="12" t="str">
        <f t="shared" si="100"/>
        <v>Мониторы</v>
      </c>
      <c r="L498" s="13" t="str">
        <f t="shared" si="101"/>
        <v>АРТ-496</v>
      </c>
      <c r="M498" s="13" t="str">
        <f t="shared" si="102"/>
        <v xml:space="preserve">Монитор Asus Tuf Vg32Vq</v>
      </c>
      <c r="N498" s="13" t="str">
        <f>IFERROR(VLOOKUP(K498,Справочники!$A$6:$B$16,2,0),"НЕТ В СПРАВОЧНИКЕ")</f>
        <v>Мониторы</v>
      </c>
      <c r="O498" s="13" t="str">
        <f t="shared" si="103"/>
        <v>Asus</v>
      </c>
      <c r="P498" s="14">
        <f t="shared" si="104"/>
        <v>38000</v>
      </c>
      <c r="Q498" s="14">
        <f t="shared" si="105"/>
        <v>59990</v>
      </c>
      <c r="R498" s="13" t="str">
        <f t="shared" si="97"/>
        <v>шт</v>
      </c>
      <c r="S498" s="10" t="str">
        <f t="shared" si="106"/>
        <v>OK</v>
      </c>
      <c r="T498" s="10" t="str">
        <f t="shared" si="107"/>
        <v>уникален</v>
      </c>
    </row>
    <row r="499" ht="15" customHeight="1">
      <c r="A499" s="10">
        <v>497</v>
      </c>
      <c r="B499" s="11" t="str">
        <f>RAW_Товары!A498</f>
        <v>АРТ_497</v>
      </c>
      <c r="C499" s="11" t="str">
        <f>RAW_Товары!B498</f>
        <v xml:space="preserve">монитор ASUS TUF VG32VQ</v>
      </c>
      <c r="D499" s="11" t="str">
        <f>RAW_Товары!C498</f>
        <v>Мониторы</v>
      </c>
      <c r="E499" s="11" t="str">
        <f>RAW_Товары!D498</f>
        <v>asus</v>
      </c>
      <c r="F499" s="11" t="str">
        <f>RAW_Товары!E498</f>
        <v xml:space="preserve">36 500</v>
      </c>
      <c r="G499" s="11" t="str">
        <f>RAW_Товары!F498</f>
        <v xml:space="preserve">57 500</v>
      </c>
      <c r="H499" s="11" t="str">
        <f>RAW_Товары!G498</f>
        <v>штука</v>
      </c>
      <c r="I499" s="12" t="str">
        <f t="shared" si="98"/>
        <v>497</v>
      </c>
      <c r="J499" s="12" t="str">
        <f t="shared" si="99"/>
        <v xml:space="preserve">монитор ASUS TUF VG32VQ</v>
      </c>
      <c r="K499" s="12" t="str">
        <f t="shared" si="100"/>
        <v>Мониторы</v>
      </c>
      <c r="L499" s="13" t="str">
        <f t="shared" si="101"/>
        <v>АРТ-497</v>
      </c>
      <c r="M499" s="13" t="str">
        <f t="shared" si="102"/>
        <v xml:space="preserve">Монитор Asus Tuf Vg32Vq</v>
      </c>
      <c r="N499" s="13" t="str">
        <f>IFERROR(VLOOKUP(K499,Справочники!$A$6:$B$16,2,0),"НЕТ В СПРАВОЧНИКЕ")</f>
        <v>Мониторы</v>
      </c>
      <c r="O499" s="13" t="str">
        <f t="shared" si="103"/>
        <v>Asus</v>
      </c>
      <c r="P499" s="14">
        <f t="shared" si="104"/>
        <v>36500</v>
      </c>
      <c r="Q499" s="14">
        <f t="shared" si="105"/>
        <v>57500</v>
      </c>
      <c r="R499" s="13" t="str">
        <f t="shared" si="97"/>
        <v>шт</v>
      </c>
      <c r="S499" s="10" t="str">
        <f t="shared" si="106"/>
        <v>OK</v>
      </c>
      <c r="T499" s="10" t="str">
        <f t="shared" si="107"/>
        <v>уникален</v>
      </c>
    </row>
    <row r="500" ht="15" customHeight="1">
      <c r="A500" s="10">
        <v>498</v>
      </c>
      <c r="B500" s="11" t="str">
        <f>RAW_Товары!A499</f>
        <v>498-24</v>
      </c>
      <c r="C500" s="11" t="str">
        <f>RAW_Товары!B499</f>
        <v xml:space="preserve">Монитор ASUS TUF VG32VQ (Curved)</v>
      </c>
      <c r="D500" s="11" t="str">
        <f>RAW_Товары!C499</f>
        <v>Мониторы</v>
      </c>
      <c r="E500" s="11" t="str">
        <f>RAW_Товары!D499</f>
        <v>ASUS</v>
      </c>
      <c r="F500" s="11" t="str">
        <f>RAW_Товары!E499</f>
        <v xml:space="preserve">39 500</v>
      </c>
      <c r="G500" s="11" t="str">
        <f>RAW_Товары!F499</f>
        <v xml:space="preserve">62 000</v>
      </c>
      <c r="H500" s="11" t="str">
        <f>RAW_Товары!G499</f>
        <v>шт</v>
      </c>
      <c r="I500" s="12" t="str">
        <f t="shared" si="98"/>
        <v>498-24</v>
      </c>
      <c r="J500" s="12" t="str">
        <f t="shared" si="99"/>
        <v xml:space="preserve">Монитор ASUS TUF VG32VQ</v>
      </c>
      <c r="K500" s="12" t="str">
        <f t="shared" si="100"/>
        <v>Мониторы</v>
      </c>
      <c r="L500" s="13" t="str">
        <f t="shared" si="101"/>
        <v>АРТ-498</v>
      </c>
      <c r="M500" s="13" t="str">
        <f t="shared" si="102"/>
        <v xml:space="preserve">Монитор Asus Tuf Vg32Vq</v>
      </c>
      <c r="N500" s="13" t="str">
        <f>IFERROR(VLOOKUP(K500,Справочники!$A$6:$B$16,2,0),"НЕТ В СПРАВОЧНИКЕ")</f>
        <v>Мониторы</v>
      </c>
      <c r="O500" s="13" t="str">
        <f t="shared" si="103"/>
        <v>Asus</v>
      </c>
      <c r="P500" s="14">
        <f t="shared" si="104"/>
        <v>39500</v>
      </c>
      <c r="Q500" s="14">
        <f t="shared" si="105"/>
        <v>62000</v>
      </c>
      <c r="R500" s="13" t="str">
        <f t="shared" si="97"/>
        <v>шт</v>
      </c>
      <c r="S500" s="10" t="str">
        <f t="shared" si="106"/>
        <v>OK</v>
      </c>
      <c r="T500" s="10" t="str">
        <f t="shared" si="107"/>
        <v>уникален</v>
      </c>
    </row>
    <row r="501" ht="15" customHeight="1">
      <c r="A501" s="10">
        <v>499</v>
      </c>
      <c r="B501" s="11" t="str">
        <f>RAW_Товары!A500</f>
        <v>№АРТ-499</v>
      </c>
      <c r="C501" s="11" t="str">
        <f>RAW_Товары!B500</f>
        <v xml:space="preserve">Клавиатура Logitech POP Keys</v>
      </c>
      <c r="D501" s="11" t="str">
        <f>RAW_Товары!C500</f>
        <v>Аксессуары</v>
      </c>
      <c r="E501" s="11" t="str">
        <f>RAW_Товары!D500</f>
        <v>Logitech</v>
      </c>
      <c r="F501" s="11" t="str">
        <f>RAW_Товары!E500</f>
        <v xml:space="preserve">3 500</v>
      </c>
      <c r="G501" s="11" t="str">
        <f>RAW_Товары!F500</f>
        <v xml:space="preserve">5 990</v>
      </c>
      <c r="H501" s="11" t="str">
        <f>RAW_Товары!G500</f>
        <v>шт.</v>
      </c>
      <c r="I501" s="12" t="str">
        <f t="shared" si="98"/>
        <v>499</v>
      </c>
      <c r="J501" s="12" t="str">
        <f t="shared" si="99"/>
        <v xml:space="preserve">Клавиатура Logitech POP Keys</v>
      </c>
      <c r="K501" s="12" t="str">
        <f t="shared" si="100"/>
        <v>Аксессуары</v>
      </c>
      <c r="L501" s="13" t="str">
        <f t="shared" si="101"/>
        <v>АРТ-499</v>
      </c>
      <c r="M501" s="13" t="str">
        <f t="shared" si="102"/>
        <v xml:space="preserve">Клавиатура Logitech Pop Keys</v>
      </c>
      <c r="N501" s="13" t="str">
        <f>IFERROR(VLOOKUP(K501,Справочники!$A$6:$B$16,2,0),"НЕТ В СПРАВОЧНИКЕ")</f>
        <v>Аксессуары</v>
      </c>
      <c r="O501" s="13" t="str">
        <f t="shared" si="103"/>
        <v>Logitech</v>
      </c>
      <c r="P501" s="14">
        <f t="shared" si="104"/>
        <v>3500</v>
      </c>
      <c r="Q501" s="14">
        <f t="shared" si="105"/>
        <v>5990</v>
      </c>
      <c r="R501" s="13" t="str">
        <f t="shared" si="97"/>
        <v>шт</v>
      </c>
      <c r="S501" s="10" t="str">
        <f t="shared" si="106"/>
        <v>OK</v>
      </c>
      <c r="T501" s="10" t="str">
        <f t="shared" si="107"/>
        <v>уникален</v>
      </c>
    </row>
    <row r="502" ht="15" customHeight="1">
      <c r="A502" s="10">
        <v>500</v>
      </c>
      <c r="B502" s="11" t="str">
        <f>RAW_Товары!A501</f>
        <v>АРТ_500</v>
      </c>
      <c r="C502" s="11" t="str">
        <f>RAW_Товары!B501</f>
        <v xml:space="preserve">клавиатура LOGITECH POP KEYS</v>
      </c>
      <c r="D502" s="11" t="str">
        <f>RAW_Товары!C501</f>
        <v>Аксессуары</v>
      </c>
      <c r="E502" s="11" t="str">
        <f>RAW_Товары!D501</f>
        <v>logitech</v>
      </c>
      <c r="F502" s="11" t="str">
        <f>RAW_Товары!E501</f>
        <v xml:space="preserve">3 000</v>
      </c>
      <c r="G502" s="11" t="str">
        <f>RAW_Товары!F501</f>
        <v xml:space="preserve">5 500</v>
      </c>
      <c r="H502" s="11" t="str">
        <f>RAW_Товары!G501</f>
        <v>штуки</v>
      </c>
      <c r="I502" s="12" t="str">
        <f t="shared" si="98"/>
        <v>500</v>
      </c>
      <c r="J502" s="12" t="str">
        <f t="shared" si="99"/>
        <v xml:space="preserve">клавиатура LOGITECH POP KEYS</v>
      </c>
      <c r="K502" s="12" t="str">
        <f t="shared" si="100"/>
        <v>Аксессуары</v>
      </c>
      <c r="L502" s="13" t="str">
        <f t="shared" si="101"/>
        <v>АРТ-500</v>
      </c>
      <c r="M502" s="13" t="str">
        <f t="shared" si="102"/>
        <v xml:space="preserve">Клавиатура Logitech Pop Keys</v>
      </c>
      <c r="N502" s="13" t="str">
        <f>IFERROR(VLOOKUP(K502,Справочники!$A$6:$B$16,2,0),"НЕТ В СПРАВОЧНИКЕ")</f>
        <v>Аксессуары</v>
      </c>
      <c r="O502" s="13" t="str">
        <f t="shared" si="103"/>
        <v>Logitech</v>
      </c>
      <c r="P502" s="14">
        <f t="shared" si="104"/>
        <v>3000</v>
      </c>
      <c r="Q502" s="14">
        <f t="shared" si="105"/>
        <v>5500</v>
      </c>
      <c r="R502" s="13" t="str">
        <f t="shared" si="97"/>
        <v>шт</v>
      </c>
      <c r="S502" s="10" t="str">
        <f t="shared" si="106"/>
        <v>OK</v>
      </c>
      <c r="T502" s="10" t="str">
        <f t="shared" si="107"/>
        <v>уникален</v>
      </c>
    </row>
    <row r="503" ht="15" customHeight="1">
      <c r="A503" s="10">
        <v>501</v>
      </c>
      <c r="B503" s="11" t="str">
        <f>RAW_Товары!A502</f>
        <v>501/24</v>
      </c>
      <c r="C503" s="11" t="str">
        <f>RAW_Товары!B502</f>
        <v xml:space="preserve">Клавиатура Logitech POP Keys (Pink)</v>
      </c>
      <c r="D503" s="11" t="str">
        <f>RAW_Товары!C502</f>
        <v>Аксессуары</v>
      </c>
      <c r="E503" s="11" t="str">
        <f>RAW_Товары!D502</f>
        <v>LOGITECH</v>
      </c>
      <c r="F503" s="11" t="str">
        <f>RAW_Товары!E502</f>
        <v xml:space="preserve">4 000</v>
      </c>
      <c r="G503" s="11" t="str">
        <f>RAW_Товары!F502</f>
        <v xml:space="preserve">6 800</v>
      </c>
      <c r="H503" s="11" t="str">
        <f>RAW_Товары!G502</f>
        <v>шт</v>
      </c>
      <c r="I503" s="12" t="str">
        <f t="shared" si="98"/>
        <v>501/24</v>
      </c>
      <c r="J503" s="12" t="str">
        <f t="shared" si="99"/>
        <v xml:space="preserve">Клавиатура Logitech POP Keys</v>
      </c>
      <c r="K503" s="12" t="str">
        <f t="shared" si="100"/>
        <v>Аксессуары</v>
      </c>
      <c r="L503" s="13" t="str">
        <f t="shared" si="101"/>
        <v>АРТ-501</v>
      </c>
      <c r="M503" s="13" t="str">
        <f t="shared" si="102"/>
        <v xml:space="preserve">Клавиатура Logitech Pop Keys</v>
      </c>
      <c r="N503" s="13" t="str">
        <f>IFERROR(VLOOKUP(K503,Справочники!$A$6:$B$16,2,0),"НЕТ В СПРАВОЧНИКЕ")</f>
        <v>Аксессуары</v>
      </c>
      <c r="O503" s="13" t="str">
        <f t="shared" si="103"/>
        <v>Logitech</v>
      </c>
      <c r="P503" s="14">
        <f t="shared" si="104"/>
        <v>4000</v>
      </c>
      <c r="Q503" s="14">
        <f t="shared" si="105"/>
        <v>6800</v>
      </c>
      <c r="R503" s="13" t="str">
        <f t="shared" si="97"/>
        <v>шт</v>
      </c>
      <c r="S503" s="10" t="str">
        <f t="shared" si="106"/>
        <v>OK</v>
      </c>
      <c r="T503" s="10" t="str">
        <f t="shared" si="107"/>
        <v>уникален</v>
      </c>
    </row>
    <row r="505" ht="15" customHeight="1">
      <c r="B505" s="15" t="s">
        <v>96</v>
      </c>
    </row>
    <row r="506" ht="15" customHeight="1">
      <c r="B506" s="16" t="s">
        <v>97</v>
      </c>
    </row>
    <row r="507" ht="15" customHeight="1">
      <c r="B507" s="16" t="s">
        <v>98</v>
      </c>
    </row>
    <row r="508" ht="15" customHeight="1">
      <c r="B508" s="16" t="s">
        <v>99</v>
      </c>
    </row>
  </sheetData>
  <printOptions headings="0" gridLines="0"/>
  <pageMargins left="0.75" right="0.75" top="1" bottom="1" header="0.51181102362204689" footer="0.51181102362204689"/>
  <pageSetup paperSize="9" scale="100" fitToWidth="1" fitToHeight="1" pageOrder="downThenOver" orientation="portrait" usePrinterDefaults="1" blackAndWhite="0" draft="0" cellComments="none" useFirstPageNumber="0" errors="displayed" horizontalDpi="300" verticalDpi="300" copies="1"/>
  <headerFooter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filterMode="0">
    <outlinePr applyStyles="0" summaryBelow="1" summaryRight="1" showOutlineSymbols="1"/>
    <pageSetUpPr autoPageBreaks="1" fitToPage="0"/>
  </sheetPr>
  <sheetViews>
    <sheetView showFormulas="0" showGridLines="0" showRowColHeaders="1" showZeros="1" showRuler="1" view="normal" topLeftCell="A1" zoomScale="100" workbookViewId="0">
      <pane ySplit="2" topLeftCell="A3" activePane="bottomLeft" state="frozen"/>
      <selection activeCell="A1" activeCellId="0" sqref="A1"/>
    </sheetView>
  </sheetViews>
  <sheetFormatPr defaultColWidth="8.6796875" defaultRowHeight="14.25"/>
  <cols>
    <col customWidth="1" min="1" max="1" style="1" width="5"/>
    <col customWidth="1" min="2" max="2" style="1" width="8"/>
    <col customWidth="1" min="3" max="3" style="1" width="22"/>
    <col customWidth="1" min="4" max="4" style="1" width="16"/>
    <col customWidth="1" min="5" max="5" style="1" width="12"/>
    <col customWidth="1" min="6" max="6" style="1" width="20"/>
    <col customWidth="1" min="7" max="7" style="1" width="22"/>
    <col customWidth="1" min="8" max="8" style="1" width="42"/>
    <col customWidth="1" min="9" max="9" style="1" width="16"/>
    <col customWidth="1" min="10" max="10" style="1" width="14"/>
    <col customWidth="1" min="11" max="11" style="1" width="20"/>
    <col customWidth="1" min="12" max="12" style="1" width="34"/>
    <col customWidth="1" min="13" max="13" style="1" width="8"/>
    <col customWidth="1" min="14" max="14" style="1" width="22"/>
    <col customWidth="1" min="15" max="15" style="1" width="14"/>
    <col customWidth="1" min="16" max="17" style="1" width="12"/>
    <col customWidth="1" min="18" max="19" style="1" width="20"/>
    <col customWidth="1" min="20" max="20" style="1" width="12"/>
    <col customWidth="1" min="21" max="21" style="1" width="10"/>
    <col customWidth="1" min="22" max="22" style="1" width="34"/>
  </cols>
  <sheetData>
    <row r="1" ht="15.75" customHeight="1">
      <c r="A1" s="8" t="s">
        <v>100</v>
      </c>
    </row>
    <row r="2" ht="21.75" customHeight="1">
      <c r="A2" s="9" t="s">
        <v>76</v>
      </c>
      <c r="B2" s="9" t="s">
        <v>101</v>
      </c>
      <c r="C2" s="9" t="s">
        <v>102</v>
      </c>
      <c r="D2" s="9" t="s">
        <v>103</v>
      </c>
      <c r="E2" s="9" t="s">
        <v>104</v>
      </c>
      <c r="F2" s="9" t="s">
        <v>105</v>
      </c>
      <c r="G2" s="9" t="s">
        <v>106</v>
      </c>
      <c r="H2" s="9" t="s">
        <v>107</v>
      </c>
      <c r="I2" s="9" t="s">
        <v>108</v>
      </c>
      <c r="J2" s="9" t="s">
        <v>109</v>
      </c>
      <c r="K2" s="9" t="s">
        <v>110</v>
      </c>
      <c r="L2" s="9" t="s">
        <v>111</v>
      </c>
      <c r="M2" s="9" t="s">
        <v>112</v>
      </c>
      <c r="N2" s="9" t="s">
        <v>113</v>
      </c>
      <c r="O2" s="9" t="s">
        <v>114</v>
      </c>
      <c r="P2" s="17" t="s">
        <v>115</v>
      </c>
      <c r="Q2" s="9" t="s">
        <v>116</v>
      </c>
      <c r="R2" s="9" t="s">
        <v>117</v>
      </c>
      <c r="S2" s="9" t="s">
        <v>118</v>
      </c>
      <c r="T2" s="17" t="s">
        <v>119</v>
      </c>
      <c r="U2" s="9" t="s">
        <v>120</v>
      </c>
      <c r="V2" s="9" t="s">
        <v>121</v>
      </c>
    </row>
    <row r="3" ht="15" customHeight="1">
      <c r="A3" s="10">
        <v>1</v>
      </c>
      <c r="B3" s="11" t="str">
        <f>RAW_Поставщики!A2</f>
        <v>P001</v>
      </c>
      <c r="C3" s="11" t="str">
        <f>RAW_Поставщики!B2</f>
        <v xml:space="preserve">ООО ТехноСнаб</v>
      </c>
      <c r="D3" s="11" t="str">
        <f>RAW_Поставщики!C2</f>
        <v>7708123456</v>
      </c>
      <c r="E3" s="11" t="str">
        <f>RAW_Поставщики!D2</f>
        <v>770801001</v>
      </c>
      <c r="F3" s="11" t="str">
        <f>RAW_Поставщики!E2</f>
        <v>8-903-123-45-67</v>
      </c>
      <c r="G3" s="11" t="str">
        <f>RAW_Поставщики!F2</f>
        <v>info@tehnosnab.ru</v>
      </c>
      <c r="H3" s="11" t="str">
        <f>RAW_Поставщики!G2</f>
        <v xml:space="preserve">125009 г.Москва ул.Тверская д.15</v>
      </c>
      <c r="I3" s="12" t="str">
        <f t="shared" ref="I3:I9" si="108">SUBSTITUTE(SUBSTITUTE(TRIM(D3)," ",""),CHAR(160),"")</f>
        <v>7708123456</v>
      </c>
      <c r="J3" s="12" t="str">
        <f t="shared" ref="J3:J9" si="109">SUBSTITUTE(SUBSTITUTE(SUBSTITUTE(SUBSTITUTE(SUBSTITUTE(SUBSTITUTE(F3," ",""),"-",""),"+",""),"(",""),")",""),CHAR(160),"")</f>
        <v>89031234567</v>
      </c>
      <c r="K3" s="12" t="str">
        <f t="shared" ref="K3:K9" si="110">SUBSTITUTE(SUBSTITUTE(TRIM(G3)," ",""),CHAR(160),"")</f>
        <v>info@tehnosnab.ru</v>
      </c>
      <c r="L3" s="12" t="str">
        <f t="shared" ref="L3:L9" si="111">TRIM(MID(H3,8,LEN(H3)))</f>
        <v xml:space="preserve">г.Москва ул.Тверская д.15</v>
      </c>
      <c r="M3" s="13" t="str">
        <f t="shared" ref="M3:M9" si="112">B3</f>
        <v>P001</v>
      </c>
      <c r="N3" s="13" t="str">
        <f t="shared" ref="N3:N9" si="113">TRIM(C3)</f>
        <v xml:space="preserve">ООО ТехноСнаб</v>
      </c>
      <c r="O3" s="13" t="str">
        <f t="shared" ref="O3:O9" si="114">IF(OR(LEN(I3)=10,LEN(I3)=12),I3,"")</f>
        <v>7708123456</v>
      </c>
      <c r="P3" s="13" t="str">
        <f t="shared" ref="P3:P9" si="115">IF(OR(LEN(I3)=10,LEN(I3)=12),"OK","Ошибка ИНН")</f>
        <v>OK</v>
      </c>
      <c r="Q3" s="13" t="str">
        <f t="shared" ref="Q3:Q9" si="116">E3</f>
        <v>770801001</v>
      </c>
      <c r="R3" s="13" t="str">
        <f t="shared" ref="R3:R9" si="117">IF(LEN(J3)&gt;=10,"+7 ("&amp;MID(J3,LEN(J3)-9,3)&amp;") "&amp;MID(J3,LEN(J3)-6,3)&amp;"-"&amp;MID(J3,LEN(J3)-3,2)&amp;"-"&amp;RIGHT(J3,2),"Ошибка телефона")</f>
        <v xml:space="preserve">+7 (903) 123-45-67</v>
      </c>
      <c r="S3" s="13" t="str">
        <f t="shared" ref="S3:S9" si="118">K3</f>
        <v>info@tehnosnab.ru</v>
      </c>
      <c r="T3" s="13" t="str">
        <f t="shared" ref="T3:T9" si="119">IF(AND(ISNUMBER(FIND("@",K3)),ISNUMBER(FIND(".",MID(K3,FIND("@",K3),100)))),"OK","Ошибка Email")</f>
        <v>OK</v>
      </c>
      <c r="U3" s="13" t="str">
        <f t="shared" ref="U3:U9" si="120">LEFT(TRIM(H3),6)</f>
        <v>125009</v>
      </c>
      <c r="V3" s="13" t="str">
        <f t="shared" ref="V3:V9" si="121">L3</f>
        <v xml:space="preserve">г.Москва ул.Тверская д.15</v>
      </c>
    </row>
    <row r="4" ht="15" customHeight="1">
      <c r="A4" s="10">
        <v>2</v>
      </c>
      <c r="B4" s="11" t="str">
        <f>RAW_Поставщики!A3</f>
        <v>P002</v>
      </c>
      <c r="C4" s="11" t="str">
        <f>RAW_Поставщики!B3</f>
        <v xml:space="preserve">ЗАО ЭлектроПром</v>
      </c>
      <c r="D4" s="11" t="str">
        <f>RAW_Поставщики!C3</f>
        <v>7812345678123</v>
      </c>
      <c r="E4" s="11" t="str">
        <f>RAW_Поставщики!D3</f>
        <v>781201001</v>
      </c>
      <c r="F4" s="11" t="str">
        <f>RAW_Поставщики!E3</f>
        <v xml:space="preserve">+7 903 234-56-78</v>
      </c>
      <c r="G4" s="11" t="str">
        <f>RAW_Поставщики!F3</f>
        <v>zakaz@electroprom</v>
      </c>
      <c r="H4" s="11" t="str">
        <f>RAW_Поставщики!G3</f>
        <v xml:space="preserve">191186 г.Санкт-Петербург Невский пр.д.28</v>
      </c>
      <c r="I4" s="12" t="str">
        <f t="shared" si="108"/>
        <v>7812345678123</v>
      </c>
      <c r="J4" s="12" t="str">
        <f t="shared" si="109"/>
        <v>79032345678</v>
      </c>
      <c r="K4" s="12" t="str">
        <f t="shared" si="110"/>
        <v>zakaz@electroprom</v>
      </c>
      <c r="L4" s="12" t="str">
        <f t="shared" si="111"/>
        <v xml:space="preserve">г.Санкт-Петербург Невский пр.д.28</v>
      </c>
      <c r="M4" s="13" t="str">
        <f t="shared" si="112"/>
        <v>P002</v>
      </c>
      <c r="N4" s="13" t="str">
        <f t="shared" si="113"/>
        <v xml:space="preserve">ЗАО ЭлектроПром</v>
      </c>
      <c r="O4" s="13" t="str">
        <f t="shared" si="114"/>
        <v/>
      </c>
      <c r="P4" s="18" t="str">
        <f t="shared" si="115"/>
        <v xml:space="preserve">Ошибка ИНН</v>
      </c>
      <c r="Q4" s="13" t="str">
        <f t="shared" si="116"/>
        <v>781201001</v>
      </c>
      <c r="R4" s="13" t="str">
        <f t="shared" si="117"/>
        <v xml:space="preserve">+7 (903) 234-56-78</v>
      </c>
      <c r="S4" s="13" t="str">
        <f t="shared" si="118"/>
        <v>zakaz@electroprom</v>
      </c>
      <c r="T4" s="18" t="str">
        <f t="shared" si="119"/>
        <v xml:space="preserve">Ошибка Email</v>
      </c>
      <c r="U4" s="13" t="str">
        <f t="shared" si="120"/>
        <v>191186</v>
      </c>
      <c r="V4" s="13" t="str">
        <f t="shared" si="121"/>
        <v xml:space="preserve">г.Санкт-Петербург Невский пр.д.28</v>
      </c>
    </row>
    <row r="5" ht="15" customHeight="1">
      <c r="A5" s="10">
        <v>3</v>
      </c>
      <c r="B5" s="11" t="str">
        <f>RAW_Поставщики!A4</f>
        <v>P003</v>
      </c>
      <c r="C5" s="11" t="str">
        <f>RAW_Поставщики!B4</f>
        <v xml:space="preserve">ООО КомплектСервис</v>
      </c>
      <c r="D5" s="11" t="str">
        <f>RAW_Поставщики!C4</f>
        <v>77098765</v>
      </c>
      <c r="E5" s="11" t="str">
        <f>RAW_Поставщики!D4</f>
        <v>770901001</v>
      </c>
      <c r="F5" s="11" t="str">
        <f>RAW_Поставщики!E4</f>
        <v xml:space="preserve">8 903 345 67 89</v>
      </c>
      <c r="G5" s="11" t="str">
        <f>RAW_Поставщики!F4</f>
        <v>komplekt@mail.ru</v>
      </c>
      <c r="H5" s="11" t="str">
        <f>RAW_Поставщики!G4</f>
        <v xml:space="preserve">127006 г.Москва ул.Петровка д.20</v>
      </c>
      <c r="I5" s="12" t="str">
        <f t="shared" si="108"/>
        <v>77098765</v>
      </c>
      <c r="J5" s="12" t="str">
        <f t="shared" si="109"/>
        <v>89033456789</v>
      </c>
      <c r="K5" s="12" t="str">
        <f t="shared" si="110"/>
        <v>komplekt@mail.ru</v>
      </c>
      <c r="L5" s="12" t="str">
        <f t="shared" si="111"/>
        <v xml:space="preserve">г.Москва ул.Петровка д.20</v>
      </c>
      <c r="M5" s="13" t="str">
        <f t="shared" si="112"/>
        <v>P003</v>
      </c>
      <c r="N5" s="13" t="str">
        <f t="shared" si="113"/>
        <v xml:space="preserve">ООО КомплектСервис</v>
      </c>
      <c r="O5" s="13" t="str">
        <f t="shared" si="114"/>
        <v/>
      </c>
      <c r="P5" s="18" t="str">
        <f t="shared" si="115"/>
        <v xml:space="preserve">Ошибка ИНН</v>
      </c>
      <c r="Q5" s="13" t="str">
        <f t="shared" si="116"/>
        <v>770901001</v>
      </c>
      <c r="R5" s="13" t="str">
        <f t="shared" si="117"/>
        <v xml:space="preserve">+7 (903) 345-67-89</v>
      </c>
      <c r="S5" s="13" t="str">
        <f t="shared" si="118"/>
        <v>komplekt@mail.ru</v>
      </c>
      <c r="T5" s="13" t="str">
        <f t="shared" si="119"/>
        <v>OK</v>
      </c>
      <c r="U5" s="13" t="str">
        <f t="shared" si="120"/>
        <v>127006</v>
      </c>
      <c r="V5" s="13" t="str">
        <f t="shared" si="121"/>
        <v xml:space="preserve">г.Москва ул.Петровка д.20</v>
      </c>
    </row>
    <row r="6" ht="15" customHeight="1">
      <c r="A6" s="10">
        <v>4</v>
      </c>
      <c r="B6" s="11" t="str">
        <f>RAW_Поставщики!A5</f>
        <v>P004</v>
      </c>
      <c r="C6" s="11" t="str">
        <f>RAW_Поставщики!B5</f>
        <v xml:space="preserve">АО ТехноИмпорт</v>
      </c>
      <c r="D6" s="11" t="str">
        <f>RAW_Поставщики!C5</f>
        <v>7712345678</v>
      </c>
      <c r="E6" s="11" t="str">
        <f>RAW_Поставщики!D5</f>
        <v>771001001</v>
      </c>
      <c r="F6" s="11" t="str">
        <f>RAW_Поставщики!E5</f>
        <v>+79034567890</v>
      </c>
      <c r="G6" s="11" t="str">
        <f>RAW_Поставщики!F5</f>
        <v>import@techno</v>
      </c>
      <c r="H6" s="11" t="str">
        <f>RAW_Поставщики!G5</f>
        <v xml:space="preserve">119019 г.Москва ул.Арбат д.12</v>
      </c>
      <c r="I6" s="12" t="str">
        <f t="shared" si="108"/>
        <v>7712345678</v>
      </c>
      <c r="J6" s="12" t="str">
        <f t="shared" si="109"/>
        <v>79034567890</v>
      </c>
      <c r="K6" s="12" t="str">
        <f t="shared" si="110"/>
        <v>import@techno</v>
      </c>
      <c r="L6" s="12" t="str">
        <f t="shared" si="111"/>
        <v xml:space="preserve">г.Москва ул.Арбат д.12</v>
      </c>
      <c r="M6" s="13" t="str">
        <f t="shared" si="112"/>
        <v>P004</v>
      </c>
      <c r="N6" s="13" t="str">
        <f t="shared" si="113"/>
        <v xml:space="preserve">АО ТехноИмпорт</v>
      </c>
      <c r="O6" s="13" t="str">
        <f t="shared" si="114"/>
        <v>7712345678</v>
      </c>
      <c r="P6" s="13" t="str">
        <f t="shared" si="115"/>
        <v>OK</v>
      </c>
      <c r="Q6" s="13" t="str">
        <f t="shared" si="116"/>
        <v>771001001</v>
      </c>
      <c r="R6" s="13" t="str">
        <f t="shared" si="117"/>
        <v xml:space="preserve">+7 (903) 456-78-90</v>
      </c>
      <c r="S6" s="13" t="str">
        <f t="shared" si="118"/>
        <v>import@techno</v>
      </c>
      <c r="T6" s="18" t="str">
        <f t="shared" si="119"/>
        <v xml:space="preserve">Ошибка Email</v>
      </c>
      <c r="U6" s="13" t="str">
        <f t="shared" si="120"/>
        <v>119019</v>
      </c>
      <c r="V6" s="13" t="str">
        <f t="shared" si="121"/>
        <v xml:space="preserve">г.Москва ул.Арбат д.12</v>
      </c>
    </row>
    <row r="7" ht="15" customHeight="1">
      <c r="A7" s="10">
        <v>5</v>
      </c>
      <c r="B7" s="11" t="str">
        <f>RAW_Поставщики!A6</f>
        <v>P005</v>
      </c>
      <c r="C7" s="11" t="str">
        <f>RAW_Поставщики!B6</f>
        <v xml:space="preserve">ООО ТоргМастер</v>
      </c>
      <c r="D7" s="11" t="str">
        <f>RAW_Поставщики!C6</f>
        <v>7801234567890</v>
      </c>
      <c r="E7" s="11" t="str">
        <f>RAW_Поставщики!D6</f>
        <v>780101001</v>
      </c>
      <c r="F7" s="11" t="str">
        <f>RAW_Поставщики!E6</f>
        <v>8-903-567-89-01</v>
      </c>
      <c r="G7" s="11" t="str">
        <f>RAW_Поставщики!F6</f>
        <v>torg@master</v>
      </c>
      <c r="H7" s="11" t="str">
        <f>RAW_Поставщики!G6</f>
        <v xml:space="preserve">192007 г.Санкт-Петербург пр.Обуховской Обороны д.120</v>
      </c>
      <c r="I7" s="12" t="str">
        <f t="shared" si="108"/>
        <v>7801234567890</v>
      </c>
      <c r="J7" s="12" t="str">
        <f t="shared" si="109"/>
        <v>89035678901</v>
      </c>
      <c r="K7" s="12" t="str">
        <f t="shared" si="110"/>
        <v>torg@master</v>
      </c>
      <c r="L7" s="12" t="str">
        <f t="shared" si="111"/>
        <v xml:space="preserve">г.Санкт-Петербург пр.Обуховской Обороны д.120</v>
      </c>
      <c r="M7" s="13" t="str">
        <f t="shared" si="112"/>
        <v>P005</v>
      </c>
      <c r="N7" s="13" t="str">
        <f t="shared" si="113"/>
        <v xml:space="preserve">ООО ТоргМастер</v>
      </c>
      <c r="O7" s="13" t="str">
        <f t="shared" si="114"/>
        <v/>
      </c>
      <c r="P7" s="18" t="str">
        <f t="shared" si="115"/>
        <v xml:space="preserve">Ошибка ИНН</v>
      </c>
      <c r="Q7" s="13" t="str">
        <f t="shared" si="116"/>
        <v>780101001</v>
      </c>
      <c r="R7" s="13" t="str">
        <f t="shared" si="117"/>
        <v xml:space="preserve">+7 (903) 567-89-01</v>
      </c>
      <c r="S7" s="13" t="str">
        <f t="shared" si="118"/>
        <v>torg@master</v>
      </c>
      <c r="T7" s="18" t="str">
        <f t="shared" si="119"/>
        <v xml:space="preserve">Ошибка Email</v>
      </c>
      <c r="U7" s="13" t="str">
        <f t="shared" si="120"/>
        <v>192007</v>
      </c>
      <c r="V7" s="13" t="str">
        <f t="shared" si="121"/>
        <v xml:space="preserve">г.Санкт-Петербург пр.Обуховской Обороны д.120</v>
      </c>
    </row>
    <row r="8" ht="15" customHeight="1">
      <c r="A8" s="10">
        <v>6</v>
      </c>
      <c r="B8" s="11" t="str">
        <f>RAW_Поставщики!A7</f>
        <v>P006</v>
      </c>
      <c r="C8" s="11" t="str">
        <f>RAW_Поставщики!B7</f>
        <v xml:space="preserve">ЗАО Техноресурс</v>
      </c>
      <c r="D8" s="11" t="str">
        <f>RAW_Поставщики!C7</f>
        <v>77134567</v>
      </c>
      <c r="E8" s="11" t="str">
        <f>RAW_Поставщики!D7</f>
        <v>771101001</v>
      </c>
      <c r="F8" s="11" t="str">
        <f>RAW_Поставщики!E7</f>
        <v>8-903-678-90-12</v>
      </c>
      <c r="G8" s="11" t="str">
        <f>RAW_Поставщики!F7</f>
        <v>resurs@techno.ru</v>
      </c>
      <c r="H8" s="11" t="str">
        <f>RAW_Поставщики!G7</f>
        <v xml:space="preserve">119121 г.Москва ул.Плющиха д.25</v>
      </c>
      <c r="I8" s="12" t="str">
        <f t="shared" si="108"/>
        <v>77134567</v>
      </c>
      <c r="J8" s="12" t="str">
        <f t="shared" si="109"/>
        <v>89036789012</v>
      </c>
      <c r="K8" s="12" t="str">
        <f t="shared" si="110"/>
        <v>resurs@techno.ru</v>
      </c>
      <c r="L8" s="12" t="str">
        <f t="shared" si="111"/>
        <v xml:space="preserve">г.Москва ул.Плющиха д.25</v>
      </c>
      <c r="M8" s="13" t="str">
        <f t="shared" si="112"/>
        <v>P006</v>
      </c>
      <c r="N8" s="13" t="str">
        <f t="shared" si="113"/>
        <v xml:space="preserve">ЗАО Техноресурс</v>
      </c>
      <c r="O8" s="13" t="str">
        <f t="shared" si="114"/>
        <v/>
      </c>
      <c r="P8" s="18" t="str">
        <f t="shared" si="115"/>
        <v xml:space="preserve">Ошибка ИНН</v>
      </c>
      <c r="Q8" s="13" t="str">
        <f t="shared" si="116"/>
        <v>771101001</v>
      </c>
      <c r="R8" s="13" t="str">
        <f t="shared" si="117"/>
        <v xml:space="preserve">+7 (903) 678-90-12</v>
      </c>
      <c r="S8" s="13" t="str">
        <f t="shared" si="118"/>
        <v>resurs@techno.ru</v>
      </c>
      <c r="T8" s="13" t="str">
        <f t="shared" si="119"/>
        <v>OK</v>
      </c>
      <c r="U8" s="13" t="str">
        <f t="shared" si="120"/>
        <v>119121</v>
      </c>
      <c r="V8" s="13" t="str">
        <f t="shared" si="121"/>
        <v xml:space="preserve">г.Москва ул.Плющиха д.25</v>
      </c>
    </row>
    <row r="9" ht="15" customHeight="1">
      <c r="A9" s="10">
        <v>7</v>
      </c>
      <c r="B9" s="11" t="str">
        <f>RAW_Поставщики!A8</f>
        <v>P007</v>
      </c>
      <c r="C9" s="11" t="str">
        <f>RAW_Поставщики!B8</f>
        <v xml:space="preserve">ООО ПрогрессПлюс</v>
      </c>
      <c r="D9" s="11" t="str">
        <f>RAW_Поставщики!C8</f>
        <v>7802345678</v>
      </c>
      <c r="E9" s="11" t="str">
        <f>RAW_Поставщики!D8</f>
        <v>780201001</v>
      </c>
      <c r="F9" s="11" t="str">
        <f>RAW_Поставщики!E8</f>
        <v xml:space="preserve">+7 903 789-01-23</v>
      </c>
      <c r="G9" s="11" t="str">
        <f>RAW_Поставщики!F8</f>
        <v>progress@mail</v>
      </c>
      <c r="H9" s="11" t="str">
        <f>RAW_Поставщики!G8</f>
        <v xml:space="preserve">197022 г.Санкт-Петербург ул.Профессора Попова д.37</v>
      </c>
      <c r="I9" s="12" t="str">
        <f t="shared" si="108"/>
        <v>7802345678</v>
      </c>
      <c r="J9" s="12" t="str">
        <f t="shared" si="109"/>
        <v>79037890123</v>
      </c>
      <c r="K9" s="12" t="str">
        <f t="shared" si="110"/>
        <v>progress@mail</v>
      </c>
      <c r="L9" s="12" t="str">
        <f t="shared" si="111"/>
        <v xml:space="preserve">г.Санкт-Петербург ул.Профессора Попова д.37</v>
      </c>
      <c r="M9" s="13" t="str">
        <f t="shared" si="112"/>
        <v>P007</v>
      </c>
      <c r="N9" s="13" t="str">
        <f t="shared" si="113"/>
        <v xml:space="preserve">ООО ПрогрессПлюс</v>
      </c>
      <c r="O9" s="13" t="str">
        <f t="shared" si="114"/>
        <v>7802345678</v>
      </c>
      <c r="P9" s="13" t="str">
        <f t="shared" si="115"/>
        <v>OK</v>
      </c>
      <c r="Q9" s="13" t="str">
        <f t="shared" si="116"/>
        <v>780201001</v>
      </c>
      <c r="R9" s="13" t="str">
        <f t="shared" si="117"/>
        <v xml:space="preserve">+7 (903) 789-01-23</v>
      </c>
      <c r="S9" s="13" t="str">
        <f t="shared" si="118"/>
        <v>progress@mail</v>
      </c>
      <c r="T9" s="18" t="str">
        <f t="shared" si="119"/>
        <v xml:space="preserve">Ошибка Email</v>
      </c>
      <c r="U9" s="13" t="str">
        <f t="shared" si="120"/>
        <v>197022</v>
      </c>
      <c r="V9" s="13" t="str">
        <f t="shared" si="121"/>
        <v xml:space="preserve">г.Санкт-Петербург ул.Профессора Попова д.37</v>
      </c>
    </row>
    <row r="10" ht="15" customHeight="1">
      <c r="A10" s="10">
        <v>8</v>
      </c>
      <c r="B10" s="11" t="str">
        <f>RAW_Поставщики!A9</f>
        <v>P008</v>
      </c>
      <c r="C10" s="11" t="str">
        <f>RAW_Поставщики!B9</f>
        <v xml:space="preserve">АО ЭлектронСбыт</v>
      </c>
      <c r="D10" s="11" t="str">
        <f>RAW_Поставщики!C9</f>
        <v>771456789012</v>
      </c>
      <c r="E10" s="11" t="str">
        <f>RAW_Поставщики!D9</f>
        <v>771201001</v>
      </c>
      <c r="F10" s="11" t="str">
        <f>RAW_Поставщики!E9</f>
        <v>8-903-890-12-34</v>
      </c>
      <c r="G10" s="11" t="str">
        <f>RAW_Поставщики!F9</f>
        <v>electron@sbyt</v>
      </c>
      <c r="H10" s="11" t="str">
        <f>RAW_Поставщики!G9</f>
        <v xml:space="preserve">109316 г.Москва ул.Таганская д.54</v>
      </c>
      <c r="I10" s="12" t="str">
        <f t="shared" ref="I10:I52" si="122">SUBSTITUTE(SUBSTITUTE(TRIM(D10)," ",""),CHAR(160),"")</f>
        <v>771456789012</v>
      </c>
      <c r="J10" s="12" t="str">
        <f t="shared" ref="J10:J52" si="123">SUBSTITUTE(SUBSTITUTE(SUBSTITUTE(SUBSTITUTE(SUBSTITUTE(SUBSTITUTE(F10," ",""),"-",""),"+",""),"(",""),")",""),CHAR(160),"")</f>
        <v>89038901234</v>
      </c>
      <c r="K10" s="12" t="str">
        <f t="shared" ref="K10:K52" si="124">SUBSTITUTE(SUBSTITUTE(TRIM(G10)," ",""),CHAR(160),"")</f>
        <v>electron@sbyt</v>
      </c>
      <c r="L10" s="12" t="str">
        <f t="shared" ref="L10:L52" si="125">TRIM(MID(H10,8,LEN(H10)))</f>
        <v xml:space="preserve">г.Москва ул.Таганская д.54</v>
      </c>
      <c r="M10" s="13" t="str">
        <f t="shared" ref="M10:M52" si="126">B10</f>
        <v>P008</v>
      </c>
      <c r="N10" s="13" t="str">
        <f t="shared" ref="N10:N52" si="127">TRIM(C10)</f>
        <v xml:space="preserve">АО ЭлектронСбыт</v>
      </c>
      <c r="O10" s="13" t="str">
        <f t="shared" ref="O10:O52" si="128">IF(OR(LEN(I10)=10,LEN(I10)=12),I10,"")</f>
        <v>771456789012</v>
      </c>
      <c r="P10" s="13" t="str">
        <f t="shared" ref="P10:P52" si="129">IF(OR(LEN(I10)=10,LEN(I10)=12),"OK","Ошибка ИНН")</f>
        <v>OK</v>
      </c>
      <c r="Q10" s="13" t="str">
        <f t="shared" ref="Q10:Q52" si="130">E10</f>
        <v>771201001</v>
      </c>
      <c r="R10" s="13" t="str">
        <f t="shared" ref="R10:R52" si="131">IF(LEN(J10)&gt;=10,"+7 ("&amp;MID(J10,LEN(J10)-9,3)&amp;") "&amp;MID(J10,LEN(J10)-6,3)&amp;"-"&amp;MID(J10,LEN(J10)-3,2)&amp;"-"&amp;RIGHT(J10,2),"Ошибка телефона")</f>
        <v xml:space="preserve">+7 (903) 890-12-34</v>
      </c>
      <c r="S10" s="13" t="str">
        <f t="shared" ref="S10:S52" si="132">K10</f>
        <v>electron@sbyt</v>
      </c>
      <c r="T10" s="18" t="str">
        <f t="shared" ref="T10:T52" si="133">IF(AND(ISNUMBER(FIND("@",K10)),ISNUMBER(FIND(".",MID(K10,FIND("@",K10),100)))),"OK","Ошибка Email")</f>
        <v xml:space="preserve">Ошибка Email</v>
      </c>
      <c r="U10" s="13" t="str">
        <f t="shared" ref="U10:U52" si="134">LEFT(TRIM(H10),6)</f>
        <v>109316</v>
      </c>
      <c r="V10" s="13" t="str">
        <f t="shared" ref="V10:V52" si="135">L10</f>
        <v xml:space="preserve">г.Москва ул.Таганская д.54</v>
      </c>
    </row>
    <row r="11" ht="15" customHeight="1">
      <c r="A11" s="10">
        <v>9</v>
      </c>
      <c r="B11" s="11" t="str">
        <f>RAW_Поставщики!A10</f>
        <v>P009</v>
      </c>
      <c r="C11" s="11" t="str">
        <f>RAW_Поставщики!B10</f>
        <v xml:space="preserve">ООО СмартТех</v>
      </c>
      <c r="D11" s="11" t="str">
        <f>RAW_Поставщики!C10</f>
        <v>7803456789</v>
      </c>
      <c r="E11" s="11" t="str">
        <f>RAW_Поставщики!D10</f>
        <v>780301001</v>
      </c>
      <c r="F11" s="11" t="str">
        <f>RAW_Поставщики!E10</f>
        <v>+79039012345</v>
      </c>
      <c r="G11" s="11" t="str">
        <f>RAW_Поставщики!F10</f>
        <v>smart@tech</v>
      </c>
      <c r="H11" s="11" t="str">
        <f>RAW_Поставщики!G10</f>
        <v xml:space="preserve">196084 г.Санкт-Петербург ул.Заставская д.22</v>
      </c>
      <c r="I11" s="12" t="str">
        <f t="shared" si="122"/>
        <v>7803456789</v>
      </c>
      <c r="J11" s="12" t="str">
        <f t="shared" si="123"/>
        <v>79039012345</v>
      </c>
      <c r="K11" s="12" t="str">
        <f t="shared" si="124"/>
        <v>smart@tech</v>
      </c>
      <c r="L11" s="12" t="str">
        <f t="shared" si="125"/>
        <v xml:space="preserve">г.Санкт-Петербург ул.Заставская д.22</v>
      </c>
      <c r="M11" s="13" t="str">
        <f t="shared" si="126"/>
        <v>P009</v>
      </c>
      <c r="N11" s="13" t="str">
        <f t="shared" si="127"/>
        <v xml:space="preserve">ООО СмартТех</v>
      </c>
      <c r="O11" s="13" t="str">
        <f t="shared" si="128"/>
        <v>7803456789</v>
      </c>
      <c r="P11" s="13" t="str">
        <f t="shared" si="129"/>
        <v>OK</v>
      </c>
      <c r="Q11" s="13" t="str">
        <f t="shared" si="130"/>
        <v>780301001</v>
      </c>
      <c r="R11" s="13" t="str">
        <f t="shared" si="131"/>
        <v xml:space="preserve">+7 (903) 901-23-45</v>
      </c>
      <c r="S11" s="13" t="str">
        <f t="shared" si="132"/>
        <v>smart@tech</v>
      </c>
      <c r="T11" s="18" t="str">
        <f t="shared" si="133"/>
        <v xml:space="preserve">Ошибка Email</v>
      </c>
      <c r="U11" s="13" t="str">
        <f t="shared" si="134"/>
        <v>196084</v>
      </c>
      <c r="V11" s="13" t="str">
        <f t="shared" si="135"/>
        <v xml:space="preserve">г.Санкт-Петербург ул.Заставская д.22</v>
      </c>
    </row>
    <row r="12" ht="15" customHeight="1">
      <c r="A12" s="10">
        <v>10</v>
      </c>
      <c r="B12" s="11" t="str">
        <f>RAW_Поставщики!A11</f>
        <v>P010</v>
      </c>
      <c r="C12" s="11" t="str">
        <f>RAW_Поставщики!B11</f>
        <v xml:space="preserve">ЗАО ТехноПром</v>
      </c>
      <c r="D12" s="11" t="str">
        <f>RAW_Поставщики!C11</f>
        <v>7715678901</v>
      </c>
      <c r="E12" s="11" t="str">
        <f>RAW_Поставщики!D11</f>
        <v>771301001</v>
      </c>
      <c r="F12" s="11" t="str">
        <f>RAW_Поставщики!E11</f>
        <v>8-903-012-34-56</v>
      </c>
      <c r="G12" s="11" t="str">
        <f>RAW_Поставщики!F11</f>
        <v>prom@tehno</v>
      </c>
      <c r="H12" s="11" t="str">
        <f>RAW_Поставщики!G11</f>
        <v xml:space="preserve">119334 г.Москва ул.Косыгина д.17</v>
      </c>
      <c r="I12" s="12" t="str">
        <f t="shared" si="122"/>
        <v>7715678901</v>
      </c>
      <c r="J12" s="12" t="str">
        <f t="shared" si="123"/>
        <v>89030123456</v>
      </c>
      <c r="K12" s="12" t="str">
        <f t="shared" si="124"/>
        <v>prom@tehno</v>
      </c>
      <c r="L12" s="12" t="str">
        <f t="shared" si="125"/>
        <v xml:space="preserve">г.Москва ул.Косыгина д.17</v>
      </c>
      <c r="M12" s="13" t="str">
        <f t="shared" si="126"/>
        <v>P010</v>
      </c>
      <c r="N12" s="13" t="str">
        <f t="shared" si="127"/>
        <v xml:space="preserve">ЗАО ТехноПром</v>
      </c>
      <c r="O12" s="13" t="str">
        <f t="shared" si="128"/>
        <v>7715678901</v>
      </c>
      <c r="P12" s="13" t="str">
        <f t="shared" si="129"/>
        <v>OK</v>
      </c>
      <c r="Q12" s="13" t="str">
        <f t="shared" si="130"/>
        <v>771301001</v>
      </c>
      <c r="R12" s="13" t="str">
        <f t="shared" si="131"/>
        <v xml:space="preserve">+7 (903) 012-34-56</v>
      </c>
      <c r="S12" s="13" t="str">
        <f t="shared" si="132"/>
        <v>prom@tehno</v>
      </c>
      <c r="T12" s="18" t="str">
        <f t="shared" si="133"/>
        <v xml:space="preserve">Ошибка Email</v>
      </c>
      <c r="U12" s="13" t="str">
        <f t="shared" si="134"/>
        <v>119334</v>
      </c>
      <c r="V12" s="13" t="str">
        <f t="shared" si="135"/>
        <v xml:space="preserve">г.Москва ул.Косыгина д.17</v>
      </c>
    </row>
    <row r="13" ht="15" customHeight="1">
      <c r="A13" s="10">
        <v>11</v>
      </c>
      <c r="B13" s="11" t="str">
        <f>RAW_Поставщики!A12</f>
        <v>P011</v>
      </c>
      <c r="C13" s="11" t="str">
        <f>RAW_Поставщики!B12</f>
        <v xml:space="preserve">ООО СервисПлюс</v>
      </c>
      <c r="D13" s="11" t="str">
        <f>RAW_Поставщики!C12</f>
        <v>78045678</v>
      </c>
      <c r="E13" s="11" t="str">
        <f>RAW_Поставщики!D12</f>
        <v>780401001</v>
      </c>
      <c r="F13" s="11" t="str">
        <f>RAW_Поставщики!E12</f>
        <v>8-903-123-45-67</v>
      </c>
      <c r="G13" s="11" t="str">
        <f>RAW_Поставщики!F12</f>
        <v>service@plus.ru</v>
      </c>
      <c r="H13" s="11" t="str">
        <f>RAW_Поставщики!G12</f>
        <v xml:space="preserve">199178 г.Санкт-Петербург ул.Средний пр.В.О.д.78</v>
      </c>
      <c r="I13" s="12" t="str">
        <f t="shared" si="122"/>
        <v>78045678</v>
      </c>
      <c r="J13" s="12" t="str">
        <f t="shared" si="123"/>
        <v>89031234567</v>
      </c>
      <c r="K13" s="12" t="str">
        <f t="shared" si="124"/>
        <v>service@plus.ru</v>
      </c>
      <c r="L13" s="12" t="str">
        <f t="shared" si="125"/>
        <v xml:space="preserve">г.Санкт-Петербург ул.Средний пр.В.О.д.78</v>
      </c>
      <c r="M13" s="13" t="str">
        <f t="shared" si="126"/>
        <v>P011</v>
      </c>
      <c r="N13" s="13" t="str">
        <f t="shared" si="127"/>
        <v xml:space="preserve">ООО СервисПлюс</v>
      </c>
      <c r="O13" s="13" t="str">
        <f t="shared" si="128"/>
        <v/>
      </c>
      <c r="P13" s="18" t="str">
        <f t="shared" si="129"/>
        <v xml:space="preserve">Ошибка ИНН</v>
      </c>
      <c r="Q13" s="13" t="str">
        <f t="shared" si="130"/>
        <v>780401001</v>
      </c>
      <c r="R13" s="13" t="str">
        <f t="shared" si="131"/>
        <v xml:space="preserve">+7 (903) 123-45-67</v>
      </c>
      <c r="S13" s="13" t="str">
        <f t="shared" si="132"/>
        <v>service@plus.ru</v>
      </c>
      <c r="T13" s="13" t="str">
        <f t="shared" si="133"/>
        <v>OK</v>
      </c>
      <c r="U13" s="13" t="str">
        <f t="shared" si="134"/>
        <v>199178</v>
      </c>
      <c r="V13" s="13" t="str">
        <f t="shared" si="135"/>
        <v xml:space="preserve">г.Санкт-Петербург ул.Средний пр.В.О.д.78</v>
      </c>
    </row>
    <row r="14" ht="15" customHeight="1">
      <c r="A14" s="10">
        <v>12</v>
      </c>
      <c r="B14" s="11" t="str">
        <f>RAW_Поставщики!A13</f>
        <v>P012</v>
      </c>
      <c r="C14" s="11" t="str">
        <f>RAW_Поставщики!B13</f>
        <v xml:space="preserve">АО ТехноТрейд</v>
      </c>
      <c r="D14" s="11" t="str">
        <f>RAW_Поставщики!C13</f>
        <v>7716789012</v>
      </c>
      <c r="E14" s="11" t="str">
        <f>RAW_Поставщики!D13</f>
        <v>771401001</v>
      </c>
      <c r="F14" s="11" t="str">
        <f>RAW_Поставщики!E13</f>
        <v>89032345678</v>
      </c>
      <c r="G14" s="11" t="str">
        <f>RAW_Поставщики!F13</f>
        <v>trade@tehno</v>
      </c>
      <c r="H14" s="11" t="str">
        <f>RAW_Поставщики!G13</f>
        <v xml:space="preserve">107113 г.Москва ул.Сокольнический вал д.3</v>
      </c>
      <c r="I14" s="12" t="str">
        <f t="shared" si="122"/>
        <v>7716789012</v>
      </c>
      <c r="J14" s="12" t="str">
        <f t="shared" si="123"/>
        <v>89032345678</v>
      </c>
      <c r="K14" s="12" t="str">
        <f t="shared" si="124"/>
        <v>trade@tehno</v>
      </c>
      <c r="L14" s="12" t="str">
        <f t="shared" si="125"/>
        <v xml:space="preserve">г.Москва ул.Сокольнический вал д.3</v>
      </c>
      <c r="M14" s="13" t="str">
        <f t="shared" si="126"/>
        <v>P012</v>
      </c>
      <c r="N14" s="13" t="str">
        <f t="shared" si="127"/>
        <v xml:space="preserve">АО ТехноТрейд</v>
      </c>
      <c r="O14" s="13" t="str">
        <f t="shared" si="128"/>
        <v>7716789012</v>
      </c>
      <c r="P14" s="13" t="str">
        <f t="shared" si="129"/>
        <v>OK</v>
      </c>
      <c r="Q14" s="13" t="str">
        <f t="shared" si="130"/>
        <v>771401001</v>
      </c>
      <c r="R14" s="13" t="str">
        <f t="shared" si="131"/>
        <v xml:space="preserve">+7 (903) 234-56-78</v>
      </c>
      <c r="S14" s="13" t="str">
        <f t="shared" si="132"/>
        <v>trade@tehno</v>
      </c>
      <c r="T14" s="18" t="str">
        <f t="shared" si="133"/>
        <v xml:space="preserve">Ошибка Email</v>
      </c>
      <c r="U14" s="13" t="str">
        <f t="shared" si="134"/>
        <v>107113</v>
      </c>
      <c r="V14" s="13" t="str">
        <f t="shared" si="135"/>
        <v xml:space="preserve">г.Москва ул.Сокольнический вал д.3</v>
      </c>
    </row>
    <row r="15" ht="15" customHeight="1">
      <c r="A15" s="10">
        <v>13</v>
      </c>
      <c r="B15" s="11" t="str">
        <f>RAW_Поставщики!A14</f>
        <v>P013</v>
      </c>
      <c r="C15" s="11" t="str">
        <f>RAW_Поставщики!B14</f>
        <v xml:space="preserve">ООО РесурсСнаб</v>
      </c>
      <c r="D15" s="11" t="str">
        <f>RAW_Поставщики!C14</f>
        <v>7805678901234</v>
      </c>
      <c r="E15" s="11" t="str">
        <f>RAW_Поставщики!D14</f>
        <v>780501001</v>
      </c>
      <c r="F15" s="11" t="str">
        <f>RAW_Поставщики!E14</f>
        <v>+7-903-345-67-89</v>
      </c>
      <c r="G15" s="11" t="str">
        <f>RAW_Поставщики!F14</f>
        <v>resurs_snab@mail</v>
      </c>
      <c r="H15" s="11" t="str">
        <f>RAW_Поставщики!G14</f>
        <v xml:space="preserve">196247 г.Санкт-Петербург ул.Ленина д.45</v>
      </c>
      <c r="I15" s="12" t="str">
        <f t="shared" si="122"/>
        <v>7805678901234</v>
      </c>
      <c r="J15" s="12" t="str">
        <f t="shared" si="123"/>
        <v>79033456789</v>
      </c>
      <c r="K15" s="12" t="str">
        <f t="shared" si="124"/>
        <v>resurs_snab@mail</v>
      </c>
      <c r="L15" s="12" t="str">
        <f t="shared" si="125"/>
        <v xml:space="preserve">г.Санкт-Петербург ул.Ленина д.45</v>
      </c>
      <c r="M15" s="13" t="str">
        <f t="shared" si="126"/>
        <v>P013</v>
      </c>
      <c r="N15" s="13" t="str">
        <f t="shared" si="127"/>
        <v xml:space="preserve">ООО РесурсСнаб</v>
      </c>
      <c r="O15" s="13" t="str">
        <f t="shared" si="128"/>
        <v/>
      </c>
      <c r="P15" s="18" t="str">
        <f t="shared" si="129"/>
        <v xml:space="preserve">Ошибка ИНН</v>
      </c>
      <c r="Q15" s="13" t="str">
        <f t="shared" si="130"/>
        <v>780501001</v>
      </c>
      <c r="R15" s="13" t="str">
        <f t="shared" si="131"/>
        <v xml:space="preserve">+7 (903) 345-67-89</v>
      </c>
      <c r="S15" s="13" t="str">
        <f t="shared" si="132"/>
        <v>resurs_snab@mail</v>
      </c>
      <c r="T15" s="18" t="str">
        <f t="shared" si="133"/>
        <v xml:space="preserve">Ошибка Email</v>
      </c>
      <c r="U15" s="13" t="str">
        <f t="shared" si="134"/>
        <v>196247</v>
      </c>
      <c r="V15" s="13" t="str">
        <f t="shared" si="135"/>
        <v xml:space="preserve">г.Санкт-Петербург ул.Ленина д.45</v>
      </c>
    </row>
    <row r="16" ht="15" customHeight="1">
      <c r="A16" s="10">
        <v>14</v>
      </c>
      <c r="B16" s="11" t="str">
        <f>RAW_Поставщики!A15</f>
        <v>P014</v>
      </c>
      <c r="C16" s="11" t="str">
        <f>RAW_Поставщики!B15</f>
        <v xml:space="preserve">ЗАО ТехноСервис</v>
      </c>
      <c r="D16" s="11" t="str">
        <f>RAW_Поставщики!C15</f>
        <v>7717890123</v>
      </c>
      <c r="E16" s="11" t="str">
        <f>RAW_Поставщики!D15</f>
        <v>771501001</v>
      </c>
      <c r="F16" s="11" t="str">
        <f>RAW_Поставщики!E15</f>
        <v>8-903-456-78-90</v>
      </c>
      <c r="G16" s="11" t="str">
        <f>RAW_Поставщики!F15</f>
        <v>service@tehno</v>
      </c>
      <c r="H16" s="11" t="str">
        <f>RAW_Поставщики!G15</f>
        <v xml:space="preserve">109147 г.Москва ул.Марксистская д.30</v>
      </c>
      <c r="I16" s="12" t="str">
        <f t="shared" si="122"/>
        <v>7717890123</v>
      </c>
      <c r="J16" s="12" t="str">
        <f t="shared" si="123"/>
        <v>89034567890</v>
      </c>
      <c r="K16" s="12" t="str">
        <f t="shared" si="124"/>
        <v>service@tehno</v>
      </c>
      <c r="L16" s="12" t="str">
        <f t="shared" si="125"/>
        <v xml:space="preserve">г.Москва ул.Марксистская д.30</v>
      </c>
      <c r="M16" s="13" t="str">
        <f t="shared" si="126"/>
        <v>P014</v>
      </c>
      <c r="N16" s="13" t="str">
        <f t="shared" si="127"/>
        <v xml:space="preserve">ЗАО ТехноСервис</v>
      </c>
      <c r="O16" s="13" t="str">
        <f t="shared" si="128"/>
        <v>7717890123</v>
      </c>
      <c r="P16" s="13" t="str">
        <f t="shared" si="129"/>
        <v>OK</v>
      </c>
      <c r="Q16" s="13" t="str">
        <f t="shared" si="130"/>
        <v>771501001</v>
      </c>
      <c r="R16" s="13" t="str">
        <f t="shared" si="131"/>
        <v xml:space="preserve">+7 (903) 456-78-90</v>
      </c>
      <c r="S16" s="13" t="str">
        <f t="shared" si="132"/>
        <v>service@tehno</v>
      </c>
      <c r="T16" s="18" t="str">
        <f t="shared" si="133"/>
        <v xml:space="preserve">Ошибка Email</v>
      </c>
      <c r="U16" s="13" t="str">
        <f t="shared" si="134"/>
        <v>109147</v>
      </c>
      <c r="V16" s="13" t="str">
        <f t="shared" si="135"/>
        <v xml:space="preserve">г.Москва ул.Марксистская д.30</v>
      </c>
    </row>
    <row r="17" ht="15" customHeight="1">
      <c r="A17" s="10">
        <v>15</v>
      </c>
      <c r="B17" s="11" t="str">
        <f>RAW_Поставщики!A16</f>
        <v>P015</v>
      </c>
      <c r="C17" s="11" t="str">
        <f>RAW_Поставщики!B16</f>
        <v xml:space="preserve">ООО Электротехника</v>
      </c>
      <c r="D17" s="11" t="str">
        <f>RAW_Поставщики!C16</f>
        <v>7806789012</v>
      </c>
      <c r="E17" s="11" t="str">
        <f>RAW_Поставщики!D16</f>
        <v>780601001</v>
      </c>
      <c r="F17" s="11" t="str">
        <f>RAW_Поставщики!E16</f>
        <v>+7-903-567-89-01</v>
      </c>
      <c r="G17" s="11" t="str">
        <f>RAW_Поставщики!F16</f>
        <v>electro@tehnika</v>
      </c>
      <c r="H17" s="11" t="str">
        <f>RAW_Поставщики!G16</f>
        <v xml:space="preserve">192236 г.Санкт-Петербург ул.Софийская д.55</v>
      </c>
      <c r="I17" s="12" t="str">
        <f t="shared" si="122"/>
        <v>7806789012</v>
      </c>
      <c r="J17" s="12" t="str">
        <f t="shared" si="123"/>
        <v>79035678901</v>
      </c>
      <c r="K17" s="12" t="str">
        <f t="shared" si="124"/>
        <v>electro@tehnika</v>
      </c>
      <c r="L17" s="12" t="str">
        <f t="shared" si="125"/>
        <v xml:space="preserve">г.Санкт-Петербург ул.Софийская д.55</v>
      </c>
      <c r="M17" s="13" t="str">
        <f t="shared" si="126"/>
        <v>P015</v>
      </c>
      <c r="N17" s="13" t="str">
        <f t="shared" si="127"/>
        <v xml:space="preserve">ООО Электротехника</v>
      </c>
      <c r="O17" s="13" t="str">
        <f t="shared" si="128"/>
        <v>7806789012</v>
      </c>
      <c r="P17" s="13" t="str">
        <f t="shared" si="129"/>
        <v>OK</v>
      </c>
      <c r="Q17" s="13" t="str">
        <f t="shared" si="130"/>
        <v>780601001</v>
      </c>
      <c r="R17" s="13" t="str">
        <f t="shared" si="131"/>
        <v xml:space="preserve">+7 (903) 567-89-01</v>
      </c>
      <c r="S17" s="13" t="str">
        <f t="shared" si="132"/>
        <v>electro@tehnika</v>
      </c>
      <c r="T17" s="18" t="str">
        <f t="shared" si="133"/>
        <v xml:space="preserve">Ошибка Email</v>
      </c>
      <c r="U17" s="13" t="str">
        <f t="shared" si="134"/>
        <v>192236</v>
      </c>
      <c r="V17" s="13" t="str">
        <f t="shared" si="135"/>
        <v xml:space="preserve">г.Санкт-Петербург ул.Софийская д.55</v>
      </c>
    </row>
    <row r="18" ht="15" customHeight="1">
      <c r="A18" s="10">
        <v>16</v>
      </c>
      <c r="B18" s="11" t="str">
        <f>RAW_Поставщики!A17</f>
        <v>P016</v>
      </c>
      <c r="C18" s="11" t="str">
        <f>RAW_Поставщики!B17</f>
        <v xml:space="preserve">АО ПрофТехно</v>
      </c>
      <c r="D18" s="11" t="str">
        <f>RAW_Поставщики!C17</f>
        <v>7718901234</v>
      </c>
      <c r="E18" s="11" t="str">
        <f>RAW_Поставщики!D17</f>
        <v>771601001</v>
      </c>
      <c r="F18" s="11" t="str">
        <f>RAW_Поставщики!E17</f>
        <v>8-903-678-90-12</v>
      </c>
      <c r="G18" s="11" t="str">
        <f>RAW_Поставщики!F17</f>
        <v>prof@tehno</v>
      </c>
      <c r="H18" s="11" t="str">
        <f>RAW_Поставщики!G17</f>
        <v xml:space="preserve">109052 г.Москва ул.Смирновская д.8</v>
      </c>
      <c r="I18" s="12" t="str">
        <f t="shared" si="122"/>
        <v>7718901234</v>
      </c>
      <c r="J18" s="12" t="str">
        <f t="shared" si="123"/>
        <v>89036789012</v>
      </c>
      <c r="K18" s="12" t="str">
        <f t="shared" si="124"/>
        <v>prof@tehno</v>
      </c>
      <c r="L18" s="12" t="str">
        <f t="shared" si="125"/>
        <v xml:space="preserve">г.Москва ул.Смирновская д.8</v>
      </c>
      <c r="M18" s="13" t="str">
        <f t="shared" si="126"/>
        <v>P016</v>
      </c>
      <c r="N18" s="13" t="str">
        <f t="shared" si="127"/>
        <v xml:space="preserve">АО ПрофТехно</v>
      </c>
      <c r="O18" s="13" t="str">
        <f t="shared" si="128"/>
        <v>7718901234</v>
      </c>
      <c r="P18" s="13" t="str">
        <f t="shared" si="129"/>
        <v>OK</v>
      </c>
      <c r="Q18" s="13" t="str">
        <f t="shared" si="130"/>
        <v>771601001</v>
      </c>
      <c r="R18" s="13" t="str">
        <f t="shared" si="131"/>
        <v xml:space="preserve">+7 (903) 678-90-12</v>
      </c>
      <c r="S18" s="13" t="str">
        <f t="shared" si="132"/>
        <v>prof@tehno</v>
      </c>
      <c r="T18" s="18" t="str">
        <f t="shared" si="133"/>
        <v xml:space="preserve">Ошибка Email</v>
      </c>
      <c r="U18" s="13" t="str">
        <f t="shared" si="134"/>
        <v>109052</v>
      </c>
      <c r="V18" s="13" t="str">
        <f t="shared" si="135"/>
        <v xml:space="preserve">г.Москва ул.Смирновская д.8</v>
      </c>
    </row>
    <row r="19" ht="15" customHeight="1">
      <c r="A19" s="10">
        <v>17</v>
      </c>
      <c r="B19" s="11" t="str">
        <f>RAW_Поставщики!A18</f>
        <v>P017</v>
      </c>
      <c r="C19" s="11" t="str">
        <f>RAW_Поставщики!B18</f>
        <v xml:space="preserve">ООО ТехноКомплект</v>
      </c>
      <c r="D19" s="11" t="str">
        <f>RAW_Поставщики!C18</f>
        <v>7807890</v>
      </c>
      <c r="E19" s="11" t="str">
        <f>RAW_Поставщики!D18</f>
        <v>780701001</v>
      </c>
      <c r="F19" s="11" t="str">
        <f>RAW_Поставщики!E18</f>
        <v xml:space="preserve">+7 903 789-01-23</v>
      </c>
      <c r="G19" s="11" t="str">
        <f>RAW_Поставщики!F18</f>
        <v>komplekt@tehno</v>
      </c>
      <c r="H19" s="11" t="str">
        <f>RAW_Поставщики!G18</f>
        <v xml:space="preserve">193079 г.Санкт-Петербург ул.Новоселов д.12</v>
      </c>
      <c r="I19" s="12" t="str">
        <f t="shared" si="122"/>
        <v>7807890</v>
      </c>
      <c r="J19" s="12" t="str">
        <f t="shared" si="123"/>
        <v>79037890123</v>
      </c>
      <c r="K19" s="12" t="str">
        <f t="shared" si="124"/>
        <v>komplekt@tehno</v>
      </c>
      <c r="L19" s="12" t="str">
        <f t="shared" si="125"/>
        <v xml:space="preserve">г.Санкт-Петербург ул.Новоселов д.12</v>
      </c>
      <c r="M19" s="13" t="str">
        <f t="shared" si="126"/>
        <v>P017</v>
      </c>
      <c r="N19" s="13" t="str">
        <f t="shared" si="127"/>
        <v xml:space="preserve">ООО ТехноКомплект</v>
      </c>
      <c r="O19" s="13" t="str">
        <f t="shared" si="128"/>
        <v/>
      </c>
      <c r="P19" s="18" t="str">
        <f t="shared" si="129"/>
        <v xml:space="preserve">Ошибка ИНН</v>
      </c>
      <c r="Q19" s="13" t="str">
        <f t="shared" si="130"/>
        <v>780701001</v>
      </c>
      <c r="R19" s="13" t="str">
        <f t="shared" si="131"/>
        <v xml:space="preserve">+7 (903) 789-01-23</v>
      </c>
      <c r="S19" s="13" t="str">
        <f t="shared" si="132"/>
        <v>komplekt@tehno</v>
      </c>
      <c r="T19" s="18" t="str">
        <f t="shared" si="133"/>
        <v xml:space="preserve">Ошибка Email</v>
      </c>
      <c r="U19" s="13" t="str">
        <f t="shared" si="134"/>
        <v>193079</v>
      </c>
      <c r="V19" s="13" t="str">
        <f t="shared" si="135"/>
        <v xml:space="preserve">г.Санкт-Петербург ул.Новоселов д.12</v>
      </c>
    </row>
    <row r="20" ht="15" customHeight="1">
      <c r="A20" s="10">
        <v>18</v>
      </c>
      <c r="B20" s="11" t="str">
        <f>RAW_Поставщики!A19</f>
        <v>P018</v>
      </c>
      <c r="C20" s="11" t="str">
        <f>RAW_Поставщики!B19</f>
        <v xml:space="preserve">ЗАО Инновация</v>
      </c>
      <c r="D20" s="11" t="str">
        <f>RAW_Поставщики!C19</f>
        <v>7719012345</v>
      </c>
      <c r="E20" s="11" t="str">
        <f>RAW_Поставщики!D19</f>
        <v>771701001</v>
      </c>
      <c r="F20" s="11" t="str">
        <f>RAW_Поставщики!E19</f>
        <v>8-903-890-12-34</v>
      </c>
      <c r="G20" s="11" t="str">
        <f>RAW_Поставщики!F19</f>
        <v>innov@mail</v>
      </c>
      <c r="H20" s="11" t="str">
        <f>RAW_Поставщики!G19</f>
        <v xml:space="preserve">109004 г.Москва ул.Земляной вал д.42</v>
      </c>
      <c r="I20" s="12" t="str">
        <f t="shared" si="122"/>
        <v>7719012345</v>
      </c>
      <c r="J20" s="12" t="str">
        <f t="shared" si="123"/>
        <v>89038901234</v>
      </c>
      <c r="K20" s="12" t="str">
        <f t="shared" si="124"/>
        <v>innov@mail</v>
      </c>
      <c r="L20" s="12" t="str">
        <f t="shared" si="125"/>
        <v xml:space="preserve">г.Москва ул.Земляной вал д.42</v>
      </c>
      <c r="M20" s="13" t="str">
        <f t="shared" si="126"/>
        <v>P018</v>
      </c>
      <c r="N20" s="13" t="str">
        <f t="shared" si="127"/>
        <v xml:space="preserve">ЗАО Инновация</v>
      </c>
      <c r="O20" s="13" t="str">
        <f t="shared" si="128"/>
        <v>7719012345</v>
      </c>
      <c r="P20" s="13" t="str">
        <f t="shared" si="129"/>
        <v>OK</v>
      </c>
      <c r="Q20" s="13" t="str">
        <f t="shared" si="130"/>
        <v>771701001</v>
      </c>
      <c r="R20" s="13" t="str">
        <f t="shared" si="131"/>
        <v xml:space="preserve">+7 (903) 890-12-34</v>
      </c>
      <c r="S20" s="13" t="str">
        <f t="shared" si="132"/>
        <v>innov@mail</v>
      </c>
      <c r="T20" s="18" t="str">
        <f t="shared" si="133"/>
        <v xml:space="preserve">Ошибка Email</v>
      </c>
      <c r="U20" s="13" t="str">
        <f t="shared" si="134"/>
        <v>109004</v>
      </c>
      <c r="V20" s="13" t="str">
        <f t="shared" si="135"/>
        <v xml:space="preserve">г.Москва ул.Земляной вал д.42</v>
      </c>
    </row>
    <row r="21" ht="15" customHeight="1">
      <c r="A21" s="10">
        <v>19</v>
      </c>
      <c r="B21" s="11" t="str">
        <f>RAW_Поставщики!A20</f>
        <v>P019</v>
      </c>
      <c r="C21" s="11" t="str">
        <f>RAW_Поставщики!B20</f>
        <v xml:space="preserve">ООО ЭлектроПром</v>
      </c>
      <c r="D21" s="11" t="str">
        <f>RAW_Поставщики!C20</f>
        <v>780890123456</v>
      </c>
      <c r="E21" s="11" t="str">
        <f>RAW_Поставщики!D20</f>
        <v>780801001</v>
      </c>
      <c r="F21" s="11" t="str">
        <f>RAW_Поставщики!E20</f>
        <v xml:space="preserve">+7 903 901-23-45</v>
      </c>
      <c r="G21" s="11" t="str">
        <f>RAW_Поставщики!F20</f>
        <v>electro_prom@mail</v>
      </c>
      <c r="H21" s="11" t="str">
        <f>RAW_Поставщики!G20</f>
        <v xml:space="preserve">194100 г.Санкт-Петербург ул.Кантемировская д.18</v>
      </c>
      <c r="I21" s="12" t="str">
        <f t="shared" si="122"/>
        <v>780890123456</v>
      </c>
      <c r="J21" s="12" t="str">
        <f t="shared" si="123"/>
        <v>79039012345</v>
      </c>
      <c r="K21" s="12" t="str">
        <f t="shared" si="124"/>
        <v>electro_prom@mail</v>
      </c>
      <c r="L21" s="12" t="str">
        <f t="shared" si="125"/>
        <v xml:space="preserve">г.Санкт-Петербург ул.Кантемировская д.18</v>
      </c>
      <c r="M21" s="13" t="str">
        <f t="shared" si="126"/>
        <v>P019</v>
      </c>
      <c r="N21" s="13" t="str">
        <f t="shared" si="127"/>
        <v xml:space="preserve">ООО ЭлектроПром</v>
      </c>
      <c r="O21" s="13" t="str">
        <f t="shared" si="128"/>
        <v>780890123456</v>
      </c>
      <c r="P21" s="13" t="str">
        <f t="shared" si="129"/>
        <v>OK</v>
      </c>
      <c r="Q21" s="13" t="str">
        <f t="shared" si="130"/>
        <v>780801001</v>
      </c>
      <c r="R21" s="13" t="str">
        <f t="shared" si="131"/>
        <v xml:space="preserve">+7 (903) 901-23-45</v>
      </c>
      <c r="S21" s="13" t="str">
        <f t="shared" si="132"/>
        <v>electro_prom@mail</v>
      </c>
      <c r="T21" s="18" t="str">
        <f t="shared" si="133"/>
        <v xml:space="preserve">Ошибка Email</v>
      </c>
      <c r="U21" s="13" t="str">
        <f t="shared" si="134"/>
        <v>194100</v>
      </c>
      <c r="V21" s="13" t="str">
        <f t="shared" si="135"/>
        <v xml:space="preserve">г.Санкт-Петербург ул.Кантемировская д.18</v>
      </c>
    </row>
    <row r="22" ht="15" customHeight="1">
      <c r="A22" s="10">
        <v>20</v>
      </c>
      <c r="B22" s="11" t="str">
        <f>RAW_Поставщики!A21</f>
        <v>P020</v>
      </c>
      <c r="C22" s="11" t="str">
        <f>RAW_Поставщики!B21</f>
        <v xml:space="preserve">АО ТехноИнвест</v>
      </c>
      <c r="D22" s="11" t="str">
        <f>RAW_Поставщики!C21</f>
        <v>7720123456</v>
      </c>
      <c r="E22" s="11" t="str">
        <f>RAW_Поставщики!D21</f>
        <v>771801001</v>
      </c>
      <c r="F22" s="11" t="str">
        <f>RAW_Поставщики!E21</f>
        <v>8-903-012-34-56</v>
      </c>
      <c r="G22" s="11" t="str">
        <f>RAW_Поставщики!F21</f>
        <v>invest@tehno</v>
      </c>
      <c r="H22" s="11" t="str">
        <f>RAW_Поставщики!G21</f>
        <v xml:space="preserve">109380 г.Москва ул.Люблинская д.75</v>
      </c>
      <c r="I22" s="12" t="str">
        <f t="shared" si="122"/>
        <v>7720123456</v>
      </c>
      <c r="J22" s="12" t="str">
        <f t="shared" si="123"/>
        <v>89030123456</v>
      </c>
      <c r="K22" s="12" t="str">
        <f t="shared" si="124"/>
        <v>invest@tehno</v>
      </c>
      <c r="L22" s="12" t="str">
        <f t="shared" si="125"/>
        <v xml:space="preserve">г.Москва ул.Люблинская д.75</v>
      </c>
      <c r="M22" s="13" t="str">
        <f t="shared" si="126"/>
        <v>P020</v>
      </c>
      <c r="N22" s="13" t="str">
        <f t="shared" si="127"/>
        <v xml:space="preserve">АО ТехноИнвест</v>
      </c>
      <c r="O22" s="13" t="str">
        <f t="shared" si="128"/>
        <v>7720123456</v>
      </c>
      <c r="P22" s="13" t="str">
        <f t="shared" si="129"/>
        <v>OK</v>
      </c>
      <c r="Q22" s="13" t="str">
        <f t="shared" si="130"/>
        <v>771801001</v>
      </c>
      <c r="R22" s="13" t="str">
        <f t="shared" si="131"/>
        <v xml:space="preserve">+7 (903) 012-34-56</v>
      </c>
      <c r="S22" s="13" t="str">
        <f t="shared" si="132"/>
        <v>invest@tehno</v>
      </c>
      <c r="T22" s="18" t="str">
        <f t="shared" si="133"/>
        <v xml:space="preserve">Ошибка Email</v>
      </c>
      <c r="U22" s="13" t="str">
        <f t="shared" si="134"/>
        <v>109380</v>
      </c>
      <c r="V22" s="13" t="str">
        <f t="shared" si="135"/>
        <v xml:space="preserve">г.Москва ул.Люблинская д.75</v>
      </c>
    </row>
    <row r="23" ht="15" customHeight="1">
      <c r="A23" s="10">
        <v>21</v>
      </c>
      <c r="B23" s="11" t="str">
        <f>RAW_Поставщики!A22</f>
        <v>P021</v>
      </c>
      <c r="C23" s="11" t="str">
        <f>RAW_Поставщики!B22</f>
        <v xml:space="preserve">ООО ТехноПарк</v>
      </c>
      <c r="D23" s="11" t="str">
        <f>RAW_Поставщики!C22</f>
        <v>7809012345</v>
      </c>
      <c r="E23" s="11" t="str">
        <f>RAW_Поставщики!D22</f>
        <v>780901001</v>
      </c>
      <c r="F23" s="11" t="str">
        <f>RAW_Поставщики!E22</f>
        <v>+7-903-123-45-67</v>
      </c>
      <c r="G23" s="11" t="str">
        <f>RAW_Поставщики!F22</f>
        <v>park@tehno</v>
      </c>
      <c r="H23" s="11" t="str">
        <f>RAW_Поставщики!G22</f>
        <v xml:space="preserve">191040 г.Санкт-Петербург ул.Коломенская д.29</v>
      </c>
      <c r="I23" s="12" t="str">
        <f t="shared" si="122"/>
        <v>7809012345</v>
      </c>
      <c r="J23" s="12" t="str">
        <f t="shared" si="123"/>
        <v>79031234567</v>
      </c>
      <c r="K23" s="12" t="str">
        <f t="shared" si="124"/>
        <v>park@tehno</v>
      </c>
      <c r="L23" s="12" t="str">
        <f t="shared" si="125"/>
        <v xml:space="preserve">г.Санкт-Петербург ул.Коломенская д.29</v>
      </c>
      <c r="M23" s="13" t="str">
        <f t="shared" si="126"/>
        <v>P021</v>
      </c>
      <c r="N23" s="13" t="str">
        <f t="shared" si="127"/>
        <v xml:space="preserve">ООО ТехноПарк</v>
      </c>
      <c r="O23" s="13" t="str">
        <f t="shared" si="128"/>
        <v>7809012345</v>
      </c>
      <c r="P23" s="13" t="str">
        <f t="shared" si="129"/>
        <v>OK</v>
      </c>
      <c r="Q23" s="13" t="str">
        <f t="shared" si="130"/>
        <v>780901001</v>
      </c>
      <c r="R23" s="13" t="str">
        <f t="shared" si="131"/>
        <v xml:space="preserve">+7 (903) 123-45-67</v>
      </c>
      <c r="S23" s="13" t="str">
        <f t="shared" si="132"/>
        <v>park@tehno</v>
      </c>
      <c r="T23" s="18" t="str">
        <f t="shared" si="133"/>
        <v xml:space="preserve">Ошибка Email</v>
      </c>
      <c r="U23" s="13" t="str">
        <f t="shared" si="134"/>
        <v>191040</v>
      </c>
      <c r="V23" s="13" t="str">
        <f t="shared" si="135"/>
        <v xml:space="preserve">г.Санкт-Петербург ул.Коломенская д.29</v>
      </c>
    </row>
    <row r="24" ht="15" customHeight="1">
      <c r="A24" s="10">
        <v>22</v>
      </c>
      <c r="B24" s="11" t="str">
        <f>RAW_Поставщики!A23</f>
        <v>P022</v>
      </c>
      <c r="C24" s="11" t="str">
        <f>RAW_Поставщики!B23</f>
        <v xml:space="preserve">ЗАО ТехноЦентр</v>
      </c>
      <c r="D24" s="11" t="str">
        <f>RAW_Поставщики!C23</f>
        <v>7721234567</v>
      </c>
      <c r="E24" s="11" t="str">
        <f>RAW_Поставщики!D23</f>
        <v>771901001</v>
      </c>
      <c r="F24" s="11" t="str">
        <f>RAW_Поставщики!E23</f>
        <v>8-903-234-56-78</v>
      </c>
      <c r="G24" s="11" t="str">
        <f>RAW_Поставщики!F23</f>
        <v>center@tehno</v>
      </c>
      <c r="H24" s="11" t="str">
        <f>RAW_Поставщики!G23</f>
        <v xml:space="preserve">107031 г.Москва ул.Рождественка д.10</v>
      </c>
      <c r="I24" s="12" t="str">
        <f t="shared" si="122"/>
        <v>7721234567</v>
      </c>
      <c r="J24" s="12" t="str">
        <f t="shared" si="123"/>
        <v>89032345678</v>
      </c>
      <c r="K24" s="12" t="str">
        <f t="shared" si="124"/>
        <v>center@tehno</v>
      </c>
      <c r="L24" s="12" t="str">
        <f t="shared" si="125"/>
        <v xml:space="preserve">г.Москва ул.Рождественка д.10</v>
      </c>
      <c r="M24" s="13" t="str">
        <f t="shared" si="126"/>
        <v>P022</v>
      </c>
      <c r="N24" s="13" t="str">
        <f t="shared" si="127"/>
        <v xml:space="preserve">ЗАО ТехноЦентр</v>
      </c>
      <c r="O24" s="13" t="str">
        <f t="shared" si="128"/>
        <v>7721234567</v>
      </c>
      <c r="P24" s="13" t="str">
        <f t="shared" si="129"/>
        <v>OK</v>
      </c>
      <c r="Q24" s="13" t="str">
        <f t="shared" si="130"/>
        <v>771901001</v>
      </c>
      <c r="R24" s="13" t="str">
        <f t="shared" si="131"/>
        <v xml:space="preserve">+7 (903) 234-56-78</v>
      </c>
      <c r="S24" s="13" t="str">
        <f t="shared" si="132"/>
        <v>center@tehno</v>
      </c>
      <c r="T24" s="18" t="str">
        <f t="shared" si="133"/>
        <v xml:space="preserve">Ошибка Email</v>
      </c>
      <c r="U24" s="13" t="str">
        <f t="shared" si="134"/>
        <v>107031</v>
      </c>
      <c r="V24" s="13" t="str">
        <f t="shared" si="135"/>
        <v xml:space="preserve">г.Москва ул.Рождественка д.10</v>
      </c>
    </row>
    <row r="25" ht="15" customHeight="1">
      <c r="A25" s="10">
        <v>23</v>
      </c>
      <c r="B25" s="11" t="str">
        <f>RAW_Поставщики!A24</f>
        <v>P023</v>
      </c>
      <c r="C25" s="11" t="str">
        <f>RAW_Поставщики!B24</f>
        <v xml:space="preserve">ООО ТехноСбыт</v>
      </c>
      <c r="D25" s="11" t="str">
        <f>RAW_Поставщики!C24</f>
        <v>78101234</v>
      </c>
      <c r="E25" s="11" t="str">
        <f>RAW_Поставщики!D24</f>
        <v>781001001</v>
      </c>
      <c r="F25" s="11" t="str">
        <f>RAW_Поставщики!E24</f>
        <v>+7-903-345-67-89</v>
      </c>
      <c r="G25" s="11" t="str">
        <f>RAW_Поставщики!F24</f>
        <v>sbyt@tehno</v>
      </c>
      <c r="H25" s="11" t="str">
        <f>RAW_Поставщики!G24</f>
        <v xml:space="preserve">195009 г.Санкт-Петербург ул.Комсомола д.21</v>
      </c>
      <c r="I25" s="12" t="str">
        <f t="shared" si="122"/>
        <v>78101234</v>
      </c>
      <c r="J25" s="12" t="str">
        <f t="shared" si="123"/>
        <v>79033456789</v>
      </c>
      <c r="K25" s="12" t="str">
        <f t="shared" si="124"/>
        <v>sbyt@tehno</v>
      </c>
      <c r="L25" s="12" t="str">
        <f t="shared" si="125"/>
        <v xml:space="preserve">г.Санкт-Петербург ул.Комсомола д.21</v>
      </c>
      <c r="M25" s="13" t="str">
        <f t="shared" si="126"/>
        <v>P023</v>
      </c>
      <c r="N25" s="13" t="str">
        <f t="shared" si="127"/>
        <v xml:space="preserve">ООО ТехноСбыт</v>
      </c>
      <c r="O25" s="13" t="str">
        <f t="shared" si="128"/>
        <v/>
      </c>
      <c r="P25" s="18" t="str">
        <f t="shared" si="129"/>
        <v xml:space="preserve">Ошибка ИНН</v>
      </c>
      <c r="Q25" s="13" t="str">
        <f t="shared" si="130"/>
        <v>781001001</v>
      </c>
      <c r="R25" s="13" t="str">
        <f t="shared" si="131"/>
        <v xml:space="preserve">+7 (903) 345-67-89</v>
      </c>
      <c r="S25" s="13" t="str">
        <f t="shared" si="132"/>
        <v>sbyt@tehno</v>
      </c>
      <c r="T25" s="18" t="str">
        <f t="shared" si="133"/>
        <v xml:space="preserve">Ошибка Email</v>
      </c>
      <c r="U25" s="13" t="str">
        <f t="shared" si="134"/>
        <v>195009</v>
      </c>
      <c r="V25" s="13" t="str">
        <f t="shared" si="135"/>
        <v xml:space="preserve">г.Санкт-Петербург ул.Комсомола д.21</v>
      </c>
    </row>
    <row r="26" ht="15" customHeight="1">
      <c r="A26" s="10">
        <v>24</v>
      </c>
      <c r="B26" s="11" t="str">
        <f>RAW_Поставщики!A25</f>
        <v>P024</v>
      </c>
      <c r="C26" s="11" t="str">
        <f>RAW_Поставщики!B25</f>
        <v xml:space="preserve">АО ТехноГарант</v>
      </c>
      <c r="D26" s="11" t="str">
        <f>RAW_Поставщики!C25</f>
        <v>7722345678</v>
      </c>
      <c r="E26" s="11" t="str">
        <f>RAW_Поставщики!D25</f>
        <v>772001001</v>
      </c>
      <c r="F26" s="11" t="str">
        <f>RAW_Поставщики!E25</f>
        <v>8-903-456-78-90</v>
      </c>
      <c r="G26" s="11" t="str">
        <f>RAW_Поставщики!F25</f>
        <v>garant@tehno</v>
      </c>
      <c r="H26" s="11" t="str">
        <f>RAW_Поставщики!G25</f>
        <v xml:space="preserve">119071 г.Москва ул.Ленинский пр.д.15</v>
      </c>
      <c r="I26" s="12" t="str">
        <f t="shared" si="122"/>
        <v>7722345678</v>
      </c>
      <c r="J26" s="12" t="str">
        <f t="shared" si="123"/>
        <v>89034567890</v>
      </c>
      <c r="K26" s="12" t="str">
        <f t="shared" si="124"/>
        <v>garant@tehno</v>
      </c>
      <c r="L26" s="12" t="str">
        <f t="shared" si="125"/>
        <v xml:space="preserve">г.Москва ул.Ленинский пр.д.15</v>
      </c>
      <c r="M26" s="13" t="str">
        <f t="shared" si="126"/>
        <v>P024</v>
      </c>
      <c r="N26" s="13" t="str">
        <f t="shared" si="127"/>
        <v xml:space="preserve">АО ТехноГарант</v>
      </c>
      <c r="O26" s="13" t="str">
        <f t="shared" si="128"/>
        <v>7722345678</v>
      </c>
      <c r="P26" s="13" t="str">
        <f t="shared" si="129"/>
        <v>OK</v>
      </c>
      <c r="Q26" s="13" t="str">
        <f t="shared" si="130"/>
        <v>772001001</v>
      </c>
      <c r="R26" s="13" t="str">
        <f t="shared" si="131"/>
        <v xml:space="preserve">+7 (903) 456-78-90</v>
      </c>
      <c r="S26" s="13" t="str">
        <f t="shared" si="132"/>
        <v>garant@tehno</v>
      </c>
      <c r="T26" s="18" t="str">
        <f t="shared" si="133"/>
        <v xml:space="preserve">Ошибка Email</v>
      </c>
      <c r="U26" s="13" t="str">
        <f t="shared" si="134"/>
        <v>119071</v>
      </c>
      <c r="V26" s="13" t="str">
        <f t="shared" si="135"/>
        <v xml:space="preserve">г.Москва ул.Ленинский пр.д.15</v>
      </c>
    </row>
    <row r="27" ht="15" customHeight="1">
      <c r="A27" s="10">
        <v>25</v>
      </c>
      <c r="B27" s="11" t="str">
        <f>RAW_Поставщики!A26</f>
        <v>P025</v>
      </c>
      <c r="C27" s="11" t="str">
        <f>RAW_Поставщики!B26</f>
        <v xml:space="preserve">ООО ТехноЭкспо</v>
      </c>
      <c r="D27" s="11" t="str">
        <f>RAW_Поставщики!C26</f>
        <v>7811234567890</v>
      </c>
      <c r="E27" s="11" t="str">
        <f>RAW_Поставщики!D26</f>
        <v>781101001</v>
      </c>
      <c r="F27" s="11" t="str">
        <f>RAW_Поставщики!E26</f>
        <v xml:space="preserve">+7 903 567-89-01</v>
      </c>
      <c r="G27" s="11" t="str">
        <f>RAW_Поставщики!F26</f>
        <v>expo@tehno</v>
      </c>
      <c r="H27" s="11" t="str">
        <f>RAW_Поставщики!G26</f>
        <v xml:space="preserve">198095 г.Санкт-Петербург ул.Балтийская д.43</v>
      </c>
      <c r="I27" s="12" t="str">
        <f t="shared" si="122"/>
        <v>7811234567890</v>
      </c>
      <c r="J27" s="12" t="str">
        <f t="shared" si="123"/>
        <v>79035678901</v>
      </c>
      <c r="K27" s="12" t="str">
        <f t="shared" si="124"/>
        <v>expo@tehno</v>
      </c>
      <c r="L27" s="12" t="str">
        <f t="shared" si="125"/>
        <v xml:space="preserve">г.Санкт-Петербург ул.Балтийская д.43</v>
      </c>
      <c r="M27" s="13" t="str">
        <f t="shared" si="126"/>
        <v>P025</v>
      </c>
      <c r="N27" s="13" t="str">
        <f t="shared" si="127"/>
        <v xml:space="preserve">ООО ТехноЭкспо</v>
      </c>
      <c r="O27" s="13" t="str">
        <f t="shared" si="128"/>
        <v/>
      </c>
      <c r="P27" s="18" t="str">
        <f t="shared" si="129"/>
        <v xml:space="preserve">Ошибка ИНН</v>
      </c>
      <c r="Q27" s="13" t="str">
        <f t="shared" si="130"/>
        <v>781101001</v>
      </c>
      <c r="R27" s="13" t="str">
        <f t="shared" si="131"/>
        <v xml:space="preserve">+7 (903) 567-89-01</v>
      </c>
      <c r="S27" s="13" t="str">
        <f t="shared" si="132"/>
        <v>expo@tehno</v>
      </c>
      <c r="T27" s="18" t="str">
        <f t="shared" si="133"/>
        <v xml:space="preserve">Ошибка Email</v>
      </c>
      <c r="U27" s="13" t="str">
        <f t="shared" si="134"/>
        <v>198095</v>
      </c>
      <c r="V27" s="13" t="str">
        <f t="shared" si="135"/>
        <v xml:space="preserve">г.Санкт-Петербург ул.Балтийская д.43</v>
      </c>
    </row>
    <row r="28" ht="15" customHeight="1">
      <c r="A28" s="10">
        <v>26</v>
      </c>
      <c r="B28" s="11" t="str">
        <f>RAW_Поставщики!A27</f>
        <v>P026</v>
      </c>
      <c r="C28" s="11" t="str">
        <f>RAW_Поставщики!B27</f>
        <v xml:space="preserve">ЗАО ТехноМаркет</v>
      </c>
      <c r="D28" s="11" t="str">
        <f>RAW_Поставщики!C27</f>
        <v>77234567</v>
      </c>
      <c r="E28" s="11" t="str">
        <f>RAW_Поставщики!D27</f>
        <v>772101001</v>
      </c>
      <c r="F28" s="11" t="str">
        <f>RAW_Поставщики!E27</f>
        <v>8-903-678-90-12</v>
      </c>
      <c r="G28" s="11" t="str">
        <f>RAW_Поставщики!F27</f>
        <v>market@tehno</v>
      </c>
      <c r="H28" s="11" t="str">
        <f>RAW_Поставщики!G27</f>
        <v xml:space="preserve">125040 г.Москва ул.Нижняя Масловка д.5</v>
      </c>
      <c r="I28" s="12" t="str">
        <f t="shared" si="122"/>
        <v>77234567</v>
      </c>
      <c r="J28" s="12" t="str">
        <f t="shared" si="123"/>
        <v>89036789012</v>
      </c>
      <c r="K28" s="12" t="str">
        <f t="shared" si="124"/>
        <v>market@tehno</v>
      </c>
      <c r="L28" s="12" t="str">
        <f t="shared" si="125"/>
        <v xml:space="preserve">г.Москва ул.Нижняя Масловка д.5</v>
      </c>
      <c r="M28" s="13" t="str">
        <f t="shared" si="126"/>
        <v>P026</v>
      </c>
      <c r="N28" s="13" t="str">
        <f t="shared" si="127"/>
        <v xml:space="preserve">ЗАО ТехноМаркет</v>
      </c>
      <c r="O28" s="13" t="str">
        <f t="shared" si="128"/>
        <v/>
      </c>
      <c r="P28" s="18" t="str">
        <f t="shared" si="129"/>
        <v xml:space="preserve">Ошибка ИНН</v>
      </c>
      <c r="Q28" s="13" t="str">
        <f t="shared" si="130"/>
        <v>772101001</v>
      </c>
      <c r="R28" s="13" t="str">
        <f t="shared" si="131"/>
        <v xml:space="preserve">+7 (903) 678-90-12</v>
      </c>
      <c r="S28" s="13" t="str">
        <f t="shared" si="132"/>
        <v>market@tehno</v>
      </c>
      <c r="T28" s="18" t="str">
        <f t="shared" si="133"/>
        <v xml:space="preserve">Ошибка Email</v>
      </c>
      <c r="U28" s="13" t="str">
        <f t="shared" si="134"/>
        <v>125040</v>
      </c>
      <c r="V28" s="13" t="str">
        <f t="shared" si="135"/>
        <v xml:space="preserve">г.Москва ул.Нижняя Масловка д.5</v>
      </c>
    </row>
    <row r="29" ht="15" customHeight="1">
      <c r="A29" s="10">
        <v>27</v>
      </c>
      <c r="B29" s="11" t="str">
        <f>RAW_Поставщики!A28</f>
        <v>P027</v>
      </c>
      <c r="C29" s="11" t="str">
        <f>RAW_Поставщики!B28</f>
        <v xml:space="preserve">ООО ТехноПромТех</v>
      </c>
      <c r="D29" s="11" t="str">
        <f>RAW_Поставщики!C28</f>
        <v>7812345678</v>
      </c>
      <c r="E29" s="11" t="str">
        <f>RAW_Поставщики!D28</f>
        <v>781201001</v>
      </c>
      <c r="F29" s="11" t="str">
        <f>RAW_Поставщики!E28</f>
        <v>+7-903-789-01-23</v>
      </c>
      <c r="G29" s="11" t="str">
        <f>RAW_Поставщики!F28</f>
        <v>promteh@mail</v>
      </c>
      <c r="H29" s="11" t="str">
        <f>RAW_Поставщики!G28</f>
        <v xml:space="preserve">192012 г.Санкт-Петербург ул.Заневский пр.д.32</v>
      </c>
      <c r="I29" s="12" t="str">
        <f t="shared" si="122"/>
        <v>7812345678</v>
      </c>
      <c r="J29" s="12" t="str">
        <f t="shared" si="123"/>
        <v>79037890123</v>
      </c>
      <c r="K29" s="12" t="str">
        <f t="shared" si="124"/>
        <v>promteh@mail</v>
      </c>
      <c r="L29" s="12" t="str">
        <f t="shared" si="125"/>
        <v xml:space="preserve">г.Санкт-Петербург ул.Заневский пр.д.32</v>
      </c>
      <c r="M29" s="13" t="str">
        <f t="shared" si="126"/>
        <v>P027</v>
      </c>
      <c r="N29" s="13" t="str">
        <f t="shared" si="127"/>
        <v xml:space="preserve">ООО ТехноПромТех</v>
      </c>
      <c r="O29" s="13" t="str">
        <f t="shared" si="128"/>
        <v>7812345678</v>
      </c>
      <c r="P29" s="13" t="str">
        <f t="shared" si="129"/>
        <v>OK</v>
      </c>
      <c r="Q29" s="13" t="str">
        <f t="shared" si="130"/>
        <v>781201001</v>
      </c>
      <c r="R29" s="13" t="str">
        <f t="shared" si="131"/>
        <v xml:space="preserve">+7 (903) 789-01-23</v>
      </c>
      <c r="S29" s="13" t="str">
        <f t="shared" si="132"/>
        <v>promteh@mail</v>
      </c>
      <c r="T29" s="18" t="str">
        <f t="shared" si="133"/>
        <v xml:space="preserve">Ошибка Email</v>
      </c>
      <c r="U29" s="13" t="str">
        <f t="shared" si="134"/>
        <v>192012</v>
      </c>
      <c r="V29" s="13" t="str">
        <f t="shared" si="135"/>
        <v xml:space="preserve">г.Санкт-Петербург ул.Заневский пр.д.32</v>
      </c>
    </row>
    <row r="30" ht="15" customHeight="1">
      <c r="A30" s="10">
        <v>28</v>
      </c>
      <c r="B30" s="11" t="str">
        <f>RAW_Поставщики!A29</f>
        <v>P028</v>
      </c>
      <c r="C30" s="11" t="str">
        <f>RAW_Поставщики!B29</f>
        <v xml:space="preserve">АО ТехноЛогистик</v>
      </c>
      <c r="D30" s="11" t="str">
        <f>RAW_Поставщики!C29</f>
        <v>772456789012</v>
      </c>
      <c r="E30" s="11" t="str">
        <f>RAW_Поставщики!D29</f>
        <v>772201001</v>
      </c>
      <c r="F30" s="11" t="str">
        <f>RAW_Поставщики!E29</f>
        <v>8-903-890-12-34</v>
      </c>
      <c r="G30" s="11" t="str">
        <f>RAW_Поставщики!F29</f>
        <v>logistik@tehno</v>
      </c>
      <c r="H30" s="11" t="str">
        <f>RAW_Поставщики!G29</f>
        <v xml:space="preserve">109544 г.Москва ул.Б.Семеновская д.38</v>
      </c>
      <c r="I30" s="12" t="str">
        <f t="shared" si="122"/>
        <v>772456789012</v>
      </c>
      <c r="J30" s="12" t="str">
        <f t="shared" si="123"/>
        <v>89038901234</v>
      </c>
      <c r="K30" s="12" t="str">
        <f t="shared" si="124"/>
        <v>logistik@tehno</v>
      </c>
      <c r="L30" s="12" t="str">
        <f t="shared" si="125"/>
        <v xml:space="preserve">г.Москва ул.Б.Семеновская д.38</v>
      </c>
      <c r="M30" s="13" t="str">
        <f t="shared" si="126"/>
        <v>P028</v>
      </c>
      <c r="N30" s="13" t="str">
        <f t="shared" si="127"/>
        <v xml:space="preserve">АО ТехноЛогистик</v>
      </c>
      <c r="O30" s="13" t="str">
        <f t="shared" si="128"/>
        <v>772456789012</v>
      </c>
      <c r="P30" s="13" t="str">
        <f t="shared" si="129"/>
        <v>OK</v>
      </c>
      <c r="Q30" s="13" t="str">
        <f t="shared" si="130"/>
        <v>772201001</v>
      </c>
      <c r="R30" s="13" t="str">
        <f t="shared" si="131"/>
        <v xml:space="preserve">+7 (903) 890-12-34</v>
      </c>
      <c r="S30" s="13" t="str">
        <f t="shared" si="132"/>
        <v>logistik@tehno</v>
      </c>
      <c r="T30" s="18" t="str">
        <f t="shared" si="133"/>
        <v xml:space="preserve">Ошибка Email</v>
      </c>
      <c r="U30" s="13" t="str">
        <f t="shared" si="134"/>
        <v>109544</v>
      </c>
      <c r="V30" s="13" t="str">
        <f t="shared" si="135"/>
        <v xml:space="preserve">г.Москва ул.Б.Семеновская д.38</v>
      </c>
    </row>
    <row r="31" ht="15" customHeight="1">
      <c r="A31" s="10">
        <v>29</v>
      </c>
      <c r="B31" s="11" t="str">
        <f>RAW_Поставщики!A30</f>
        <v>P029</v>
      </c>
      <c r="C31" s="11" t="str">
        <f>RAW_Поставщики!B30</f>
        <v xml:space="preserve">ООО ТехноСтандарт</v>
      </c>
      <c r="D31" s="11" t="str">
        <f>RAW_Поставщики!C30</f>
        <v>7813456789</v>
      </c>
      <c r="E31" s="11" t="str">
        <f>RAW_Поставщики!D30</f>
        <v>781301001</v>
      </c>
      <c r="F31" s="11" t="str">
        <f>RAW_Поставщики!E30</f>
        <v>+7-903-901-23-45</v>
      </c>
      <c r="G31" s="11" t="str">
        <f>RAW_Поставщики!F30</f>
        <v>standart@tehno</v>
      </c>
      <c r="H31" s="11" t="str">
        <f>RAW_Поставщики!G30</f>
        <v xml:space="preserve">197376 г.Санкт-Петербург ул.Пионерская д.9</v>
      </c>
      <c r="I31" s="12" t="str">
        <f t="shared" si="122"/>
        <v>7813456789</v>
      </c>
      <c r="J31" s="12" t="str">
        <f t="shared" si="123"/>
        <v>79039012345</v>
      </c>
      <c r="K31" s="12" t="str">
        <f t="shared" si="124"/>
        <v>standart@tehno</v>
      </c>
      <c r="L31" s="12" t="str">
        <f t="shared" si="125"/>
        <v xml:space="preserve">г.Санкт-Петербург ул.Пионерская д.9</v>
      </c>
      <c r="M31" s="13" t="str">
        <f t="shared" si="126"/>
        <v>P029</v>
      </c>
      <c r="N31" s="13" t="str">
        <f t="shared" si="127"/>
        <v xml:space="preserve">ООО ТехноСтандарт</v>
      </c>
      <c r="O31" s="13" t="str">
        <f t="shared" si="128"/>
        <v>7813456789</v>
      </c>
      <c r="P31" s="13" t="str">
        <f t="shared" si="129"/>
        <v>OK</v>
      </c>
      <c r="Q31" s="13" t="str">
        <f t="shared" si="130"/>
        <v>781301001</v>
      </c>
      <c r="R31" s="13" t="str">
        <f t="shared" si="131"/>
        <v xml:space="preserve">+7 (903) 901-23-45</v>
      </c>
      <c r="S31" s="13" t="str">
        <f t="shared" si="132"/>
        <v>standart@tehno</v>
      </c>
      <c r="T31" s="18" t="str">
        <f t="shared" si="133"/>
        <v xml:space="preserve">Ошибка Email</v>
      </c>
      <c r="U31" s="13" t="str">
        <f t="shared" si="134"/>
        <v>197376</v>
      </c>
      <c r="V31" s="13" t="str">
        <f t="shared" si="135"/>
        <v xml:space="preserve">г.Санкт-Петербург ул.Пионерская д.9</v>
      </c>
    </row>
    <row r="32" ht="15" customHeight="1">
      <c r="A32" s="10">
        <v>30</v>
      </c>
      <c r="B32" s="11" t="str">
        <f>RAW_Поставщики!A31</f>
        <v>P030</v>
      </c>
      <c r="C32" s="11" t="str">
        <f>RAW_Поставщики!B31</f>
        <v xml:space="preserve">ЗАО ТехноСтиль</v>
      </c>
      <c r="D32" s="11" t="str">
        <f>RAW_Поставщики!C31</f>
        <v>7725678901</v>
      </c>
      <c r="E32" s="11" t="str">
        <f>RAW_Поставщики!D31</f>
        <v>772301001</v>
      </c>
      <c r="F32" s="11" t="str">
        <f>RAW_Поставщики!E31</f>
        <v>8-903-012-34-56</v>
      </c>
      <c r="G32" s="11" t="str">
        <f>RAW_Поставщики!F31</f>
        <v>style@tehno</v>
      </c>
      <c r="H32" s="11" t="str">
        <f>RAW_Поставщики!G31</f>
        <v xml:space="preserve">119146 г.Москва ул.Фрунзенская д.50</v>
      </c>
      <c r="I32" s="12" t="str">
        <f t="shared" si="122"/>
        <v>7725678901</v>
      </c>
      <c r="J32" s="12" t="str">
        <f t="shared" si="123"/>
        <v>89030123456</v>
      </c>
      <c r="K32" s="12" t="str">
        <f t="shared" si="124"/>
        <v>style@tehno</v>
      </c>
      <c r="L32" s="12" t="str">
        <f t="shared" si="125"/>
        <v xml:space="preserve">г.Москва ул.Фрунзенская д.50</v>
      </c>
      <c r="M32" s="13" t="str">
        <f t="shared" si="126"/>
        <v>P030</v>
      </c>
      <c r="N32" s="13" t="str">
        <f t="shared" si="127"/>
        <v xml:space="preserve">ЗАО ТехноСтиль</v>
      </c>
      <c r="O32" s="13" t="str">
        <f t="shared" si="128"/>
        <v>7725678901</v>
      </c>
      <c r="P32" s="13" t="str">
        <f t="shared" si="129"/>
        <v>OK</v>
      </c>
      <c r="Q32" s="13" t="str">
        <f t="shared" si="130"/>
        <v>772301001</v>
      </c>
      <c r="R32" s="13" t="str">
        <f t="shared" si="131"/>
        <v xml:space="preserve">+7 (903) 012-34-56</v>
      </c>
      <c r="S32" s="13" t="str">
        <f t="shared" si="132"/>
        <v>style@tehno</v>
      </c>
      <c r="T32" s="18" t="str">
        <f t="shared" si="133"/>
        <v xml:space="preserve">Ошибка Email</v>
      </c>
      <c r="U32" s="13" t="str">
        <f t="shared" si="134"/>
        <v>119146</v>
      </c>
      <c r="V32" s="13" t="str">
        <f t="shared" si="135"/>
        <v xml:space="preserve">г.Москва ул.Фрунзенская д.50</v>
      </c>
    </row>
    <row r="33" ht="15" customHeight="1">
      <c r="A33" s="10">
        <v>31</v>
      </c>
      <c r="B33" s="11" t="str">
        <f>RAW_Поставщики!A32</f>
        <v>P031</v>
      </c>
      <c r="C33" s="11" t="str">
        <f>RAW_Поставщики!B32</f>
        <v xml:space="preserve">ООО ТехноПоставка</v>
      </c>
      <c r="D33" s="11" t="str">
        <f>RAW_Поставщики!C32</f>
        <v>78145678</v>
      </c>
      <c r="E33" s="11" t="str">
        <f>RAW_Поставщики!D32</f>
        <v>781401001</v>
      </c>
      <c r="F33" s="11" t="str">
        <f>RAW_Поставщики!E32</f>
        <v xml:space="preserve">+7 903 123-45-67</v>
      </c>
      <c r="G33" s="11" t="str">
        <f>RAW_Поставщики!F32</f>
        <v>postavka@tehno</v>
      </c>
      <c r="H33" s="11" t="str">
        <f>RAW_Поставщики!G32</f>
        <v xml:space="preserve">190121 г.Санкт-Петербург ул.Курляндская д.27</v>
      </c>
      <c r="I33" s="12" t="str">
        <f t="shared" si="122"/>
        <v>78145678</v>
      </c>
      <c r="J33" s="12" t="str">
        <f t="shared" si="123"/>
        <v>79031234567</v>
      </c>
      <c r="K33" s="12" t="str">
        <f t="shared" si="124"/>
        <v>postavka@tehno</v>
      </c>
      <c r="L33" s="12" t="str">
        <f t="shared" si="125"/>
        <v xml:space="preserve">г.Санкт-Петербург ул.Курляндская д.27</v>
      </c>
      <c r="M33" s="13" t="str">
        <f t="shared" si="126"/>
        <v>P031</v>
      </c>
      <c r="N33" s="13" t="str">
        <f t="shared" si="127"/>
        <v xml:space="preserve">ООО ТехноПоставка</v>
      </c>
      <c r="O33" s="13" t="str">
        <f t="shared" si="128"/>
        <v/>
      </c>
      <c r="P33" s="18" t="str">
        <f t="shared" si="129"/>
        <v xml:space="preserve">Ошибка ИНН</v>
      </c>
      <c r="Q33" s="13" t="str">
        <f t="shared" si="130"/>
        <v>781401001</v>
      </c>
      <c r="R33" s="13" t="str">
        <f t="shared" si="131"/>
        <v xml:space="preserve">+7 (903) 123-45-67</v>
      </c>
      <c r="S33" s="13" t="str">
        <f t="shared" si="132"/>
        <v>postavka@tehno</v>
      </c>
      <c r="T33" s="18" t="str">
        <f t="shared" si="133"/>
        <v xml:space="preserve">Ошибка Email</v>
      </c>
      <c r="U33" s="13" t="str">
        <f t="shared" si="134"/>
        <v>190121</v>
      </c>
      <c r="V33" s="13" t="str">
        <f t="shared" si="135"/>
        <v xml:space="preserve">г.Санкт-Петербург ул.Курляндская д.27</v>
      </c>
    </row>
    <row r="34" ht="15" customHeight="1">
      <c r="A34" s="10">
        <v>32</v>
      </c>
      <c r="B34" s="11" t="str">
        <f>RAW_Поставщики!A33</f>
        <v>P032</v>
      </c>
      <c r="C34" s="11" t="str">
        <f>RAW_Поставщики!B33</f>
        <v xml:space="preserve">АО ТехноСфера</v>
      </c>
      <c r="D34" s="11" t="str">
        <f>RAW_Поставщики!C33</f>
        <v>7726789012</v>
      </c>
      <c r="E34" s="11" t="str">
        <f>RAW_Поставщики!D33</f>
        <v>772401001</v>
      </c>
      <c r="F34" s="11" t="str">
        <f>RAW_Поставщики!E33</f>
        <v>8-903-234-56-78</v>
      </c>
      <c r="G34" s="11" t="str">
        <f>RAW_Поставщики!F33</f>
        <v>sfera@tehno</v>
      </c>
      <c r="H34" s="11" t="str">
        <f>RAW_Поставщики!G33</f>
        <v xml:space="preserve">111123 г.Москва ул.Электродная д.11</v>
      </c>
      <c r="I34" s="12" t="str">
        <f t="shared" si="122"/>
        <v>7726789012</v>
      </c>
      <c r="J34" s="12" t="str">
        <f t="shared" si="123"/>
        <v>89032345678</v>
      </c>
      <c r="K34" s="12" t="str">
        <f t="shared" si="124"/>
        <v>sfera@tehno</v>
      </c>
      <c r="L34" s="12" t="str">
        <f t="shared" si="125"/>
        <v xml:space="preserve">г.Москва ул.Электродная д.11</v>
      </c>
      <c r="M34" s="13" t="str">
        <f t="shared" si="126"/>
        <v>P032</v>
      </c>
      <c r="N34" s="13" t="str">
        <f t="shared" si="127"/>
        <v xml:space="preserve">АО ТехноСфера</v>
      </c>
      <c r="O34" s="13" t="str">
        <f t="shared" si="128"/>
        <v>7726789012</v>
      </c>
      <c r="P34" s="13" t="str">
        <f t="shared" si="129"/>
        <v>OK</v>
      </c>
      <c r="Q34" s="13" t="str">
        <f t="shared" si="130"/>
        <v>772401001</v>
      </c>
      <c r="R34" s="13" t="str">
        <f t="shared" si="131"/>
        <v xml:space="preserve">+7 (903) 234-56-78</v>
      </c>
      <c r="S34" s="13" t="str">
        <f t="shared" si="132"/>
        <v>sfera@tehno</v>
      </c>
      <c r="T34" s="18" t="str">
        <f t="shared" si="133"/>
        <v xml:space="preserve">Ошибка Email</v>
      </c>
      <c r="U34" s="13" t="str">
        <f t="shared" si="134"/>
        <v>111123</v>
      </c>
      <c r="V34" s="13" t="str">
        <f t="shared" si="135"/>
        <v xml:space="preserve">г.Москва ул.Электродная д.11</v>
      </c>
    </row>
    <row r="35" ht="15" customHeight="1">
      <c r="A35" s="10">
        <v>33</v>
      </c>
      <c r="B35" s="11" t="str">
        <f>RAW_Поставщики!A34</f>
        <v>P033</v>
      </c>
      <c r="C35" s="11" t="str">
        <f>RAW_Поставщики!B34</f>
        <v xml:space="preserve">ООО ТехноСистема</v>
      </c>
      <c r="D35" s="11" t="str">
        <f>RAW_Поставщики!C34</f>
        <v>7815678901234</v>
      </c>
      <c r="E35" s="11" t="str">
        <f>RAW_Поставщики!D34</f>
        <v>781501001</v>
      </c>
      <c r="F35" s="11" t="str">
        <f>RAW_Поставщики!E34</f>
        <v>+7-903-345-67-89</v>
      </c>
      <c r="G35" s="11" t="str">
        <f>RAW_Поставщики!F34</f>
        <v>sistema@tehno</v>
      </c>
      <c r="H35" s="11" t="str">
        <f>RAW_Поставщики!G34</f>
        <v xml:space="preserve">198332 г.Санкт-Петербург ул.Краснопутиловская д.65</v>
      </c>
      <c r="I35" s="12" t="str">
        <f t="shared" si="122"/>
        <v>7815678901234</v>
      </c>
      <c r="J35" s="12" t="str">
        <f t="shared" si="123"/>
        <v>79033456789</v>
      </c>
      <c r="K35" s="12" t="str">
        <f t="shared" si="124"/>
        <v>sistema@tehno</v>
      </c>
      <c r="L35" s="12" t="str">
        <f t="shared" si="125"/>
        <v xml:space="preserve">г.Санкт-Петербург ул.Краснопутиловская д.65</v>
      </c>
      <c r="M35" s="13" t="str">
        <f t="shared" si="126"/>
        <v>P033</v>
      </c>
      <c r="N35" s="13" t="str">
        <f t="shared" si="127"/>
        <v xml:space="preserve">ООО ТехноСистема</v>
      </c>
      <c r="O35" s="13" t="str">
        <f t="shared" si="128"/>
        <v/>
      </c>
      <c r="P35" s="18" t="str">
        <f t="shared" si="129"/>
        <v xml:space="preserve">Ошибка ИНН</v>
      </c>
      <c r="Q35" s="13" t="str">
        <f t="shared" si="130"/>
        <v>781501001</v>
      </c>
      <c r="R35" s="13" t="str">
        <f t="shared" si="131"/>
        <v xml:space="preserve">+7 (903) 345-67-89</v>
      </c>
      <c r="S35" s="13" t="str">
        <f t="shared" si="132"/>
        <v>sistema@tehno</v>
      </c>
      <c r="T35" s="18" t="str">
        <f t="shared" si="133"/>
        <v xml:space="preserve">Ошибка Email</v>
      </c>
      <c r="U35" s="13" t="str">
        <f t="shared" si="134"/>
        <v>198332</v>
      </c>
      <c r="V35" s="13" t="str">
        <f t="shared" si="135"/>
        <v xml:space="preserve">г.Санкт-Петербург ул.Краснопутиловская д.65</v>
      </c>
    </row>
    <row r="36" ht="15" customHeight="1">
      <c r="A36" s="10">
        <v>34</v>
      </c>
      <c r="B36" s="11" t="str">
        <f>RAW_Поставщики!A35</f>
        <v>P034</v>
      </c>
      <c r="C36" s="11" t="str">
        <f>RAW_Поставщики!B35</f>
        <v xml:space="preserve">ЗАО ТехноТранс</v>
      </c>
      <c r="D36" s="11" t="str">
        <f>RAW_Поставщики!C35</f>
        <v>7727890123</v>
      </c>
      <c r="E36" s="11" t="str">
        <f>RAW_Поставщики!D35</f>
        <v>772501001</v>
      </c>
      <c r="F36" s="11" t="str">
        <f>RAW_Поставщики!E35</f>
        <v>8-903-456-78-90</v>
      </c>
      <c r="G36" s="11" t="str">
        <f>RAW_Поставщики!F35</f>
        <v>trans@tehno</v>
      </c>
      <c r="H36" s="11" t="str">
        <f>RAW_Поставщики!G35</f>
        <v xml:space="preserve">107014 г.Москва ул.Малая Почтовая д.2</v>
      </c>
      <c r="I36" s="12" t="str">
        <f t="shared" si="122"/>
        <v>7727890123</v>
      </c>
      <c r="J36" s="12" t="str">
        <f t="shared" si="123"/>
        <v>89034567890</v>
      </c>
      <c r="K36" s="12" t="str">
        <f t="shared" si="124"/>
        <v>trans@tehno</v>
      </c>
      <c r="L36" s="12" t="str">
        <f t="shared" si="125"/>
        <v xml:space="preserve">г.Москва ул.Малая Почтовая д.2</v>
      </c>
      <c r="M36" s="13" t="str">
        <f t="shared" si="126"/>
        <v>P034</v>
      </c>
      <c r="N36" s="13" t="str">
        <f t="shared" si="127"/>
        <v xml:space="preserve">ЗАО ТехноТранс</v>
      </c>
      <c r="O36" s="13" t="str">
        <f t="shared" si="128"/>
        <v>7727890123</v>
      </c>
      <c r="P36" s="13" t="str">
        <f t="shared" si="129"/>
        <v>OK</v>
      </c>
      <c r="Q36" s="13" t="str">
        <f t="shared" si="130"/>
        <v>772501001</v>
      </c>
      <c r="R36" s="13" t="str">
        <f t="shared" si="131"/>
        <v xml:space="preserve">+7 (903) 456-78-90</v>
      </c>
      <c r="S36" s="13" t="str">
        <f t="shared" si="132"/>
        <v>trans@tehno</v>
      </c>
      <c r="T36" s="18" t="str">
        <f t="shared" si="133"/>
        <v xml:space="preserve">Ошибка Email</v>
      </c>
      <c r="U36" s="13" t="str">
        <f t="shared" si="134"/>
        <v>107014</v>
      </c>
      <c r="V36" s="13" t="str">
        <f t="shared" si="135"/>
        <v xml:space="preserve">г.Москва ул.Малая Почтовая д.2</v>
      </c>
    </row>
    <row r="37" ht="15" customHeight="1">
      <c r="A37" s="10">
        <v>35</v>
      </c>
      <c r="B37" s="11" t="str">
        <f>RAW_Поставщики!A36</f>
        <v>P035</v>
      </c>
      <c r="C37" s="11" t="str">
        <f>RAW_Поставщики!B36</f>
        <v xml:space="preserve">ООО ТехноЭнерго</v>
      </c>
      <c r="D37" s="11" t="str">
        <f>RAW_Поставщики!C36</f>
        <v>7816789012</v>
      </c>
      <c r="E37" s="11" t="str">
        <f>RAW_Поставщики!D36</f>
        <v>781601001</v>
      </c>
      <c r="F37" s="11" t="str">
        <f>RAW_Поставщики!E36</f>
        <v xml:space="preserve">+7 903 567-89-01</v>
      </c>
      <c r="G37" s="11" t="str">
        <f>RAW_Поставщики!F36</f>
        <v>energo@tehno</v>
      </c>
      <c r="H37" s="11" t="str">
        <f>RAW_Поставщики!G36</f>
        <v xml:space="preserve">191123 г.Санкт-Петербург ул.Шпалерная д.54</v>
      </c>
      <c r="I37" s="12" t="str">
        <f t="shared" si="122"/>
        <v>7816789012</v>
      </c>
      <c r="J37" s="12" t="str">
        <f t="shared" si="123"/>
        <v>79035678901</v>
      </c>
      <c r="K37" s="12" t="str">
        <f t="shared" si="124"/>
        <v>energo@tehno</v>
      </c>
      <c r="L37" s="12" t="str">
        <f t="shared" si="125"/>
        <v xml:space="preserve">г.Санкт-Петербург ул.Шпалерная д.54</v>
      </c>
      <c r="M37" s="13" t="str">
        <f t="shared" si="126"/>
        <v>P035</v>
      </c>
      <c r="N37" s="13" t="str">
        <f t="shared" si="127"/>
        <v xml:space="preserve">ООО ТехноЭнерго</v>
      </c>
      <c r="O37" s="13" t="str">
        <f t="shared" si="128"/>
        <v>7816789012</v>
      </c>
      <c r="P37" s="13" t="str">
        <f t="shared" si="129"/>
        <v>OK</v>
      </c>
      <c r="Q37" s="13" t="str">
        <f t="shared" si="130"/>
        <v>781601001</v>
      </c>
      <c r="R37" s="13" t="str">
        <f t="shared" si="131"/>
        <v xml:space="preserve">+7 (903) 567-89-01</v>
      </c>
      <c r="S37" s="13" t="str">
        <f t="shared" si="132"/>
        <v>energo@tehno</v>
      </c>
      <c r="T37" s="18" t="str">
        <f t="shared" si="133"/>
        <v xml:space="preserve">Ошибка Email</v>
      </c>
      <c r="U37" s="13" t="str">
        <f t="shared" si="134"/>
        <v>191123</v>
      </c>
      <c r="V37" s="13" t="str">
        <f t="shared" si="135"/>
        <v xml:space="preserve">г.Санкт-Петербург ул.Шпалерная д.54</v>
      </c>
    </row>
    <row r="38" ht="15" customHeight="1">
      <c r="A38" s="10">
        <v>36</v>
      </c>
      <c r="B38" s="11" t="str">
        <f>RAW_Поставщики!A37</f>
        <v>P036</v>
      </c>
      <c r="C38" s="11" t="str">
        <f>RAW_Поставщики!B37</f>
        <v xml:space="preserve">АО ТехноИзмерение</v>
      </c>
      <c r="D38" s="11" t="str">
        <f>RAW_Поставщики!C37</f>
        <v>7728901234</v>
      </c>
      <c r="E38" s="11" t="str">
        <f>RAW_Поставщики!D37</f>
        <v>772601001</v>
      </c>
      <c r="F38" s="11" t="str">
        <f>RAW_Поставщики!E37</f>
        <v>8-903-678-90-12</v>
      </c>
      <c r="G38" s="11" t="str">
        <f>RAW_Поставщики!F37</f>
        <v>izmerenie@tehno</v>
      </c>
      <c r="H38" s="11" t="str">
        <f>RAW_Поставщики!G37</f>
        <v xml:space="preserve">109028 г.Москва ул.Тургеневская д.17</v>
      </c>
      <c r="I38" s="12" t="str">
        <f t="shared" si="122"/>
        <v>7728901234</v>
      </c>
      <c r="J38" s="12" t="str">
        <f t="shared" si="123"/>
        <v>89036789012</v>
      </c>
      <c r="K38" s="12" t="str">
        <f t="shared" si="124"/>
        <v>izmerenie@tehno</v>
      </c>
      <c r="L38" s="12" t="str">
        <f t="shared" si="125"/>
        <v xml:space="preserve">г.Москва ул.Тургеневская д.17</v>
      </c>
      <c r="M38" s="13" t="str">
        <f t="shared" si="126"/>
        <v>P036</v>
      </c>
      <c r="N38" s="13" t="str">
        <f t="shared" si="127"/>
        <v xml:space="preserve">АО ТехноИзмерение</v>
      </c>
      <c r="O38" s="13" t="str">
        <f t="shared" si="128"/>
        <v>7728901234</v>
      </c>
      <c r="P38" s="13" t="str">
        <f t="shared" si="129"/>
        <v>OK</v>
      </c>
      <c r="Q38" s="13" t="str">
        <f t="shared" si="130"/>
        <v>772601001</v>
      </c>
      <c r="R38" s="13" t="str">
        <f t="shared" si="131"/>
        <v xml:space="preserve">+7 (903) 678-90-12</v>
      </c>
      <c r="S38" s="13" t="str">
        <f t="shared" si="132"/>
        <v>izmerenie@tehno</v>
      </c>
      <c r="T38" s="18" t="str">
        <f t="shared" si="133"/>
        <v xml:space="preserve">Ошибка Email</v>
      </c>
      <c r="U38" s="13" t="str">
        <f t="shared" si="134"/>
        <v>109028</v>
      </c>
      <c r="V38" s="13" t="str">
        <f t="shared" si="135"/>
        <v xml:space="preserve">г.Москва ул.Тургеневская д.17</v>
      </c>
    </row>
    <row r="39" ht="15" customHeight="1">
      <c r="A39" s="10">
        <v>37</v>
      </c>
      <c r="B39" s="11" t="str">
        <f>RAW_Поставщики!A38</f>
        <v>P037</v>
      </c>
      <c r="C39" s="11" t="str">
        <f>RAW_Поставщики!B38</f>
        <v xml:space="preserve">ООО ТехноИнжиниринг</v>
      </c>
      <c r="D39" s="11" t="str">
        <f>RAW_Поставщики!C38</f>
        <v>7817890</v>
      </c>
      <c r="E39" s="11" t="str">
        <f>RAW_Поставщики!D38</f>
        <v>781701001</v>
      </c>
      <c r="F39" s="11" t="str">
        <f>RAW_Поставщики!E38</f>
        <v>+7-903-789-01-23</v>
      </c>
      <c r="G39" s="11" t="str">
        <f>RAW_Поставщики!F38</f>
        <v>ingenering@tehno</v>
      </c>
      <c r="H39" s="11" t="str">
        <f>RAW_Поставщики!G38</f>
        <v xml:space="preserve">197198 г.Санкт-Петербург ул.Большая Зеленина д.42</v>
      </c>
      <c r="I39" s="12" t="str">
        <f t="shared" si="122"/>
        <v>7817890</v>
      </c>
      <c r="J39" s="12" t="str">
        <f t="shared" si="123"/>
        <v>79037890123</v>
      </c>
      <c r="K39" s="12" t="str">
        <f t="shared" si="124"/>
        <v>ingenering@tehno</v>
      </c>
      <c r="L39" s="12" t="str">
        <f t="shared" si="125"/>
        <v xml:space="preserve">г.Санкт-Петербург ул.Большая Зеленина д.42</v>
      </c>
      <c r="M39" s="13" t="str">
        <f t="shared" si="126"/>
        <v>P037</v>
      </c>
      <c r="N39" s="13" t="str">
        <f t="shared" si="127"/>
        <v xml:space="preserve">ООО ТехноИнжиниринг</v>
      </c>
      <c r="O39" s="13" t="str">
        <f t="shared" si="128"/>
        <v/>
      </c>
      <c r="P39" s="18" t="str">
        <f t="shared" si="129"/>
        <v xml:space="preserve">Ошибка ИНН</v>
      </c>
      <c r="Q39" s="13" t="str">
        <f t="shared" si="130"/>
        <v>781701001</v>
      </c>
      <c r="R39" s="13" t="str">
        <f t="shared" si="131"/>
        <v xml:space="preserve">+7 (903) 789-01-23</v>
      </c>
      <c r="S39" s="13" t="str">
        <f t="shared" si="132"/>
        <v>ingenering@tehno</v>
      </c>
      <c r="T39" s="18" t="str">
        <f t="shared" si="133"/>
        <v xml:space="preserve">Ошибка Email</v>
      </c>
      <c r="U39" s="13" t="str">
        <f t="shared" si="134"/>
        <v>197198</v>
      </c>
      <c r="V39" s="13" t="str">
        <f t="shared" si="135"/>
        <v xml:space="preserve">г.Санкт-Петербург ул.Большая Зеленина д.42</v>
      </c>
    </row>
    <row r="40" ht="15" customHeight="1">
      <c r="A40" s="10">
        <v>38</v>
      </c>
      <c r="B40" s="11" t="str">
        <f>RAW_Поставщики!A39</f>
        <v>P038</v>
      </c>
      <c r="C40" s="11" t="str">
        <f>RAW_Поставщики!B39</f>
        <v xml:space="preserve">ЗАО ТехноЦифра</v>
      </c>
      <c r="D40" s="11" t="str">
        <f>RAW_Поставщики!C39</f>
        <v>7729012345</v>
      </c>
      <c r="E40" s="11" t="str">
        <f>RAW_Поставщики!D39</f>
        <v>772701001</v>
      </c>
      <c r="F40" s="11" t="str">
        <f>RAW_Поставщики!E39</f>
        <v>8-903-890-12-34</v>
      </c>
      <c r="G40" s="11" t="str">
        <f>RAW_Поставщики!F39</f>
        <v>cifra@tehno</v>
      </c>
      <c r="H40" s="11" t="str">
        <f>RAW_Поставщики!G39</f>
        <v xml:space="preserve">119048 г.Москва ул.Усачева д.35</v>
      </c>
      <c r="I40" s="12" t="str">
        <f t="shared" si="122"/>
        <v>7729012345</v>
      </c>
      <c r="J40" s="12" t="str">
        <f t="shared" si="123"/>
        <v>89038901234</v>
      </c>
      <c r="K40" s="12" t="str">
        <f t="shared" si="124"/>
        <v>cifra@tehno</v>
      </c>
      <c r="L40" s="12" t="str">
        <f t="shared" si="125"/>
        <v xml:space="preserve">г.Москва ул.Усачева д.35</v>
      </c>
      <c r="M40" s="13" t="str">
        <f t="shared" si="126"/>
        <v>P038</v>
      </c>
      <c r="N40" s="13" t="str">
        <f t="shared" si="127"/>
        <v xml:space="preserve">ЗАО ТехноЦифра</v>
      </c>
      <c r="O40" s="13" t="str">
        <f t="shared" si="128"/>
        <v>7729012345</v>
      </c>
      <c r="P40" s="13" t="str">
        <f t="shared" si="129"/>
        <v>OK</v>
      </c>
      <c r="Q40" s="13" t="str">
        <f t="shared" si="130"/>
        <v>772701001</v>
      </c>
      <c r="R40" s="13" t="str">
        <f t="shared" si="131"/>
        <v xml:space="preserve">+7 (903) 890-12-34</v>
      </c>
      <c r="S40" s="13" t="str">
        <f t="shared" si="132"/>
        <v>cifra@tehno</v>
      </c>
      <c r="T40" s="18" t="str">
        <f t="shared" si="133"/>
        <v xml:space="preserve">Ошибка Email</v>
      </c>
      <c r="U40" s="13" t="str">
        <f t="shared" si="134"/>
        <v>119048</v>
      </c>
      <c r="V40" s="13" t="str">
        <f t="shared" si="135"/>
        <v xml:space="preserve">г.Москва ул.Усачева д.35</v>
      </c>
    </row>
    <row r="41" ht="15" customHeight="1">
      <c r="A41" s="10">
        <v>39</v>
      </c>
      <c r="B41" s="11" t="str">
        <f>RAW_Поставщики!A40</f>
        <v>P039</v>
      </c>
      <c r="C41" s="11" t="str">
        <f>RAW_Поставщики!B40</f>
        <v xml:space="preserve">ООО ТехноСпектр</v>
      </c>
      <c r="D41" s="11" t="str">
        <f>RAW_Поставщики!C40</f>
        <v>781890123456</v>
      </c>
      <c r="E41" s="11" t="str">
        <f>RAW_Поставщики!D40</f>
        <v>781801001</v>
      </c>
      <c r="F41" s="11" t="str">
        <f>RAW_Поставщики!E40</f>
        <v xml:space="preserve">+7 903 901-23-45</v>
      </c>
      <c r="G41" s="11" t="str">
        <f>RAW_Поставщики!F40</f>
        <v>spektr@tehno</v>
      </c>
      <c r="H41" s="11" t="str">
        <f>RAW_Поставщики!G40</f>
        <v xml:space="preserve">192102 г.Санкт-Петербург ул.Бухарестская д.22</v>
      </c>
      <c r="I41" s="12" t="str">
        <f t="shared" si="122"/>
        <v>781890123456</v>
      </c>
      <c r="J41" s="12" t="str">
        <f t="shared" si="123"/>
        <v>79039012345</v>
      </c>
      <c r="K41" s="12" t="str">
        <f t="shared" si="124"/>
        <v>spektr@tehno</v>
      </c>
      <c r="L41" s="12" t="str">
        <f t="shared" si="125"/>
        <v xml:space="preserve">г.Санкт-Петербург ул.Бухарестская д.22</v>
      </c>
      <c r="M41" s="13" t="str">
        <f t="shared" si="126"/>
        <v>P039</v>
      </c>
      <c r="N41" s="13" t="str">
        <f t="shared" si="127"/>
        <v xml:space="preserve">ООО ТехноСпектр</v>
      </c>
      <c r="O41" s="13" t="str">
        <f t="shared" si="128"/>
        <v>781890123456</v>
      </c>
      <c r="P41" s="13" t="str">
        <f t="shared" si="129"/>
        <v>OK</v>
      </c>
      <c r="Q41" s="13" t="str">
        <f t="shared" si="130"/>
        <v>781801001</v>
      </c>
      <c r="R41" s="13" t="str">
        <f t="shared" si="131"/>
        <v xml:space="preserve">+7 (903) 901-23-45</v>
      </c>
      <c r="S41" s="13" t="str">
        <f t="shared" si="132"/>
        <v>spektr@tehno</v>
      </c>
      <c r="T41" s="18" t="str">
        <f t="shared" si="133"/>
        <v xml:space="preserve">Ошибка Email</v>
      </c>
      <c r="U41" s="13" t="str">
        <f t="shared" si="134"/>
        <v>192102</v>
      </c>
      <c r="V41" s="13" t="str">
        <f t="shared" si="135"/>
        <v xml:space="preserve">г.Санкт-Петербург ул.Бухарестская д.22</v>
      </c>
    </row>
    <row r="42" ht="15" customHeight="1">
      <c r="A42" s="10">
        <v>40</v>
      </c>
      <c r="B42" s="11" t="str">
        <f>RAW_Поставщики!A41</f>
        <v>P040</v>
      </c>
      <c r="C42" s="11" t="str">
        <f>RAW_Поставщики!B41</f>
        <v xml:space="preserve">АО ТехноФорум</v>
      </c>
      <c r="D42" s="11" t="str">
        <f>RAW_Поставщики!C41</f>
        <v>7730123456</v>
      </c>
      <c r="E42" s="11" t="str">
        <f>RAW_Поставщики!D41</f>
        <v>772801001</v>
      </c>
      <c r="F42" s="11" t="str">
        <f>RAW_Поставщики!E41</f>
        <v>8-903-012-34-56</v>
      </c>
      <c r="G42" s="11" t="str">
        <f>RAW_Поставщики!F41</f>
        <v>forum@tehno</v>
      </c>
      <c r="H42" s="11" t="str">
        <f>RAW_Поставщики!G41</f>
        <v xml:space="preserve">109240 г.Москва ул.Гончарная д.18</v>
      </c>
      <c r="I42" s="12" t="str">
        <f t="shared" si="122"/>
        <v>7730123456</v>
      </c>
      <c r="J42" s="12" t="str">
        <f t="shared" si="123"/>
        <v>89030123456</v>
      </c>
      <c r="K42" s="12" t="str">
        <f t="shared" si="124"/>
        <v>forum@tehno</v>
      </c>
      <c r="L42" s="12" t="str">
        <f t="shared" si="125"/>
        <v xml:space="preserve">г.Москва ул.Гончарная д.18</v>
      </c>
      <c r="M42" s="13" t="str">
        <f t="shared" si="126"/>
        <v>P040</v>
      </c>
      <c r="N42" s="13" t="str">
        <f t="shared" si="127"/>
        <v xml:space="preserve">АО ТехноФорум</v>
      </c>
      <c r="O42" s="13" t="str">
        <f t="shared" si="128"/>
        <v>7730123456</v>
      </c>
      <c r="P42" s="13" t="str">
        <f t="shared" si="129"/>
        <v>OK</v>
      </c>
      <c r="Q42" s="13" t="str">
        <f t="shared" si="130"/>
        <v>772801001</v>
      </c>
      <c r="R42" s="13" t="str">
        <f t="shared" si="131"/>
        <v xml:space="preserve">+7 (903) 012-34-56</v>
      </c>
      <c r="S42" s="13" t="str">
        <f t="shared" si="132"/>
        <v>forum@tehno</v>
      </c>
      <c r="T42" s="18" t="str">
        <f t="shared" si="133"/>
        <v xml:space="preserve">Ошибка Email</v>
      </c>
      <c r="U42" s="13" t="str">
        <f t="shared" si="134"/>
        <v>109240</v>
      </c>
      <c r="V42" s="13" t="str">
        <f t="shared" si="135"/>
        <v xml:space="preserve">г.Москва ул.Гончарная д.18</v>
      </c>
    </row>
    <row r="43" ht="15" customHeight="1">
      <c r="A43" s="10">
        <v>41</v>
      </c>
      <c r="B43" s="11" t="str">
        <f>RAW_Поставщики!A42</f>
        <v>P041</v>
      </c>
      <c r="C43" s="11" t="str">
        <f>RAW_Поставщики!B42</f>
        <v xml:space="preserve">ООО ТехноХолод</v>
      </c>
      <c r="D43" s="11" t="str">
        <f>RAW_Поставщики!C42</f>
        <v>7819012345</v>
      </c>
      <c r="E43" s="11" t="str">
        <f>RAW_Поставщики!D42</f>
        <v>781901001</v>
      </c>
      <c r="F43" s="11" t="str">
        <f>RAW_Поставщики!E42</f>
        <v>+7-903-123-45-67</v>
      </c>
      <c r="G43" s="11" t="str">
        <f>RAW_Поставщики!F42</f>
        <v>holod@tehno</v>
      </c>
      <c r="H43" s="11" t="str">
        <f>RAW_Поставщики!G42</f>
        <v xml:space="preserve">196191 г.Санкт-Петербург ул.Бассейная д.63</v>
      </c>
      <c r="I43" s="12" t="str">
        <f t="shared" si="122"/>
        <v>7819012345</v>
      </c>
      <c r="J43" s="12" t="str">
        <f t="shared" si="123"/>
        <v>79031234567</v>
      </c>
      <c r="K43" s="12" t="str">
        <f t="shared" si="124"/>
        <v>holod@tehno</v>
      </c>
      <c r="L43" s="12" t="str">
        <f t="shared" si="125"/>
        <v xml:space="preserve">г.Санкт-Петербург ул.Бассейная д.63</v>
      </c>
      <c r="M43" s="13" t="str">
        <f t="shared" si="126"/>
        <v>P041</v>
      </c>
      <c r="N43" s="13" t="str">
        <f t="shared" si="127"/>
        <v xml:space="preserve">ООО ТехноХолод</v>
      </c>
      <c r="O43" s="13" t="str">
        <f t="shared" si="128"/>
        <v>7819012345</v>
      </c>
      <c r="P43" s="13" t="str">
        <f t="shared" si="129"/>
        <v>OK</v>
      </c>
      <c r="Q43" s="13" t="str">
        <f t="shared" si="130"/>
        <v>781901001</v>
      </c>
      <c r="R43" s="13" t="str">
        <f t="shared" si="131"/>
        <v xml:space="preserve">+7 (903) 123-45-67</v>
      </c>
      <c r="S43" s="13" t="str">
        <f t="shared" si="132"/>
        <v>holod@tehno</v>
      </c>
      <c r="T43" s="18" t="str">
        <f t="shared" si="133"/>
        <v xml:space="preserve">Ошибка Email</v>
      </c>
      <c r="U43" s="13" t="str">
        <f t="shared" si="134"/>
        <v>196191</v>
      </c>
      <c r="V43" s="13" t="str">
        <f t="shared" si="135"/>
        <v xml:space="preserve">г.Санкт-Петербург ул.Бассейная д.63</v>
      </c>
    </row>
    <row r="44" ht="15" customHeight="1">
      <c r="A44" s="10">
        <v>42</v>
      </c>
      <c r="B44" s="11" t="str">
        <f>RAW_Поставщики!A43</f>
        <v>P042</v>
      </c>
      <c r="C44" s="11" t="str">
        <f>RAW_Поставщики!B43</f>
        <v xml:space="preserve">ЗАО ТехноРесурс</v>
      </c>
      <c r="D44" s="11" t="str">
        <f>RAW_Поставщики!C43</f>
        <v>7731234567</v>
      </c>
      <c r="E44" s="11" t="str">
        <f>RAW_Поставщики!D43</f>
        <v>772901001</v>
      </c>
      <c r="F44" s="11" t="str">
        <f>RAW_Поставщики!E43</f>
        <v>8-903-234-56-78</v>
      </c>
      <c r="G44" s="11" t="str">
        <f>RAW_Поставщики!F43</f>
        <v>resurs_tehno@mail</v>
      </c>
      <c r="H44" s="11" t="str">
        <f>RAW_Поставщики!G43</f>
        <v xml:space="preserve">115114 г.Москва ул.Дербеневская д.17</v>
      </c>
      <c r="I44" s="12" t="str">
        <f t="shared" si="122"/>
        <v>7731234567</v>
      </c>
      <c r="J44" s="12" t="str">
        <f t="shared" si="123"/>
        <v>89032345678</v>
      </c>
      <c r="K44" s="12" t="str">
        <f t="shared" si="124"/>
        <v>resurs_tehno@mail</v>
      </c>
      <c r="L44" s="12" t="str">
        <f t="shared" si="125"/>
        <v xml:space="preserve">г.Москва ул.Дербеневская д.17</v>
      </c>
      <c r="M44" s="13" t="str">
        <f t="shared" si="126"/>
        <v>P042</v>
      </c>
      <c r="N44" s="13" t="str">
        <f t="shared" si="127"/>
        <v xml:space="preserve">ЗАО ТехноРесурс</v>
      </c>
      <c r="O44" s="13" t="str">
        <f t="shared" si="128"/>
        <v>7731234567</v>
      </c>
      <c r="P44" s="13" t="str">
        <f t="shared" si="129"/>
        <v>OK</v>
      </c>
      <c r="Q44" s="13" t="str">
        <f t="shared" si="130"/>
        <v>772901001</v>
      </c>
      <c r="R44" s="13" t="str">
        <f t="shared" si="131"/>
        <v xml:space="preserve">+7 (903) 234-56-78</v>
      </c>
      <c r="S44" s="13" t="str">
        <f t="shared" si="132"/>
        <v>resurs_tehno@mail</v>
      </c>
      <c r="T44" s="18" t="str">
        <f t="shared" si="133"/>
        <v xml:space="preserve">Ошибка Email</v>
      </c>
      <c r="U44" s="13" t="str">
        <f t="shared" si="134"/>
        <v>115114</v>
      </c>
      <c r="V44" s="13" t="str">
        <f t="shared" si="135"/>
        <v xml:space="preserve">г.Москва ул.Дербеневская д.17</v>
      </c>
    </row>
    <row r="45" ht="15" customHeight="1">
      <c r="A45" s="10">
        <v>43</v>
      </c>
      <c r="B45" s="11" t="str">
        <f>RAW_Поставщики!A44</f>
        <v>P043</v>
      </c>
      <c r="C45" s="11" t="str">
        <f>RAW_Поставщики!B44</f>
        <v xml:space="preserve">ООО ТехноДизайн</v>
      </c>
      <c r="D45" s="11" t="str">
        <f>RAW_Поставщики!C44</f>
        <v>78201234</v>
      </c>
      <c r="E45" s="11" t="str">
        <f>RAW_Поставщики!D44</f>
        <v>782001001</v>
      </c>
      <c r="F45" s="11" t="str">
        <f>RAW_Поставщики!E44</f>
        <v>+7-903-345-67-89</v>
      </c>
      <c r="G45" s="11" t="str">
        <f>RAW_Поставщики!F44</f>
        <v>design@tehno</v>
      </c>
      <c r="H45" s="11" t="str">
        <f>RAW_Поставщики!G44</f>
        <v xml:space="preserve">194292 г.Санкт-Петербург ул.Светлановский пр.д.62</v>
      </c>
      <c r="I45" s="12" t="str">
        <f t="shared" si="122"/>
        <v>78201234</v>
      </c>
      <c r="J45" s="12" t="str">
        <f t="shared" si="123"/>
        <v>79033456789</v>
      </c>
      <c r="K45" s="12" t="str">
        <f t="shared" si="124"/>
        <v>design@tehno</v>
      </c>
      <c r="L45" s="12" t="str">
        <f t="shared" si="125"/>
        <v xml:space="preserve">г.Санкт-Петербург ул.Светлановский пр.д.62</v>
      </c>
      <c r="M45" s="13" t="str">
        <f t="shared" si="126"/>
        <v>P043</v>
      </c>
      <c r="N45" s="13" t="str">
        <f t="shared" si="127"/>
        <v xml:space="preserve">ООО ТехноДизайн</v>
      </c>
      <c r="O45" s="13" t="str">
        <f t="shared" si="128"/>
        <v/>
      </c>
      <c r="P45" s="18" t="str">
        <f t="shared" si="129"/>
        <v xml:space="preserve">Ошибка ИНН</v>
      </c>
      <c r="Q45" s="13" t="str">
        <f t="shared" si="130"/>
        <v>782001001</v>
      </c>
      <c r="R45" s="13" t="str">
        <f t="shared" si="131"/>
        <v xml:space="preserve">+7 (903) 345-67-89</v>
      </c>
      <c r="S45" s="13" t="str">
        <f t="shared" si="132"/>
        <v>design@tehno</v>
      </c>
      <c r="T45" s="18" t="str">
        <f t="shared" si="133"/>
        <v xml:space="preserve">Ошибка Email</v>
      </c>
      <c r="U45" s="13" t="str">
        <f t="shared" si="134"/>
        <v>194292</v>
      </c>
      <c r="V45" s="13" t="str">
        <f t="shared" si="135"/>
        <v xml:space="preserve">г.Санкт-Петербург ул.Светлановский пр.д.62</v>
      </c>
    </row>
    <row r="46" ht="15" customHeight="1">
      <c r="A46" s="10">
        <v>44</v>
      </c>
      <c r="B46" s="11" t="str">
        <f>RAW_Поставщики!A45</f>
        <v>P044</v>
      </c>
      <c r="C46" s="11" t="str">
        <f>RAW_Поставщики!B45</f>
        <v xml:space="preserve">АО ТехноАльянс</v>
      </c>
      <c r="D46" s="11" t="str">
        <f>RAW_Поставщики!C45</f>
        <v>7732345678</v>
      </c>
      <c r="E46" s="11" t="str">
        <f>RAW_Поставщики!D45</f>
        <v>773001001</v>
      </c>
      <c r="F46" s="11" t="str">
        <f>RAW_Поставщики!E45</f>
        <v>8-903-456-78-90</v>
      </c>
      <c r="G46" s="11" t="str">
        <f>RAW_Поставщики!F45</f>
        <v>aljans@tehno</v>
      </c>
      <c r="H46" s="11" t="str">
        <f>RAW_Поставщики!G45</f>
        <v xml:space="preserve">127018 г.Москва ул.Полковая д.3</v>
      </c>
      <c r="I46" s="12" t="str">
        <f t="shared" si="122"/>
        <v>7732345678</v>
      </c>
      <c r="J46" s="12" t="str">
        <f t="shared" si="123"/>
        <v>89034567890</v>
      </c>
      <c r="K46" s="12" t="str">
        <f t="shared" si="124"/>
        <v>aljans@tehno</v>
      </c>
      <c r="L46" s="12" t="str">
        <f t="shared" si="125"/>
        <v xml:space="preserve">г.Москва ул.Полковая д.3</v>
      </c>
      <c r="M46" s="13" t="str">
        <f t="shared" si="126"/>
        <v>P044</v>
      </c>
      <c r="N46" s="13" t="str">
        <f t="shared" si="127"/>
        <v xml:space="preserve">АО ТехноАльянс</v>
      </c>
      <c r="O46" s="13" t="str">
        <f t="shared" si="128"/>
        <v>7732345678</v>
      </c>
      <c r="P46" s="13" t="str">
        <f t="shared" si="129"/>
        <v>OK</v>
      </c>
      <c r="Q46" s="13" t="str">
        <f t="shared" si="130"/>
        <v>773001001</v>
      </c>
      <c r="R46" s="13" t="str">
        <f t="shared" si="131"/>
        <v xml:space="preserve">+7 (903) 456-78-90</v>
      </c>
      <c r="S46" s="13" t="str">
        <f t="shared" si="132"/>
        <v>aljans@tehno</v>
      </c>
      <c r="T46" s="18" t="str">
        <f t="shared" si="133"/>
        <v xml:space="preserve">Ошибка Email</v>
      </c>
      <c r="U46" s="13" t="str">
        <f t="shared" si="134"/>
        <v>127018</v>
      </c>
      <c r="V46" s="13" t="str">
        <f t="shared" si="135"/>
        <v xml:space="preserve">г.Москва ул.Полковая д.3</v>
      </c>
    </row>
    <row r="47" ht="15" customHeight="1">
      <c r="A47" s="10">
        <v>45</v>
      </c>
      <c r="B47" s="11" t="str">
        <f>RAW_Поставщики!A46</f>
        <v>P045</v>
      </c>
      <c r="C47" s="11" t="str">
        <f>RAW_Поставщики!B46</f>
        <v xml:space="preserve">ООО ТехноПартнер</v>
      </c>
      <c r="D47" s="11" t="str">
        <f>RAW_Поставщики!C46</f>
        <v>7821234567890</v>
      </c>
      <c r="E47" s="11" t="str">
        <f>RAW_Поставщики!D46</f>
        <v>782101001</v>
      </c>
      <c r="F47" s="11" t="str">
        <f>RAW_Поставщики!E46</f>
        <v xml:space="preserve">+7 903 567-89-01</v>
      </c>
      <c r="G47" s="11" t="str">
        <f>RAW_Поставщики!F46</f>
        <v>partner@tehno</v>
      </c>
      <c r="H47" s="11" t="str">
        <f>RAW_Поставщики!G46</f>
        <v xml:space="preserve">190000 г.Санкт-Петербург ул.Большая Морская д.18</v>
      </c>
      <c r="I47" s="12" t="str">
        <f t="shared" si="122"/>
        <v>7821234567890</v>
      </c>
      <c r="J47" s="12" t="str">
        <f t="shared" si="123"/>
        <v>79035678901</v>
      </c>
      <c r="K47" s="12" t="str">
        <f t="shared" si="124"/>
        <v>partner@tehno</v>
      </c>
      <c r="L47" s="12" t="str">
        <f t="shared" si="125"/>
        <v xml:space="preserve">г.Санкт-Петербург ул.Большая Морская д.18</v>
      </c>
      <c r="M47" s="13" t="str">
        <f t="shared" si="126"/>
        <v>P045</v>
      </c>
      <c r="N47" s="13" t="str">
        <f t="shared" si="127"/>
        <v xml:space="preserve">ООО ТехноПартнер</v>
      </c>
      <c r="O47" s="13" t="str">
        <f t="shared" si="128"/>
        <v/>
      </c>
      <c r="P47" s="18" t="str">
        <f t="shared" si="129"/>
        <v xml:space="preserve">Ошибка ИНН</v>
      </c>
      <c r="Q47" s="13" t="str">
        <f t="shared" si="130"/>
        <v>782101001</v>
      </c>
      <c r="R47" s="13" t="str">
        <f t="shared" si="131"/>
        <v xml:space="preserve">+7 (903) 567-89-01</v>
      </c>
      <c r="S47" s="13" t="str">
        <f t="shared" si="132"/>
        <v>partner@tehno</v>
      </c>
      <c r="T47" s="18" t="str">
        <f t="shared" si="133"/>
        <v xml:space="preserve">Ошибка Email</v>
      </c>
      <c r="U47" s="13" t="str">
        <f t="shared" si="134"/>
        <v>190000</v>
      </c>
      <c r="V47" s="13" t="str">
        <f t="shared" si="135"/>
        <v xml:space="preserve">г.Санкт-Петербург ул.Большая Морская д.18</v>
      </c>
    </row>
    <row r="48" ht="15" customHeight="1">
      <c r="A48" s="10">
        <v>46</v>
      </c>
      <c r="B48" s="11" t="str">
        <f>RAW_Поставщики!A47</f>
        <v>P046</v>
      </c>
      <c r="C48" s="11" t="str">
        <f>RAW_Поставщики!B47</f>
        <v xml:space="preserve">ЗАО ТехноКомфорт</v>
      </c>
      <c r="D48" s="11" t="str">
        <f>RAW_Поставщики!C47</f>
        <v>77334567</v>
      </c>
      <c r="E48" s="11" t="str">
        <f>RAW_Поставщики!D47</f>
        <v>773101001</v>
      </c>
      <c r="F48" s="11" t="str">
        <f>RAW_Поставщики!E47</f>
        <v>8-903-678-90-12</v>
      </c>
      <c r="G48" s="11" t="str">
        <f>RAW_Поставщики!F47</f>
        <v>komfort@tehno</v>
      </c>
      <c r="H48" s="11" t="str">
        <f>RAW_Поставщики!G47</f>
        <v xml:space="preserve">117312 г.Москва ул.Вавилова д.65</v>
      </c>
      <c r="I48" s="12" t="str">
        <f t="shared" si="122"/>
        <v>77334567</v>
      </c>
      <c r="J48" s="12" t="str">
        <f t="shared" si="123"/>
        <v>89036789012</v>
      </c>
      <c r="K48" s="12" t="str">
        <f t="shared" si="124"/>
        <v>komfort@tehno</v>
      </c>
      <c r="L48" s="12" t="str">
        <f t="shared" si="125"/>
        <v xml:space="preserve">г.Москва ул.Вавилова д.65</v>
      </c>
      <c r="M48" s="13" t="str">
        <f t="shared" si="126"/>
        <v>P046</v>
      </c>
      <c r="N48" s="13" t="str">
        <f t="shared" si="127"/>
        <v xml:space="preserve">ЗАО ТехноКомфорт</v>
      </c>
      <c r="O48" s="13" t="str">
        <f t="shared" si="128"/>
        <v/>
      </c>
      <c r="P48" s="18" t="str">
        <f t="shared" si="129"/>
        <v xml:space="preserve">Ошибка ИНН</v>
      </c>
      <c r="Q48" s="13" t="str">
        <f t="shared" si="130"/>
        <v>773101001</v>
      </c>
      <c r="R48" s="13" t="str">
        <f t="shared" si="131"/>
        <v xml:space="preserve">+7 (903) 678-90-12</v>
      </c>
      <c r="S48" s="13" t="str">
        <f t="shared" si="132"/>
        <v>komfort@tehno</v>
      </c>
      <c r="T48" s="18" t="str">
        <f t="shared" si="133"/>
        <v xml:space="preserve">Ошибка Email</v>
      </c>
      <c r="U48" s="13" t="str">
        <f t="shared" si="134"/>
        <v>117312</v>
      </c>
      <c r="V48" s="13" t="str">
        <f t="shared" si="135"/>
        <v xml:space="preserve">г.Москва ул.Вавилова д.65</v>
      </c>
    </row>
    <row r="49" ht="15" customHeight="1">
      <c r="A49" s="10">
        <v>47</v>
      </c>
      <c r="B49" s="11" t="str">
        <f>RAW_Поставщики!A48</f>
        <v>P047</v>
      </c>
      <c r="C49" s="11" t="str">
        <f>RAW_Поставщики!B48</f>
        <v xml:space="preserve">ООО ТехноСтрой</v>
      </c>
      <c r="D49" s="11" t="str">
        <f>RAW_Поставщики!C48</f>
        <v>7822345678</v>
      </c>
      <c r="E49" s="11" t="str">
        <f>RAW_Поставщики!D48</f>
        <v>782201001</v>
      </c>
      <c r="F49" s="11" t="str">
        <f>RAW_Поставщики!E48</f>
        <v>+7-903-789-01-23</v>
      </c>
      <c r="G49" s="11" t="str">
        <f>RAW_Поставщики!F48</f>
        <v>stroy@tehno</v>
      </c>
      <c r="H49" s="11" t="str">
        <f>RAW_Поставщики!G48</f>
        <v xml:space="preserve">193231 г.Санкт-Петербург ул.Дыбенко д.14</v>
      </c>
      <c r="I49" s="12" t="str">
        <f t="shared" si="122"/>
        <v>7822345678</v>
      </c>
      <c r="J49" s="12" t="str">
        <f t="shared" si="123"/>
        <v>79037890123</v>
      </c>
      <c r="K49" s="12" t="str">
        <f t="shared" si="124"/>
        <v>stroy@tehno</v>
      </c>
      <c r="L49" s="12" t="str">
        <f t="shared" si="125"/>
        <v xml:space="preserve">г.Санкт-Петербург ул.Дыбенко д.14</v>
      </c>
      <c r="M49" s="13" t="str">
        <f t="shared" si="126"/>
        <v>P047</v>
      </c>
      <c r="N49" s="13" t="str">
        <f t="shared" si="127"/>
        <v xml:space="preserve">ООО ТехноСтрой</v>
      </c>
      <c r="O49" s="13" t="str">
        <f t="shared" si="128"/>
        <v>7822345678</v>
      </c>
      <c r="P49" s="13" t="str">
        <f t="shared" si="129"/>
        <v>OK</v>
      </c>
      <c r="Q49" s="13" t="str">
        <f t="shared" si="130"/>
        <v>782201001</v>
      </c>
      <c r="R49" s="13" t="str">
        <f t="shared" si="131"/>
        <v xml:space="preserve">+7 (903) 789-01-23</v>
      </c>
      <c r="S49" s="13" t="str">
        <f t="shared" si="132"/>
        <v>stroy@tehno</v>
      </c>
      <c r="T49" s="18" t="str">
        <f t="shared" si="133"/>
        <v xml:space="preserve">Ошибка Email</v>
      </c>
      <c r="U49" s="13" t="str">
        <f t="shared" si="134"/>
        <v>193231</v>
      </c>
      <c r="V49" s="13" t="str">
        <f t="shared" si="135"/>
        <v xml:space="preserve">г.Санкт-Петербург ул.Дыбенко д.14</v>
      </c>
    </row>
    <row r="50" ht="15" customHeight="1">
      <c r="A50" s="10">
        <v>48</v>
      </c>
      <c r="B50" s="11" t="str">
        <f>RAW_Поставщики!A49</f>
        <v>P048</v>
      </c>
      <c r="C50" s="11" t="str">
        <f>RAW_Поставщики!B49</f>
        <v xml:space="preserve">АО ТехноАвтоматика</v>
      </c>
      <c r="D50" s="11" t="str">
        <f>RAW_Поставщики!C49</f>
        <v>773456789012</v>
      </c>
      <c r="E50" s="11" t="str">
        <f>RAW_Поставщики!D49</f>
        <v>773201001</v>
      </c>
      <c r="F50" s="11" t="str">
        <f>RAW_Поставщики!E49</f>
        <v>8-903-890-12-34</v>
      </c>
      <c r="G50" s="11" t="str">
        <f>RAW_Поставщики!F49</f>
        <v>avtomatika@tehno</v>
      </c>
      <c r="H50" s="11" t="str">
        <f>RAW_Поставщики!G49</f>
        <v xml:space="preserve">109012 г.Москва ул.Никольская д.8</v>
      </c>
      <c r="I50" s="12" t="str">
        <f t="shared" si="122"/>
        <v>773456789012</v>
      </c>
      <c r="J50" s="12" t="str">
        <f t="shared" si="123"/>
        <v>89038901234</v>
      </c>
      <c r="K50" s="12" t="str">
        <f t="shared" si="124"/>
        <v>avtomatika@tehno</v>
      </c>
      <c r="L50" s="12" t="str">
        <f t="shared" si="125"/>
        <v xml:space="preserve">г.Москва ул.Никольская д.8</v>
      </c>
      <c r="M50" s="13" t="str">
        <f t="shared" si="126"/>
        <v>P048</v>
      </c>
      <c r="N50" s="13" t="str">
        <f t="shared" si="127"/>
        <v xml:space="preserve">АО ТехноАвтоматика</v>
      </c>
      <c r="O50" s="13" t="str">
        <f t="shared" si="128"/>
        <v>773456789012</v>
      </c>
      <c r="P50" s="13" t="str">
        <f t="shared" si="129"/>
        <v>OK</v>
      </c>
      <c r="Q50" s="13" t="str">
        <f t="shared" si="130"/>
        <v>773201001</v>
      </c>
      <c r="R50" s="13" t="str">
        <f t="shared" si="131"/>
        <v xml:space="preserve">+7 (903) 890-12-34</v>
      </c>
      <c r="S50" s="13" t="str">
        <f t="shared" si="132"/>
        <v>avtomatika@tehno</v>
      </c>
      <c r="T50" s="18" t="str">
        <f t="shared" si="133"/>
        <v xml:space="preserve">Ошибка Email</v>
      </c>
      <c r="U50" s="13" t="str">
        <f t="shared" si="134"/>
        <v>109012</v>
      </c>
      <c r="V50" s="13" t="str">
        <f t="shared" si="135"/>
        <v xml:space="preserve">г.Москва ул.Никольская д.8</v>
      </c>
    </row>
    <row r="51" ht="15" customHeight="1">
      <c r="A51" s="10">
        <v>49</v>
      </c>
      <c r="B51" s="11" t="str">
        <f>RAW_Поставщики!A50</f>
        <v>P049</v>
      </c>
      <c r="C51" s="11" t="str">
        <f>RAW_Поставщики!B50</f>
        <v xml:space="preserve">ООО ТехноКонтроль</v>
      </c>
      <c r="D51" s="11" t="str">
        <f>RAW_Поставщики!C50</f>
        <v>7823456789</v>
      </c>
      <c r="E51" s="11" t="str">
        <f>RAW_Поставщики!D50</f>
        <v>782301001</v>
      </c>
      <c r="F51" s="11" t="str">
        <f>RAW_Поставщики!E50</f>
        <v xml:space="preserve">+7 903 901-23-45</v>
      </c>
      <c r="G51" s="11" t="str">
        <f>RAW_Поставщики!F50</f>
        <v>kontrol@tehno</v>
      </c>
      <c r="H51" s="11" t="str">
        <f>RAW_Поставщики!G50</f>
        <v xml:space="preserve">194044 г.Санкт-Петербург ул.Смолячкова д.7</v>
      </c>
      <c r="I51" s="12" t="str">
        <f t="shared" si="122"/>
        <v>7823456789</v>
      </c>
      <c r="J51" s="12" t="str">
        <f t="shared" si="123"/>
        <v>79039012345</v>
      </c>
      <c r="K51" s="12" t="str">
        <f t="shared" si="124"/>
        <v>kontrol@tehno</v>
      </c>
      <c r="L51" s="12" t="str">
        <f t="shared" si="125"/>
        <v xml:space="preserve">г.Санкт-Петербург ул.Смолячкова д.7</v>
      </c>
      <c r="M51" s="13" t="str">
        <f t="shared" si="126"/>
        <v>P049</v>
      </c>
      <c r="N51" s="13" t="str">
        <f t="shared" si="127"/>
        <v xml:space="preserve">ООО ТехноКонтроль</v>
      </c>
      <c r="O51" s="13" t="str">
        <f t="shared" si="128"/>
        <v>7823456789</v>
      </c>
      <c r="P51" s="13" t="str">
        <f t="shared" si="129"/>
        <v>OK</v>
      </c>
      <c r="Q51" s="13" t="str">
        <f t="shared" si="130"/>
        <v>782301001</v>
      </c>
      <c r="R51" s="13" t="str">
        <f t="shared" si="131"/>
        <v xml:space="preserve">+7 (903) 901-23-45</v>
      </c>
      <c r="S51" s="13" t="str">
        <f t="shared" si="132"/>
        <v>kontrol@tehno</v>
      </c>
      <c r="T51" s="18" t="str">
        <f t="shared" si="133"/>
        <v xml:space="preserve">Ошибка Email</v>
      </c>
      <c r="U51" s="13" t="str">
        <f t="shared" si="134"/>
        <v>194044</v>
      </c>
      <c r="V51" s="13" t="str">
        <f t="shared" si="135"/>
        <v xml:space="preserve">г.Санкт-Петербург ул.Смолячкова д.7</v>
      </c>
    </row>
    <row r="52" ht="15" customHeight="1">
      <c r="A52" s="10">
        <v>50</v>
      </c>
      <c r="B52" s="11" t="str">
        <f>RAW_Поставщики!A51</f>
        <v>P050</v>
      </c>
      <c r="C52" s="11" t="str">
        <f>RAW_Поставщики!B51</f>
        <v xml:space="preserve">ЗАО ТехноПроект</v>
      </c>
      <c r="D52" s="11" t="str">
        <f>RAW_Поставщики!C51</f>
        <v>7735678901</v>
      </c>
      <c r="E52" s="11" t="str">
        <f>RAW_Поставщики!D51</f>
        <v>773301001</v>
      </c>
      <c r="F52" s="11" t="str">
        <f>RAW_Поставщики!E51</f>
        <v>8-903-012-34-56</v>
      </c>
      <c r="G52" s="11" t="str">
        <f>RAW_Поставщики!F51</f>
        <v>proekt@tehno</v>
      </c>
      <c r="H52" s="11" t="str">
        <f>RAW_Поставщики!G51</f>
        <v xml:space="preserve">119435 г.Москва ул.Погодинская д.18</v>
      </c>
      <c r="I52" s="12" t="str">
        <f t="shared" si="122"/>
        <v>7735678901</v>
      </c>
      <c r="J52" s="12" t="str">
        <f t="shared" si="123"/>
        <v>89030123456</v>
      </c>
      <c r="K52" s="12" t="str">
        <f t="shared" si="124"/>
        <v>proekt@tehno</v>
      </c>
      <c r="L52" s="12" t="str">
        <f t="shared" si="125"/>
        <v xml:space="preserve">г.Москва ул.Погодинская д.18</v>
      </c>
      <c r="M52" s="13" t="str">
        <f t="shared" si="126"/>
        <v>P050</v>
      </c>
      <c r="N52" s="13" t="str">
        <f t="shared" si="127"/>
        <v xml:space="preserve">ЗАО ТехноПроект</v>
      </c>
      <c r="O52" s="13" t="str">
        <f t="shared" si="128"/>
        <v>7735678901</v>
      </c>
      <c r="P52" s="13" t="str">
        <f t="shared" si="129"/>
        <v>OK</v>
      </c>
      <c r="Q52" s="13" t="str">
        <f t="shared" si="130"/>
        <v>773301001</v>
      </c>
      <c r="R52" s="13" t="str">
        <f t="shared" si="131"/>
        <v xml:space="preserve">+7 (903) 012-34-56</v>
      </c>
      <c r="S52" s="13" t="str">
        <f t="shared" si="132"/>
        <v>proekt@tehno</v>
      </c>
      <c r="T52" s="18" t="str">
        <f t="shared" si="133"/>
        <v xml:space="preserve">Ошибка Email</v>
      </c>
      <c r="U52" s="13" t="str">
        <f t="shared" si="134"/>
        <v>119435</v>
      </c>
      <c r="V52" s="13" t="str">
        <f t="shared" si="135"/>
        <v xml:space="preserve">г.Москва ул.Погодинская д.18</v>
      </c>
    </row>
  </sheetData>
  <printOptions headings="0" gridLines="0"/>
  <pageMargins left="0.75" right="0.75" top="1" bottom="1" header="0.51181102362204689" footer="0.51181102362204689"/>
  <pageSetup paperSize="9" scale="100" fitToWidth="1" fitToHeight="1" pageOrder="downThenOver" orientation="portrait" usePrinterDefaults="1" blackAndWhite="0" draft="0" cellComments="none" useFirstPageNumber="0" errors="displayed" horizontalDpi="300" verticalDpi="300" copies="1"/>
  <headerFooter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filterMode="0">
    <outlinePr applyStyles="0" summaryBelow="1" summaryRight="1" showOutlineSymbols="1"/>
    <pageSetUpPr autoPageBreaks="1" fitToPage="0"/>
  </sheetPr>
  <sheetViews>
    <sheetView showFormulas="0" showGridLines="0" showRowColHeaders="1" showZeros="1" showRuler="1" view="normal" topLeftCell="P1" zoomScale="100" workbookViewId="0">
      <pane ySplit="2" topLeftCell="A3" activePane="bottomLeft" state="frozen"/>
      <selection activeCell="A1" activeCellId="0" sqref="A1"/>
    </sheetView>
  </sheetViews>
  <sheetFormatPr defaultColWidth="8.6796875" defaultRowHeight="14.25"/>
  <cols>
    <col customWidth="1" min="1" max="1" style="1" width="5"/>
    <col customWidth="1" min="2" max="2" style="1" width="12"/>
    <col customWidth="1" min="3" max="3" style="1" width="14"/>
    <col customWidth="1" min="4" max="4" style="1" width="12"/>
    <col customWidth="1" min="5" max="5" style="1" width="14"/>
    <col customWidth="1" min="6" max="6" style="1" width="10"/>
    <col customWidth="1" min="7" max="8" style="1" width="12"/>
    <col customWidth="1" min="9" max="9" style="1" width="14"/>
    <col customWidth="1" min="10" max="10" style="1" width="10"/>
    <col customWidth="1" min="11" max="13" style="1" width="12"/>
    <col customWidth="1" min="14" max="14" style="1" width="10"/>
    <col customWidth="1" min="15" max="15" style="1" width="8"/>
    <col customWidth="1" min="16" max="16" style="1" width="16"/>
    <col customWidth="1" min="17" max="17" style="1" width="12"/>
    <col customWidth="1" min="18" max="18" style="1" width="16"/>
    <col customWidth="1" min="19" max="20" style="1" width="18"/>
    <col customWidth="1" min="21" max="21" style="1" width="26"/>
    <col customWidth="1" min="22" max="22" style="1" width="12"/>
  </cols>
  <sheetData>
    <row r="1" ht="15" customHeight="1">
      <c r="A1" s="4" t="s">
        <v>122</v>
      </c>
    </row>
    <row r="2" ht="21.75" customHeight="1">
      <c r="A2" s="9" t="s">
        <v>76</v>
      </c>
      <c r="B2" s="9" t="s">
        <v>123</v>
      </c>
      <c r="C2" s="9" t="s">
        <v>77</v>
      </c>
      <c r="D2" s="9" t="s">
        <v>124</v>
      </c>
      <c r="E2" s="9" t="s">
        <v>125</v>
      </c>
      <c r="F2" s="9" t="s">
        <v>126</v>
      </c>
      <c r="G2" s="9" t="s">
        <v>127</v>
      </c>
      <c r="H2" s="9" t="s">
        <v>128</v>
      </c>
      <c r="I2" s="9" t="s">
        <v>129</v>
      </c>
      <c r="J2" s="9" t="s">
        <v>130</v>
      </c>
      <c r="K2" s="9" t="s">
        <v>131</v>
      </c>
      <c r="L2" s="9" t="s">
        <v>73</v>
      </c>
      <c r="M2" s="9" t="s">
        <v>87</v>
      </c>
      <c r="N2" s="9" t="s">
        <v>38</v>
      </c>
      <c r="O2" s="9" t="s">
        <v>132</v>
      </c>
      <c r="P2" s="9" t="s">
        <v>133</v>
      </c>
      <c r="Q2" s="9" t="s">
        <v>134</v>
      </c>
      <c r="R2" s="9" t="s">
        <v>135</v>
      </c>
      <c r="S2" s="9" t="s">
        <v>136</v>
      </c>
      <c r="T2" s="9" t="s">
        <v>137</v>
      </c>
      <c r="U2" s="9" t="s">
        <v>138</v>
      </c>
      <c r="V2" s="9" t="s">
        <v>139</v>
      </c>
    </row>
    <row r="3" ht="15" customHeight="1">
      <c r="A3" s="10">
        <v>1</v>
      </c>
      <c r="B3" s="11" t="str">
        <f>RAW_Продажи!A2</f>
        <v>01/15/2025</v>
      </c>
      <c r="C3" s="11" t="str">
        <f>RAW_Продажи!B2</f>
        <v>№АРТ-045</v>
      </c>
      <c r="D3" s="11" t="str">
        <f>RAW_Продажи!C2</f>
        <v>2</v>
      </c>
      <c r="E3" s="11" t="str">
        <f>RAW_Продажи!D2</f>
        <v>$100</v>
      </c>
      <c r="F3" s="11" t="str">
        <f>RAW_Продажи!E2</f>
        <v>C0001</v>
      </c>
      <c r="G3" s="11" t="str">
        <f>RAW_Продажи!F2</f>
        <v>P012</v>
      </c>
      <c r="H3" s="11" t="str">
        <f>RAW_Продажи!G2</f>
        <v>Завершен</v>
      </c>
      <c r="I3" s="12" t="str">
        <f t="shared" ref="I3:I9" si="136">SUBSTITUTE(SUBSTITUTE(C3,"№АРТ-",""),"АРТ_","")</f>
        <v>045</v>
      </c>
      <c r="J3" s="12" t="str">
        <f t="shared" ref="J3:J9" si="137">IF(LEFT(TRIM(E3),1)="$","$",IF(LEFT(TRIM(E3),1)="€","€","₽"))</f>
        <v>$</v>
      </c>
      <c r="K3" s="12">
        <f t="shared" ref="K3:K9" si="138">VALUE(SUBSTITUTE(SUBSTITUTE(SUBSTITUTE(SUBSTITUTE(TRIM(E3),"$",""),"€",""),"₽","")," ",""))</f>
        <v>100</v>
      </c>
      <c r="L3" s="19">
        <f t="shared" ref="L3:L9" si="139">DATE(VALUE(MID(B3,7,4)),VALUE(LEFT(B3,2)),VALUE(MID(B3,4,2)))</f>
        <v>45672</v>
      </c>
      <c r="M3" s="13" t="str">
        <f t="shared" ref="M3:M9" si="140">"АРТ-"&amp;LEFT(I3,3)</f>
        <v>АРТ-045</v>
      </c>
      <c r="N3" s="13">
        <f t="shared" ref="N3:N9" si="141">VALUE(LEFT(TRIM(D3),FIND(" ",TRIM(D3)&amp;" ")-1))</f>
        <v>2</v>
      </c>
      <c r="O3" s="13" t="str">
        <f>IFERROR(VLOOKUP(J3,Справочники!$G$6:$H$8,2,0),"RUB")</f>
        <v>USD</v>
      </c>
      <c r="P3" s="14">
        <f>ROUND(K3*IFERROR(VLOOKUP(J3,Справочники!$G$6:$I$8,3,0),1),2)</f>
        <v>9500</v>
      </c>
      <c r="Q3" s="13" t="str">
        <f>IFERROR(VLOOKUP(H3,Справочники!$D$6:$E$14,2,0),"НЕИЗВЕСТНО")</f>
        <v>Завершен</v>
      </c>
      <c r="R3" s="20">
        <f>IFERROR(INDEX(Товары_очищенные!$Q$3:$Q$503,MATCH(M3,Товары_очищенные!$L$3:$L$503,0)),"нет в каталоге")</f>
        <v>137000</v>
      </c>
      <c r="S3" s="21" t="str">
        <f>IFERROR(INDEX(Товары_очищенные!$N$3:$N$503,MATCH(M3,Товары_очищенные!$L$3:$L$503,0)),"нет в каталоге")</f>
        <v>Телевизоры</v>
      </c>
      <c r="T3" s="21" t="str">
        <f t="shared" ref="T3:T9" si="142">IF(ISNUMBER(R3),IF(P3&lt;=R3*1.5,"OK","Цена выше розницы"),"—")</f>
        <v>OK</v>
      </c>
      <c r="U3" s="12" t="str">
        <f t="shared" ref="U3:U9" si="143">TEXT(L3,"DD.MM.YYYY")&amp;"|"&amp;M3&amp;"|"&amp;F3</f>
        <v>15/01/2025|АРТ-045|C0001</v>
      </c>
      <c r="V3" s="12" t="str">
        <f t="shared" ref="V3:V9" si="144">IF(COUNTIF($U$3:U3,U3)&gt;1,"ДУБЛЬ","оригинал")</f>
        <v>оригинал</v>
      </c>
    </row>
    <row r="4" ht="15" customHeight="1">
      <c r="A4" s="10">
        <v>2</v>
      </c>
      <c r="B4" s="11" t="str">
        <f>RAW_Продажи!A3</f>
        <v>01/15/2025</v>
      </c>
      <c r="C4" s="11" t="str">
        <f>RAW_Продажи!B3</f>
        <v>АРТ_112</v>
      </c>
      <c r="D4" s="11" t="str">
        <f>RAW_Продажи!C3</f>
        <v>1</v>
      </c>
      <c r="E4" s="11" t="str">
        <f>RAW_Продажи!D3</f>
        <v>€85</v>
      </c>
      <c r="F4" s="11" t="str">
        <f>RAW_Продажи!E3</f>
        <v>C0002</v>
      </c>
      <c r="G4" s="11" t="str">
        <f>RAW_Продажи!F3</f>
        <v>P007</v>
      </c>
      <c r="H4" s="11" t="str">
        <f>RAW_Продажи!G3</f>
        <v>завершен</v>
      </c>
      <c r="I4" s="12" t="str">
        <f t="shared" si="136"/>
        <v>112</v>
      </c>
      <c r="J4" s="12" t="str">
        <f t="shared" si="137"/>
        <v>€</v>
      </c>
      <c r="K4" s="12">
        <f t="shared" si="138"/>
        <v>85</v>
      </c>
      <c r="L4" s="19">
        <f t="shared" si="139"/>
        <v>45672</v>
      </c>
      <c r="M4" s="13" t="str">
        <f t="shared" si="140"/>
        <v>АРТ-112</v>
      </c>
      <c r="N4" s="13">
        <f t="shared" si="141"/>
        <v>1</v>
      </c>
      <c r="O4" s="13" t="str">
        <f>IFERROR(VLOOKUP(J4,Справочники!$G$6:$H$8,2,0),"RUB")</f>
        <v>EUR</v>
      </c>
      <c r="P4" s="14">
        <f>ROUND(K4*IFERROR(VLOOKUP(J4,Справочники!$G$6:$I$8,3,0),1),2)</f>
        <v>8500</v>
      </c>
      <c r="Q4" s="13" t="str">
        <f>IFERROR(VLOOKUP(H4,Справочники!$D$6:$E$14,2,0),"НЕИЗВЕСТНО")</f>
        <v>Завершен</v>
      </c>
      <c r="R4" s="20">
        <f>IFERROR(INDEX(Товары_очищенные!$Q$3:$Q$503,MATCH(M4,Товары_очищенные!$L$3:$L$503,0)),"нет в каталоге")</f>
        <v>34990</v>
      </c>
      <c r="S4" s="21" t="str">
        <f>IFERROR(INDEX(Товары_очищенные!$N$3:$N$503,MATCH(M4,Товары_очищенные!$L$3:$L$503,0)),"нет в каталоге")</f>
        <v>Наушники</v>
      </c>
      <c r="T4" s="21" t="str">
        <f t="shared" si="142"/>
        <v>OK</v>
      </c>
      <c r="U4" s="12" t="str">
        <f t="shared" si="143"/>
        <v>15/01/2025|АРТ-112|C0002</v>
      </c>
      <c r="V4" s="12" t="str">
        <f t="shared" si="144"/>
        <v>оригинал</v>
      </c>
    </row>
    <row r="5" ht="15" customHeight="1">
      <c r="A5" s="10">
        <v>3</v>
      </c>
      <c r="B5" s="11" t="str">
        <f>RAW_Продажи!A4</f>
        <v>01/16/2025</v>
      </c>
      <c r="C5" s="11" t="str">
        <f>RAW_Продажи!B4</f>
        <v>003/24</v>
      </c>
      <c r="D5" s="11" t="str">
        <f>RAW_Продажи!C4</f>
        <v xml:space="preserve">3 шт.</v>
      </c>
      <c r="E5" s="11" t="str">
        <f>RAW_Продажи!D4</f>
        <v xml:space="preserve">7500 ₽</v>
      </c>
      <c r="F5" s="11" t="str">
        <f>RAW_Продажи!E4</f>
        <v>C0003</v>
      </c>
      <c r="G5" s="11" t="str">
        <f>RAW_Продажи!F4</f>
        <v>P023</v>
      </c>
      <c r="H5" s="11" t="str">
        <f>RAW_Продажи!G4</f>
        <v>completed</v>
      </c>
      <c r="I5" s="12" t="str">
        <f t="shared" si="136"/>
        <v>003/24</v>
      </c>
      <c r="J5" s="12" t="str">
        <f t="shared" si="137"/>
        <v>₽</v>
      </c>
      <c r="K5" s="12">
        <f t="shared" si="138"/>
        <v>7500</v>
      </c>
      <c r="L5" s="19">
        <f t="shared" si="139"/>
        <v>45673</v>
      </c>
      <c r="M5" s="13" t="str">
        <f t="shared" si="140"/>
        <v>АРТ-003</v>
      </c>
      <c r="N5" s="13">
        <f t="shared" si="141"/>
        <v>3</v>
      </c>
      <c r="O5" s="13" t="str">
        <f>IFERROR(VLOOKUP(J5,Справочники!$G$6:$H$8,2,0),"RUB")</f>
        <v>RUB</v>
      </c>
      <c r="P5" s="14">
        <f>ROUND(K5*IFERROR(VLOOKUP(J5,Справочники!$G$6:$I$8,3,0),1),2)</f>
        <v>7500</v>
      </c>
      <c r="Q5" s="13" t="str">
        <f>IFERROR(VLOOKUP(H5,Справочники!$D$6:$E$14,2,0),"НЕИЗВЕСТНО")</f>
        <v>Завершен</v>
      </c>
      <c r="R5" s="20">
        <f>IFERROR(INDEX(Товары_очищенные!$Q$3:$Q$503,MATCH(M5,Товары_очищенные!$L$3:$L$503,0)),"нет в каталоге")</f>
        <v>77700</v>
      </c>
      <c r="S5" s="21" t="str">
        <f>IFERROR(INDEX(Товары_очищенные!$N$3:$N$503,MATCH(M5,Товары_очищенные!$L$3:$L$503,0)),"нет в каталоге")</f>
        <v>Смартфоны</v>
      </c>
      <c r="T5" s="21" t="str">
        <f t="shared" si="142"/>
        <v>OK</v>
      </c>
      <c r="U5" s="12" t="str">
        <f t="shared" si="143"/>
        <v>16/01/2025|АРТ-003|C0003</v>
      </c>
      <c r="V5" s="12" t="str">
        <f t="shared" si="144"/>
        <v>оригинал</v>
      </c>
    </row>
    <row r="6" ht="15" customHeight="1">
      <c r="A6" s="10">
        <v>4</v>
      </c>
      <c r="B6" s="11" t="str">
        <f>RAW_Продажи!A5</f>
        <v>01/16/2025</v>
      </c>
      <c r="C6" s="11" t="str">
        <f>RAW_Продажи!B5</f>
        <v>№АРТ-234</v>
      </c>
      <c r="D6" s="11" t="str">
        <f>RAW_Продажи!C5</f>
        <v>-1</v>
      </c>
      <c r="E6" s="11" t="str">
        <f>RAW_Продажи!D5</f>
        <v>$110</v>
      </c>
      <c r="F6" s="11" t="str">
        <f>RAW_Продажи!E5</f>
        <v>C0004</v>
      </c>
      <c r="G6" s="11" t="str">
        <f>RAW_Продажи!F5</f>
        <v>P045</v>
      </c>
      <c r="H6" s="11" t="str">
        <f>RAW_Продажи!G5</f>
        <v>отменен</v>
      </c>
      <c r="I6" s="12" t="str">
        <f t="shared" si="136"/>
        <v>234</v>
      </c>
      <c r="J6" s="12" t="str">
        <f t="shared" si="137"/>
        <v>$</v>
      </c>
      <c r="K6" s="12">
        <f t="shared" si="138"/>
        <v>110</v>
      </c>
      <c r="L6" s="19">
        <f t="shared" si="139"/>
        <v>45673</v>
      </c>
      <c r="M6" s="13" t="str">
        <f t="shared" si="140"/>
        <v>АРТ-234</v>
      </c>
      <c r="N6" s="13">
        <f t="shared" si="141"/>
        <v>-1</v>
      </c>
      <c r="O6" s="13" t="str">
        <f>IFERROR(VLOOKUP(J6,Справочники!$G$6:$H$8,2,0),"RUB")</f>
        <v>USD</v>
      </c>
      <c r="P6" s="14">
        <f>ROUND(K6*IFERROR(VLOOKUP(J6,Справочники!$G$6:$I$8,3,0),1),2)</f>
        <v>10450</v>
      </c>
      <c r="Q6" s="13" t="str">
        <f>IFERROR(VLOOKUP(H6,Справочники!$D$6:$E$14,2,0),"НЕИЗВЕСТНО")</f>
        <v>Отменен</v>
      </c>
      <c r="R6" s="20">
        <f>IFERROR(INDEX(Товары_очищенные!$Q$3:$Q$503,MATCH(M6,Товары_очищенные!$L$3:$L$503,0)),"нет в каталоге")</f>
        <v>44500</v>
      </c>
      <c r="S6" s="21" t="str">
        <f>IFERROR(INDEX(Товары_очищенные!$N$3:$N$503,MATCH(M6,Товары_очищенные!$L$3:$L$503,0)),"нет в каталоге")</f>
        <v>Смартфоны</v>
      </c>
      <c r="T6" s="21" t="str">
        <f t="shared" si="142"/>
        <v>OK</v>
      </c>
      <c r="U6" s="12" t="str">
        <f t="shared" si="143"/>
        <v>16/01/2025|АРТ-234|C0004</v>
      </c>
      <c r="V6" s="12" t="str">
        <f t="shared" si="144"/>
        <v>оригинал</v>
      </c>
    </row>
    <row r="7" ht="15" customHeight="1">
      <c r="A7" s="10">
        <v>5</v>
      </c>
      <c r="B7" s="11" t="str">
        <f>RAW_Продажи!A6</f>
        <v>01/17/2025</v>
      </c>
      <c r="C7" s="11" t="str">
        <f>RAW_Продажи!B6</f>
        <v>АРТ_067</v>
      </c>
      <c r="D7" s="11" t="str">
        <f>RAW_Продажи!C6</f>
        <v xml:space="preserve">2 шт</v>
      </c>
      <c r="E7" s="11" t="str">
        <f>RAW_Продажи!D6</f>
        <v>€90</v>
      </c>
      <c r="F7" s="11" t="str">
        <f>RAW_Продажи!E6</f>
        <v>C0005</v>
      </c>
      <c r="G7" s="11" t="str">
        <f>RAW_Продажи!F6</f>
        <v>P008</v>
      </c>
      <c r="H7" s="11" t="str">
        <f>RAW_Продажи!G6</f>
        <v>canceled</v>
      </c>
      <c r="I7" s="12" t="str">
        <f t="shared" si="136"/>
        <v>067</v>
      </c>
      <c r="J7" s="12" t="str">
        <f t="shared" si="137"/>
        <v>€</v>
      </c>
      <c r="K7" s="12">
        <f t="shared" si="138"/>
        <v>90</v>
      </c>
      <c r="L7" s="19">
        <f t="shared" si="139"/>
        <v>45674</v>
      </c>
      <c r="M7" s="13" t="str">
        <f t="shared" si="140"/>
        <v>АРТ-067</v>
      </c>
      <c r="N7" s="13">
        <f t="shared" si="141"/>
        <v>2</v>
      </c>
      <c r="O7" s="13" t="str">
        <f>IFERROR(VLOOKUP(J7,Справочники!$G$6:$H$8,2,0),"RUB")</f>
        <v>EUR</v>
      </c>
      <c r="P7" s="14">
        <f>ROUND(K7*IFERROR(VLOOKUP(J7,Справочники!$G$6:$I$8,3,0),1),2)</f>
        <v>9000</v>
      </c>
      <c r="Q7" s="13" t="str">
        <f>IFERROR(VLOOKUP(H7,Справочники!$D$6:$E$14,2,0),"НЕИЗВЕСТНО")</f>
        <v>Отменен</v>
      </c>
      <c r="R7" s="20">
        <f>IFERROR(INDEX(Товары_очищенные!$Q$3:$Q$503,MATCH(M7,Товары_очищенные!$L$3:$L$503,0)),"нет в каталоге")</f>
        <v>109999</v>
      </c>
      <c r="S7" s="21" t="str">
        <f>IFERROR(INDEX(Товары_очищенные!$N$3:$N$503,MATCH(M7,Товары_очищенные!$L$3:$L$503,0)),"нет в каталоге")</f>
        <v>Телевизоры</v>
      </c>
      <c r="T7" s="21" t="str">
        <f t="shared" si="142"/>
        <v>OK</v>
      </c>
      <c r="U7" s="12" t="str">
        <f t="shared" si="143"/>
        <v>17/01/2025|АРТ-067|C0005</v>
      </c>
      <c r="V7" s="12" t="str">
        <f t="shared" si="144"/>
        <v>оригинал</v>
      </c>
    </row>
    <row r="8" ht="15" customHeight="1">
      <c r="A8" s="10">
        <v>6</v>
      </c>
      <c r="B8" s="11" t="str">
        <f>RAW_Продажи!A7</f>
        <v>01/17/2025</v>
      </c>
      <c r="C8" s="11" t="str">
        <f>RAW_Продажи!B7</f>
        <v>078-24</v>
      </c>
      <c r="D8" s="11" t="str">
        <f>RAW_Продажи!C7</f>
        <v>1</v>
      </c>
      <c r="E8" s="11" t="str">
        <f>RAW_Продажи!D7</f>
        <v xml:space="preserve">8000 ₽</v>
      </c>
      <c r="F8" s="11" t="str">
        <f>RAW_Продажи!E7</f>
        <v>C0006</v>
      </c>
      <c r="G8" s="11" t="str">
        <f>RAW_Продажи!F7</f>
        <v>P031</v>
      </c>
      <c r="H8" s="11" t="str">
        <f>RAW_Продажи!G7</f>
        <v>возврат</v>
      </c>
      <c r="I8" s="12" t="str">
        <f t="shared" si="136"/>
        <v>078-24</v>
      </c>
      <c r="J8" s="12" t="str">
        <f t="shared" si="137"/>
        <v>₽</v>
      </c>
      <c r="K8" s="12">
        <f t="shared" si="138"/>
        <v>8000</v>
      </c>
      <c r="L8" s="19">
        <f t="shared" si="139"/>
        <v>45674</v>
      </c>
      <c r="M8" s="13" t="str">
        <f t="shared" si="140"/>
        <v>АРТ-078</v>
      </c>
      <c r="N8" s="13">
        <f t="shared" si="141"/>
        <v>1</v>
      </c>
      <c r="O8" s="13" t="str">
        <f>IFERROR(VLOOKUP(J8,Справочники!$G$6:$H$8,2,0),"RUB")</f>
        <v>RUB</v>
      </c>
      <c r="P8" s="14">
        <f>ROUND(K8*IFERROR(VLOOKUP(J8,Справочники!$G$6:$I$8,3,0),1),2)</f>
        <v>8000</v>
      </c>
      <c r="Q8" s="13" t="str">
        <f>IFERROR(VLOOKUP(H8,Справочники!$D$6:$E$14,2,0),"НЕИЗВЕСТНО")</f>
        <v>Возврат</v>
      </c>
      <c r="R8" s="20">
        <f>IFERROR(INDEX(Товары_очищенные!$Q$3:$Q$503,MATCH(M8,Товары_очищенные!$L$3:$L$503,0)),"нет в каталоге")</f>
        <v>13500</v>
      </c>
      <c r="S8" s="21" t="str">
        <f>IFERROR(INDEX(Товары_очищенные!$N$3:$N$503,MATCH(M8,Товары_очищенные!$L$3:$L$503,0)),"нет в каталоге")</f>
        <v>Аксессуары</v>
      </c>
      <c r="T8" s="21" t="str">
        <f t="shared" si="142"/>
        <v>OK</v>
      </c>
      <c r="U8" s="12" t="str">
        <f t="shared" si="143"/>
        <v>17/01/2025|АРТ-078|C0006</v>
      </c>
      <c r="V8" s="12" t="str">
        <f t="shared" si="144"/>
        <v>оригинал</v>
      </c>
    </row>
    <row r="9" ht="15" customHeight="1">
      <c r="A9" s="10">
        <v>7</v>
      </c>
      <c r="B9" s="11" t="str">
        <f>RAW_Продажи!A8</f>
        <v>01/18/2025</v>
      </c>
      <c r="C9" s="11" t="str">
        <f>RAW_Продажи!B8</f>
        <v>№АРТ-389</v>
      </c>
      <c r="D9" s="11" t="str">
        <f>RAW_Продажи!C8</f>
        <v>3</v>
      </c>
      <c r="E9" s="11" t="str">
        <f>RAW_Продажи!D8</f>
        <v>$105</v>
      </c>
      <c r="F9" s="11" t="str">
        <f>RAW_Продажи!E8</f>
        <v>C0007</v>
      </c>
      <c r="G9" s="11" t="str">
        <f>RAW_Продажи!F8</f>
        <v>P019</v>
      </c>
      <c r="H9" s="11" t="str">
        <f>RAW_Продажи!G8</f>
        <v>Завершен</v>
      </c>
      <c r="I9" s="12" t="str">
        <f t="shared" si="136"/>
        <v>389</v>
      </c>
      <c r="J9" s="12" t="str">
        <f t="shared" si="137"/>
        <v>$</v>
      </c>
      <c r="K9" s="12">
        <f t="shared" si="138"/>
        <v>105</v>
      </c>
      <c r="L9" s="19">
        <f t="shared" si="139"/>
        <v>45675</v>
      </c>
      <c r="M9" s="13" t="str">
        <f t="shared" si="140"/>
        <v>АРТ-389</v>
      </c>
      <c r="N9" s="13">
        <f t="shared" si="141"/>
        <v>3</v>
      </c>
      <c r="O9" s="13" t="str">
        <f>IFERROR(VLOOKUP(J9,Справочники!$G$6:$H$8,2,0),"RUB")</f>
        <v>USD</v>
      </c>
      <c r="P9" s="14">
        <f>ROUND(K9*IFERROR(VLOOKUP(J9,Справочники!$G$6:$I$8,3,0),1),2)</f>
        <v>9975</v>
      </c>
      <c r="Q9" s="13" t="str">
        <f>IFERROR(VLOOKUP(H9,Справочники!$D$6:$E$14,2,0),"НЕИЗВЕСТНО")</f>
        <v>Завершен</v>
      </c>
      <c r="R9" s="20">
        <f>IFERROR(INDEX(Товары_очищенные!$Q$3:$Q$503,MATCH(M9,Товары_очищенные!$L$3:$L$503,0)),"нет в каталоге")</f>
        <v>75000</v>
      </c>
      <c r="S9" s="21" t="str">
        <f>IFERROR(INDEX(Товары_очищенные!$N$3:$N$503,MATCH(M9,Товары_очищенные!$L$3:$L$503,0)),"нет в каталоге")</f>
        <v>Телевизоры</v>
      </c>
      <c r="T9" s="21" t="str">
        <f t="shared" si="142"/>
        <v>OK</v>
      </c>
      <c r="U9" s="12" t="str">
        <f t="shared" si="143"/>
        <v>18/01/2025|АРТ-389|C0007</v>
      </c>
      <c r="V9" s="12" t="str">
        <f t="shared" si="144"/>
        <v>оригинал</v>
      </c>
    </row>
    <row r="10" ht="15" customHeight="1">
      <c r="A10" s="10">
        <v>8</v>
      </c>
      <c r="B10" s="11" t="str">
        <f>RAW_Продажи!A9</f>
        <v>01/18/2025</v>
      </c>
      <c r="C10" s="11" t="str">
        <f>RAW_Продажи!B9</f>
        <v>АРТ_156</v>
      </c>
      <c r="D10" s="11" t="str">
        <f>RAW_Продажи!C9</f>
        <v>2</v>
      </c>
      <c r="E10" s="11" t="str">
        <f>RAW_Продажи!D9</f>
        <v>€95</v>
      </c>
      <c r="F10" s="11" t="str">
        <f>RAW_Продажи!E9</f>
        <v>C0008</v>
      </c>
      <c r="G10" s="11" t="str">
        <f>RAW_Продажи!F9</f>
        <v>P042</v>
      </c>
      <c r="H10" s="11" t="str">
        <f>RAW_Продажи!G9</f>
        <v>completed</v>
      </c>
      <c r="I10" s="12" t="str">
        <f t="shared" ref="I10:I73" si="145">SUBSTITUTE(SUBSTITUTE(C10,"№АРТ-",""),"АРТ_","")</f>
        <v>156</v>
      </c>
      <c r="J10" s="12" t="str">
        <f t="shared" ref="J10:J73" si="146">IF(LEFT(TRIM(E10),1)="$","$",IF(LEFT(TRIM(E10),1)="€","€","₽"))</f>
        <v>€</v>
      </c>
      <c r="K10" s="12">
        <f t="shared" ref="K10:K73" si="147">VALUE(SUBSTITUTE(SUBSTITUTE(SUBSTITUTE(SUBSTITUTE(TRIM(E10),"$",""),"€",""),"₽","")," ",""))</f>
        <v>95</v>
      </c>
      <c r="L10" s="19">
        <f t="shared" ref="L10:L73" si="148">DATE(VALUE(MID(B10,7,4)),VALUE(LEFT(B10,2)),VALUE(MID(B10,4,2)))</f>
        <v>45675</v>
      </c>
      <c r="M10" s="13" t="str">
        <f t="shared" ref="M10:M73" si="149">"АРТ-"&amp;LEFT(I10,3)</f>
        <v>АРТ-156</v>
      </c>
      <c r="N10" s="13">
        <f t="shared" ref="N10:N73" si="150">VALUE(LEFT(TRIM(D10),FIND(" ",TRIM(D10)&amp;" ")-1))</f>
        <v>2</v>
      </c>
      <c r="O10" s="13" t="str">
        <f>IFERROR(VLOOKUP(J10,Справочники!$G$6:$H$8,2,0),"RUB")</f>
        <v>EUR</v>
      </c>
      <c r="P10" s="14">
        <f>ROUND(K10*IFERROR(VLOOKUP(J10,Справочники!$G$6:$I$8,3,0),1),2)</f>
        <v>9500</v>
      </c>
      <c r="Q10" s="13" t="str">
        <f>IFERROR(VLOOKUP(H10,Справочники!$D$6:$E$14,2,0),"НЕИЗВЕСТНО")</f>
        <v>Завершен</v>
      </c>
      <c r="R10" s="20">
        <f>IFERROR(INDEX(Товары_очищенные!$Q$3:$Q$503,MATCH(M10,Товары_очищенные!$L$3:$L$503,0)),"нет в каталоге")</f>
        <v>17800</v>
      </c>
      <c r="S10" s="21" t="str">
        <f>IFERROR(INDEX(Товары_очищенные!$N$3:$N$503,MATCH(M10,Товары_очищенные!$L$3:$L$503,0)),"нет в каталоге")</f>
        <v>Наушники</v>
      </c>
      <c r="T10" s="21" t="str">
        <f t="shared" ref="T10:T73" si="151">IF(ISNUMBER(R10),IF(P10&lt;=R10*1.5,"OK","Цена выше розницы"),"—")</f>
        <v>OK</v>
      </c>
      <c r="U10" s="12" t="str">
        <f t="shared" ref="U10:U73" si="152">TEXT(L10,"DD.MM.YYYY")&amp;"|"&amp;M10&amp;"|"&amp;F10</f>
        <v>18/01/2025|АРТ-156|C0008</v>
      </c>
      <c r="V10" s="12" t="str">
        <f t="shared" ref="V10:V73" si="153">IF(COUNTIF($U$3:U10,U10)&gt;1,"ДУБЛЬ","оригинал")</f>
        <v>оригинал</v>
      </c>
    </row>
    <row r="11" ht="15" customHeight="1">
      <c r="A11" s="10">
        <v>9</v>
      </c>
      <c r="B11" s="11" t="str">
        <f>RAW_Продажи!A10</f>
        <v>01/19/2025</v>
      </c>
      <c r="C11" s="11" t="str">
        <f>RAW_Продажи!B10</f>
        <v>251/24</v>
      </c>
      <c r="D11" s="11" t="str">
        <f>RAW_Продажи!C10</f>
        <v xml:space="preserve">1 шт.</v>
      </c>
      <c r="E11" s="11" t="str">
        <f>RAW_Продажи!D10</f>
        <v xml:space="preserve">6500 ₽</v>
      </c>
      <c r="F11" s="11" t="str">
        <f>RAW_Продажи!E10</f>
        <v>C0009</v>
      </c>
      <c r="G11" s="11" t="str">
        <f>RAW_Продажи!F10</f>
        <v>P005</v>
      </c>
      <c r="H11" s="11" t="str">
        <f>RAW_Продажи!G10</f>
        <v>завершен</v>
      </c>
      <c r="I11" s="12" t="str">
        <f t="shared" si="145"/>
        <v>251/24</v>
      </c>
      <c r="J11" s="12" t="str">
        <f t="shared" si="146"/>
        <v>₽</v>
      </c>
      <c r="K11" s="12">
        <f t="shared" si="147"/>
        <v>6500</v>
      </c>
      <c r="L11" s="19">
        <f t="shared" si="148"/>
        <v>45676</v>
      </c>
      <c r="M11" s="13" t="str">
        <f t="shared" si="149"/>
        <v>АРТ-251</v>
      </c>
      <c r="N11" s="13">
        <f t="shared" si="150"/>
        <v>1</v>
      </c>
      <c r="O11" s="13" t="str">
        <f>IFERROR(VLOOKUP(J11,Справочники!$G$6:$H$8,2,0),"RUB")</f>
        <v>RUB</v>
      </c>
      <c r="P11" s="14">
        <f>ROUND(K11*IFERROR(VLOOKUP(J11,Справочники!$G$6:$I$8,3,0),1),2)</f>
        <v>6500</v>
      </c>
      <c r="Q11" s="13" t="str">
        <f>IFERROR(VLOOKUP(H11,Справочники!$D$6:$E$14,2,0),"НЕИЗВЕСТНО")</f>
        <v>Завершен</v>
      </c>
      <c r="R11" s="20">
        <f>IFERROR(INDEX(Товары_очищенные!$Q$3:$Q$503,MATCH(M11,Товары_очищенные!$L$3:$L$503,0)),"нет в каталоге")</f>
        <v>53500</v>
      </c>
      <c r="S11" s="21" t="str">
        <f>IFERROR(INDEX(Товары_очищенные!$N$3:$N$503,MATCH(M11,Товары_очищенные!$L$3:$L$503,0)),"нет в каталоге")</f>
        <v>Часы</v>
      </c>
      <c r="T11" s="21" t="str">
        <f t="shared" si="151"/>
        <v>OK</v>
      </c>
      <c r="U11" s="12" t="str">
        <f t="shared" si="152"/>
        <v>19/01/2025|АРТ-251|C0009</v>
      </c>
      <c r="V11" s="12" t="str">
        <f t="shared" si="153"/>
        <v>оригинал</v>
      </c>
    </row>
    <row r="12" ht="15" customHeight="1">
      <c r="A12" s="10">
        <v>10</v>
      </c>
      <c r="B12" s="11" t="str">
        <f>RAW_Продажи!A11</f>
        <v>01/19/2025</v>
      </c>
      <c r="C12" s="11" t="str">
        <f>RAW_Продажи!B11</f>
        <v>№АРТ-023</v>
      </c>
      <c r="D12" s="11" t="str">
        <f>RAW_Продажи!C11</f>
        <v>-2</v>
      </c>
      <c r="E12" s="11" t="str">
        <f>RAW_Продажи!D11</f>
        <v>$115</v>
      </c>
      <c r="F12" s="11" t="str">
        <f>RAW_Продажи!E11</f>
        <v>C0010</v>
      </c>
      <c r="G12" s="11" t="str">
        <f>RAW_Продажи!F11</f>
        <v>P036</v>
      </c>
      <c r="H12" s="11" t="str">
        <f>RAW_Продажи!G11</f>
        <v>Отменен</v>
      </c>
      <c r="I12" s="12" t="str">
        <f t="shared" si="145"/>
        <v>023</v>
      </c>
      <c r="J12" s="12" t="str">
        <f t="shared" si="146"/>
        <v>$</v>
      </c>
      <c r="K12" s="12">
        <f t="shared" si="147"/>
        <v>115</v>
      </c>
      <c r="L12" s="19">
        <f t="shared" si="148"/>
        <v>45676</v>
      </c>
      <c r="M12" s="13" t="str">
        <f t="shared" si="149"/>
        <v>АРТ-023</v>
      </c>
      <c r="N12" s="13">
        <f t="shared" si="150"/>
        <v>-2</v>
      </c>
      <c r="O12" s="13" t="str">
        <f>IFERROR(VLOOKUP(J12,Справочники!$G$6:$H$8,2,0),"RUB")</f>
        <v>USD</v>
      </c>
      <c r="P12" s="14">
        <f>ROUND(K12*IFERROR(VLOOKUP(J12,Справочники!$G$6:$I$8,3,0),1),2)</f>
        <v>10925</v>
      </c>
      <c r="Q12" s="13" t="str">
        <f>IFERROR(VLOOKUP(H12,Справочники!$D$6:$E$14,2,0),"НЕИЗВЕСТНО")</f>
        <v>Отменен</v>
      </c>
      <c r="R12" s="20">
        <f>IFERROR(INDEX(Товары_очищенные!$Q$3:$Q$503,MATCH(M12,Товары_очищенные!$L$3:$L$503,0)),"нет в каталоге")</f>
        <v>58500</v>
      </c>
      <c r="S12" s="21" t="str">
        <f>IFERROR(INDEX(Товары_очищенные!$N$3:$N$503,MATCH(M12,Товары_очищенные!$L$3:$L$503,0)),"нет в каталоге")</f>
        <v>Смартфоны</v>
      </c>
      <c r="T12" s="21" t="str">
        <f t="shared" si="151"/>
        <v>OK</v>
      </c>
      <c r="U12" s="12" t="str">
        <f t="shared" si="152"/>
        <v>19/01/2025|АРТ-023|C0010</v>
      </c>
      <c r="V12" s="12" t="str">
        <f t="shared" si="153"/>
        <v>оригинал</v>
      </c>
    </row>
    <row r="13" ht="15" customHeight="1">
      <c r="A13" s="10">
        <v>11</v>
      </c>
      <c r="B13" s="11" t="str">
        <f>RAW_Продажи!A12</f>
        <v>01/20/2025</v>
      </c>
      <c r="C13" s="11" t="str">
        <f>RAW_Продажи!B12</f>
        <v>АРТ_478</v>
      </c>
      <c r="D13" s="11" t="str">
        <f>RAW_Продажи!C12</f>
        <v>3</v>
      </c>
      <c r="E13" s="11" t="str">
        <f>RAW_Продажи!D12</f>
        <v>€80</v>
      </c>
      <c r="F13" s="11" t="str">
        <f>RAW_Продажи!E12</f>
        <v>C0011</v>
      </c>
      <c r="G13" s="11" t="str">
        <f>RAW_Продажи!F12</f>
        <v>P014</v>
      </c>
      <c r="H13" s="11" t="str">
        <f>RAW_Продажи!G12</f>
        <v>возврат</v>
      </c>
      <c r="I13" s="12" t="str">
        <f t="shared" si="145"/>
        <v>478</v>
      </c>
      <c r="J13" s="12" t="str">
        <f t="shared" si="146"/>
        <v>€</v>
      </c>
      <c r="K13" s="12">
        <f t="shared" si="147"/>
        <v>80</v>
      </c>
      <c r="L13" s="19">
        <f t="shared" si="148"/>
        <v>45677</v>
      </c>
      <c r="M13" s="13" t="str">
        <f t="shared" si="149"/>
        <v>АРТ-478</v>
      </c>
      <c r="N13" s="13">
        <f t="shared" si="150"/>
        <v>3</v>
      </c>
      <c r="O13" s="13" t="str">
        <f>IFERROR(VLOOKUP(J13,Справочники!$G$6:$H$8,2,0),"RUB")</f>
        <v>EUR</v>
      </c>
      <c r="P13" s="14">
        <f>ROUND(K13*IFERROR(VLOOKUP(J13,Справочники!$G$6:$I$8,3,0),1),2)</f>
        <v>8000</v>
      </c>
      <c r="Q13" s="13" t="str">
        <f>IFERROR(VLOOKUP(H13,Справочники!$D$6:$E$14,2,0),"НЕИЗВЕСТНО")</f>
        <v>Возврат</v>
      </c>
      <c r="R13" s="20">
        <f>IFERROR(INDEX(Товары_очищенные!$Q$3:$Q$503,MATCH(M13,Товары_очищенные!$L$3:$L$503,0)),"нет в каталоге")</f>
        <v>12990</v>
      </c>
      <c r="S13" s="21" t="str">
        <f>IFERROR(INDEX(Товары_очищенные!$N$3:$N$503,MATCH(M13,Товары_очищенные!$L$3:$L$503,0)),"нет в каталоге")</f>
        <v>Аксессуары</v>
      </c>
      <c r="T13" s="21" t="str">
        <f t="shared" si="151"/>
        <v>OK</v>
      </c>
      <c r="U13" s="12" t="str">
        <f t="shared" si="152"/>
        <v>20/01/2025|АРТ-478|C0011</v>
      </c>
      <c r="V13" s="12" t="str">
        <f t="shared" si="153"/>
        <v>оригинал</v>
      </c>
    </row>
    <row r="14" ht="15" customHeight="1">
      <c r="A14" s="10">
        <v>12</v>
      </c>
      <c r="B14" s="11" t="str">
        <f>RAW_Продажи!A13</f>
        <v>01/20/2025</v>
      </c>
      <c r="C14" s="11" t="str">
        <f>RAW_Продажи!B13</f>
        <v>045-24</v>
      </c>
      <c r="D14" s="11" t="str">
        <f>RAW_Продажи!C13</f>
        <v>1</v>
      </c>
      <c r="E14" s="11" t="str">
        <f>RAW_Продажи!D13</f>
        <v xml:space="preserve">8500 ₽</v>
      </c>
      <c r="F14" s="11" t="str">
        <f>RAW_Продажи!E13</f>
        <v>C0012</v>
      </c>
      <c r="G14" s="11" t="str">
        <f>RAW_Продажи!F13</f>
        <v>P028</v>
      </c>
      <c r="H14" s="11" t="str">
        <f>RAW_Продажи!G13</f>
        <v>Завершен</v>
      </c>
      <c r="I14" s="12" t="str">
        <f t="shared" si="145"/>
        <v>045-24</v>
      </c>
      <c r="J14" s="12" t="str">
        <f t="shared" si="146"/>
        <v>₽</v>
      </c>
      <c r="K14" s="12">
        <f t="shared" si="147"/>
        <v>8500</v>
      </c>
      <c r="L14" s="19">
        <f t="shared" si="148"/>
        <v>45677</v>
      </c>
      <c r="M14" s="13" t="str">
        <f t="shared" si="149"/>
        <v>АРТ-045</v>
      </c>
      <c r="N14" s="13">
        <f t="shared" si="150"/>
        <v>1</v>
      </c>
      <c r="O14" s="13" t="str">
        <f>IFERROR(VLOOKUP(J14,Справочники!$G$6:$H$8,2,0),"RUB")</f>
        <v>RUB</v>
      </c>
      <c r="P14" s="14">
        <f>ROUND(K14*IFERROR(VLOOKUP(J14,Справочники!$G$6:$I$8,3,0),1),2)</f>
        <v>8500</v>
      </c>
      <c r="Q14" s="13" t="str">
        <f>IFERROR(VLOOKUP(H14,Справочники!$D$6:$E$14,2,0),"НЕИЗВЕСТНО")</f>
        <v>Завершен</v>
      </c>
      <c r="R14" s="20">
        <f>IFERROR(INDEX(Товары_очищенные!$Q$3:$Q$503,MATCH(M14,Товары_очищенные!$L$3:$L$503,0)),"нет в каталоге")</f>
        <v>137000</v>
      </c>
      <c r="S14" s="21" t="str">
        <f>IFERROR(INDEX(Товары_очищенные!$N$3:$N$503,MATCH(M14,Товары_очищенные!$L$3:$L$503,0)),"нет в каталоге")</f>
        <v>Телевизоры</v>
      </c>
      <c r="T14" s="21" t="str">
        <f t="shared" si="151"/>
        <v>OK</v>
      </c>
      <c r="U14" s="12" t="str">
        <f t="shared" si="152"/>
        <v>20/01/2025|АРТ-045|C0012</v>
      </c>
      <c r="V14" s="12" t="str">
        <f t="shared" si="153"/>
        <v>оригинал</v>
      </c>
    </row>
    <row r="15" ht="15" customHeight="1">
      <c r="A15" s="10">
        <v>13</v>
      </c>
      <c r="B15" s="11" t="str">
        <f>RAW_Продажи!A14</f>
        <v>01/21/2025</v>
      </c>
      <c r="C15" s="11" t="str">
        <f>RAW_Продажи!B14</f>
        <v>№АРТ-189</v>
      </c>
      <c r="D15" s="11" t="str">
        <f>RAW_Продажи!C14</f>
        <v>2</v>
      </c>
      <c r="E15" s="11" t="str">
        <f>RAW_Продажи!D14</f>
        <v>$130</v>
      </c>
      <c r="F15" s="11" t="str">
        <f>RAW_Продажи!E14</f>
        <v>C0013</v>
      </c>
      <c r="G15" s="11" t="str">
        <f>RAW_Продажи!F14</f>
        <v>P009</v>
      </c>
      <c r="H15" s="11" t="str">
        <f>RAW_Продажи!G14</f>
        <v>canceled</v>
      </c>
      <c r="I15" s="12" t="str">
        <f t="shared" si="145"/>
        <v>189</v>
      </c>
      <c r="J15" s="12" t="str">
        <f t="shared" si="146"/>
        <v>$</v>
      </c>
      <c r="K15" s="12">
        <f t="shared" si="147"/>
        <v>130</v>
      </c>
      <c r="L15" s="19">
        <f t="shared" si="148"/>
        <v>45678</v>
      </c>
      <c r="M15" s="13" t="str">
        <f t="shared" si="149"/>
        <v>АРТ-189</v>
      </c>
      <c r="N15" s="13">
        <f t="shared" si="150"/>
        <v>2</v>
      </c>
      <c r="O15" s="13" t="str">
        <f>IFERROR(VLOOKUP(J15,Справочники!$G$6:$H$8,2,0),"RUB")</f>
        <v>USD</v>
      </c>
      <c r="P15" s="14">
        <f>ROUND(K15*IFERROR(VLOOKUP(J15,Справочники!$G$6:$I$8,3,0),1),2)</f>
        <v>12350</v>
      </c>
      <c r="Q15" s="13" t="str">
        <f>IFERROR(VLOOKUP(H15,Справочники!$D$6:$E$14,2,0),"НЕИЗВЕСТНО")</f>
        <v>Отменен</v>
      </c>
      <c r="R15" s="20">
        <f>IFERROR(INDEX(Товары_очищенные!$Q$3:$Q$503,MATCH(M15,Товары_очищенные!$L$3:$L$503,0)),"нет в каталоге")</f>
        <v>51500</v>
      </c>
      <c r="S15" s="21" t="str">
        <f>IFERROR(INDEX(Товары_очищенные!$N$3:$N$503,MATCH(M15,Товары_очищенные!$L$3:$L$503,0)),"нет в каталоге")</f>
        <v>Часы</v>
      </c>
      <c r="T15" s="21" t="str">
        <f t="shared" si="151"/>
        <v>OK</v>
      </c>
      <c r="U15" s="12" t="str">
        <f t="shared" si="152"/>
        <v>21/01/2025|АРТ-189|C0013</v>
      </c>
      <c r="V15" s="12" t="str">
        <f t="shared" si="153"/>
        <v>оригинал</v>
      </c>
    </row>
    <row r="16" ht="15" customHeight="1">
      <c r="A16" s="10">
        <v>14</v>
      </c>
      <c r="B16" s="11" t="str">
        <f>RAW_Продажи!A15</f>
        <v>01/21/2025</v>
      </c>
      <c r="C16" s="11" t="str">
        <f>RAW_Продажи!B15</f>
        <v>АРТ_334</v>
      </c>
      <c r="D16" s="11" t="str">
        <f>RAW_Продажи!C15</f>
        <v>1</v>
      </c>
      <c r="E16" s="11" t="str">
        <f>RAW_Продажи!D15</f>
        <v>€110</v>
      </c>
      <c r="F16" s="11" t="str">
        <f>RAW_Продажи!E15</f>
        <v>C0014</v>
      </c>
      <c r="G16" s="11" t="str">
        <f>RAW_Продажи!F15</f>
        <v>P041</v>
      </c>
      <c r="H16" s="11" t="str">
        <f>RAW_Продажи!G15</f>
        <v>completed</v>
      </c>
      <c r="I16" s="12" t="str">
        <f t="shared" si="145"/>
        <v>334</v>
      </c>
      <c r="J16" s="12" t="str">
        <f t="shared" si="146"/>
        <v>€</v>
      </c>
      <c r="K16" s="12">
        <f t="shared" si="147"/>
        <v>110</v>
      </c>
      <c r="L16" s="19">
        <f t="shared" si="148"/>
        <v>45678</v>
      </c>
      <c r="M16" s="13" t="str">
        <f t="shared" si="149"/>
        <v>АРТ-334</v>
      </c>
      <c r="N16" s="13">
        <f t="shared" si="150"/>
        <v>1</v>
      </c>
      <c r="O16" s="13" t="str">
        <f>IFERROR(VLOOKUP(J16,Справочники!$G$6:$H$8,2,0),"RUB")</f>
        <v>EUR</v>
      </c>
      <c r="P16" s="14">
        <f>ROUND(K16*IFERROR(VLOOKUP(J16,Справочники!$G$6:$I$8,3,0),1),2)</f>
        <v>11000</v>
      </c>
      <c r="Q16" s="13" t="str">
        <f>IFERROR(VLOOKUP(H16,Справочники!$D$6:$E$14,2,0),"НЕИЗВЕСТНО")</f>
        <v>Завершен</v>
      </c>
      <c r="R16" s="20">
        <f>IFERROR(INDEX(Товары_очищенные!$Q$3:$Q$503,MATCH(M16,Товары_очищенные!$L$3:$L$503,0)),"нет в каталоге")</f>
        <v>48990</v>
      </c>
      <c r="S16" s="21" t="str">
        <f>IFERROR(INDEX(Товары_очищенные!$N$3:$N$503,MATCH(M16,Товары_очищенные!$L$3:$L$503,0)),"нет в каталоге")</f>
        <v>Планшеты</v>
      </c>
      <c r="T16" s="21" t="str">
        <f t="shared" si="151"/>
        <v>OK</v>
      </c>
      <c r="U16" s="12" t="str">
        <f t="shared" si="152"/>
        <v>21/01/2025|АРТ-334|C0014</v>
      </c>
      <c r="V16" s="12" t="str">
        <f t="shared" si="153"/>
        <v>оригинал</v>
      </c>
    </row>
    <row r="17" ht="15" customHeight="1">
      <c r="A17" s="10">
        <v>15</v>
      </c>
      <c r="B17" s="11" t="str">
        <f>RAW_Продажи!A16</f>
        <v>01/22/2025</v>
      </c>
      <c r="C17" s="11" t="str">
        <f>RAW_Продажи!B16</f>
        <v>126/24</v>
      </c>
      <c r="D17" s="11" t="str">
        <f>RAW_Продажи!C16</f>
        <v xml:space="preserve">3 шт.</v>
      </c>
      <c r="E17" s="11" t="str">
        <f>RAW_Продажи!D16</f>
        <v xml:space="preserve">9500 ₽</v>
      </c>
      <c r="F17" s="11" t="str">
        <f>RAW_Продажи!E16</f>
        <v>C0015</v>
      </c>
      <c r="G17" s="11" t="str">
        <f>RAW_Продажи!F16</f>
        <v>P017</v>
      </c>
      <c r="H17" s="11" t="str">
        <f>RAW_Продажи!G16</f>
        <v>отменен</v>
      </c>
      <c r="I17" s="12" t="str">
        <f t="shared" si="145"/>
        <v>126/24</v>
      </c>
      <c r="J17" s="12" t="str">
        <f t="shared" si="146"/>
        <v>₽</v>
      </c>
      <c r="K17" s="12">
        <f t="shared" si="147"/>
        <v>9500</v>
      </c>
      <c r="L17" s="19">
        <f t="shared" si="148"/>
        <v>45679</v>
      </c>
      <c r="M17" s="13" t="str">
        <f t="shared" si="149"/>
        <v>АРТ-126</v>
      </c>
      <c r="N17" s="13">
        <f t="shared" si="150"/>
        <v>3</v>
      </c>
      <c r="O17" s="13" t="str">
        <f>IFERROR(VLOOKUP(J17,Справочники!$G$6:$H$8,2,0),"RUB")</f>
        <v>RUB</v>
      </c>
      <c r="P17" s="14">
        <f>ROUND(K17*IFERROR(VLOOKUP(J17,Справочники!$G$6:$I$8,3,0),1),2)</f>
        <v>9500</v>
      </c>
      <c r="Q17" s="13" t="str">
        <f>IFERROR(VLOOKUP(H17,Справочники!$D$6:$E$14,2,0),"НЕИЗВЕСТНО")</f>
        <v>Отменен</v>
      </c>
      <c r="R17" s="20">
        <f>IFERROR(INDEX(Товары_очищенные!$Q$3:$Q$503,MATCH(M17,Товары_очищенные!$L$3:$L$503,0)),"нет в каталоге")</f>
        <v>173000</v>
      </c>
      <c r="S17" s="21" t="str">
        <f>IFERROR(INDEX(Товары_очищенные!$N$3:$N$503,MATCH(M17,Товары_очищенные!$L$3:$L$503,0)),"нет в каталоге")</f>
        <v>Ноутбуки</v>
      </c>
      <c r="T17" s="21" t="str">
        <f t="shared" si="151"/>
        <v>OK</v>
      </c>
      <c r="U17" s="12" t="str">
        <f t="shared" si="152"/>
        <v>22/01/2025|АРТ-126|C0015</v>
      </c>
      <c r="V17" s="12" t="str">
        <f t="shared" si="153"/>
        <v>оригинал</v>
      </c>
    </row>
    <row r="18" ht="15" customHeight="1">
      <c r="A18" s="10">
        <v>16</v>
      </c>
      <c r="B18" s="11" t="str">
        <f>RAW_Продажи!A17</f>
        <v>01/22/2025</v>
      </c>
      <c r="C18" s="11" t="str">
        <f>RAW_Продажи!B17</f>
        <v>№АРТ-412</v>
      </c>
      <c r="D18" s="11" t="str">
        <f>RAW_Продажи!C17</f>
        <v>-1</v>
      </c>
      <c r="E18" s="11" t="str">
        <f>RAW_Продажи!D17</f>
        <v>$95</v>
      </c>
      <c r="F18" s="11" t="str">
        <f>RAW_Продажи!E17</f>
        <v>C0016</v>
      </c>
      <c r="G18" s="11" t="str">
        <f>RAW_Продажи!F17</f>
        <v>P032</v>
      </c>
      <c r="H18" s="11" t="str">
        <f>RAW_Продажи!G17</f>
        <v>Завершен</v>
      </c>
      <c r="I18" s="12" t="str">
        <f t="shared" si="145"/>
        <v>412</v>
      </c>
      <c r="J18" s="12" t="str">
        <f t="shared" si="146"/>
        <v>$</v>
      </c>
      <c r="K18" s="12">
        <f t="shared" si="147"/>
        <v>95</v>
      </c>
      <c r="L18" s="19">
        <f t="shared" si="148"/>
        <v>45679</v>
      </c>
      <c r="M18" s="13" t="str">
        <f t="shared" si="149"/>
        <v>АРТ-412</v>
      </c>
      <c r="N18" s="13">
        <f t="shared" si="150"/>
        <v>-1</v>
      </c>
      <c r="O18" s="13" t="str">
        <f>IFERROR(VLOOKUP(J18,Справочники!$G$6:$H$8,2,0),"RUB")</f>
        <v>USD</v>
      </c>
      <c r="P18" s="14">
        <f>ROUND(K18*IFERROR(VLOOKUP(J18,Справочники!$G$6:$I$8,3,0),1),2)</f>
        <v>9025</v>
      </c>
      <c r="Q18" s="13" t="str">
        <f>IFERROR(VLOOKUP(H18,Справочники!$D$6:$E$14,2,0),"НЕИЗВЕСТНО")</f>
        <v>Завершен</v>
      </c>
      <c r="R18" s="20">
        <f>IFERROR(INDEX(Товары_очищенные!$Q$3:$Q$503,MATCH(M18,Товары_очищенные!$L$3:$L$503,0)),"нет в каталоге")</f>
        <v>54990</v>
      </c>
      <c r="S18" s="21" t="str">
        <f>IFERROR(INDEX(Товары_очищенные!$N$3:$N$503,MATCH(M18,Товары_очищенные!$L$3:$L$503,0)),"нет в каталоге")</f>
        <v>Мониторы</v>
      </c>
      <c r="T18" s="21" t="str">
        <f t="shared" si="151"/>
        <v>OK</v>
      </c>
      <c r="U18" s="12" t="str">
        <f t="shared" si="152"/>
        <v>22/01/2025|АРТ-412|C0016</v>
      </c>
      <c r="V18" s="12" t="str">
        <f t="shared" si="153"/>
        <v>оригинал</v>
      </c>
    </row>
    <row r="19" ht="15" customHeight="1">
      <c r="A19" s="10">
        <v>17</v>
      </c>
      <c r="B19" s="11" t="str">
        <f>RAW_Продажи!A18</f>
        <v>01/23/2025</v>
      </c>
      <c r="C19" s="11" t="str">
        <f>RAW_Продажи!B18</f>
        <v>АРТ_057</v>
      </c>
      <c r="D19" s="11" t="str">
        <f>RAW_Продажи!C18</f>
        <v>2</v>
      </c>
      <c r="E19" s="11" t="str">
        <f>RAW_Продажи!D18</f>
        <v>€75</v>
      </c>
      <c r="F19" s="11" t="str">
        <f>RAW_Продажи!E18</f>
        <v>C0017</v>
      </c>
      <c r="G19" s="11" t="str">
        <f>RAW_Продажи!F18</f>
        <v>P049</v>
      </c>
      <c r="H19" s="11" t="str">
        <f>RAW_Продажи!G18</f>
        <v>завершен</v>
      </c>
      <c r="I19" s="12" t="str">
        <f t="shared" si="145"/>
        <v>057</v>
      </c>
      <c r="J19" s="12" t="str">
        <f t="shared" si="146"/>
        <v>€</v>
      </c>
      <c r="K19" s="12">
        <f t="shared" si="147"/>
        <v>75</v>
      </c>
      <c r="L19" s="19">
        <f t="shared" si="148"/>
        <v>45680</v>
      </c>
      <c r="M19" s="13" t="str">
        <f t="shared" si="149"/>
        <v>АРТ-057</v>
      </c>
      <c r="N19" s="13">
        <f t="shared" si="150"/>
        <v>2</v>
      </c>
      <c r="O19" s="13" t="str">
        <f>IFERROR(VLOOKUP(J19,Справочники!$G$6:$H$8,2,0),"RUB")</f>
        <v>EUR</v>
      </c>
      <c r="P19" s="14">
        <f>ROUND(K19*IFERROR(VLOOKUP(J19,Справочники!$G$6:$I$8,3,0),1),2)</f>
        <v>7500</v>
      </c>
      <c r="Q19" s="13" t="str">
        <f>IFERROR(VLOOKUP(H19,Справочники!$D$6:$E$14,2,0),"НЕИЗВЕСТНО")</f>
        <v>Завершен</v>
      </c>
      <c r="R19" s="20">
        <f>IFERROR(INDEX(Товары_очищенные!$Q$3:$Q$503,MATCH(M19,Товары_очищенные!$L$3:$L$503,0)),"нет в каталоге")</f>
        <v>11200</v>
      </c>
      <c r="S19" s="21" t="str">
        <f>IFERROR(INDEX(Товары_очищенные!$N$3:$N$503,MATCH(M19,Товары_очищенные!$L$3:$L$503,0)),"нет в каталоге")</f>
        <v>Аксессуары</v>
      </c>
      <c r="T19" s="21" t="str">
        <f t="shared" si="151"/>
        <v>OK</v>
      </c>
      <c r="U19" s="12" t="str">
        <f t="shared" si="152"/>
        <v>23/01/2025|АРТ-057|C0017</v>
      </c>
      <c r="V19" s="12" t="str">
        <f t="shared" si="153"/>
        <v>оригинал</v>
      </c>
    </row>
    <row r="20" ht="15" customHeight="1">
      <c r="A20" s="10">
        <v>18</v>
      </c>
      <c r="B20" s="11" t="str">
        <f>RAW_Продажи!A19</f>
        <v>01/23/2025</v>
      </c>
      <c r="C20" s="11" t="str">
        <f>RAW_Продажи!B19</f>
        <v>394-24</v>
      </c>
      <c r="D20" s="11" t="str">
        <f>RAW_Продажи!C19</f>
        <v>1</v>
      </c>
      <c r="E20" s="11" t="str">
        <f>RAW_Продажи!D19</f>
        <v xml:space="preserve">7000 ₽</v>
      </c>
      <c r="F20" s="11" t="str">
        <f>RAW_Продажи!E19</f>
        <v>C0018</v>
      </c>
      <c r="G20" s="11" t="str">
        <f>RAW_Продажи!F19</f>
        <v>P006</v>
      </c>
      <c r="H20" s="11" t="str">
        <f>RAW_Продажи!G19</f>
        <v>возврат</v>
      </c>
      <c r="I20" s="12" t="str">
        <f t="shared" si="145"/>
        <v>394-24</v>
      </c>
      <c r="J20" s="12" t="str">
        <f t="shared" si="146"/>
        <v>₽</v>
      </c>
      <c r="K20" s="12">
        <f t="shared" si="147"/>
        <v>7000</v>
      </c>
      <c r="L20" s="19">
        <f t="shared" si="148"/>
        <v>45680</v>
      </c>
      <c r="M20" s="13" t="str">
        <f t="shared" si="149"/>
        <v>АРТ-394</v>
      </c>
      <c r="N20" s="13">
        <f t="shared" si="150"/>
        <v>1</v>
      </c>
      <c r="O20" s="13" t="str">
        <f>IFERROR(VLOOKUP(J20,Справочники!$G$6:$H$8,2,0),"RUB")</f>
        <v>RUB</v>
      </c>
      <c r="P20" s="14">
        <f>ROUND(K20*IFERROR(VLOOKUP(J20,Справочники!$G$6:$I$8,3,0),1),2)</f>
        <v>7000</v>
      </c>
      <c r="Q20" s="13" t="str">
        <f>IFERROR(VLOOKUP(H20,Справочники!$D$6:$E$14,2,0),"НЕИЗВЕСТНО")</f>
        <v>Возврат</v>
      </c>
      <c r="R20" s="20">
        <f>IFERROR(INDEX(Товары_очищенные!$Q$3:$Q$503,MATCH(M20,Товары_очищенные!$L$3:$L$503,0)),"нет в каталоге")</f>
        <v>64990</v>
      </c>
      <c r="S20" s="21" t="str">
        <f>IFERROR(INDEX(Товары_очищенные!$N$3:$N$503,MATCH(M20,Товары_очищенные!$L$3:$L$503,0)),"нет в каталоге")</f>
        <v>Мониторы</v>
      </c>
      <c r="T20" s="21" t="str">
        <f t="shared" si="151"/>
        <v>OK</v>
      </c>
      <c r="U20" s="12" t="str">
        <f t="shared" si="152"/>
        <v>23/01/2025|АРТ-394|C0018</v>
      </c>
      <c r="V20" s="12" t="str">
        <f t="shared" si="153"/>
        <v>оригинал</v>
      </c>
    </row>
    <row r="21" ht="15" customHeight="1">
      <c r="A21" s="10">
        <v>19</v>
      </c>
      <c r="B21" s="11" t="str">
        <f>RAW_Продажи!A20</f>
        <v>01/24/2025</v>
      </c>
      <c r="C21" s="11" t="str">
        <f>RAW_Продажи!B20</f>
        <v>№АРТ-278</v>
      </c>
      <c r="D21" s="11" t="str">
        <f>RAW_Продажи!C20</f>
        <v>3</v>
      </c>
      <c r="E21" s="11" t="str">
        <f>RAW_Продажи!D20</f>
        <v>$140</v>
      </c>
      <c r="F21" s="11" t="str">
        <f>RAW_Продажи!E20</f>
        <v>C0019</v>
      </c>
      <c r="G21" s="11" t="str">
        <f>RAW_Продажи!F20</f>
        <v>P024</v>
      </c>
      <c r="H21" s="11" t="str">
        <f>RAW_Продажи!G20</f>
        <v>completed</v>
      </c>
      <c r="I21" s="12" t="str">
        <f t="shared" si="145"/>
        <v>278</v>
      </c>
      <c r="J21" s="12" t="str">
        <f t="shared" si="146"/>
        <v>$</v>
      </c>
      <c r="K21" s="12">
        <f t="shared" si="147"/>
        <v>140</v>
      </c>
      <c r="L21" s="19">
        <f t="shared" si="148"/>
        <v>45681</v>
      </c>
      <c r="M21" s="13" t="str">
        <f t="shared" si="149"/>
        <v>АРТ-278</v>
      </c>
      <c r="N21" s="13">
        <f t="shared" si="150"/>
        <v>3</v>
      </c>
      <c r="O21" s="13" t="str">
        <f>IFERROR(VLOOKUP(J21,Справочники!$G$6:$H$8,2,0),"RUB")</f>
        <v>USD</v>
      </c>
      <c r="P21" s="14">
        <f>ROUND(K21*IFERROR(VLOOKUP(J21,Справочники!$G$6:$I$8,3,0),1),2)</f>
        <v>13300</v>
      </c>
      <c r="Q21" s="13" t="str">
        <f>IFERROR(VLOOKUP(H21,Справочники!$D$6:$E$14,2,0),"НЕИЗВЕСТНО")</f>
        <v>Завершен</v>
      </c>
      <c r="R21" s="20">
        <f>IFERROR(INDEX(Товары_очищенные!$Q$3:$Q$503,MATCH(M21,Товары_очищенные!$L$3:$L$503,0)),"нет в каталоге")</f>
        <v>112000</v>
      </c>
      <c r="S21" s="21" t="str">
        <f>IFERROR(INDEX(Товары_очищенные!$N$3:$N$503,MATCH(M21,Товары_очищенные!$L$3:$L$503,0)),"нет в каталоге")</f>
        <v>Телевизоры</v>
      </c>
      <c r="T21" s="21" t="str">
        <f t="shared" si="151"/>
        <v>OK</v>
      </c>
      <c r="U21" s="12" t="str">
        <f t="shared" si="152"/>
        <v>24/01/2025|АРТ-278|C0019</v>
      </c>
      <c r="V21" s="12" t="str">
        <f t="shared" si="153"/>
        <v>оригинал</v>
      </c>
    </row>
    <row r="22" ht="15" customHeight="1">
      <c r="A22" s="10">
        <v>20</v>
      </c>
      <c r="B22" s="11" t="str">
        <f>RAW_Продажи!A21</f>
        <v>01/24/2025</v>
      </c>
      <c r="C22" s="11" t="str">
        <f>RAW_Продажи!B21</f>
        <v>АРТ_193</v>
      </c>
      <c r="D22" s="11" t="str">
        <f>RAW_Продажи!C21</f>
        <v>2</v>
      </c>
      <c r="E22" s="11" t="str">
        <f>RAW_Продажи!D21</f>
        <v>€120</v>
      </c>
      <c r="F22" s="11" t="str">
        <f>RAW_Продажи!E21</f>
        <v>C0020</v>
      </c>
      <c r="G22" s="11" t="str">
        <f>RAW_Продажи!F21</f>
        <v>P015</v>
      </c>
      <c r="H22" s="11" t="str">
        <f>RAW_Продажи!G21</f>
        <v>Завершен</v>
      </c>
      <c r="I22" s="12" t="str">
        <f t="shared" si="145"/>
        <v>193</v>
      </c>
      <c r="J22" s="12" t="str">
        <f t="shared" si="146"/>
        <v>€</v>
      </c>
      <c r="K22" s="12">
        <f t="shared" si="147"/>
        <v>120</v>
      </c>
      <c r="L22" s="19">
        <f t="shared" si="148"/>
        <v>45681</v>
      </c>
      <c r="M22" s="13" t="str">
        <f t="shared" si="149"/>
        <v>АРТ-193</v>
      </c>
      <c r="N22" s="13">
        <f t="shared" si="150"/>
        <v>2</v>
      </c>
      <c r="O22" s="13" t="str">
        <f>IFERROR(VLOOKUP(J22,Справочники!$G$6:$H$8,2,0),"RUB")</f>
        <v>EUR</v>
      </c>
      <c r="P22" s="14">
        <f>ROUND(K22*IFERROR(VLOOKUP(J22,Справочники!$G$6:$I$8,3,0),1),2)</f>
        <v>12000</v>
      </c>
      <c r="Q22" s="13" t="str">
        <f>IFERROR(VLOOKUP(H22,Справочники!$D$6:$E$14,2,0),"НЕИЗВЕСТНО")</f>
        <v>Завершен</v>
      </c>
      <c r="R22" s="20">
        <f>IFERROR(INDEX(Товары_очищенные!$Q$3:$Q$503,MATCH(M22,Товары_очищенные!$L$3:$L$503,0)),"нет в каталоге")</f>
        <v>129990</v>
      </c>
      <c r="S22" s="21" t="str">
        <f>IFERROR(INDEX(Товары_очищенные!$N$3:$N$503,MATCH(M22,Товары_очищенные!$L$3:$L$503,0)),"нет в каталоге")</f>
        <v>Ноутбуки</v>
      </c>
      <c r="T22" s="21" t="str">
        <f t="shared" si="151"/>
        <v>OK</v>
      </c>
      <c r="U22" s="12" t="str">
        <f t="shared" si="152"/>
        <v>24/01/2025|АРТ-193|C0020</v>
      </c>
      <c r="V22" s="12" t="str">
        <f t="shared" si="153"/>
        <v>оригинал</v>
      </c>
    </row>
    <row r="23" ht="15" customHeight="1">
      <c r="A23" s="10">
        <v>21</v>
      </c>
      <c r="B23" s="11" t="str">
        <f>RAW_Продажи!A22</f>
        <v>01/25/2025</v>
      </c>
      <c r="C23" s="11" t="str">
        <f>RAW_Продажи!B22</f>
        <v>149/24</v>
      </c>
      <c r="D23" s="11" t="str">
        <f>RAW_Продажи!C22</f>
        <v xml:space="preserve">1 шт.</v>
      </c>
      <c r="E23" s="11" t="str">
        <f>RAW_Продажи!D22</f>
        <v xml:space="preserve">10000 ₽</v>
      </c>
      <c r="F23" s="11" t="str">
        <f>RAW_Продажи!E22</f>
        <v>C0021</v>
      </c>
      <c r="G23" s="11" t="str">
        <f>RAW_Продажи!F22</f>
        <v>P037</v>
      </c>
      <c r="H23" s="11" t="str">
        <f>RAW_Продажи!G22</f>
        <v>canceled</v>
      </c>
      <c r="I23" s="12" t="str">
        <f t="shared" si="145"/>
        <v>149/24</v>
      </c>
      <c r="J23" s="12" t="str">
        <f t="shared" si="146"/>
        <v>₽</v>
      </c>
      <c r="K23" s="12">
        <f t="shared" si="147"/>
        <v>10000</v>
      </c>
      <c r="L23" s="19">
        <f t="shared" si="148"/>
        <v>45682</v>
      </c>
      <c r="M23" s="13" t="str">
        <f t="shared" si="149"/>
        <v>АРТ-149</v>
      </c>
      <c r="N23" s="13">
        <f t="shared" si="150"/>
        <v>1</v>
      </c>
      <c r="O23" s="13" t="str">
        <f>IFERROR(VLOOKUP(J23,Справочники!$G$6:$H$8,2,0),"RUB")</f>
        <v>RUB</v>
      </c>
      <c r="P23" s="14">
        <f>ROUND(K23*IFERROR(VLOOKUP(J23,Справочники!$G$6:$I$8,3,0),1),2)</f>
        <v>10000</v>
      </c>
      <c r="Q23" s="13" t="str">
        <f>IFERROR(VLOOKUP(H23,Справочники!$D$6:$E$14,2,0),"НЕИЗВЕСТНО")</f>
        <v>Отменен</v>
      </c>
      <c r="R23" s="20">
        <f>IFERROR(INDEX(Товары_очищенные!$Q$3:$Q$503,MATCH(M23,Товары_очищенные!$L$3:$L$503,0)),"нет в каталоге")</f>
        <v>137000</v>
      </c>
      <c r="S23" s="21" t="str">
        <f>IFERROR(INDEX(Товары_очищенные!$N$3:$N$503,MATCH(M23,Товары_очищенные!$L$3:$L$503,0)),"нет в каталоге")</f>
        <v>Ноутбуки</v>
      </c>
      <c r="T23" s="21" t="str">
        <f t="shared" si="151"/>
        <v>OK</v>
      </c>
      <c r="U23" s="12" t="str">
        <f t="shared" si="152"/>
        <v>25/01/2025|АРТ-149|C0021</v>
      </c>
      <c r="V23" s="12" t="str">
        <f t="shared" si="153"/>
        <v>оригинал</v>
      </c>
    </row>
    <row r="24" ht="15" customHeight="1">
      <c r="A24" s="10">
        <v>22</v>
      </c>
      <c r="B24" s="11" t="str">
        <f>RAW_Продажи!A23</f>
        <v>01/25/2025</v>
      </c>
      <c r="C24" s="11" t="str">
        <f>RAW_Продажи!B23</f>
        <v>№АРТ-345</v>
      </c>
      <c r="D24" s="11" t="str">
        <f>RAW_Продажи!C23</f>
        <v>-3</v>
      </c>
      <c r="E24" s="11" t="str">
        <f>RAW_Продажи!D23</f>
        <v>$90</v>
      </c>
      <c r="F24" s="11" t="str">
        <f>RAW_Продажи!E23</f>
        <v>C0022</v>
      </c>
      <c r="G24" s="11" t="str">
        <f>RAW_Продажи!F23</f>
        <v>P048</v>
      </c>
      <c r="H24" s="11" t="str">
        <f>RAW_Продажи!G23</f>
        <v>отменен</v>
      </c>
      <c r="I24" s="12" t="str">
        <f t="shared" si="145"/>
        <v>345</v>
      </c>
      <c r="J24" s="12" t="str">
        <f t="shared" si="146"/>
        <v>$</v>
      </c>
      <c r="K24" s="12">
        <f t="shared" si="147"/>
        <v>90</v>
      </c>
      <c r="L24" s="19">
        <f t="shared" si="148"/>
        <v>45682</v>
      </c>
      <c r="M24" s="13" t="str">
        <f t="shared" si="149"/>
        <v>АРТ-345</v>
      </c>
      <c r="N24" s="13">
        <f t="shared" si="150"/>
        <v>-3</v>
      </c>
      <c r="O24" s="13" t="str">
        <f>IFERROR(VLOOKUP(J24,Справочники!$G$6:$H$8,2,0),"RUB")</f>
        <v>USD</v>
      </c>
      <c r="P24" s="14">
        <f>ROUND(K24*IFERROR(VLOOKUP(J24,Справочники!$G$6:$I$8,3,0),1),2)</f>
        <v>8550</v>
      </c>
      <c r="Q24" s="13" t="str">
        <f>IFERROR(VLOOKUP(H24,Справочники!$D$6:$E$14,2,0),"НЕИЗВЕСТНО")</f>
        <v>Отменен</v>
      </c>
      <c r="R24" s="20">
        <f>IFERROR(INDEX(Товары_очищенные!$Q$3:$Q$503,MATCH(M24,Товары_очищенные!$L$3:$L$503,0)),"нет в каталоге")</f>
        <v>87500</v>
      </c>
      <c r="S24" s="21" t="str">
        <f>IFERROR(INDEX(Товары_очищенные!$N$3:$N$503,MATCH(M24,Товары_очищенные!$L$3:$L$503,0)),"нет в каталоге")</f>
        <v>Телевизоры</v>
      </c>
      <c r="T24" s="21" t="str">
        <f t="shared" si="151"/>
        <v>OK</v>
      </c>
      <c r="U24" s="12" t="str">
        <f t="shared" si="152"/>
        <v>25/01/2025|АРТ-345|C0022</v>
      </c>
      <c r="V24" s="12" t="str">
        <f t="shared" si="153"/>
        <v>оригинал</v>
      </c>
    </row>
    <row r="25" ht="15" customHeight="1">
      <c r="A25" s="10">
        <v>23</v>
      </c>
      <c r="B25" s="11" t="str">
        <f>RAW_Продажи!A24</f>
        <v>01/26/2025</v>
      </c>
      <c r="C25" s="11" t="str">
        <f>RAW_Продажи!B24</f>
        <v>АРТ_086</v>
      </c>
      <c r="D25" s="11" t="str">
        <f>RAW_Продажи!C24</f>
        <v>2</v>
      </c>
      <c r="E25" s="11" t="str">
        <f>RAW_Продажи!D24</f>
        <v>€70</v>
      </c>
      <c r="F25" s="11" t="str">
        <f>RAW_Продажи!E24</f>
        <v>C0023</v>
      </c>
      <c r="G25" s="11" t="str">
        <f>RAW_Продажи!F24</f>
        <v>P004</v>
      </c>
      <c r="H25" s="11" t="str">
        <f>RAW_Продажи!G24</f>
        <v>возврат</v>
      </c>
      <c r="I25" s="12" t="str">
        <f t="shared" si="145"/>
        <v>086</v>
      </c>
      <c r="J25" s="12" t="str">
        <f t="shared" si="146"/>
        <v>€</v>
      </c>
      <c r="K25" s="12">
        <f t="shared" si="147"/>
        <v>70</v>
      </c>
      <c r="L25" s="19">
        <f t="shared" si="148"/>
        <v>45683</v>
      </c>
      <c r="M25" s="13" t="str">
        <f t="shared" si="149"/>
        <v>АРТ-086</v>
      </c>
      <c r="N25" s="13">
        <f t="shared" si="150"/>
        <v>2</v>
      </c>
      <c r="O25" s="13" t="str">
        <f>IFERROR(VLOOKUP(J25,Справочники!$G$6:$H$8,2,0),"RUB")</f>
        <v>EUR</v>
      </c>
      <c r="P25" s="14">
        <f>ROUND(K25*IFERROR(VLOOKUP(J25,Справочники!$G$6:$I$8,3,0),1),2)</f>
        <v>7000</v>
      </c>
      <c r="Q25" s="13" t="str">
        <f>IFERROR(VLOOKUP(H25,Справочники!$D$6:$E$14,2,0),"НЕИЗВЕСТНО")</f>
        <v>Возврат</v>
      </c>
      <c r="R25" s="20">
        <f>IFERROR(INDEX(Товары_очищенные!$Q$3:$Q$503,MATCH(M25,Товары_очищенные!$L$3:$L$503,0)),"нет в каталоге")</f>
        <v>107500</v>
      </c>
      <c r="S25" s="21" t="str">
        <f>IFERROR(INDEX(Товары_очищенные!$N$3:$N$503,MATCH(M25,Товары_очищенные!$L$3:$L$503,0)),"нет в каталоге")</f>
        <v>Ноутбуки</v>
      </c>
      <c r="T25" s="21" t="str">
        <f t="shared" si="151"/>
        <v>OK</v>
      </c>
      <c r="U25" s="12" t="str">
        <f t="shared" si="152"/>
        <v>26/01/2025|АРТ-086|C0023</v>
      </c>
      <c r="V25" s="12" t="str">
        <f t="shared" si="153"/>
        <v>оригинал</v>
      </c>
    </row>
    <row r="26" ht="15" customHeight="1">
      <c r="A26" s="10">
        <v>24</v>
      </c>
      <c r="B26" s="11" t="str">
        <f>RAW_Продажи!A25</f>
        <v>01/26/2025</v>
      </c>
      <c r="C26" s="11" t="str">
        <f>RAW_Продажи!B25</f>
        <v>223-24</v>
      </c>
      <c r="D26" s="11" t="str">
        <f>RAW_Продажи!C25</f>
        <v>1</v>
      </c>
      <c r="E26" s="11" t="str">
        <f>RAW_Продажи!D25</f>
        <v xml:space="preserve">5500 ₽</v>
      </c>
      <c r="F26" s="11" t="str">
        <f>RAW_Продажи!E25</f>
        <v>C0024</v>
      </c>
      <c r="G26" s="11" t="str">
        <f>RAW_Продажи!F25</f>
        <v>P026</v>
      </c>
      <c r="H26" s="11" t="str">
        <f>RAW_Продажи!G25</f>
        <v>Завершен</v>
      </c>
      <c r="I26" s="12" t="str">
        <f t="shared" si="145"/>
        <v>223-24</v>
      </c>
      <c r="J26" s="12" t="str">
        <f t="shared" si="146"/>
        <v>₽</v>
      </c>
      <c r="K26" s="12">
        <f t="shared" si="147"/>
        <v>5500</v>
      </c>
      <c r="L26" s="19">
        <f t="shared" si="148"/>
        <v>45683</v>
      </c>
      <c r="M26" s="13" t="str">
        <f t="shared" si="149"/>
        <v>АРТ-223</v>
      </c>
      <c r="N26" s="13">
        <f t="shared" si="150"/>
        <v>1</v>
      </c>
      <c r="O26" s="13" t="str">
        <f>IFERROR(VLOOKUP(J26,Справочники!$G$6:$H$8,2,0),"RUB")</f>
        <v>RUB</v>
      </c>
      <c r="P26" s="14">
        <f>ROUND(K26*IFERROR(VLOOKUP(J26,Справочники!$G$6:$I$8,3,0),1),2)</f>
        <v>5500</v>
      </c>
      <c r="Q26" s="13" t="str">
        <f>IFERROR(VLOOKUP(H26,Справочники!$D$6:$E$14,2,0),"НЕИЗВЕСТНО")</f>
        <v>Завершен</v>
      </c>
      <c r="R26" s="20">
        <f>IFERROR(INDEX(Товары_очищенные!$Q$3:$Q$503,MATCH(M26,Товары_очищенные!$L$3:$L$503,0)),"нет в каталоге")</f>
        <v>54990</v>
      </c>
      <c r="S26" s="21" t="str">
        <f>IFERROR(INDEX(Товары_очищенные!$N$3:$N$503,MATCH(M26,Товары_очищенные!$L$3:$L$503,0)),"нет в каталоге")</f>
        <v>Мониторы</v>
      </c>
      <c r="T26" s="21" t="str">
        <f t="shared" si="151"/>
        <v>OK</v>
      </c>
      <c r="U26" s="12" t="str">
        <f t="shared" si="152"/>
        <v>26/01/2025|АРТ-223|C0024</v>
      </c>
      <c r="V26" s="12" t="str">
        <f t="shared" si="153"/>
        <v>оригинал</v>
      </c>
    </row>
    <row r="27" ht="15" customHeight="1">
      <c r="A27" s="10">
        <v>25</v>
      </c>
      <c r="B27" s="11" t="str">
        <f>RAW_Продажи!A26</f>
        <v>01/27/2025</v>
      </c>
      <c r="C27" s="11" t="str">
        <f>RAW_Продажи!B26</f>
        <v>№АРТ-019</v>
      </c>
      <c r="D27" s="11" t="str">
        <f>RAW_Продажи!C26</f>
        <v>2</v>
      </c>
      <c r="E27" s="11" t="str">
        <f>RAW_Продажи!D26</f>
        <v>$125</v>
      </c>
      <c r="F27" s="11" t="str">
        <f>RAW_Продажи!E26</f>
        <v>C0025</v>
      </c>
      <c r="G27" s="11" t="str">
        <f>RAW_Продажи!F26</f>
        <v>P013</v>
      </c>
      <c r="H27" s="11" t="str">
        <f>RAW_Продажи!G26</f>
        <v>завершен</v>
      </c>
      <c r="I27" s="12" t="str">
        <f t="shared" si="145"/>
        <v>019</v>
      </c>
      <c r="J27" s="12" t="str">
        <f t="shared" si="146"/>
        <v>$</v>
      </c>
      <c r="K27" s="12">
        <f t="shared" si="147"/>
        <v>125</v>
      </c>
      <c r="L27" s="19">
        <f t="shared" si="148"/>
        <v>45684</v>
      </c>
      <c r="M27" s="13" t="str">
        <f t="shared" si="149"/>
        <v>АРТ-019</v>
      </c>
      <c r="N27" s="13">
        <f t="shared" si="150"/>
        <v>2</v>
      </c>
      <c r="O27" s="13" t="str">
        <f>IFERROR(VLOOKUP(J27,Справочники!$G$6:$H$8,2,0),"RUB")</f>
        <v>USD</v>
      </c>
      <c r="P27" s="14">
        <f>ROUND(K27*IFERROR(VLOOKUP(J27,Справочники!$G$6:$I$8,3,0),1),2)</f>
        <v>11875</v>
      </c>
      <c r="Q27" s="13" t="str">
        <f>IFERROR(VLOOKUP(H27,Справочники!$D$6:$E$14,2,0),"НЕИЗВЕСТНО")</f>
        <v>Завершен</v>
      </c>
      <c r="R27" s="20">
        <f>IFERROR(INDEX(Товары_очищенные!$Q$3:$Q$503,MATCH(M27,Товары_очищенные!$L$3:$L$503,0)),"нет в каталоге")</f>
        <v>135000</v>
      </c>
      <c r="S27" s="21" t="str">
        <f>IFERROR(INDEX(Товары_очищенные!$N$3:$N$503,MATCH(M27,Товары_очищенные!$L$3:$L$503,0)),"нет в каталоге")</f>
        <v>Ноутбуки</v>
      </c>
      <c r="T27" s="21" t="str">
        <f t="shared" si="151"/>
        <v>OK</v>
      </c>
      <c r="U27" s="12" t="str">
        <f t="shared" si="152"/>
        <v>27/01/2025|АРТ-019|C0025</v>
      </c>
      <c r="V27" s="12" t="str">
        <f t="shared" si="153"/>
        <v>оригинал</v>
      </c>
    </row>
    <row r="28" ht="15" customHeight="1">
      <c r="A28" s="10">
        <v>26</v>
      </c>
      <c r="B28" s="11" t="str">
        <f>RAW_Продажи!A27</f>
        <v>01/27/2025</v>
      </c>
      <c r="C28" s="11" t="str">
        <f>RAW_Продажи!B27</f>
        <v>АРТ_501</v>
      </c>
      <c r="D28" s="11" t="str">
        <f>RAW_Продажи!C27</f>
        <v>3</v>
      </c>
      <c r="E28" s="11" t="str">
        <f>RAW_Продажи!D27</f>
        <v>€105</v>
      </c>
      <c r="F28" s="11" t="str">
        <f>RAW_Продажи!E27</f>
        <v>C0026</v>
      </c>
      <c r="G28" s="11" t="str">
        <f>RAW_Продажи!F27</f>
        <v>P034</v>
      </c>
      <c r="H28" s="11" t="str">
        <f>RAW_Продажи!G27</f>
        <v>completed</v>
      </c>
      <c r="I28" s="12" t="str">
        <f t="shared" si="145"/>
        <v>501</v>
      </c>
      <c r="J28" s="12" t="str">
        <f t="shared" si="146"/>
        <v>€</v>
      </c>
      <c r="K28" s="12">
        <f t="shared" si="147"/>
        <v>105</v>
      </c>
      <c r="L28" s="19">
        <f t="shared" si="148"/>
        <v>45684</v>
      </c>
      <c r="M28" s="13" t="str">
        <f t="shared" si="149"/>
        <v>АРТ-501</v>
      </c>
      <c r="N28" s="13">
        <f t="shared" si="150"/>
        <v>3</v>
      </c>
      <c r="O28" s="13" t="str">
        <f>IFERROR(VLOOKUP(J28,Справочники!$G$6:$H$8,2,0),"RUB")</f>
        <v>EUR</v>
      </c>
      <c r="P28" s="14">
        <f>ROUND(K28*IFERROR(VLOOKUP(J28,Справочники!$G$6:$I$8,3,0),1),2)</f>
        <v>10500</v>
      </c>
      <c r="Q28" s="13" t="str">
        <f>IFERROR(VLOOKUP(H28,Справочники!$D$6:$E$14,2,0),"НЕИЗВЕСТНО")</f>
        <v>Завершен</v>
      </c>
      <c r="R28" s="20">
        <f>IFERROR(INDEX(Товары_очищенные!$Q$3:$Q$503,MATCH(M28,Товары_очищенные!$L$3:$L$503,0)),"нет в каталоге")</f>
        <v>6800</v>
      </c>
      <c r="S28" s="21" t="str">
        <f>IFERROR(INDEX(Товары_очищенные!$N$3:$N$503,MATCH(M28,Товары_очищенные!$L$3:$L$503,0)),"нет в каталоге")</f>
        <v>Аксессуары</v>
      </c>
      <c r="T28" s="21" t="str">
        <f t="shared" si="151"/>
        <v xml:space="preserve">Цена выше розницы</v>
      </c>
      <c r="U28" s="12" t="str">
        <f t="shared" si="152"/>
        <v>27/01/2025|АРТ-501|C0026</v>
      </c>
      <c r="V28" s="12" t="str">
        <f t="shared" si="153"/>
        <v>оригинал</v>
      </c>
    </row>
    <row r="29" ht="15" customHeight="1">
      <c r="A29" s="10">
        <v>27</v>
      </c>
      <c r="B29" s="11" t="str">
        <f>RAW_Продажи!A28</f>
        <v>01/28/2025</v>
      </c>
      <c r="C29" s="11" t="str">
        <f>RAW_Продажи!B28</f>
        <v>067/24</v>
      </c>
      <c r="D29" s="11" t="str">
        <f>RAW_Продажи!C28</f>
        <v xml:space="preserve">1 шт.</v>
      </c>
      <c r="E29" s="11" t="str">
        <f>RAW_Продажи!D28</f>
        <v xml:space="preserve">9000 ₽</v>
      </c>
      <c r="F29" s="11" t="str">
        <f>RAW_Продажи!E28</f>
        <v>C0027</v>
      </c>
      <c r="G29" s="11" t="str">
        <f>RAW_Продажи!F28</f>
        <v>P044</v>
      </c>
      <c r="H29" s="11" t="str">
        <f>RAW_Продажи!G28</f>
        <v>отменен</v>
      </c>
      <c r="I29" s="12" t="str">
        <f t="shared" si="145"/>
        <v>067/24</v>
      </c>
      <c r="J29" s="12" t="str">
        <f t="shared" si="146"/>
        <v>₽</v>
      </c>
      <c r="K29" s="12">
        <f t="shared" si="147"/>
        <v>9000</v>
      </c>
      <c r="L29" s="19">
        <f t="shared" si="148"/>
        <v>45685</v>
      </c>
      <c r="M29" s="13" t="str">
        <f t="shared" si="149"/>
        <v>АРТ-067</v>
      </c>
      <c r="N29" s="13">
        <f t="shared" si="150"/>
        <v>1</v>
      </c>
      <c r="O29" s="13" t="str">
        <f>IFERROR(VLOOKUP(J29,Справочники!$G$6:$H$8,2,0),"RUB")</f>
        <v>RUB</v>
      </c>
      <c r="P29" s="14">
        <f>ROUND(K29*IFERROR(VLOOKUP(J29,Справочники!$G$6:$I$8,3,0),1),2)</f>
        <v>9000</v>
      </c>
      <c r="Q29" s="13" t="str">
        <f>IFERROR(VLOOKUP(H29,Справочники!$D$6:$E$14,2,0),"НЕИЗВЕСТНО")</f>
        <v>Отменен</v>
      </c>
      <c r="R29" s="20">
        <f>IFERROR(INDEX(Товары_очищенные!$Q$3:$Q$503,MATCH(M29,Товары_очищенные!$L$3:$L$503,0)),"нет в каталоге")</f>
        <v>109999</v>
      </c>
      <c r="S29" s="21" t="str">
        <f>IFERROR(INDEX(Товары_очищенные!$N$3:$N$503,MATCH(M29,Товары_очищенные!$L$3:$L$503,0)),"нет в каталоге")</f>
        <v>Телевизоры</v>
      </c>
      <c r="T29" s="21" t="str">
        <f t="shared" si="151"/>
        <v>OK</v>
      </c>
      <c r="U29" s="12" t="str">
        <f t="shared" si="152"/>
        <v>28/01/2025|АРТ-067|C0027</v>
      </c>
      <c r="V29" s="12" t="str">
        <f t="shared" si="153"/>
        <v>оригинал</v>
      </c>
    </row>
    <row r="30" ht="15" customHeight="1">
      <c r="A30" s="10">
        <v>28</v>
      </c>
      <c r="B30" s="11" t="str">
        <f>RAW_Продажи!A29</f>
        <v>01/28/2025</v>
      </c>
      <c r="C30" s="11" t="str">
        <f>RAW_Продажи!B29</f>
        <v>№АРТ-238</v>
      </c>
      <c r="D30" s="11" t="str">
        <f>RAW_Продажи!C29</f>
        <v>-2</v>
      </c>
      <c r="E30" s="11" t="str">
        <f>RAW_Продажи!D29</f>
        <v>$85</v>
      </c>
      <c r="F30" s="11" t="str">
        <f>RAW_Продажи!E29</f>
        <v>C0028</v>
      </c>
      <c r="G30" s="11" t="str">
        <f>RAW_Продажи!F29</f>
        <v>P001</v>
      </c>
      <c r="H30" s="11" t="str">
        <f>RAW_Продажи!G29</f>
        <v>canceled</v>
      </c>
      <c r="I30" s="12" t="str">
        <f t="shared" si="145"/>
        <v>238</v>
      </c>
      <c r="J30" s="12" t="str">
        <f t="shared" si="146"/>
        <v>$</v>
      </c>
      <c r="K30" s="12">
        <f t="shared" si="147"/>
        <v>85</v>
      </c>
      <c r="L30" s="19">
        <f t="shared" si="148"/>
        <v>45685</v>
      </c>
      <c r="M30" s="13" t="str">
        <f t="shared" si="149"/>
        <v>АРТ-238</v>
      </c>
      <c r="N30" s="13">
        <f t="shared" si="150"/>
        <v>-2</v>
      </c>
      <c r="O30" s="13" t="str">
        <f>IFERROR(VLOOKUP(J30,Справочники!$G$6:$H$8,2,0),"RUB")</f>
        <v>USD</v>
      </c>
      <c r="P30" s="14">
        <f>ROUND(K30*IFERROR(VLOOKUP(J30,Справочники!$G$6:$I$8,3,0),1),2)</f>
        <v>8075</v>
      </c>
      <c r="Q30" s="13" t="str">
        <f>IFERROR(VLOOKUP(H30,Справочники!$D$6:$E$14,2,0),"НЕИЗВЕСТНО")</f>
        <v>Отменен</v>
      </c>
      <c r="R30" s="20">
        <f>IFERROR(INDEX(Товары_очищенные!$Q$3:$Q$503,MATCH(M30,Товары_очищенные!$L$3:$L$503,0)),"нет в каталоге")</f>
        <v>110990</v>
      </c>
      <c r="S30" s="21" t="str">
        <f>IFERROR(INDEX(Товары_очищенные!$N$3:$N$503,MATCH(M30,Товары_очищенные!$L$3:$L$503,0)),"нет в каталоге")</f>
        <v>Телевизоры</v>
      </c>
      <c r="T30" s="21" t="str">
        <f t="shared" si="151"/>
        <v>OK</v>
      </c>
      <c r="U30" s="12" t="str">
        <f t="shared" si="152"/>
        <v>28/01/2025|АРТ-238|C0028</v>
      </c>
      <c r="V30" s="12" t="str">
        <f t="shared" si="153"/>
        <v>оригинал</v>
      </c>
    </row>
    <row r="31" ht="15" customHeight="1">
      <c r="A31" s="10">
        <v>29</v>
      </c>
      <c r="B31" s="11" t="str">
        <f>RAW_Продажи!A30</f>
        <v>01/29/2025</v>
      </c>
      <c r="C31" s="11" t="str">
        <f>RAW_Продажи!B30</f>
        <v>АРТ_321</v>
      </c>
      <c r="D31" s="11" t="str">
        <f>RAW_Продажи!C30</f>
        <v>1</v>
      </c>
      <c r="E31" s="11" t="str">
        <f>RAW_Продажи!D30</f>
        <v>€65</v>
      </c>
      <c r="F31" s="11" t="str">
        <f>RAW_Продажи!E30</f>
        <v>C0029</v>
      </c>
      <c r="G31" s="11" t="str">
        <f>RAW_Продажи!F30</f>
        <v>P021</v>
      </c>
      <c r="H31" s="11" t="str">
        <f>RAW_Продажи!G30</f>
        <v>Завершен</v>
      </c>
      <c r="I31" s="12" t="str">
        <f t="shared" si="145"/>
        <v>321</v>
      </c>
      <c r="J31" s="12" t="str">
        <f t="shared" si="146"/>
        <v>€</v>
      </c>
      <c r="K31" s="12">
        <f t="shared" si="147"/>
        <v>65</v>
      </c>
      <c r="L31" s="19">
        <f t="shared" si="148"/>
        <v>45686</v>
      </c>
      <c r="M31" s="13" t="str">
        <f t="shared" si="149"/>
        <v>АРТ-321</v>
      </c>
      <c r="N31" s="13">
        <f t="shared" si="150"/>
        <v>1</v>
      </c>
      <c r="O31" s="13" t="str">
        <f>IFERROR(VLOOKUP(J31,Справочники!$G$6:$H$8,2,0),"RUB")</f>
        <v>EUR</v>
      </c>
      <c r="P31" s="14">
        <f>ROUND(K31*IFERROR(VLOOKUP(J31,Справочники!$G$6:$I$8,3,0),1),2)</f>
        <v>6500</v>
      </c>
      <c r="Q31" s="13" t="str">
        <f>IFERROR(VLOOKUP(H31,Справочники!$D$6:$E$14,2,0),"НЕИЗВЕСТНО")</f>
        <v>Завершен</v>
      </c>
      <c r="R31" s="20">
        <f>IFERROR(INDEX(Товары_очищенные!$Q$3:$Q$503,MATCH(M31,Товары_очищенные!$L$3:$L$503,0)),"нет в каталоге")</f>
        <v>188000</v>
      </c>
      <c r="S31" s="21" t="str">
        <f>IFERROR(INDEX(Товары_очищенные!$N$3:$N$503,MATCH(M31,Товары_очищенные!$L$3:$L$503,0)),"нет в каталоге")</f>
        <v>Телевизоры</v>
      </c>
      <c r="T31" s="21" t="str">
        <f t="shared" si="151"/>
        <v>OK</v>
      </c>
      <c r="U31" s="12" t="str">
        <f t="shared" si="152"/>
        <v>29/01/2025|АРТ-321|C0029</v>
      </c>
      <c r="V31" s="12" t="str">
        <f t="shared" si="153"/>
        <v>оригинал</v>
      </c>
    </row>
    <row r="32" ht="15" customHeight="1">
      <c r="A32" s="10">
        <v>30</v>
      </c>
      <c r="B32" s="11" t="str">
        <f>RAW_Продажи!A31</f>
        <v>01/29/2025</v>
      </c>
      <c r="C32" s="11" t="str">
        <f>RAW_Продажи!B31</f>
        <v>176-24</v>
      </c>
      <c r="D32" s="11" t="str">
        <f>RAW_Продажи!C31</f>
        <v>3</v>
      </c>
      <c r="E32" s="11" t="str">
        <f>RAW_Продажи!D31</f>
        <v xml:space="preserve">6000 ₽</v>
      </c>
      <c r="F32" s="11" t="str">
        <f>RAW_Продажи!E31</f>
        <v>C0030</v>
      </c>
      <c r="G32" s="11" t="str">
        <f>RAW_Продажи!F31</f>
        <v>P039</v>
      </c>
      <c r="H32" s="11" t="str">
        <f>RAW_Продажи!G31</f>
        <v>возврат</v>
      </c>
      <c r="I32" s="12" t="str">
        <f t="shared" si="145"/>
        <v>176-24</v>
      </c>
      <c r="J32" s="12" t="str">
        <f t="shared" si="146"/>
        <v>₽</v>
      </c>
      <c r="K32" s="12">
        <f t="shared" si="147"/>
        <v>6000</v>
      </c>
      <c r="L32" s="19">
        <f t="shared" si="148"/>
        <v>45686</v>
      </c>
      <c r="M32" s="13" t="str">
        <f t="shared" si="149"/>
        <v>АРТ-176</v>
      </c>
      <c r="N32" s="13">
        <f t="shared" si="150"/>
        <v>3</v>
      </c>
      <c r="O32" s="13" t="str">
        <f>IFERROR(VLOOKUP(J32,Справочники!$G$6:$H$8,2,0),"RUB")</f>
        <v>RUB</v>
      </c>
      <c r="P32" s="14">
        <f>ROUND(K32*IFERROR(VLOOKUP(J32,Справочники!$G$6:$I$8,3,0),1),2)</f>
        <v>6000</v>
      </c>
      <c r="Q32" s="13" t="str">
        <f>IFERROR(VLOOKUP(H32,Справочники!$D$6:$E$14,2,0),"НЕИЗВЕСТНО")</f>
        <v>Возврат</v>
      </c>
      <c r="R32" s="20">
        <f>IFERROR(INDEX(Товары_очищенные!$Q$3:$Q$503,MATCH(M32,Товары_очищенные!$L$3:$L$503,0)),"нет в каталоге")</f>
        <v>97000</v>
      </c>
      <c r="S32" s="21" t="str">
        <f>IFERROR(INDEX(Товары_очищенные!$N$3:$N$503,MATCH(M32,Товары_очищенные!$L$3:$L$503,0)),"нет в каталоге")</f>
        <v>Телевизоры</v>
      </c>
      <c r="T32" s="21" t="str">
        <f t="shared" si="151"/>
        <v>OK</v>
      </c>
      <c r="U32" s="12" t="str">
        <f t="shared" si="152"/>
        <v>29/01/2025|АРТ-176|C0030</v>
      </c>
      <c r="V32" s="12" t="str">
        <f t="shared" si="153"/>
        <v>оригинал</v>
      </c>
    </row>
    <row r="33" ht="15" customHeight="1">
      <c r="A33" s="10">
        <v>31</v>
      </c>
      <c r="B33" s="11" t="str">
        <f>RAW_Продажи!A32</f>
        <v>01/30/2025</v>
      </c>
      <c r="C33" s="11" t="str">
        <f>RAW_Продажи!B32</f>
        <v>№АРТ-009</v>
      </c>
      <c r="D33" s="11" t="str">
        <f>RAW_Продажи!C32</f>
        <v>2</v>
      </c>
      <c r="E33" s="11" t="str">
        <f>RAW_Продажи!D32</f>
        <v>$100</v>
      </c>
      <c r="F33" s="11" t="str">
        <f>RAW_Продажи!E32</f>
        <v>C0031</v>
      </c>
      <c r="G33" s="11" t="str">
        <f>RAW_Продажи!F32</f>
        <v>P050</v>
      </c>
      <c r="H33" s="11" t="str">
        <f>RAW_Продажи!G32</f>
        <v>completed</v>
      </c>
      <c r="I33" s="12" t="str">
        <f t="shared" si="145"/>
        <v>009</v>
      </c>
      <c r="J33" s="12" t="str">
        <f t="shared" si="146"/>
        <v>$</v>
      </c>
      <c r="K33" s="12">
        <f t="shared" si="147"/>
        <v>100</v>
      </c>
      <c r="L33" s="19">
        <f t="shared" si="148"/>
        <v>45687</v>
      </c>
      <c r="M33" s="13" t="str">
        <f t="shared" si="149"/>
        <v>АРТ-009</v>
      </c>
      <c r="N33" s="13">
        <f t="shared" si="150"/>
        <v>2</v>
      </c>
      <c r="O33" s="13" t="str">
        <f>IFERROR(VLOOKUP(J33,Справочники!$G$6:$H$8,2,0),"RUB")</f>
        <v>USD</v>
      </c>
      <c r="P33" s="14">
        <f>ROUND(K33*IFERROR(VLOOKUP(J33,Справочники!$G$6:$I$8,3,0),1),2)</f>
        <v>9500</v>
      </c>
      <c r="Q33" s="13" t="str">
        <f>IFERROR(VLOOKUP(H33,Справочники!$D$6:$E$14,2,0),"НЕИЗВЕСТНО")</f>
        <v>Завершен</v>
      </c>
      <c r="R33" s="20">
        <f>IFERROR(INDEX(Товары_очищенные!$Q$3:$Q$503,MATCH(M33,Товары_очищенные!$L$3:$L$503,0)),"нет в каталоге")</f>
        <v>70500</v>
      </c>
      <c r="S33" s="21" t="str">
        <f>IFERROR(INDEX(Товары_очищенные!$N$3:$N$503,MATCH(M33,Товары_очищенные!$L$3:$L$503,0)),"нет в каталоге")</f>
        <v>Смартфоны</v>
      </c>
      <c r="T33" s="21" t="str">
        <f t="shared" si="151"/>
        <v>OK</v>
      </c>
      <c r="U33" s="12" t="str">
        <f t="shared" si="152"/>
        <v>30/01/2025|АРТ-009|C0031</v>
      </c>
      <c r="V33" s="12" t="str">
        <f t="shared" si="153"/>
        <v>оригинал</v>
      </c>
    </row>
    <row r="34" ht="15" customHeight="1">
      <c r="A34" s="10">
        <v>32</v>
      </c>
      <c r="B34" s="11" t="str">
        <f>RAW_Продажи!A33</f>
        <v>01/30/2025</v>
      </c>
      <c r="C34" s="11" t="str">
        <f>RAW_Продажи!B33</f>
        <v>АРТ_444</v>
      </c>
      <c r="D34" s="11" t="str">
        <f>RAW_Продажи!C33</f>
        <v>1</v>
      </c>
      <c r="E34" s="11" t="str">
        <f>RAW_Продажи!D33</f>
        <v>€80</v>
      </c>
      <c r="F34" s="11" t="str">
        <f>RAW_Продажи!E33</f>
        <v>C0032</v>
      </c>
      <c r="G34" s="11" t="str">
        <f>RAW_Продажи!F33</f>
        <v>P011</v>
      </c>
      <c r="H34" s="11" t="str">
        <f>RAW_Продажи!G33</f>
        <v>завершен</v>
      </c>
      <c r="I34" s="12" t="str">
        <f t="shared" si="145"/>
        <v>444</v>
      </c>
      <c r="J34" s="12" t="str">
        <f t="shared" si="146"/>
        <v>€</v>
      </c>
      <c r="K34" s="12">
        <f t="shared" si="147"/>
        <v>80</v>
      </c>
      <c r="L34" s="19">
        <f t="shared" si="148"/>
        <v>45687</v>
      </c>
      <c r="M34" s="13" t="str">
        <f t="shared" si="149"/>
        <v>АРТ-444</v>
      </c>
      <c r="N34" s="13">
        <f t="shared" si="150"/>
        <v>1</v>
      </c>
      <c r="O34" s="13" t="str">
        <f>IFERROR(VLOOKUP(J34,Справочники!$G$6:$H$8,2,0),"RUB")</f>
        <v>EUR</v>
      </c>
      <c r="P34" s="14">
        <f>ROUND(K34*IFERROR(VLOOKUP(J34,Справочники!$G$6:$I$8,3,0),1),2)</f>
        <v>8000</v>
      </c>
      <c r="Q34" s="13" t="str">
        <f>IFERROR(VLOOKUP(H34,Справочники!$D$6:$E$14,2,0),"НЕИЗВЕСТНО")</f>
        <v>Завершен</v>
      </c>
      <c r="R34" s="20">
        <f>IFERROR(INDEX(Товары_очищенные!$Q$3:$Q$503,MATCH(M34,Товары_очищенные!$L$3:$L$503,0)),"нет в каталоге")</f>
        <v>26500</v>
      </c>
      <c r="S34" s="21" t="str">
        <f>IFERROR(INDEX(Товары_очищенные!$N$3:$N$503,MATCH(M34,Товары_очищенные!$L$3:$L$503,0)),"нет в каталоге")</f>
        <v>Смартфоны</v>
      </c>
      <c r="T34" s="21" t="str">
        <f t="shared" si="151"/>
        <v>OK</v>
      </c>
      <c r="U34" s="12" t="str">
        <f t="shared" si="152"/>
        <v>30/01/2025|АРТ-444|C0032</v>
      </c>
      <c r="V34" s="12" t="str">
        <f t="shared" si="153"/>
        <v>оригинал</v>
      </c>
    </row>
    <row r="35" ht="15" customHeight="1">
      <c r="A35" s="10">
        <v>33</v>
      </c>
      <c r="B35" s="11" t="str">
        <f>RAW_Продажи!A34</f>
        <v>01/31/2025</v>
      </c>
      <c r="C35" s="11" t="str">
        <f>RAW_Продажи!B34</f>
        <v>352/24</v>
      </c>
      <c r="D35" s="11" t="str">
        <f>RAW_Продажи!C34</f>
        <v xml:space="preserve">2 шт.</v>
      </c>
      <c r="E35" s="11" t="str">
        <f>RAW_Продажи!D34</f>
        <v xml:space="preserve">7500 ₽</v>
      </c>
      <c r="F35" s="11" t="str">
        <f>RAW_Продажи!E34</f>
        <v>C0033</v>
      </c>
      <c r="G35" s="11" t="str">
        <f>RAW_Продажи!F34</f>
        <v>P027</v>
      </c>
      <c r="H35" s="11" t="str">
        <f>RAW_Продажи!G34</f>
        <v>Завершен</v>
      </c>
      <c r="I35" s="12" t="str">
        <f t="shared" si="145"/>
        <v>352/24</v>
      </c>
      <c r="J35" s="12" t="str">
        <f t="shared" si="146"/>
        <v>₽</v>
      </c>
      <c r="K35" s="12">
        <f t="shared" si="147"/>
        <v>7500</v>
      </c>
      <c r="L35" s="19">
        <f t="shared" si="148"/>
        <v>45688</v>
      </c>
      <c r="M35" s="13" t="str">
        <f t="shared" si="149"/>
        <v>АРТ-352</v>
      </c>
      <c r="N35" s="13">
        <f t="shared" si="150"/>
        <v>2</v>
      </c>
      <c r="O35" s="13" t="str">
        <f>IFERROR(VLOOKUP(J35,Справочники!$G$6:$H$8,2,0),"RUB")</f>
        <v>RUB</v>
      </c>
      <c r="P35" s="14">
        <f>ROUND(K35*IFERROR(VLOOKUP(J35,Справочники!$G$6:$I$8,3,0),1),2)</f>
        <v>7500</v>
      </c>
      <c r="Q35" s="13" t="str">
        <f>IFERROR(VLOOKUP(H35,Справочники!$D$6:$E$14,2,0),"НЕИЗВЕСТНО")</f>
        <v>Завершен</v>
      </c>
      <c r="R35" s="20">
        <f>IFERROR(INDEX(Товары_очищенные!$Q$3:$Q$503,MATCH(M35,Товары_очищенные!$L$3:$L$503,0)),"нет в каталоге")</f>
        <v>6990</v>
      </c>
      <c r="S35" s="21" t="str">
        <f>IFERROR(INDEX(Товары_очищенные!$N$3:$N$503,MATCH(M35,Товары_очищенные!$L$3:$L$503,0)),"нет в каталоге")</f>
        <v>Аксессуары</v>
      </c>
      <c r="T35" s="21" t="str">
        <f t="shared" si="151"/>
        <v>OK</v>
      </c>
      <c r="U35" s="12" t="str">
        <f t="shared" si="152"/>
        <v>31/01/2025|АРТ-352|C0033</v>
      </c>
      <c r="V35" s="12" t="str">
        <f t="shared" si="153"/>
        <v>оригинал</v>
      </c>
    </row>
    <row r="36" ht="15" customHeight="1">
      <c r="A36" s="10">
        <v>34</v>
      </c>
      <c r="B36" s="11" t="str">
        <f>RAW_Продажи!A35</f>
        <v>01/31/2025</v>
      </c>
      <c r="C36" s="11" t="str">
        <f>RAW_Продажи!B35</f>
        <v>№АРТ-283</v>
      </c>
      <c r="D36" s="11" t="str">
        <f>RAW_Продажи!C35</f>
        <v>-1</v>
      </c>
      <c r="E36" s="11" t="str">
        <f>RAW_Продажи!D35</f>
        <v>$110</v>
      </c>
      <c r="F36" s="11" t="str">
        <f>RAW_Продажи!E35</f>
        <v>C0034</v>
      </c>
      <c r="G36" s="11" t="str">
        <f>RAW_Продажи!F35</f>
        <v>P018</v>
      </c>
      <c r="H36" s="11" t="str">
        <f>RAW_Продажи!G35</f>
        <v>canceled</v>
      </c>
      <c r="I36" s="12" t="str">
        <f t="shared" si="145"/>
        <v>283</v>
      </c>
      <c r="J36" s="12" t="str">
        <f t="shared" si="146"/>
        <v>$</v>
      </c>
      <c r="K36" s="12">
        <f t="shared" si="147"/>
        <v>110</v>
      </c>
      <c r="L36" s="19">
        <f t="shared" si="148"/>
        <v>45688</v>
      </c>
      <c r="M36" s="13" t="str">
        <f t="shared" si="149"/>
        <v>АРТ-283</v>
      </c>
      <c r="N36" s="13">
        <f t="shared" si="150"/>
        <v>-1</v>
      </c>
      <c r="O36" s="13" t="str">
        <f>IFERROR(VLOOKUP(J36,Справочники!$G$6:$H$8,2,0),"RUB")</f>
        <v>USD</v>
      </c>
      <c r="P36" s="14">
        <f>ROUND(K36*IFERROR(VLOOKUP(J36,Справочники!$G$6:$I$8,3,0),1),2)</f>
        <v>10450</v>
      </c>
      <c r="Q36" s="13" t="str">
        <f>IFERROR(VLOOKUP(H36,Справочники!$D$6:$E$14,2,0),"НЕИЗВЕСТНО")</f>
        <v>Отменен</v>
      </c>
      <c r="R36" s="20">
        <f>IFERROR(INDEX(Товары_очищенные!$Q$3:$Q$503,MATCH(M36,Товары_очищенные!$L$3:$L$503,0)),"нет в каталоге")</f>
        <v>84990</v>
      </c>
      <c r="S36" s="21" t="str">
        <f>IFERROR(INDEX(Товары_очищенные!$N$3:$N$503,MATCH(M36,Товары_очищенные!$L$3:$L$503,0)),"нет в каталоге")</f>
        <v>Мониторы</v>
      </c>
      <c r="T36" s="21" t="str">
        <f t="shared" si="151"/>
        <v>OK</v>
      </c>
      <c r="U36" s="12" t="str">
        <f t="shared" si="152"/>
        <v>31/01/2025|АРТ-283|C0034</v>
      </c>
      <c r="V36" s="12" t="str">
        <f t="shared" si="153"/>
        <v>оригинал</v>
      </c>
    </row>
    <row r="37" ht="15" customHeight="1">
      <c r="A37" s="10">
        <v>35</v>
      </c>
      <c r="B37" s="11" t="str">
        <f>RAW_Продажи!A36</f>
        <v>02/01/2025</v>
      </c>
      <c r="C37" s="11" t="str">
        <f>RAW_Продажи!B36</f>
        <v>АРТ_159</v>
      </c>
      <c r="D37" s="11" t="str">
        <f>RAW_Продажи!C36</f>
        <v>3</v>
      </c>
      <c r="E37" s="11" t="str">
        <f>RAW_Продажи!D36</f>
        <v>€90</v>
      </c>
      <c r="F37" s="11" t="str">
        <f>RAW_Продажи!E36</f>
        <v>C0035</v>
      </c>
      <c r="G37" s="11" t="str">
        <f>RAW_Продажи!F36</f>
        <v>P040</v>
      </c>
      <c r="H37" s="11" t="str">
        <f>RAW_Продажи!G36</f>
        <v>отменен</v>
      </c>
      <c r="I37" s="12" t="str">
        <f t="shared" si="145"/>
        <v>159</v>
      </c>
      <c r="J37" s="12" t="str">
        <f t="shared" si="146"/>
        <v>€</v>
      </c>
      <c r="K37" s="12">
        <f t="shared" si="147"/>
        <v>90</v>
      </c>
      <c r="L37" s="19">
        <f t="shared" si="148"/>
        <v>45689</v>
      </c>
      <c r="M37" s="13" t="str">
        <f t="shared" si="149"/>
        <v>АРТ-159</v>
      </c>
      <c r="N37" s="13">
        <f t="shared" si="150"/>
        <v>3</v>
      </c>
      <c r="O37" s="13" t="str">
        <f>IFERROR(VLOOKUP(J37,Справочники!$G$6:$H$8,2,0),"RUB")</f>
        <v>EUR</v>
      </c>
      <c r="P37" s="14">
        <f>ROUND(K37*IFERROR(VLOOKUP(J37,Справочники!$G$6:$I$8,3,0),1),2)</f>
        <v>9000</v>
      </c>
      <c r="Q37" s="13" t="str">
        <f>IFERROR(VLOOKUP(H37,Справочники!$D$6:$E$14,2,0),"НЕИЗВЕСТНО")</f>
        <v>Отменен</v>
      </c>
      <c r="R37" s="20">
        <f>IFERROR(INDEX(Товары_очищенные!$Q$3:$Q$503,MATCH(M37,Товары_очищенные!$L$3:$L$503,0)),"нет в каталоге")</f>
        <v>95500</v>
      </c>
      <c r="S37" s="21" t="str">
        <f>IFERROR(INDEX(Товары_очищенные!$N$3:$N$503,MATCH(M37,Товары_очищенные!$L$3:$L$503,0)),"нет в каталоге")</f>
        <v>Мониторы</v>
      </c>
      <c r="T37" s="21" t="str">
        <f t="shared" si="151"/>
        <v>OK</v>
      </c>
      <c r="U37" s="12" t="str">
        <f t="shared" si="152"/>
        <v>01/02/2025|АРТ-159|C0035</v>
      </c>
      <c r="V37" s="12" t="str">
        <f t="shared" si="153"/>
        <v>оригинал</v>
      </c>
    </row>
    <row r="38" ht="15" customHeight="1">
      <c r="A38" s="10">
        <v>36</v>
      </c>
      <c r="B38" s="11" t="str">
        <f>RAW_Продажи!A37</f>
        <v>02/01/2025</v>
      </c>
      <c r="C38" s="11" t="str">
        <f>RAW_Продажи!B37</f>
        <v>078-24</v>
      </c>
      <c r="D38" s="11" t="str">
        <f>RAW_Продажи!C37</f>
        <v>2</v>
      </c>
      <c r="E38" s="11" t="str">
        <f>RAW_Продажи!D37</f>
        <v xml:space="preserve">8500 ₽</v>
      </c>
      <c r="F38" s="11" t="str">
        <f>RAW_Продажи!E37</f>
        <v>C0036</v>
      </c>
      <c r="G38" s="11" t="str">
        <f>RAW_Продажи!F37</f>
        <v>P003</v>
      </c>
      <c r="H38" s="11" t="str">
        <f>RAW_Продажи!G37</f>
        <v>возврат</v>
      </c>
      <c r="I38" s="12" t="str">
        <f t="shared" si="145"/>
        <v>078-24</v>
      </c>
      <c r="J38" s="12" t="str">
        <f t="shared" si="146"/>
        <v>₽</v>
      </c>
      <c r="K38" s="12">
        <f t="shared" si="147"/>
        <v>8500</v>
      </c>
      <c r="L38" s="19">
        <f t="shared" si="148"/>
        <v>45689</v>
      </c>
      <c r="M38" s="13" t="str">
        <f t="shared" si="149"/>
        <v>АРТ-078</v>
      </c>
      <c r="N38" s="13">
        <f t="shared" si="150"/>
        <v>2</v>
      </c>
      <c r="O38" s="13" t="str">
        <f>IFERROR(VLOOKUP(J38,Справочники!$G$6:$H$8,2,0),"RUB")</f>
        <v>RUB</v>
      </c>
      <c r="P38" s="14">
        <f>ROUND(K38*IFERROR(VLOOKUP(J38,Справочники!$G$6:$I$8,3,0),1),2)</f>
        <v>8500</v>
      </c>
      <c r="Q38" s="13" t="str">
        <f>IFERROR(VLOOKUP(H38,Справочники!$D$6:$E$14,2,0),"НЕИЗВЕСТНО")</f>
        <v>Возврат</v>
      </c>
      <c r="R38" s="20">
        <f>IFERROR(INDEX(Товары_очищенные!$Q$3:$Q$503,MATCH(M38,Товары_очищенные!$L$3:$L$503,0)),"нет в каталоге")</f>
        <v>13500</v>
      </c>
      <c r="S38" s="21" t="str">
        <f>IFERROR(INDEX(Товары_очищенные!$N$3:$N$503,MATCH(M38,Товары_очищенные!$L$3:$L$503,0)),"нет в каталоге")</f>
        <v>Аксессуары</v>
      </c>
      <c r="T38" s="21" t="str">
        <f t="shared" si="151"/>
        <v>OK</v>
      </c>
      <c r="U38" s="12" t="str">
        <f t="shared" si="152"/>
        <v>01/02/2025|АРТ-078|C0036</v>
      </c>
      <c r="V38" s="12" t="str">
        <f t="shared" si="153"/>
        <v>оригинал</v>
      </c>
    </row>
    <row r="39" ht="15" customHeight="1">
      <c r="A39" s="10">
        <v>37</v>
      </c>
      <c r="B39" s="11" t="str">
        <f>RAW_Продажи!A38</f>
        <v>02/02/2025</v>
      </c>
      <c r="C39" s="11" t="str">
        <f>RAW_Продажи!B38</f>
        <v>№АРТ-401</v>
      </c>
      <c r="D39" s="11" t="str">
        <f>RAW_Продажи!C38</f>
        <v>1</v>
      </c>
      <c r="E39" s="11" t="str">
        <f>RAW_Продажи!D38</f>
        <v>$95</v>
      </c>
      <c r="F39" s="11" t="str">
        <f>RAW_Продажи!E38</f>
        <v>C0037</v>
      </c>
      <c r="G39" s="11" t="str">
        <f>RAW_Продажи!F38</f>
        <v>P025</v>
      </c>
      <c r="H39" s="11" t="str">
        <f>RAW_Продажи!G38</f>
        <v>Завершен</v>
      </c>
      <c r="I39" s="12" t="str">
        <f t="shared" si="145"/>
        <v>401</v>
      </c>
      <c r="J39" s="12" t="str">
        <f t="shared" si="146"/>
        <v>$</v>
      </c>
      <c r="K39" s="12">
        <f t="shared" si="147"/>
        <v>95</v>
      </c>
      <c r="L39" s="19">
        <f t="shared" si="148"/>
        <v>45690</v>
      </c>
      <c r="M39" s="13" t="str">
        <f t="shared" si="149"/>
        <v>АРТ-401</v>
      </c>
      <c r="N39" s="13">
        <f t="shared" si="150"/>
        <v>1</v>
      </c>
      <c r="O39" s="13" t="str">
        <f>IFERROR(VLOOKUP(J39,Справочники!$G$6:$H$8,2,0),"RUB")</f>
        <v>USD</v>
      </c>
      <c r="P39" s="14">
        <f>ROUND(K39*IFERROR(VLOOKUP(J39,Справочники!$G$6:$I$8,3,0),1),2)</f>
        <v>9025</v>
      </c>
      <c r="Q39" s="13" t="str">
        <f>IFERROR(VLOOKUP(H39,Справочники!$D$6:$E$14,2,0),"НЕИЗВЕСТНО")</f>
        <v>Завершен</v>
      </c>
      <c r="R39" s="20">
        <f>IFERROR(INDEX(Товары_очищенные!$Q$3:$Q$503,MATCH(M39,Товары_очищенные!$L$3:$L$503,0)),"нет в каталоге")</f>
        <v>19000</v>
      </c>
      <c r="S39" s="21" t="str">
        <f>IFERROR(INDEX(Товары_очищенные!$N$3:$N$503,MATCH(M39,Товары_очищенные!$L$3:$L$503,0)),"нет в каталоге")</f>
        <v>Смартфоны</v>
      </c>
      <c r="T39" s="21" t="str">
        <f t="shared" si="151"/>
        <v>OK</v>
      </c>
      <c r="U39" s="12" t="str">
        <f t="shared" si="152"/>
        <v>02/02/2025|АРТ-401|C0037</v>
      </c>
      <c r="V39" s="12" t="str">
        <f t="shared" si="153"/>
        <v>оригинал</v>
      </c>
    </row>
    <row r="40" ht="15" customHeight="1">
      <c r="A40" s="10">
        <v>38</v>
      </c>
      <c r="B40" s="11" t="str">
        <f>RAW_Продажи!A39</f>
        <v>02/02/2025</v>
      </c>
      <c r="C40" s="11" t="str">
        <f>RAW_Продажи!B39</f>
        <v>АРТ_234</v>
      </c>
      <c r="D40" s="11" t="str">
        <f>RAW_Продажи!C39</f>
        <v>4</v>
      </c>
      <c r="E40" s="11" t="str">
        <f>RAW_Продажи!D39</f>
        <v>€75</v>
      </c>
      <c r="F40" s="11" t="str">
        <f>RAW_Продажи!E39</f>
        <v>C0038</v>
      </c>
      <c r="G40" s="11" t="str">
        <f>RAW_Продажи!F39</f>
        <v>P010</v>
      </c>
      <c r="H40" s="11" t="str">
        <f>RAW_Продажи!G39</f>
        <v>завершен</v>
      </c>
      <c r="I40" s="12" t="str">
        <f t="shared" si="145"/>
        <v>234</v>
      </c>
      <c r="J40" s="12" t="str">
        <f t="shared" si="146"/>
        <v>€</v>
      </c>
      <c r="K40" s="12">
        <f t="shared" si="147"/>
        <v>75</v>
      </c>
      <c r="L40" s="19">
        <f t="shared" si="148"/>
        <v>45690</v>
      </c>
      <c r="M40" s="13" t="str">
        <f t="shared" si="149"/>
        <v>АРТ-234</v>
      </c>
      <c r="N40" s="13">
        <f t="shared" si="150"/>
        <v>4</v>
      </c>
      <c r="O40" s="13" t="str">
        <f>IFERROR(VLOOKUP(J40,Справочники!$G$6:$H$8,2,0),"RUB")</f>
        <v>EUR</v>
      </c>
      <c r="P40" s="14">
        <f>ROUND(K40*IFERROR(VLOOKUP(J40,Справочники!$G$6:$I$8,3,0),1),2)</f>
        <v>7500</v>
      </c>
      <c r="Q40" s="13" t="str">
        <f>IFERROR(VLOOKUP(H40,Справочники!$D$6:$E$14,2,0),"НЕИЗВЕСТНО")</f>
        <v>Завершен</v>
      </c>
      <c r="R40" s="20">
        <f>IFERROR(INDEX(Товары_очищенные!$Q$3:$Q$503,MATCH(M40,Товары_очищенные!$L$3:$L$503,0)),"нет в каталоге")</f>
        <v>44500</v>
      </c>
      <c r="S40" s="21" t="str">
        <f>IFERROR(INDEX(Товары_очищенные!$N$3:$N$503,MATCH(M40,Товары_очищенные!$L$3:$L$503,0)),"нет в каталоге")</f>
        <v>Смартфоны</v>
      </c>
      <c r="T40" s="21" t="str">
        <f t="shared" si="151"/>
        <v>OK</v>
      </c>
      <c r="U40" s="12" t="str">
        <f t="shared" si="152"/>
        <v>02/02/2025|АРТ-234|C0038</v>
      </c>
      <c r="V40" s="12" t="str">
        <f t="shared" si="153"/>
        <v>оригинал</v>
      </c>
    </row>
    <row r="41" ht="15" customHeight="1">
      <c r="A41" s="10">
        <v>39</v>
      </c>
      <c r="B41" s="11" t="str">
        <f>RAW_Продажи!A40</f>
        <v>02/03/2025</v>
      </c>
      <c r="C41" s="11" t="str">
        <f>RAW_Продажи!B40</f>
        <v>195/24</v>
      </c>
      <c r="D41" s="11" t="str">
        <f>RAW_Продажи!C40</f>
        <v xml:space="preserve">2 шт.</v>
      </c>
      <c r="E41" s="11" t="str">
        <f>RAW_Продажи!D40</f>
        <v xml:space="preserve">7000 ₽</v>
      </c>
      <c r="F41" s="11" t="str">
        <f>RAW_Продажи!E40</f>
        <v>C0039</v>
      </c>
      <c r="G41" s="11" t="str">
        <f>RAW_Продажи!F40</f>
        <v>P033</v>
      </c>
      <c r="H41" s="11" t="str">
        <f>RAW_Продажи!G40</f>
        <v>completed</v>
      </c>
      <c r="I41" s="12" t="str">
        <f t="shared" si="145"/>
        <v>195/24</v>
      </c>
      <c r="J41" s="12" t="str">
        <f t="shared" si="146"/>
        <v>₽</v>
      </c>
      <c r="K41" s="12">
        <f t="shared" si="147"/>
        <v>7000</v>
      </c>
      <c r="L41" s="19">
        <f t="shared" si="148"/>
        <v>45691</v>
      </c>
      <c r="M41" s="13" t="str">
        <f t="shared" si="149"/>
        <v>АРТ-195</v>
      </c>
      <c r="N41" s="13">
        <f t="shared" si="150"/>
        <v>2</v>
      </c>
      <c r="O41" s="13" t="str">
        <f>IFERROR(VLOOKUP(J41,Справочники!$G$6:$H$8,2,0),"RUB")</f>
        <v>RUB</v>
      </c>
      <c r="P41" s="14">
        <f>ROUND(K41*IFERROR(VLOOKUP(J41,Справочники!$G$6:$I$8,3,0),1),2)</f>
        <v>7000</v>
      </c>
      <c r="Q41" s="13" t="str">
        <f>IFERROR(VLOOKUP(H41,Справочники!$D$6:$E$14,2,0),"НЕИЗВЕСТНО")</f>
        <v>Завершен</v>
      </c>
      <c r="R41" s="20">
        <f>IFERROR(INDEX(Товары_очищенные!$Q$3:$Q$503,MATCH(M41,Товары_очищенные!$L$3:$L$503,0)),"нет в каталоге")</f>
        <v>132500</v>
      </c>
      <c r="S41" s="21" t="str">
        <f>IFERROR(INDEX(Товары_очищенные!$N$3:$N$503,MATCH(M41,Товары_очищенные!$L$3:$L$503,0)),"нет в каталоге")</f>
        <v>Ноутбуки</v>
      </c>
      <c r="T41" s="21" t="str">
        <f t="shared" si="151"/>
        <v>OK</v>
      </c>
      <c r="U41" s="12" t="str">
        <f t="shared" si="152"/>
        <v>03/02/2025|АРТ-195|C0039</v>
      </c>
      <c r="V41" s="12" t="str">
        <f t="shared" si="153"/>
        <v>оригинал</v>
      </c>
    </row>
    <row r="42" ht="15" customHeight="1">
      <c r="A42" s="10">
        <v>40</v>
      </c>
      <c r="B42" s="11" t="str">
        <f>RAW_Продажи!A41</f>
        <v>02/03/2025</v>
      </c>
      <c r="C42" s="11" t="str">
        <f>RAW_Продажи!B41</f>
        <v>№АРТ-116</v>
      </c>
      <c r="D42" s="11" t="str">
        <f>RAW_Продажи!C41</f>
        <v>-3</v>
      </c>
      <c r="E42" s="11" t="str">
        <f>RAW_Продажи!D41</f>
        <v>$130</v>
      </c>
      <c r="F42" s="11" t="str">
        <f>RAW_Продажи!E41</f>
        <v>C0040</v>
      </c>
      <c r="G42" s="11" t="str">
        <f>RAW_Продажи!F41</f>
        <v>P047</v>
      </c>
      <c r="H42" s="11" t="str">
        <f>RAW_Продажи!G41</f>
        <v>отменен</v>
      </c>
      <c r="I42" s="12" t="str">
        <f t="shared" si="145"/>
        <v>116</v>
      </c>
      <c r="J42" s="12" t="str">
        <f t="shared" si="146"/>
        <v>$</v>
      </c>
      <c r="K42" s="12">
        <f t="shared" si="147"/>
        <v>130</v>
      </c>
      <c r="L42" s="19">
        <f t="shared" si="148"/>
        <v>45691</v>
      </c>
      <c r="M42" s="13" t="str">
        <f t="shared" si="149"/>
        <v>АРТ-116</v>
      </c>
      <c r="N42" s="13">
        <f t="shared" si="150"/>
        <v>-3</v>
      </c>
      <c r="O42" s="13" t="str">
        <f>IFERROR(VLOOKUP(J42,Справочники!$G$6:$H$8,2,0),"RUB")</f>
        <v>USD</v>
      </c>
      <c r="P42" s="14">
        <f>ROUND(K42*IFERROR(VLOOKUP(J42,Справочники!$G$6:$I$8,3,0),1),2)</f>
        <v>12350</v>
      </c>
      <c r="Q42" s="13" t="str">
        <f>IFERROR(VLOOKUP(H42,Справочники!$D$6:$E$14,2,0),"НЕИЗВЕСТНО")</f>
        <v>Отменен</v>
      </c>
      <c r="R42" s="20">
        <f>IFERROR(INDEX(Товары_очищенные!$Q$3:$Q$503,MATCH(M42,Товары_очищенные!$L$3:$L$503,0)),"нет в каталоге")</f>
        <v>72500</v>
      </c>
      <c r="S42" s="21" t="str">
        <f>IFERROR(INDEX(Товары_очищенные!$N$3:$N$503,MATCH(M42,Товары_очищенные!$L$3:$L$503,0)),"нет в каталоге")</f>
        <v>Мониторы</v>
      </c>
      <c r="T42" s="21" t="str">
        <f t="shared" si="151"/>
        <v>OK</v>
      </c>
      <c r="U42" s="12" t="str">
        <f t="shared" si="152"/>
        <v>03/02/2025|АРТ-116|C0040</v>
      </c>
      <c r="V42" s="12" t="str">
        <f t="shared" si="153"/>
        <v>оригинал</v>
      </c>
    </row>
    <row r="43" ht="15" customHeight="1">
      <c r="A43" s="10">
        <v>41</v>
      </c>
      <c r="B43" s="11" t="str">
        <f>RAW_Продажи!A42</f>
        <v>02/04/2025</v>
      </c>
      <c r="C43" s="11" t="str">
        <f>RAW_Продажи!B42</f>
        <v>АРТ_087</v>
      </c>
      <c r="D43" s="11" t="str">
        <f>RAW_Продажи!C42</f>
        <v>1</v>
      </c>
      <c r="E43" s="11" t="str">
        <f>RAW_Продажи!D42</f>
        <v>€110</v>
      </c>
      <c r="F43" s="11" t="str">
        <f>RAW_Продажи!E42</f>
        <v>C0041</v>
      </c>
      <c r="G43" s="11" t="str">
        <f>RAW_Продажи!F42</f>
        <v>P020</v>
      </c>
      <c r="H43" s="11" t="str">
        <f>RAW_Продажи!G42</f>
        <v>canceled</v>
      </c>
      <c r="I43" s="12" t="str">
        <f t="shared" si="145"/>
        <v>087</v>
      </c>
      <c r="J43" s="12" t="str">
        <f t="shared" si="146"/>
        <v>€</v>
      </c>
      <c r="K43" s="12">
        <f t="shared" si="147"/>
        <v>110</v>
      </c>
      <c r="L43" s="19">
        <f t="shared" si="148"/>
        <v>45692</v>
      </c>
      <c r="M43" s="13" t="str">
        <f t="shared" si="149"/>
        <v>АРТ-087</v>
      </c>
      <c r="N43" s="13">
        <f t="shared" si="150"/>
        <v>1</v>
      </c>
      <c r="O43" s="13" t="str">
        <f>IFERROR(VLOOKUP(J43,Справочники!$G$6:$H$8,2,0),"RUB")</f>
        <v>EUR</v>
      </c>
      <c r="P43" s="14">
        <f>ROUND(K43*IFERROR(VLOOKUP(J43,Справочники!$G$6:$I$8,3,0),1),2)</f>
        <v>11000</v>
      </c>
      <c r="Q43" s="13" t="str">
        <f>IFERROR(VLOOKUP(H43,Справочники!$D$6:$E$14,2,0),"НЕИЗВЕСТНО")</f>
        <v>Отменен</v>
      </c>
      <c r="R43" s="20">
        <f>IFERROR(INDEX(Товары_очищенные!$Q$3:$Q$503,MATCH(M43,Товары_очищенные!$L$3:$L$503,0)),"нет в каталоге")</f>
        <v>112000</v>
      </c>
      <c r="S43" s="21" t="str">
        <f>IFERROR(INDEX(Товары_очищенные!$N$3:$N$503,MATCH(M43,Товары_очищенные!$L$3:$L$503,0)),"нет в каталоге")</f>
        <v>Ноутбуки</v>
      </c>
      <c r="T43" s="21" t="str">
        <f t="shared" si="151"/>
        <v>OK</v>
      </c>
      <c r="U43" s="12" t="str">
        <f t="shared" si="152"/>
        <v>04/02/2025|АРТ-087|C0041</v>
      </c>
      <c r="V43" s="12" t="str">
        <f t="shared" si="153"/>
        <v>оригинал</v>
      </c>
    </row>
    <row r="44" ht="15" customHeight="1">
      <c r="A44" s="10">
        <v>42</v>
      </c>
      <c r="B44" s="11" t="str">
        <f>RAW_Продажи!A43</f>
        <v>02/04/2025</v>
      </c>
      <c r="C44" s="11" t="str">
        <f>RAW_Продажи!B43</f>
        <v>322-24</v>
      </c>
      <c r="D44" s="11" t="str">
        <f>RAW_Продажи!C43</f>
        <v>2</v>
      </c>
      <c r="E44" s="11" t="str">
        <f>RAW_Продажи!D43</f>
        <v xml:space="preserve">9500 ₽</v>
      </c>
      <c r="F44" s="11" t="str">
        <f>RAW_Продажи!E43</f>
        <v>C0042</v>
      </c>
      <c r="G44" s="11" t="str">
        <f>RAW_Продажи!F43</f>
        <v>P002</v>
      </c>
      <c r="H44" s="11" t="str">
        <f>RAW_Продажи!G43</f>
        <v>Завершен</v>
      </c>
      <c r="I44" s="12" t="str">
        <f t="shared" si="145"/>
        <v>322-24</v>
      </c>
      <c r="J44" s="12" t="str">
        <f t="shared" si="146"/>
        <v>₽</v>
      </c>
      <c r="K44" s="12">
        <f t="shared" si="147"/>
        <v>9500</v>
      </c>
      <c r="L44" s="19">
        <f t="shared" si="148"/>
        <v>45692</v>
      </c>
      <c r="M44" s="13" t="str">
        <f t="shared" si="149"/>
        <v>АРТ-322</v>
      </c>
      <c r="N44" s="13">
        <f t="shared" si="150"/>
        <v>2</v>
      </c>
      <c r="O44" s="13" t="str">
        <f>IFERROR(VLOOKUP(J44,Справочники!$G$6:$H$8,2,0),"RUB")</f>
        <v>RUB</v>
      </c>
      <c r="P44" s="14">
        <f>ROUND(K44*IFERROR(VLOOKUP(J44,Справочники!$G$6:$I$8,3,0),1),2)</f>
        <v>9500</v>
      </c>
      <c r="Q44" s="13" t="str">
        <f>IFERROR(VLOOKUP(H44,Справочники!$D$6:$E$14,2,0),"НЕИЗВЕСТНО")</f>
        <v>Завершен</v>
      </c>
      <c r="R44" s="20">
        <f>IFERROR(INDEX(Товары_очищенные!$Q$3:$Q$503,MATCH(M44,Товары_очищенные!$L$3:$L$503,0)),"нет в каталоге")</f>
        <v>12990</v>
      </c>
      <c r="S44" s="21" t="str">
        <f>IFERROR(INDEX(Товары_очищенные!$N$3:$N$503,MATCH(M44,Товары_очищенные!$L$3:$L$503,0)),"нет в каталоге")</f>
        <v>Наушники</v>
      </c>
      <c r="T44" s="21" t="str">
        <f t="shared" si="151"/>
        <v>OK</v>
      </c>
      <c r="U44" s="12" t="str">
        <f t="shared" si="152"/>
        <v>04/02/2025|АРТ-322|C0042</v>
      </c>
      <c r="V44" s="12" t="str">
        <f t="shared" si="153"/>
        <v>оригинал</v>
      </c>
    </row>
    <row r="45" ht="15" customHeight="1">
      <c r="A45" s="10">
        <v>43</v>
      </c>
      <c r="B45" s="11" t="str">
        <f>RAW_Продажи!A44</f>
        <v>02/05/2025</v>
      </c>
      <c r="C45" s="11" t="str">
        <f>RAW_Продажи!B44</f>
        <v>№АРТ-257</v>
      </c>
      <c r="D45" s="11" t="str">
        <f>RAW_Продажи!C44</f>
        <v>3</v>
      </c>
      <c r="E45" s="11" t="str">
        <f>RAW_Продажи!D44</f>
        <v>$120</v>
      </c>
      <c r="F45" s="11" t="str">
        <f>RAW_Продажи!E44</f>
        <v>C0043</v>
      </c>
      <c r="G45" s="11" t="str">
        <f>RAW_Продажи!F44</f>
        <v>P038</v>
      </c>
      <c r="H45" s="11" t="str">
        <f>RAW_Продажи!G44</f>
        <v>возврат</v>
      </c>
      <c r="I45" s="12" t="str">
        <f t="shared" si="145"/>
        <v>257</v>
      </c>
      <c r="J45" s="12" t="str">
        <f t="shared" si="146"/>
        <v>$</v>
      </c>
      <c r="K45" s="12">
        <f t="shared" si="147"/>
        <v>120</v>
      </c>
      <c r="L45" s="19">
        <f t="shared" si="148"/>
        <v>45693</v>
      </c>
      <c r="M45" s="13" t="str">
        <f t="shared" si="149"/>
        <v>АРТ-257</v>
      </c>
      <c r="N45" s="13">
        <f t="shared" si="150"/>
        <v>3</v>
      </c>
      <c r="O45" s="13" t="str">
        <f>IFERROR(VLOOKUP(J45,Справочники!$G$6:$H$8,2,0),"RUB")</f>
        <v>USD</v>
      </c>
      <c r="P45" s="14">
        <f>ROUND(K45*IFERROR(VLOOKUP(J45,Справочники!$G$6:$I$8,3,0),1),2)</f>
        <v>11400</v>
      </c>
      <c r="Q45" s="13" t="str">
        <f>IFERROR(VLOOKUP(H45,Справочники!$D$6:$E$14,2,0),"НЕИЗВЕСТНО")</f>
        <v>Возврат</v>
      </c>
      <c r="R45" s="20">
        <f>IFERROR(INDEX(Товары_очищенные!$Q$3:$Q$503,MATCH(M45,Товары_очищенные!$L$3:$L$503,0)),"нет в каталоге")</f>
        <v>36500</v>
      </c>
      <c r="S45" s="21" t="str">
        <f>IFERROR(INDEX(Товары_очищенные!$N$3:$N$503,MATCH(M45,Товары_очищенные!$L$3:$L$503,0)),"нет в каталоге")</f>
        <v>Смартфоны</v>
      </c>
      <c r="T45" s="21" t="str">
        <f t="shared" si="151"/>
        <v>OK</v>
      </c>
      <c r="U45" s="12" t="str">
        <f t="shared" si="152"/>
        <v>05/02/2025|АРТ-257|C0043</v>
      </c>
      <c r="V45" s="12" t="str">
        <f t="shared" si="153"/>
        <v>оригинал</v>
      </c>
    </row>
    <row r="46" ht="15" customHeight="1">
      <c r="A46" s="10">
        <v>44</v>
      </c>
      <c r="B46" s="11" t="str">
        <f>RAW_Продажи!A45</f>
        <v>02/05/2025</v>
      </c>
      <c r="C46" s="11" t="str">
        <f>RAW_Продажи!B45</f>
        <v>АРТ_368</v>
      </c>
      <c r="D46" s="11" t="str">
        <f>RAW_Продажи!C45</f>
        <v>1</v>
      </c>
      <c r="E46" s="11" t="str">
        <f>RAW_Продажи!D45</f>
        <v>€100</v>
      </c>
      <c r="F46" s="11" t="str">
        <f>RAW_Продажи!E45</f>
        <v>C0044</v>
      </c>
      <c r="G46" s="11" t="str">
        <f>RAW_Продажи!F45</f>
        <v>P016</v>
      </c>
      <c r="H46" s="11" t="str">
        <f>RAW_Продажи!G45</f>
        <v>завершен</v>
      </c>
      <c r="I46" s="12" t="str">
        <f t="shared" si="145"/>
        <v>368</v>
      </c>
      <c r="J46" s="12" t="str">
        <f t="shared" si="146"/>
        <v>€</v>
      </c>
      <c r="K46" s="12">
        <f t="shared" si="147"/>
        <v>100</v>
      </c>
      <c r="L46" s="19">
        <f t="shared" si="148"/>
        <v>45693</v>
      </c>
      <c r="M46" s="13" t="str">
        <f t="shared" si="149"/>
        <v>АРТ-368</v>
      </c>
      <c r="N46" s="13">
        <f t="shared" si="150"/>
        <v>1</v>
      </c>
      <c r="O46" s="13" t="str">
        <f>IFERROR(VLOOKUP(J46,Справочники!$G$6:$H$8,2,0),"RUB")</f>
        <v>EUR</v>
      </c>
      <c r="P46" s="14">
        <f>ROUND(K46*IFERROR(VLOOKUP(J46,Справочники!$G$6:$I$8,3,0),1),2)</f>
        <v>10000</v>
      </c>
      <c r="Q46" s="13" t="str">
        <f>IFERROR(VLOOKUP(H46,Справочники!$D$6:$E$14,2,0),"НЕИЗВЕСТНО")</f>
        <v>Завершен</v>
      </c>
      <c r="R46" s="20">
        <f>IFERROR(INDEX(Товары_очищенные!$Q$3:$Q$503,MATCH(M46,Товары_очищенные!$L$3:$L$503,0)),"нет в каталоге")</f>
        <v>19000</v>
      </c>
      <c r="S46" s="21" t="str">
        <f>IFERROR(INDEX(Товары_очищенные!$N$3:$N$503,MATCH(M46,Товары_очищенные!$L$3:$L$503,0)),"нет в каталоге")</f>
        <v>Наушники</v>
      </c>
      <c r="T46" s="21" t="str">
        <f t="shared" si="151"/>
        <v>OK</v>
      </c>
      <c r="U46" s="12" t="str">
        <f t="shared" si="152"/>
        <v>05/02/2025|АРТ-368|C0044</v>
      </c>
      <c r="V46" s="12" t="str">
        <f t="shared" si="153"/>
        <v>оригинал</v>
      </c>
    </row>
    <row r="47" ht="15" customHeight="1">
      <c r="A47" s="10">
        <v>45</v>
      </c>
      <c r="B47" s="11" t="str">
        <f>RAW_Продажи!A46</f>
        <v>02/06/2025</v>
      </c>
      <c r="C47" s="11" t="str">
        <f>RAW_Продажи!B46</f>
        <v>042/24</v>
      </c>
      <c r="D47" s="11" t="str">
        <f>RAW_Продажи!C46</f>
        <v xml:space="preserve">1 шт.</v>
      </c>
      <c r="E47" s="11" t="str">
        <f>RAW_Продажи!D46</f>
        <v xml:space="preserve">8800 ₽</v>
      </c>
      <c r="F47" s="11" t="str">
        <f>RAW_Продажи!E46</f>
        <v>C0045</v>
      </c>
      <c r="G47" s="11" t="str">
        <f>RAW_Продажи!F46</f>
        <v>P029</v>
      </c>
      <c r="H47" s="11" t="str">
        <f>RAW_Продажи!G46</f>
        <v>completed</v>
      </c>
      <c r="I47" s="12" t="str">
        <f t="shared" si="145"/>
        <v>042/24</v>
      </c>
      <c r="J47" s="12" t="str">
        <f t="shared" si="146"/>
        <v>₽</v>
      </c>
      <c r="K47" s="12">
        <f t="shared" si="147"/>
        <v>8800</v>
      </c>
      <c r="L47" s="19">
        <f t="shared" si="148"/>
        <v>45694</v>
      </c>
      <c r="M47" s="13" t="str">
        <f t="shared" si="149"/>
        <v>АРТ-042</v>
      </c>
      <c r="N47" s="13">
        <f t="shared" si="150"/>
        <v>1</v>
      </c>
      <c r="O47" s="13" t="str">
        <f>IFERROR(VLOOKUP(J47,Справочники!$G$6:$H$8,2,0),"RUB")</f>
        <v>RUB</v>
      </c>
      <c r="P47" s="14">
        <f>ROUND(K47*IFERROR(VLOOKUP(J47,Справочники!$G$6:$I$8,3,0),1),2)</f>
        <v>8800</v>
      </c>
      <c r="Q47" s="13" t="str">
        <f>IFERROR(VLOOKUP(H47,Справочники!$D$6:$E$14,2,0),"НЕИЗВЕСТНО")</f>
        <v>Завершен</v>
      </c>
      <c r="R47" s="20">
        <f>IFERROR(INDEX(Товары_очищенные!$Q$3:$Q$503,MATCH(M47,Товары_очищенные!$L$3:$L$503,0)),"нет в каталоге")</f>
        <v>144000</v>
      </c>
      <c r="S47" s="21" t="str">
        <f>IFERROR(INDEX(Товары_очищенные!$N$3:$N$503,MATCH(M47,Товары_очищенные!$L$3:$L$503,0)),"нет в каталоге")</f>
        <v>Ноутбуки</v>
      </c>
      <c r="T47" s="21" t="str">
        <f t="shared" si="151"/>
        <v>OK</v>
      </c>
      <c r="U47" s="12" t="str">
        <f t="shared" si="152"/>
        <v>06/02/2025|АРТ-042|C0045</v>
      </c>
      <c r="V47" s="12" t="str">
        <f t="shared" si="153"/>
        <v>оригинал</v>
      </c>
    </row>
    <row r="48" ht="15" customHeight="1">
      <c r="A48" s="10">
        <v>46</v>
      </c>
      <c r="B48" s="11" t="str">
        <f>RAW_Продажи!A47</f>
        <v>02/06/2025</v>
      </c>
      <c r="C48" s="11" t="str">
        <f>RAW_Продажи!B47</f>
        <v>№АРТ-194</v>
      </c>
      <c r="D48" s="11" t="str">
        <f>RAW_Продажи!C47</f>
        <v>-2</v>
      </c>
      <c r="E48" s="11" t="str">
        <f>RAW_Продажи!D47</f>
        <v>$85</v>
      </c>
      <c r="F48" s="11" t="str">
        <f>RAW_Продажи!E47</f>
        <v>C0046</v>
      </c>
      <c r="G48" s="11" t="str">
        <f>RAW_Продажи!F47</f>
        <v>P035</v>
      </c>
      <c r="H48" s="11" t="str">
        <f>RAW_Продажи!G47</f>
        <v>Завершен</v>
      </c>
      <c r="I48" s="12" t="str">
        <f t="shared" si="145"/>
        <v>194</v>
      </c>
      <c r="J48" s="12" t="str">
        <f t="shared" si="146"/>
        <v>$</v>
      </c>
      <c r="K48" s="12">
        <f t="shared" si="147"/>
        <v>85</v>
      </c>
      <c r="L48" s="19">
        <f t="shared" si="148"/>
        <v>45694</v>
      </c>
      <c r="M48" s="13" t="str">
        <f t="shared" si="149"/>
        <v>АРТ-194</v>
      </c>
      <c r="N48" s="13">
        <f t="shared" si="150"/>
        <v>-2</v>
      </c>
      <c r="O48" s="13" t="str">
        <f>IFERROR(VLOOKUP(J48,Справочники!$G$6:$H$8,2,0),"RUB")</f>
        <v>USD</v>
      </c>
      <c r="P48" s="14">
        <f>ROUND(K48*IFERROR(VLOOKUP(J48,Справочники!$G$6:$I$8,3,0),1),2)</f>
        <v>8075</v>
      </c>
      <c r="Q48" s="13" t="str">
        <f>IFERROR(VLOOKUP(H48,Справочники!$D$6:$E$14,2,0),"НЕИЗВЕСТНО")</f>
        <v>Завершен</v>
      </c>
      <c r="R48" s="20">
        <f>IFERROR(INDEX(Товары_очищенные!$Q$3:$Q$503,MATCH(M48,Товары_очищенные!$L$3:$L$503,0)),"нет в каталоге")</f>
        <v>127000</v>
      </c>
      <c r="S48" s="21" t="str">
        <f>IFERROR(INDEX(Товары_очищенные!$N$3:$N$503,MATCH(M48,Товары_очищенные!$L$3:$L$503,0)),"нет в каталоге")</f>
        <v>Ноутбуки</v>
      </c>
      <c r="T48" s="21" t="str">
        <f t="shared" si="151"/>
        <v>OK</v>
      </c>
      <c r="U48" s="12" t="str">
        <f t="shared" si="152"/>
        <v>06/02/2025|АРТ-194|C0046</v>
      </c>
      <c r="V48" s="12" t="str">
        <f t="shared" si="153"/>
        <v>оригинал</v>
      </c>
    </row>
    <row r="49" ht="15" customHeight="1">
      <c r="A49" s="10">
        <v>47</v>
      </c>
      <c r="B49" s="11" t="str">
        <f>RAW_Продажи!A48</f>
        <v>02/07/2025</v>
      </c>
      <c r="C49" s="11" t="str">
        <f>RAW_Продажи!B48</f>
        <v>АРТ_075</v>
      </c>
      <c r="D49" s="11" t="str">
        <f>RAW_Продажи!C48</f>
        <v>2</v>
      </c>
      <c r="E49" s="11" t="str">
        <f>RAW_Продажи!D48</f>
        <v>€65</v>
      </c>
      <c r="F49" s="11" t="str">
        <f>RAW_Продажи!E48</f>
        <v>C0047</v>
      </c>
      <c r="G49" s="11" t="str">
        <f>RAW_Продажи!F48</f>
        <v>P046</v>
      </c>
      <c r="H49" s="11" t="str">
        <f>RAW_Продажи!G48</f>
        <v>canceled</v>
      </c>
      <c r="I49" s="12" t="str">
        <f t="shared" si="145"/>
        <v>075</v>
      </c>
      <c r="J49" s="12" t="str">
        <f t="shared" si="146"/>
        <v>€</v>
      </c>
      <c r="K49" s="12">
        <f t="shared" si="147"/>
        <v>65</v>
      </c>
      <c r="L49" s="19">
        <f t="shared" si="148"/>
        <v>45695</v>
      </c>
      <c r="M49" s="13" t="str">
        <f t="shared" si="149"/>
        <v>АРТ-075</v>
      </c>
      <c r="N49" s="13">
        <f t="shared" si="150"/>
        <v>2</v>
      </c>
      <c r="O49" s="13" t="str">
        <f>IFERROR(VLOOKUP(J49,Справочники!$G$6:$H$8,2,0),"RUB")</f>
        <v>EUR</v>
      </c>
      <c r="P49" s="14">
        <f>ROUND(K49*IFERROR(VLOOKUP(J49,Справочники!$G$6:$I$8,3,0),1),2)</f>
        <v>6500</v>
      </c>
      <c r="Q49" s="13" t="str">
        <f>IFERROR(VLOOKUP(H49,Справочники!$D$6:$E$14,2,0),"НЕИЗВЕСТНО")</f>
        <v>Отменен</v>
      </c>
      <c r="R49" s="20">
        <f>IFERROR(INDEX(Товары_очищенные!$Q$3:$Q$503,MATCH(M49,Товары_очищенные!$L$3:$L$503,0)),"нет в каталоге")</f>
        <v>82000</v>
      </c>
      <c r="S49" s="21" t="str">
        <f>IFERROR(INDEX(Товары_очищенные!$N$3:$N$503,MATCH(M49,Товары_очищенные!$L$3:$L$503,0)),"нет в каталоге")</f>
        <v>Мониторы</v>
      </c>
      <c r="T49" s="21" t="str">
        <f t="shared" si="151"/>
        <v>OK</v>
      </c>
      <c r="U49" s="12" t="str">
        <f t="shared" si="152"/>
        <v>07/02/2025|АРТ-075|C0047</v>
      </c>
      <c r="V49" s="12" t="str">
        <f t="shared" si="153"/>
        <v>оригинал</v>
      </c>
    </row>
    <row r="50" ht="15" customHeight="1">
      <c r="A50" s="10">
        <v>48</v>
      </c>
      <c r="B50" s="11" t="str">
        <f>RAW_Продажи!A49</f>
        <v>02/07/2025</v>
      </c>
      <c r="C50" s="11" t="str">
        <f>RAW_Продажи!B49</f>
        <v>461-24</v>
      </c>
      <c r="D50" s="11" t="str">
        <f>RAW_Продажи!C49</f>
        <v>3</v>
      </c>
      <c r="E50" s="11" t="str">
        <f>RAW_Продажи!D49</f>
        <v xml:space="preserve">6000 ₽</v>
      </c>
      <c r="F50" s="11" t="str">
        <f>RAW_Продажи!E49</f>
        <v>C0048</v>
      </c>
      <c r="G50" s="11" t="str">
        <f>RAW_Продажи!F49</f>
        <v>P022</v>
      </c>
      <c r="H50" s="11" t="str">
        <f>RAW_Продажи!G49</f>
        <v>отменен</v>
      </c>
      <c r="I50" s="12" t="str">
        <f t="shared" si="145"/>
        <v>461-24</v>
      </c>
      <c r="J50" s="12" t="str">
        <f t="shared" si="146"/>
        <v>₽</v>
      </c>
      <c r="K50" s="12">
        <f t="shared" si="147"/>
        <v>6000</v>
      </c>
      <c r="L50" s="19">
        <f t="shared" si="148"/>
        <v>45695</v>
      </c>
      <c r="M50" s="13" t="str">
        <f t="shared" si="149"/>
        <v>АРТ-461</v>
      </c>
      <c r="N50" s="13">
        <f t="shared" si="150"/>
        <v>3</v>
      </c>
      <c r="O50" s="13" t="str">
        <f>IFERROR(VLOOKUP(J50,Справочники!$G$6:$H$8,2,0),"RUB")</f>
        <v>RUB</v>
      </c>
      <c r="P50" s="14">
        <f>ROUND(K50*IFERROR(VLOOKUP(J50,Справочники!$G$6:$I$8,3,0),1),2)</f>
        <v>6000</v>
      </c>
      <c r="Q50" s="13" t="str">
        <f>IFERROR(VLOOKUP(H50,Справочники!$D$6:$E$14,2,0),"НЕИЗВЕСТНО")</f>
        <v>Отменен</v>
      </c>
      <c r="R50" s="20">
        <f>IFERROR(INDEX(Товары_очищенные!$Q$3:$Q$503,MATCH(M50,Товары_очищенные!$L$3:$L$503,0)),"нет в каталоге")</f>
        <v>46000</v>
      </c>
      <c r="S50" s="21" t="str">
        <f>IFERROR(INDEX(Товары_очищенные!$N$3:$N$503,MATCH(M50,Товары_очищенные!$L$3:$L$503,0)),"нет в каталоге")</f>
        <v>Часы</v>
      </c>
      <c r="T50" s="21" t="str">
        <f t="shared" si="151"/>
        <v>OK</v>
      </c>
      <c r="U50" s="12" t="str">
        <f t="shared" si="152"/>
        <v>07/02/2025|АРТ-461|C0048</v>
      </c>
      <c r="V50" s="12" t="str">
        <f t="shared" si="153"/>
        <v>оригинал</v>
      </c>
    </row>
    <row r="51" ht="15" customHeight="1">
      <c r="A51" s="10">
        <v>49</v>
      </c>
      <c r="B51" s="11" t="str">
        <f>RAW_Продажи!A50</f>
        <v>02/08/2025</v>
      </c>
      <c r="C51" s="11" t="str">
        <f>RAW_Продажи!B50</f>
        <v>№АРТ-312</v>
      </c>
      <c r="D51" s="11" t="str">
        <f>RAW_Продажи!C50</f>
        <v>1</v>
      </c>
      <c r="E51" s="11" t="str">
        <f>RAW_Продажи!D50</f>
        <v>$105</v>
      </c>
      <c r="F51" s="11" t="str">
        <f>RAW_Продажи!E50</f>
        <v>C0049</v>
      </c>
      <c r="G51" s="11" t="str">
        <f>RAW_Продажи!F50</f>
        <v>P043</v>
      </c>
      <c r="H51" s="11" t="str">
        <f>RAW_Продажи!G50</f>
        <v>возврат</v>
      </c>
      <c r="I51" s="12" t="str">
        <f t="shared" si="145"/>
        <v>312</v>
      </c>
      <c r="J51" s="12" t="str">
        <f t="shared" si="146"/>
        <v>$</v>
      </c>
      <c r="K51" s="12">
        <f t="shared" si="147"/>
        <v>105</v>
      </c>
      <c r="L51" s="19">
        <f t="shared" si="148"/>
        <v>45696</v>
      </c>
      <c r="M51" s="13" t="str">
        <f t="shared" si="149"/>
        <v>АРТ-312</v>
      </c>
      <c r="N51" s="13">
        <f t="shared" si="150"/>
        <v>1</v>
      </c>
      <c r="O51" s="13" t="str">
        <f>IFERROR(VLOOKUP(J51,Справочники!$G$6:$H$8,2,0),"RUB")</f>
        <v>USD</v>
      </c>
      <c r="P51" s="14">
        <f>ROUND(K51*IFERROR(VLOOKUP(J51,Справочники!$G$6:$I$8,3,0),1),2)</f>
        <v>9975</v>
      </c>
      <c r="Q51" s="13" t="str">
        <f>IFERROR(VLOOKUP(H51,Справочники!$D$6:$E$14,2,0),"НЕИЗВЕСТНО")</f>
        <v>Возврат</v>
      </c>
      <c r="R51" s="20">
        <f>IFERROR(INDEX(Товары_очищенные!$Q$3:$Q$503,MATCH(M51,Товары_очищенные!$L$3:$L$503,0)),"нет в каталоге")</f>
        <v>67000</v>
      </c>
      <c r="S51" s="21" t="str">
        <f>IFERROR(INDEX(Товары_очищенные!$N$3:$N$503,MATCH(M51,Товары_очищенные!$L$3:$L$503,0)),"нет в каталоге")</f>
        <v>Планшеты</v>
      </c>
      <c r="T51" s="21" t="str">
        <f t="shared" si="151"/>
        <v>OK</v>
      </c>
      <c r="U51" s="12" t="str">
        <f t="shared" si="152"/>
        <v>08/02/2025|АРТ-312|C0049</v>
      </c>
      <c r="V51" s="12" t="str">
        <f t="shared" si="153"/>
        <v>оригинал</v>
      </c>
    </row>
    <row r="52" ht="15" customHeight="1">
      <c r="A52" s="10">
        <v>50</v>
      </c>
      <c r="B52" s="11" t="str">
        <f>RAW_Продажи!A51</f>
        <v>02/08/2025</v>
      </c>
      <c r="C52" s="11" t="str">
        <f>RAW_Продажи!B51</f>
        <v>АРТ_423</v>
      </c>
      <c r="D52" s="11" t="str">
        <f>RAW_Продажи!C51</f>
        <v>2</v>
      </c>
      <c r="E52" s="11" t="str">
        <f>RAW_Продажи!D51</f>
        <v>€85</v>
      </c>
      <c r="F52" s="11" t="str">
        <f>RAW_Продажи!E51</f>
        <v>C0050</v>
      </c>
      <c r="G52" s="11" t="str">
        <f>RAW_Продажи!F51</f>
        <v>P030</v>
      </c>
      <c r="H52" s="11" t="str">
        <f>RAW_Продажи!G51</f>
        <v>Завершен</v>
      </c>
      <c r="I52" s="12" t="str">
        <f t="shared" si="145"/>
        <v>423</v>
      </c>
      <c r="J52" s="12" t="str">
        <f t="shared" si="146"/>
        <v>€</v>
      </c>
      <c r="K52" s="12">
        <f t="shared" si="147"/>
        <v>85</v>
      </c>
      <c r="L52" s="19">
        <f t="shared" si="148"/>
        <v>45696</v>
      </c>
      <c r="M52" s="13" t="str">
        <f t="shared" si="149"/>
        <v>АРТ-423</v>
      </c>
      <c r="N52" s="13">
        <f t="shared" si="150"/>
        <v>2</v>
      </c>
      <c r="O52" s="13" t="str">
        <f>IFERROR(VLOOKUP(J52,Справочники!$G$6:$H$8,2,0),"RUB")</f>
        <v>EUR</v>
      </c>
      <c r="P52" s="14">
        <f>ROUND(K52*IFERROR(VLOOKUP(J52,Справочники!$G$6:$I$8,3,0),1),2)</f>
        <v>8500</v>
      </c>
      <c r="Q52" s="13" t="str">
        <f>IFERROR(VLOOKUP(H52,Справочники!$D$6:$E$14,2,0),"НЕИЗВЕСТНО")</f>
        <v>Завершен</v>
      </c>
      <c r="R52" s="20">
        <f>IFERROR(INDEX(Товары_очищенные!$Q$3:$Q$503,MATCH(M52,Товары_очищенные!$L$3:$L$503,0)),"нет в каталоге")</f>
        <v>129500</v>
      </c>
      <c r="S52" s="21" t="str">
        <f>IFERROR(INDEX(Товары_очищенные!$N$3:$N$503,MATCH(M52,Товары_очищенные!$L$3:$L$503,0)),"нет в каталоге")</f>
        <v>Ноутбуки</v>
      </c>
      <c r="T52" s="21" t="str">
        <f t="shared" si="151"/>
        <v>OK</v>
      </c>
      <c r="U52" s="12" t="str">
        <f t="shared" si="152"/>
        <v>08/02/2025|АРТ-423|C0050</v>
      </c>
      <c r="V52" s="12" t="str">
        <f t="shared" si="153"/>
        <v>оригинал</v>
      </c>
    </row>
    <row r="53" ht="15" customHeight="1">
      <c r="A53" s="10">
        <v>51</v>
      </c>
      <c r="B53" s="11" t="str">
        <f>RAW_Продажи!A52</f>
        <v>02/09/2025</v>
      </c>
      <c r="C53" s="11" t="str">
        <f>RAW_Продажи!B52</f>
        <v>208/24</v>
      </c>
      <c r="D53" s="11" t="str">
        <f>RAW_Продажи!C52</f>
        <v xml:space="preserve">1 шт.</v>
      </c>
      <c r="E53" s="11" t="str">
        <f>RAW_Продажи!D52</f>
        <v xml:space="preserve">7500 ₽</v>
      </c>
      <c r="F53" s="11" t="str">
        <f>RAW_Продажи!E52</f>
        <v>C0051</v>
      </c>
      <c r="G53" s="11" t="str">
        <f>RAW_Продажи!F52</f>
        <v>P012</v>
      </c>
      <c r="H53" s="11" t="str">
        <f>RAW_Продажи!G52</f>
        <v>завершен</v>
      </c>
      <c r="I53" s="12" t="str">
        <f t="shared" si="145"/>
        <v>208/24</v>
      </c>
      <c r="J53" s="12" t="str">
        <f t="shared" si="146"/>
        <v>₽</v>
      </c>
      <c r="K53" s="12">
        <f t="shared" si="147"/>
        <v>7500</v>
      </c>
      <c r="L53" s="19">
        <f t="shared" si="148"/>
        <v>45697</v>
      </c>
      <c r="M53" s="13" t="str">
        <f t="shared" si="149"/>
        <v>АРТ-208</v>
      </c>
      <c r="N53" s="13">
        <f t="shared" si="150"/>
        <v>1</v>
      </c>
      <c r="O53" s="13" t="str">
        <f>IFERROR(VLOOKUP(J53,Справочники!$G$6:$H$8,2,0),"RUB")</f>
        <v>RUB</v>
      </c>
      <c r="P53" s="14">
        <f>ROUND(K53*IFERROR(VLOOKUP(J53,Справочники!$G$6:$I$8,3,0),1),2)</f>
        <v>7500</v>
      </c>
      <c r="Q53" s="13" t="str">
        <f>IFERROR(VLOOKUP(H53,Справочники!$D$6:$E$14,2,0),"НЕИЗВЕСТНО")</f>
        <v>Завершен</v>
      </c>
      <c r="R53" s="20">
        <f>IFERROR(INDEX(Товары_очищенные!$Q$3:$Q$503,MATCH(M53,Товары_очищенные!$L$3:$L$503,0)),"нет в каталоге")</f>
        <v>10990</v>
      </c>
      <c r="S53" s="21" t="str">
        <f>IFERROR(INDEX(Товары_очищенные!$N$3:$N$503,MATCH(M53,Товары_очищенные!$L$3:$L$503,0)),"нет в каталоге")</f>
        <v>Аксессуары</v>
      </c>
      <c r="T53" s="21" t="str">
        <f t="shared" si="151"/>
        <v>OK</v>
      </c>
      <c r="U53" s="12" t="str">
        <f t="shared" si="152"/>
        <v>09/02/2025|АРТ-208|C0051</v>
      </c>
      <c r="V53" s="12" t="str">
        <f t="shared" si="153"/>
        <v>оригинал</v>
      </c>
    </row>
    <row r="54" ht="15" customHeight="1">
      <c r="A54" s="10">
        <v>52</v>
      </c>
      <c r="B54" s="11" t="str">
        <f>RAW_Продажи!A53</f>
        <v>02/09/2025</v>
      </c>
      <c r="C54" s="11" t="str">
        <f>RAW_Продажи!B53</f>
        <v>№АРТ-147</v>
      </c>
      <c r="D54" s="11" t="str">
        <f>RAW_Продажи!C53</f>
        <v>-1</v>
      </c>
      <c r="E54" s="11" t="str">
        <f>RAW_Продажи!D53</f>
        <v>$115</v>
      </c>
      <c r="F54" s="11" t="str">
        <f>RAW_Продажи!E53</f>
        <v>C0052</v>
      </c>
      <c r="G54" s="11" t="str">
        <f>RAW_Продажи!F53</f>
        <v>P007</v>
      </c>
      <c r="H54" s="11" t="str">
        <f>RAW_Продажи!G53</f>
        <v>completed</v>
      </c>
      <c r="I54" s="12" t="str">
        <f t="shared" si="145"/>
        <v>147</v>
      </c>
      <c r="J54" s="12" t="str">
        <f t="shared" si="146"/>
        <v>$</v>
      </c>
      <c r="K54" s="12">
        <f t="shared" si="147"/>
        <v>115</v>
      </c>
      <c r="L54" s="19">
        <f t="shared" si="148"/>
        <v>45697</v>
      </c>
      <c r="M54" s="13" t="str">
        <f t="shared" si="149"/>
        <v>АРТ-147</v>
      </c>
      <c r="N54" s="13">
        <f t="shared" si="150"/>
        <v>-1</v>
      </c>
      <c r="O54" s="13" t="str">
        <f>IFERROR(VLOOKUP(J54,Справочники!$G$6:$H$8,2,0),"RUB")</f>
        <v>USD</v>
      </c>
      <c r="P54" s="14">
        <f>ROUND(K54*IFERROR(VLOOKUP(J54,Справочники!$G$6:$I$8,3,0),1),2)</f>
        <v>10925</v>
      </c>
      <c r="Q54" s="13" t="str">
        <f>IFERROR(VLOOKUP(H54,Справочники!$D$6:$E$14,2,0),"НЕИЗВЕСТНО")</f>
        <v>Завершен</v>
      </c>
      <c r="R54" s="20">
        <f>IFERROR(INDEX(Товары_очищенные!$Q$3:$Q$503,MATCH(M54,Товары_очищенные!$L$3:$L$503,0)),"нет в каталоге")</f>
        <v>47500</v>
      </c>
      <c r="S54" s="21" t="str">
        <f>IFERROR(INDEX(Товары_очищенные!$N$3:$N$503,MATCH(M54,Товары_очищенные!$L$3:$L$503,0)),"нет в каталоге")</f>
        <v>Смартфоны</v>
      </c>
      <c r="T54" s="21" t="str">
        <f t="shared" si="151"/>
        <v>OK</v>
      </c>
      <c r="U54" s="12" t="str">
        <f t="shared" si="152"/>
        <v>09/02/2025|АРТ-147|C0052</v>
      </c>
      <c r="V54" s="12" t="str">
        <f t="shared" si="153"/>
        <v>оригинал</v>
      </c>
    </row>
    <row r="55" ht="15" customHeight="1">
      <c r="A55" s="10">
        <v>53</v>
      </c>
      <c r="B55" s="11" t="str">
        <f>RAW_Продажи!A54</f>
        <v>02/10/2025</v>
      </c>
      <c r="C55" s="11" t="str">
        <f>RAW_Продажи!B54</f>
        <v>АРТ_389</v>
      </c>
      <c r="D55" s="11" t="str">
        <f>RAW_Продажи!C54</f>
        <v>3</v>
      </c>
      <c r="E55" s="11" t="str">
        <f>RAW_Продажи!D54</f>
        <v>€95</v>
      </c>
      <c r="F55" s="11" t="str">
        <f>RAW_Продажи!E54</f>
        <v>C0053</v>
      </c>
      <c r="G55" s="11" t="str">
        <f>RAW_Продажи!F54</f>
        <v>P023</v>
      </c>
      <c r="H55" s="11" t="str">
        <f>RAW_Продажи!G54</f>
        <v>отменен</v>
      </c>
      <c r="I55" s="12" t="str">
        <f t="shared" si="145"/>
        <v>389</v>
      </c>
      <c r="J55" s="12" t="str">
        <f t="shared" si="146"/>
        <v>€</v>
      </c>
      <c r="K55" s="12">
        <f t="shared" si="147"/>
        <v>95</v>
      </c>
      <c r="L55" s="19">
        <f t="shared" si="148"/>
        <v>45698</v>
      </c>
      <c r="M55" s="13" t="str">
        <f t="shared" si="149"/>
        <v>АРТ-389</v>
      </c>
      <c r="N55" s="13">
        <f t="shared" si="150"/>
        <v>3</v>
      </c>
      <c r="O55" s="13" t="str">
        <f>IFERROR(VLOOKUP(J55,Справочники!$G$6:$H$8,2,0),"RUB")</f>
        <v>EUR</v>
      </c>
      <c r="P55" s="14">
        <f>ROUND(K55*IFERROR(VLOOKUP(J55,Справочники!$G$6:$I$8,3,0),1),2)</f>
        <v>9500</v>
      </c>
      <c r="Q55" s="13" t="str">
        <f>IFERROR(VLOOKUP(H55,Справочники!$D$6:$E$14,2,0),"НЕИЗВЕСТНО")</f>
        <v>Отменен</v>
      </c>
      <c r="R55" s="20">
        <f>IFERROR(INDEX(Товары_очищенные!$Q$3:$Q$503,MATCH(M55,Товары_очищенные!$L$3:$L$503,0)),"нет в каталоге")</f>
        <v>75000</v>
      </c>
      <c r="S55" s="21" t="str">
        <f>IFERROR(INDEX(Товары_очищенные!$N$3:$N$503,MATCH(M55,Товары_очищенные!$L$3:$L$503,0)),"нет в каталоге")</f>
        <v>Телевизоры</v>
      </c>
      <c r="T55" s="21" t="str">
        <f t="shared" si="151"/>
        <v>OK</v>
      </c>
      <c r="U55" s="12" t="str">
        <f t="shared" si="152"/>
        <v>10/02/2025|АРТ-389|C0053</v>
      </c>
      <c r="V55" s="12" t="str">
        <f t="shared" si="153"/>
        <v>оригинал</v>
      </c>
    </row>
    <row r="56" ht="15" customHeight="1">
      <c r="A56" s="10">
        <v>54</v>
      </c>
      <c r="B56" s="11" t="str">
        <f>RAW_Продажи!A55</f>
        <v>02/10/2025</v>
      </c>
      <c r="C56" s="11" t="str">
        <f>RAW_Продажи!B55</f>
        <v>065-24</v>
      </c>
      <c r="D56" s="11" t="str">
        <f>RAW_Продажи!C55</f>
        <v>2</v>
      </c>
      <c r="E56" s="11" t="str">
        <f>RAW_Продажи!D55</f>
        <v xml:space="preserve">9000 ₽</v>
      </c>
      <c r="F56" s="11" t="str">
        <f>RAW_Продажи!E55</f>
        <v>C0054</v>
      </c>
      <c r="G56" s="11" t="str">
        <f>RAW_Продажи!F55</f>
        <v>P045</v>
      </c>
      <c r="H56" s="11" t="str">
        <f>RAW_Продажи!G55</f>
        <v>canceled</v>
      </c>
      <c r="I56" s="12" t="str">
        <f t="shared" si="145"/>
        <v>065-24</v>
      </c>
      <c r="J56" s="12" t="str">
        <f t="shared" si="146"/>
        <v>₽</v>
      </c>
      <c r="K56" s="12">
        <f t="shared" si="147"/>
        <v>9000</v>
      </c>
      <c r="L56" s="19">
        <f t="shared" si="148"/>
        <v>45698</v>
      </c>
      <c r="M56" s="13" t="str">
        <f t="shared" si="149"/>
        <v>АРТ-065</v>
      </c>
      <c r="N56" s="13">
        <f t="shared" si="150"/>
        <v>2</v>
      </c>
      <c r="O56" s="13" t="str">
        <f>IFERROR(VLOOKUP(J56,Справочники!$G$6:$H$8,2,0),"RUB")</f>
        <v>RUB</v>
      </c>
      <c r="P56" s="14">
        <f>ROUND(K56*IFERROR(VLOOKUP(J56,Справочники!$G$6:$I$8,3,0),1),2)</f>
        <v>9000</v>
      </c>
      <c r="Q56" s="13" t="str">
        <f>IFERROR(VLOOKUP(H56,Справочники!$D$6:$E$14,2,0),"НЕИЗВЕСТНО")</f>
        <v>Отменен</v>
      </c>
      <c r="R56" s="20">
        <f>IFERROR(INDEX(Товары_очищенные!$Q$3:$Q$503,MATCH(M56,Товары_очищенные!$L$3:$L$503,0)),"нет в каталоге")</f>
        <v>55500</v>
      </c>
      <c r="S56" s="21" t="str">
        <f>IFERROR(INDEX(Товары_очищенные!$N$3:$N$503,MATCH(M56,Товары_очищенные!$L$3:$L$503,0)),"нет в каталоге")</f>
        <v>Смартфоны</v>
      </c>
      <c r="T56" s="21" t="str">
        <f t="shared" si="151"/>
        <v>OK</v>
      </c>
      <c r="U56" s="12" t="str">
        <f t="shared" si="152"/>
        <v>10/02/2025|АРТ-065|C0054</v>
      </c>
      <c r="V56" s="12" t="str">
        <f t="shared" si="153"/>
        <v>оригинал</v>
      </c>
    </row>
    <row r="57" ht="15" customHeight="1">
      <c r="A57" s="10">
        <v>55</v>
      </c>
      <c r="B57" s="11" t="str">
        <f>RAW_Продажи!A56</f>
        <v>02/11/2025</v>
      </c>
      <c r="C57" s="11" t="str">
        <f>RAW_Продажи!B56</f>
        <v>№АРТ-025</v>
      </c>
      <c r="D57" s="11" t="str">
        <f>RAW_Продажи!C56</f>
        <v>1</v>
      </c>
      <c r="E57" s="11" t="str">
        <f>RAW_Продажи!D56</f>
        <v>$90</v>
      </c>
      <c r="F57" s="11" t="str">
        <f>RAW_Продажи!E56</f>
        <v>C0055</v>
      </c>
      <c r="G57" s="11" t="str">
        <f>RAW_Продажи!F56</f>
        <v>P008</v>
      </c>
      <c r="H57" s="11" t="str">
        <f>RAW_Продажи!G56</f>
        <v>Завершен</v>
      </c>
      <c r="I57" s="12" t="str">
        <f t="shared" si="145"/>
        <v>025</v>
      </c>
      <c r="J57" s="12" t="str">
        <f t="shared" si="146"/>
        <v>$</v>
      </c>
      <c r="K57" s="12">
        <f t="shared" si="147"/>
        <v>90</v>
      </c>
      <c r="L57" s="19">
        <f t="shared" si="148"/>
        <v>45699</v>
      </c>
      <c r="M57" s="13" t="str">
        <f t="shared" si="149"/>
        <v>АРТ-025</v>
      </c>
      <c r="N57" s="13">
        <f t="shared" si="150"/>
        <v>1</v>
      </c>
      <c r="O57" s="13" t="str">
        <f>IFERROR(VLOOKUP(J57,Справочники!$G$6:$H$8,2,0),"RUB")</f>
        <v>USD</v>
      </c>
      <c r="P57" s="14">
        <f>ROUND(K57*IFERROR(VLOOKUP(J57,Справочники!$G$6:$I$8,3,0),1),2)</f>
        <v>8550</v>
      </c>
      <c r="Q57" s="13" t="str">
        <f>IFERROR(VLOOKUP(H57,Справочники!$D$6:$E$14,2,0),"НЕИЗВЕСТНО")</f>
        <v>Завершен</v>
      </c>
      <c r="R57" s="20">
        <f>IFERROR(INDEX(Товары_очищенные!$Q$3:$Q$503,MATCH(M57,Товары_очищенные!$L$3:$L$503,0)),"нет в каталоге")</f>
        <v>99900</v>
      </c>
      <c r="S57" s="21" t="str">
        <f>IFERROR(INDEX(Товары_очищенные!$N$3:$N$503,MATCH(M57,Товары_очищенные!$L$3:$L$503,0)),"нет в каталоге")</f>
        <v>Мониторы</v>
      </c>
      <c r="T57" s="21" t="str">
        <f t="shared" si="151"/>
        <v>OK</v>
      </c>
      <c r="U57" s="12" t="str">
        <f t="shared" si="152"/>
        <v>11/02/2025|АРТ-025|C0055</v>
      </c>
      <c r="V57" s="12" t="str">
        <f t="shared" si="153"/>
        <v>оригинал</v>
      </c>
    </row>
    <row r="58" ht="15" customHeight="1">
      <c r="A58" s="10">
        <v>56</v>
      </c>
      <c r="B58" s="11" t="str">
        <f>RAW_Продажи!A57</f>
        <v>02/11/2025</v>
      </c>
      <c r="C58" s="11" t="str">
        <f>RAW_Продажи!B57</f>
        <v>АРТ_492</v>
      </c>
      <c r="D58" s="11" t="str">
        <f>RAW_Продажи!C57</f>
        <v>2</v>
      </c>
      <c r="E58" s="11" t="str">
        <f>RAW_Продажи!D57</f>
        <v>€70</v>
      </c>
      <c r="F58" s="11" t="str">
        <f>RAW_Продажи!E57</f>
        <v>C0056</v>
      </c>
      <c r="G58" s="11" t="str">
        <f>RAW_Продажи!F57</f>
        <v>P031</v>
      </c>
      <c r="H58" s="11" t="str">
        <f>RAW_Продажи!G57</f>
        <v>возврат</v>
      </c>
      <c r="I58" s="12" t="str">
        <f t="shared" si="145"/>
        <v>492</v>
      </c>
      <c r="J58" s="12" t="str">
        <f t="shared" si="146"/>
        <v>€</v>
      </c>
      <c r="K58" s="12">
        <f t="shared" si="147"/>
        <v>70</v>
      </c>
      <c r="L58" s="19">
        <f t="shared" si="148"/>
        <v>45699</v>
      </c>
      <c r="M58" s="13" t="str">
        <f t="shared" si="149"/>
        <v>АРТ-492</v>
      </c>
      <c r="N58" s="13">
        <f t="shared" si="150"/>
        <v>2</v>
      </c>
      <c r="O58" s="13" t="str">
        <f>IFERROR(VLOOKUP(J58,Справочники!$G$6:$H$8,2,0),"RUB")</f>
        <v>EUR</v>
      </c>
      <c r="P58" s="14">
        <f>ROUND(K58*IFERROR(VLOOKUP(J58,Справочники!$G$6:$I$8,3,0),1),2)</f>
        <v>7000</v>
      </c>
      <c r="Q58" s="13" t="str">
        <f>IFERROR(VLOOKUP(H58,Справочники!$D$6:$E$14,2,0),"НЕИЗВЕСТНО")</f>
        <v>Возврат</v>
      </c>
      <c r="R58" s="20">
        <f>IFERROR(INDEX(Товары_очищенные!$Q$3:$Q$503,MATCH(M58,Товары_очищенные!$L$3:$L$503,0)),"нет в каталоге")</f>
        <v>64000</v>
      </c>
      <c r="S58" s="21" t="str">
        <f>IFERROR(INDEX(Товары_очищенные!$N$3:$N$503,MATCH(M58,Товары_очищенные!$L$3:$L$503,0)),"нет в каталоге")</f>
        <v>Телевизоры</v>
      </c>
      <c r="T58" s="21" t="str">
        <f t="shared" si="151"/>
        <v>OK</v>
      </c>
      <c r="U58" s="12" t="str">
        <f t="shared" si="152"/>
        <v>11/02/2025|АРТ-492|C0056</v>
      </c>
      <c r="V58" s="12" t="str">
        <f t="shared" si="153"/>
        <v>оригинал</v>
      </c>
    </row>
    <row r="59" ht="15" customHeight="1">
      <c r="A59" s="10">
        <v>57</v>
      </c>
      <c r="B59" s="11" t="str">
        <f>RAW_Продажи!A58</f>
        <v>02/12/2025</v>
      </c>
      <c r="C59" s="11" t="str">
        <f>RAW_Продажи!B58</f>
        <v>134/24</v>
      </c>
      <c r="D59" s="11" t="str">
        <f>RAW_Продажи!C58</f>
        <v xml:space="preserve">3 шт.</v>
      </c>
      <c r="E59" s="11" t="str">
        <f>RAW_Продажи!D58</f>
        <v xml:space="preserve">6800 ₽</v>
      </c>
      <c r="F59" s="11" t="str">
        <f>RAW_Продажи!E58</f>
        <v>C0057</v>
      </c>
      <c r="G59" s="11" t="str">
        <f>RAW_Продажи!F58</f>
        <v>P019</v>
      </c>
      <c r="H59" s="11" t="str">
        <f>RAW_Продажи!G58</f>
        <v>завершен</v>
      </c>
      <c r="I59" s="12" t="str">
        <f t="shared" si="145"/>
        <v>134/24</v>
      </c>
      <c r="J59" s="12" t="str">
        <f t="shared" si="146"/>
        <v>₽</v>
      </c>
      <c r="K59" s="12">
        <f t="shared" si="147"/>
        <v>6800</v>
      </c>
      <c r="L59" s="19">
        <f t="shared" si="148"/>
        <v>45700</v>
      </c>
      <c r="M59" s="13" t="str">
        <f t="shared" si="149"/>
        <v>АРТ-134</v>
      </c>
      <c r="N59" s="13">
        <f t="shared" si="150"/>
        <v>3</v>
      </c>
      <c r="O59" s="13" t="str">
        <f>IFERROR(VLOOKUP(J59,Справочники!$G$6:$H$8,2,0),"RUB")</f>
        <v>RUB</v>
      </c>
      <c r="P59" s="14">
        <f>ROUND(K59*IFERROR(VLOOKUP(J59,Справочники!$G$6:$I$8,3,0),1),2)</f>
        <v>6800</v>
      </c>
      <c r="Q59" s="13" t="str">
        <f>IFERROR(VLOOKUP(H59,Справочники!$D$6:$E$14,2,0),"НЕИЗВЕСТНО")</f>
        <v>Завершен</v>
      </c>
      <c r="R59" s="20">
        <f>IFERROR(INDEX(Товары_очищенные!$Q$3:$Q$503,MATCH(M59,Товары_очищенные!$L$3:$L$503,0)),"нет в каталоге")</f>
        <v>124000</v>
      </c>
      <c r="S59" s="21" t="str">
        <f>IFERROR(INDEX(Товары_очищенные!$N$3:$N$503,MATCH(M59,Товары_очищенные!$L$3:$L$503,0)),"нет в каталоге")</f>
        <v>Телевизоры</v>
      </c>
      <c r="T59" s="21" t="str">
        <f t="shared" si="151"/>
        <v>OK</v>
      </c>
      <c r="U59" s="12" t="str">
        <f t="shared" si="152"/>
        <v>12/02/2025|АРТ-134|C0057</v>
      </c>
      <c r="V59" s="12" t="str">
        <f t="shared" si="153"/>
        <v>оригинал</v>
      </c>
    </row>
    <row r="60" ht="15" customHeight="1">
      <c r="A60" s="10">
        <v>58</v>
      </c>
      <c r="B60" s="11" t="str">
        <f>RAW_Продажи!A59</f>
        <v>02/12/2025</v>
      </c>
      <c r="C60" s="11" t="str">
        <f>RAW_Продажи!B59</f>
        <v>№АРТ-368</v>
      </c>
      <c r="D60" s="11" t="str">
        <f>RAW_Продажи!C59</f>
        <v>-2</v>
      </c>
      <c r="E60" s="11" t="str">
        <f>RAW_Продажи!D59</f>
        <v>$125</v>
      </c>
      <c r="F60" s="11" t="str">
        <f>RAW_Продажи!E59</f>
        <v>C0058</v>
      </c>
      <c r="G60" s="11" t="str">
        <f>RAW_Продажи!F59</f>
        <v>P042</v>
      </c>
      <c r="H60" s="11" t="str">
        <f>RAW_Продажи!G59</f>
        <v>completed</v>
      </c>
      <c r="I60" s="12" t="str">
        <f t="shared" si="145"/>
        <v>368</v>
      </c>
      <c r="J60" s="12" t="str">
        <f t="shared" si="146"/>
        <v>$</v>
      </c>
      <c r="K60" s="12">
        <f t="shared" si="147"/>
        <v>125</v>
      </c>
      <c r="L60" s="19">
        <f t="shared" si="148"/>
        <v>45700</v>
      </c>
      <c r="M60" s="13" t="str">
        <f t="shared" si="149"/>
        <v>АРТ-368</v>
      </c>
      <c r="N60" s="13">
        <f t="shared" si="150"/>
        <v>-2</v>
      </c>
      <c r="O60" s="13" t="str">
        <f>IFERROR(VLOOKUP(J60,Справочники!$G$6:$H$8,2,0),"RUB")</f>
        <v>USD</v>
      </c>
      <c r="P60" s="14">
        <f>ROUND(K60*IFERROR(VLOOKUP(J60,Справочники!$G$6:$I$8,3,0),1),2)</f>
        <v>11875</v>
      </c>
      <c r="Q60" s="13" t="str">
        <f>IFERROR(VLOOKUP(H60,Справочники!$D$6:$E$14,2,0),"НЕИЗВЕСТНО")</f>
        <v>Завершен</v>
      </c>
      <c r="R60" s="20">
        <f>IFERROR(INDEX(Товары_очищенные!$Q$3:$Q$503,MATCH(M60,Товары_очищенные!$L$3:$L$503,0)),"нет в каталоге")</f>
        <v>19000</v>
      </c>
      <c r="S60" s="21" t="str">
        <f>IFERROR(INDEX(Товары_очищенные!$N$3:$N$503,MATCH(M60,Товары_очищенные!$L$3:$L$503,0)),"нет в каталоге")</f>
        <v>Наушники</v>
      </c>
      <c r="T60" s="21" t="str">
        <f t="shared" si="151"/>
        <v>OK</v>
      </c>
      <c r="U60" s="12" t="str">
        <f t="shared" si="152"/>
        <v>12/02/2025|АРТ-368|C0058</v>
      </c>
      <c r="V60" s="12" t="str">
        <f t="shared" si="153"/>
        <v>оригинал</v>
      </c>
    </row>
    <row r="61" ht="15" customHeight="1">
      <c r="A61" s="10">
        <v>59</v>
      </c>
      <c r="B61" s="11" t="str">
        <f>RAW_Продажи!A60</f>
        <v>02/13/2025</v>
      </c>
      <c r="C61" s="11" t="str">
        <f>RAW_Продажи!B60</f>
        <v>АРТ_177</v>
      </c>
      <c r="D61" s="11" t="str">
        <f>RAW_Продажи!C60</f>
        <v>1</v>
      </c>
      <c r="E61" s="11" t="str">
        <f>RAW_Продажи!D60</f>
        <v>€105</v>
      </c>
      <c r="F61" s="11" t="str">
        <f>RAW_Продажи!E60</f>
        <v>C0059</v>
      </c>
      <c r="G61" s="11" t="str">
        <f>RAW_Продажи!F60</f>
        <v>P005</v>
      </c>
      <c r="H61" s="11" t="str">
        <f>RAW_Продажи!G60</f>
        <v>Завершен</v>
      </c>
      <c r="I61" s="12" t="str">
        <f t="shared" si="145"/>
        <v>177</v>
      </c>
      <c r="J61" s="12" t="str">
        <f t="shared" si="146"/>
        <v>€</v>
      </c>
      <c r="K61" s="12">
        <f t="shared" si="147"/>
        <v>105</v>
      </c>
      <c r="L61" s="19">
        <f t="shared" si="148"/>
        <v>45701</v>
      </c>
      <c r="M61" s="13" t="str">
        <f t="shared" si="149"/>
        <v>АРТ-177</v>
      </c>
      <c r="N61" s="13">
        <f t="shared" si="150"/>
        <v>1</v>
      </c>
      <c r="O61" s="13" t="str">
        <f>IFERROR(VLOOKUP(J61,Справочники!$G$6:$H$8,2,0),"RUB")</f>
        <v>EUR</v>
      </c>
      <c r="P61" s="14">
        <f>ROUND(K61*IFERROR(VLOOKUP(J61,Справочники!$G$6:$I$8,3,0),1),2)</f>
        <v>10500</v>
      </c>
      <c r="Q61" s="13" t="str">
        <f>IFERROR(VLOOKUP(H61,Справочники!$D$6:$E$14,2,0),"НЕИЗВЕСТНО")</f>
        <v>Завершен</v>
      </c>
      <c r="R61" s="20">
        <f>IFERROR(INDEX(Товары_очищенные!$Q$3:$Q$503,MATCH(M61,Товары_очищенные!$L$3:$L$503,0)),"нет в каталоге")</f>
        <v>102500</v>
      </c>
      <c r="S61" s="21" t="str">
        <f>IFERROR(INDEX(Товары_очищенные!$N$3:$N$503,MATCH(M61,Товары_очищенные!$L$3:$L$503,0)),"нет в каталоге")</f>
        <v>Телевизоры</v>
      </c>
      <c r="T61" s="21" t="str">
        <f t="shared" si="151"/>
        <v>OK</v>
      </c>
      <c r="U61" s="12" t="str">
        <f t="shared" si="152"/>
        <v>13/02/2025|АРТ-177|C0059</v>
      </c>
      <c r="V61" s="12" t="str">
        <f t="shared" si="153"/>
        <v>оригинал</v>
      </c>
    </row>
    <row r="62" ht="15" customHeight="1">
      <c r="A62" s="10">
        <v>60</v>
      </c>
      <c r="B62" s="11" t="str">
        <f>RAW_Продажи!A61</f>
        <v>02/13/2025</v>
      </c>
      <c r="C62" s="11" t="str">
        <f>RAW_Продажи!B61</f>
        <v>275-24</v>
      </c>
      <c r="D62" s="11" t="str">
        <f>RAW_Продажи!C61</f>
        <v>2</v>
      </c>
      <c r="E62" s="11" t="str">
        <f>RAW_Продажи!D61</f>
        <v xml:space="preserve">9200 ₽</v>
      </c>
      <c r="F62" s="11" t="str">
        <f>RAW_Продажи!E61</f>
        <v>C0060</v>
      </c>
      <c r="G62" s="11" t="str">
        <f>RAW_Продажи!F61</f>
        <v>P036</v>
      </c>
      <c r="H62" s="11" t="str">
        <f>RAW_Продажи!G61</f>
        <v>canceled</v>
      </c>
      <c r="I62" s="12" t="str">
        <f t="shared" si="145"/>
        <v>275-24</v>
      </c>
      <c r="J62" s="12" t="str">
        <f t="shared" si="146"/>
        <v>₽</v>
      </c>
      <c r="K62" s="12">
        <f t="shared" si="147"/>
        <v>9200</v>
      </c>
      <c r="L62" s="19">
        <f t="shared" si="148"/>
        <v>45701</v>
      </c>
      <c r="M62" s="13" t="str">
        <f t="shared" si="149"/>
        <v>АРТ-275</v>
      </c>
      <c r="N62" s="13">
        <f t="shared" si="150"/>
        <v>2</v>
      </c>
      <c r="O62" s="13" t="str">
        <f>IFERROR(VLOOKUP(J62,Справочники!$G$6:$H$8,2,0),"RUB")</f>
        <v>RUB</v>
      </c>
      <c r="P62" s="14">
        <f>ROUND(K62*IFERROR(VLOOKUP(J62,Справочники!$G$6:$I$8,3,0),1),2)</f>
        <v>9200</v>
      </c>
      <c r="Q62" s="13" t="str">
        <f>IFERROR(VLOOKUP(H62,Справочники!$D$6:$E$14,2,0),"НЕИЗВЕСТНО")</f>
        <v>Отменен</v>
      </c>
      <c r="R62" s="20">
        <f>IFERROR(INDEX(Товары_очищенные!$Q$3:$Q$503,MATCH(M62,Товары_очищенные!$L$3:$L$503,0)),"нет в каталоге")</f>
        <v>47000</v>
      </c>
      <c r="S62" s="21" t="str">
        <f>IFERROR(INDEX(Товары_очищенные!$N$3:$N$503,MATCH(M62,Товары_очищенные!$L$3:$L$503,0)),"нет в каталоге")</f>
        <v>Планшеты</v>
      </c>
      <c r="T62" s="21" t="str">
        <f t="shared" si="151"/>
        <v>OK</v>
      </c>
      <c r="U62" s="12" t="str">
        <f t="shared" si="152"/>
        <v>13/02/2025|АРТ-275|C0060</v>
      </c>
      <c r="V62" s="12" t="str">
        <f t="shared" si="153"/>
        <v>оригинал</v>
      </c>
    </row>
    <row r="63" ht="15" customHeight="1">
      <c r="A63" s="10">
        <v>61</v>
      </c>
      <c r="B63" s="11" t="str">
        <f>RAW_Продажи!A62</f>
        <v>02/14/2025</v>
      </c>
      <c r="C63" s="11" t="str">
        <f>RAW_Продажи!B62</f>
        <v>№АРТ-043</v>
      </c>
      <c r="D63" s="11" t="str">
        <f>RAW_Продажи!C62</f>
        <v>3</v>
      </c>
      <c r="E63" s="11" t="str">
        <f>RAW_Продажи!D62</f>
        <v>$135</v>
      </c>
      <c r="F63" s="11" t="str">
        <f>RAW_Продажи!E62</f>
        <v>C0061</v>
      </c>
      <c r="G63" s="11" t="str">
        <f>RAW_Продажи!F62</f>
        <v>P014</v>
      </c>
      <c r="H63" s="11" t="str">
        <f>RAW_Продажи!G62</f>
        <v>отменен</v>
      </c>
      <c r="I63" s="12" t="str">
        <f t="shared" si="145"/>
        <v>043</v>
      </c>
      <c r="J63" s="12" t="str">
        <f t="shared" si="146"/>
        <v>$</v>
      </c>
      <c r="K63" s="12">
        <f t="shared" si="147"/>
        <v>135</v>
      </c>
      <c r="L63" s="19">
        <f t="shared" si="148"/>
        <v>45702</v>
      </c>
      <c r="M63" s="13" t="str">
        <f t="shared" si="149"/>
        <v>АРТ-043</v>
      </c>
      <c r="N63" s="13">
        <f t="shared" si="150"/>
        <v>3</v>
      </c>
      <c r="O63" s="13" t="str">
        <f>IFERROR(VLOOKUP(J63,Справочники!$G$6:$H$8,2,0),"RUB")</f>
        <v>USD</v>
      </c>
      <c r="P63" s="14">
        <f>ROUND(K63*IFERROR(VLOOKUP(J63,Справочники!$G$6:$I$8,3,0),1),2)</f>
        <v>12825</v>
      </c>
      <c r="Q63" s="13" t="str">
        <f>IFERROR(VLOOKUP(H63,Справочники!$D$6:$E$14,2,0),"НЕИЗВЕСТНО")</f>
        <v>Отменен</v>
      </c>
      <c r="R63" s="20">
        <f>IFERROR(INDEX(Товары_очищенные!$Q$3:$Q$503,MATCH(M63,Товары_очищенные!$L$3:$L$503,0)),"нет в каталоге")</f>
        <v>134990</v>
      </c>
      <c r="S63" s="21" t="str">
        <f>IFERROR(INDEX(Товары_очищенные!$N$3:$N$503,MATCH(M63,Товары_очищенные!$L$3:$L$503,0)),"нет в каталоге")</f>
        <v>Телевизоры</v>
      </c>
      <c r="T63" s="21" t="str">
        <f t="shared" si="151"/>
        <v>OK</v>
      </c>
      <c r="U63" s="12" t="str">
        <f t="shared" si="152"/>
        <v>14/02/2025|АРТ-043|C0061</v>
      </c>
      <c r="V63" s="12" t="str">
        <f t="shared" si="153"/>
        <v>оригинал</v>
      </c>
    </row>
    <row r="64" ht="15" customHeight="1">
      <c r="A64" s="10">
        <v>62</v>
      </c>
      <c r="B64" s="11" t="str">
        <f>RAW_Продажи!A63</f>
        <v>02/14/2025</v>
      </c>
      <c r="C64" s="11" t="str">
        <f>RAW_Продажи!B63</f>
        <v>АРТ_456</v>
      </c>
      <c r="D64" s="11" t="str">
        <f>RAW_Продажи!C63</f>
        <v>1</v>
      </c>
      <c r="E64" s="11" t="str">
        <f>RAW_Продажи!D63</f>
        <v>€115</v>
      </c>
      <c r="F64" s="11" t="str">
        <f>RAW_Продажи!E63</f>
        <v>C0062</v>
      </c>
      <c r="G64" s="11" t="str">
        <f>RAW_Продажи!F63</f>
        <v>P028</v>
      </c>
      <c r="H64" s="11" t="str">
        <f>RAW_Продажи!G63</f>
        <v>возврат</v>
      </c>
      <c r="I64" s="12" t="str">
        <f t="shared" si="145"/>
        <v>456</v>
      </c>
      <c r="J64" s="12" t="str">
        <f t="shared" si="146"/>
        <v>€</v>
      </c>
      <c r="K64" s="12">
        <f t="shared" si="147"/>
        <v>115</v>
      </c>
      <c r="L64" s="19">
        <f t="shared" si="148"/>
        <v>45702</v>
      </c>
      <c r="M64" s="13" t="str">
        <f t="shared" si="149"/>
        <v>АРТ-456</v>
      </c>
      <c r="N64" s="13">
        <f t="shared" si="150"/>
        <v>1</v>
      </c>
      <c r="O64" s="13" t="str">
        <f>IFERROR(VLOOKUP(J64,Справочники!$G$6:$H$8,2,0),"RUB")</f>
        <v>EUR</v>
      </c>
      <c r="P64" s="14">
        <f>ROUND(K64*IFERROR(VLOOKUP(J64,Справочники!$G$6:$I$8,3,0),1),2)</f>
        <v>11500</v>
      </c>
      <c r="Q64" s="13" t="str">
        <f>IFERROR(VLOOKUP(H64,Справочники!$D$6:$E$14,2,0),"НЕИЗВЕСТНО")</f>
        <v>Возврат</v>
      </c>
      <c r="R64" s="20">
        <f>IFERROR(INDEX(Товары_очищенные!$Q$3:$Q$503,MATCH(M64,Товары_очищенные!$L$3:$L$503,0)),"нет в каталоге")</f>
        <v>77500</v>
      </c>
      <c r="S64" s="21" t="str">
        <f>IFERROR(INDEX(Товары_очищенные!$N$3:$N$503,MATCH(M64,Товары_очищенные!$L$3:$L$503,0)),"нет в каталоге")</f>
        <v>Мониторы</v>
      </c>
      <c r="T64" s="21" t="str">
        <f t="shared" si="151"/>
        <v>OK</v>
      </c>
      <c r="U64" s="12" t="str">
        <f t="shared" si="152"/>
        <v>14/02/2025|АРТ-456|C0062</v>
      </c>
      <c r="V64" s="12" t="str">
        <f t="shared" si="153"/>
        <v>оригинал</v>
      </c>
    </row>
    <row r="65" ht="15" customHeight="1">
      <c r="A65" s="10">
        <v>63</v>
      </c>
      <c r="B65" s="11" t="str">
        <f>RAW_Продажи!A64</f>
        <v>02/15/2025</v>
      </c>
      <c r="C65" s="11" t="str">
        <f>RAW_Продажи!B64</f>
        <v>364/24</v>
      </c>
      <c r="D65" s="11" t="str">
        <f>RAW_Продажи!C64</f>
        <v xml:space="preserve">2 шт.</v>
      </c>
      <c r="E65" s="11" t="str">
        <f>RAW_Продажи!D64</f>
        <v xml:space="preserve">10000 ₽</v>
      </c>
      <c r="F65" s="11" t="str">
        <f>RAW_Продажи!E64</f>
        <v>C0063</v>
      </c>
      <c r="G65" s="11" t="str">
        <f>RAW_Продажи!F64</f>
        <v>P009</v>
      </c>
      <c r="H65" s="11" t="str">
        <f>RAW_Продажи!G64</f>
        <v>Завершен</v>
      </c>
      <c r="I65" s="12" t="str">
        <f t="shared" si="145"/>
        <v>364/24</v>
      </c>
      <c r="J65" s="12" t="str">
        <f t="shared" si="146"/>
        <v>₽</v>
      </c>
      <c r="K65" s="12">
        <f t="shared" si="147"/>
        <v>10000</v>
      </c>
      <c r="L65" s="19">
        <f t="shared" si="148"/>
        <v>45703</v>
      </c>
      <c r="M65" s="13" t="str">
        <f t="shared" si="149"/>
        <v>АРТ-364</v>
      </c>
      <c r="N65" s="13">
        <f t="shared" si="150"/>
        <v>2</v>
      </c>
      <c r="O65" s="13" t="str">
        <f>IFERROR(VLOOKUP(J65,Справочники!$G$6:$H$8,2,0),"RUB")</f>
        <v>RUB</v>
      </c>
      <c r="P65" s="14">
        <f>ROUND(K65*IFERROR(VLOOKUP(J65,Справочники!$G$6:$I$8,3,0),1),2)</f>
        <v>10000</v>
      </c>
      <c r="Q65" s="13" t="str">
        <f>IFERROR(VLOOKUP(H65,Справочники!$D$6:$E$14,2,0),"НЕИЗВЕСТНО")</f>
        <v>Завершен</v>
      </c>
      <c r="R65" s="20">
        <f>IFERROR(INDEX(Товары_очищенные!$Q$3:$Q$503,MATCH(M65,Товары_очищенные!$L$3:$L$503,0)),"нет в каталоге")</f>
        <v>139990</v>
      </c>
      <c r="S65" s="21" t="str">
        <f>IFERROR(INDEX(Товары_очищенные!$N$3:$N$503,MATCH(M65,Товары_очищенные!$L$3:$L$503,0)),"нет в каталоге")</f>
        <v>Телевизоры</v>
      </c>
      <c r="T65" s="21" t="str">
        <f t="shared" si="151"/>
        <v>OK</v>
      </c>
      <c r="U65" s="12" t="str">
        <f t="shared" si="152"/>
        <v>15/02/2025|АРТ-364|C0063</v>
      </c>
      <c r="V65" s="12" t="str">
        <f t="shared" si="153"/>
        <v>оригинал</v>
      </c>
    </row>
    <row r="66" ht="15" customHeight="1">
      <c r="A66" s="10">
        <v>64</v>
      </c>
      <c r="B66" s="11" t="str">
        <f>RAW_Продажи!A65</f>
        <v>02/15/2025</v>
      </c>
      <c r="C66" s="11" t="str">
        <f>RAW_Продажи!B65</f>
        <v>№АРТ-221</v>
      </c>
      <c r="D66" s="11" t="str">
        <f>RAW_Продажи!C65</f>
        <v>-1</v>
      </c>
      <c r="E66" s="11" t="str">
        <f>RAW_Продажи!D65</f>
        <v>$100</v>
      </c>
      <c r="F66" s="11" t="str">
        <f>RAW_Продажи!E65</f>
        <v>C0064</v>
      </c>
      <c r="G66" s="11" t="str">
        <f>RAW_Продажи!F65</f>
        <v>P041</v>
      </c>
      <c r="H66" s="11" t="str">
        <f>RAW_Продажи!G65</f>
        <v>завершен</v>
      </c>
      <c r="I66" s="12" t="str">
        <f t="shared" si="145"/>
        <v>221</v>
      </c>
      <c r="J66" s="12" t="str">
        <f t="shared" si="146"/>
        <v>$</v>
      </c>
      <c r="K66" s="12">
        <f t="shared" si="147"/>
        <v>100</v>
      </c>
      <c r="L66" s="19">
        <f t="shared" si="148"/>
        <v>45703</v>
      </c>
      <c r="M66" s="13" t="str">
        <f t="shared" si="149"/>
        <v>АРТ-221</v>
      </c>
      <c r="N66" s="13">
        <f t="shared" si="150"/>
        <v>-1</v>
      </c>
      <c r="O66" s="13" t="str">
        <f>IFERROR(VLOOKUP(J66,Справочники!$G$6:$H$8,2,0),"RUB")</f>
        <v>USD</v>
      </c>
      <c r="P66" s="14">
        <f>ROUND(K66*IFERROR(VLOOKUP(J66,Справочники!$G$6:$I$8,3,0),1),2)</f>
        <v>9500</v>
      </c>
      <c r="Q66" s="13" t="str">
        <f>IFERROR(VLOOKUP(H66,Справочники!$D$6:$E$14,2,0),"НЕИЗВЕСТНО")</f>
        <v>Завершен</v>
      </c>
      <c r="R66" s="20">
        <f>IFERROR(INDEX(Товары_очищенные!$Q$3:$Q$503,MATCH(M66,Товары_очищенные!$L$3:$L$503,0)),"нет в каталоге")</f>
        <v>24000</v>
      </c>
      <c r="S66" s="21" t="str">
        <f>IFERROR(INDEX(Товары_очищенные!$N$3:$N$503,MATCH(M66,Товары_очищенные!$L$3:$L$503,0)),"нет в каталоге")</f>
        <v>Наушники</v>
      </c>
      <c r="T66" s="21" t="str">
        <f t="shared" si="151"/>
        <v>OK</v>
      </c>
      <c r="U66" s="12" t="str">
        <f t="shared" si="152"/>
        <v>15/02/2025|АРТ-221|C0064</v>
      </c>
      <c r="V66" s="12" t="str">
        <f t="shared" si="153"/>
        <v>оригинал</v>
      </c>
    </row>
    <row r="67" ht="15" customHeight="1">
      <c r="A67" s="10">
        <v>65</v>
      </c>
      <c r="B67" s="11" t="str">
        <f>RAW_Продажи!A66</f>
        <v>02/16/2025</v>
      </c>
      <c r="C67" s="11" t="str">
        <f>RAW_Продажи!B66</f>
        <v>АРТ_098</v>
      </c>
      <c r="D67" s="11" t="str">
        <f>RAW_Продажи!C66</f>
        <v>3</v>
      </c>
      <c r="E67" s="11" t="str">
        <f>RAW_Продажи!D66</f>
        <v>€80</v>
      </c>
      <c r="F67" s="11" t="str">
        <f>RAW_Продажи!E66</f>
        <v>C0065</v>
      </c>
      <c r="G67" s="11" t="str">
        <f>RAW_Продажи!F66</f>
        <v>P017</v>
      </c>
      <c r="H67" s="11" t="str">
        <f>RAW_Продажи!G66</f>
        <v>completed</v>
      </c>
      <c r="I67" s="12" t="str">
        <f t="shared" si="145"/>
        <v>098</v>
      </c>
      <c r="J67" s="12" t="str">
        <f t="shared" si="146"/>
        <v>€</v>
      </c>
      <c r="K67" s="12">
        <f t="shared" si="147"/>
        <v>80</v>
      </c>
      <c r="L67" s="19">
        <f t="shared" si="148"/>
        <v>45704</v>
      </c>
      <c r="M67" s="13" t="str">
        <f t="shared" si="149"/>
        <v>АРТ-098</v>
      </c>
      <c r="N67" s="13">
        <f t="shared" si="150"/>
        <v>3</v>
      </c>
      <c r="O67" s="13" t="str">
        <f>IFERROR(VLOOKUP(J67,Справочники!$G$6:$H$8,2,0),"RUB")</f>
        <v>EUR</v>
      </c>
      <c r="P67" s="14">
        <f>ROUND(K67*IFERROR(VLOOKUP(J67,Справочники!$G$6:$I$8,3,0),1),2)</f>
        <v>8000</v>
      </c>
      <c r="Q67" s="13" t="str">
        <f>IFERROR(VLOOKUP(H67,Справочники!$D$6:$E$14,2,0),"НЕИЗВЕСТНО")</f>
        <v>Завершен</v>
      </c>
      <c r="R67" s="20">
        <f>IFERROR(INDEX(Товары_очищенные!$Q$3:$Q$503,MATCH(M67,Товары_очищенные!$L$3:$L$503,0)),"нет в каталоге")</f>
        <v>6500</v>
      </c>
      <c r="S67" s="21" t="str">
        <f>IFERROR(INDEX(Товары_очищенные!$N$3:$N$503,MATCH(M67,Товары_очищенные!$L$3:$L$503,0)),"нет в каталоге")</f>
        <v>Аксессуары</v>
      </c>
      <c r="T67" s="21" t="str">
        <f t="shared" si="151"/>
        <v>OK</v>
      </c>
      <c r="U67" s="12" t="str">
        <f t="shared" si="152"/>
        <v>16/02/2025|АРТ-098|C0065</v>
      </c>
      <c r="V67" s="12" t="str">
        <f t="shared" si="153"/>
        <v>оригинал</v>
      </c>
    </row>
    <row r="68" ht="15" customHeight="1">
      <c r="A68" s="10">
        <v>66</v>
      </c>
      <c r="B68" s="11" t="str">
        <f>RAW_Продажи!A67</f>
        <v>02/16/2025</v>
      </c>
      <c r="C68" s="11" t="str">
        <f>RAW_Продажи!B67</f>
        <v>327-24</v>
      </c>
      <c r="D68" s="11" t="str">
        <f>RAW_Продажи!C67</f>
        <v>1</v>
      </c>
      <c r="E68" s="11" t="str">
        <f>RAW_Продажи!D67</f>
        <v xml:space="preserve">7500 ₽</v>
      </c>
      <c r="F68" s="11" t="str">
        <f>RAW_Продажи!E67</f>
        <v>C0066</v>
      </c>
      <c r="G68" s="11" t="str">
        <f>RAW_Продажи!F67</f>
        <v>P032</v>
      </c>
      <c r="H68" s="11" t="str">
        <f>RAW_Продажи!G67</f>
        <v>отменен</v>
      </c>
      <c r="I68" s="12" t="str">
        <f t="shared" si="145"/>
        <v>327-24</v>
      </c>
      <c r="J68" s="12" t="str">
        <f t="shared" si="146"/>
        <v>₽</v>
      </c>
      <c r="K68" s="12">
        <f t="shared" si="147"/>
        <v>7500</v>
      </c>
      <c r="L68" s="19">
        <f t="shared" si="148"/>
        <v>45704</v>
      </c>
      <c r="M68" s="13" t="str">
        <f t="shared" si="149"/>
        <v>АРТ-327</v>
      </c>
      <c r="N68" s="13">
        <f t="shared" si="150"/>
        <v>1</v>
      </c>
      <c r="O68" s="13" t="str">
        <f>IFERROR(VLOOKUP(J68,Справочники!$G$6:$H$8,2,0),"RUB")</f>
        <v>RUB</v>
      </c>
      <c r="P68" s="14">
        <f>ROUND(K68*IFERROR(VLOOKUP(J68,Справочники!$G$6:$I$8,3,0),1),2)</f>
        <v>7500</v>
      </c>
      <c r="Q68" s="13" t="str">
        <f>IFERROR(VLOOKUP(H68,Справочники!$D$6:$E$14,2,0),"НЕИЗВЕСТНО")</f>
        <v>Отменен</v>
      </c>
      <c r="R68" s="20">
        <f>IFERROR(INDEX(Товары_очищенные!$Q$3:$Q$503,MATCH(M68,Товары_очищенные!$L$3:$L$503,0)),"нет в каталоге")</f>
        <v>69000</v>
      </c>
      <c r="S68" s="21" t="str">
        <f>IFERROR(INDEX(Товары_очищенные!$N$3:$N$503,MATCH(M68,Товары_очищенные!$L$3:$L$503,0)),"нет в каталоге")</f>
        <v>Мониторы</v>
      </c>
      <c r="T68" s="21" t="str">
        <f t="shared" si="151"/>
        <v>OK</v>
      </c>
      <c r="U68" s="12" t="str">
        <f t="shared" si="152"/>
        <v>16/02/2025|АРТ-327|C0066</v>
      </c>
      <c r="V68" s="12" t="str">
        <f t="shared" si="153"/>
        <v>оригинал</v>
      </c>
    </row>
    <row r="69" ht="15" customHeight="1">
      <c r="A69" s="10">
        <v>67</v>
      </c>
      <c r="B69" s="11" t="str">
        <f>RAW_Продажи!A68</f>
        <v>02/17/2025</v>
      </c>
      <c r="C69" s="11" t="str">
        <f>RAW_Продажи!B68</f>
        <v>№АРТ-485</v>
      </c>
      <c r="D69" s="11" t="str">
        <f>RAW_Продажи!C68</f>
        <v>2</v>
      </c>
      <c r="E69" s="11" t="str">
        <f>RAW_Продажи!D68</f>
        <v>$140</v>
      </c>
      <c r="F69" s="11" t="str">
        <f>RAW_Продажи!E68</f>
        <v>C0067</v>
      </c>
      <c r="G69" s="11" t="str">
        <f>RAW_Продажи!F68</f>
        <v>P049</v>
      </c>
      <c r="H69" s="11" t="str">
        <f>RAW_Продажи!G68</f>
        <v>canceled</v>
      </c>
      <c r="I69" s="12" t="str">
        <f t="shared" si="145"/>
        <v>485</v>
      </c>
      <c r="J69" s="12" t="str">
        <f t="shared" si="146"/>
        <v>$</v>
      </c>
      <c r="K69" s="12">
        <f t="shared" si="147"/>
        <v>140</v>
      </c>
      <c r="L69" s="19">
        <f t="shared" si="148"/>
        <v>45705</v>
      </c>
      <c r="M69" s="13" t="str">
        <f t="shared" si="149"/>
        <v>АРТ-485</v>
      </c>
      <c r="N69" s="13">
        <f t="shared" si="150"/>
        <v>2</v>
      </c>
      <c r="O69" s="13" t="str">
        <f>IFERROR(VLOOKUP(J69,Справочники!$G$6:$H$8,2,0),"RUB")</f>
        <v>USD</v>
      </c>
      <c r="P69" s="14">
        <f>ROUND(K69*IFERROR(VLOOKUP(J69,Справочники!$G$6:$I$8,3,0),1),2)</f>
        <v>13300</v>
      </c>
      <c r="Q69" s="13" t="str">
        <f>IFERROR(VLOOKUP(H69,Справочники!$D$6:$E$14,2,0),"НЕИЗВЕСТНО")</f>
        <v>Отменен</v>
      </c>
      <c r="R69" s="20">
        <f>IFERROR(INDEX(Товары_очищенные!$Q$3:$Q$503,MATCH(M69,Товары_очищенные!$L$3:$L$503,0)),"нет в каталоге")</f>
        <v>32500</v>
      </c>
      <c r="S69" s="21" t="str">
        <f>IFERROR(INDEX(Товары_очищенные!$N$3:$N$503,MATCH(M69,Товары_очищенные!$L$3:$L$503,0)),"нет в каталоге")</f>
        <v>Смартфоны</v>
      </c>
      <c r="T69" s="21" t="str">
        <f t="shared" si="151"/>
        <v>OK</v>
      </c>
      <c r="U69" s="12" t="str">
        <f t="shared" si="152"/>
        <v>17/02/2025|АРТ-485|C0067</v>
      </c>
      <c r="V69" s="12" t="str">
        <f t="shared" si="153"/>
        <v>оригинал</v>
      </c>
    </row>
    <row r="70" ht="15" customHeight="1">
      <c r="A70" s="10">
        <v>68</v>
      </c>
      <c r="B70" s="11" t="str">
        <f>RAW_Продажи!A69</f>
        <v>02/17/2025</v>
      </c>
      <c r="C70" s="11" t="str">
        <f>RAW_Продажи!B69</f>
        <v>АРТ_203</v>
      </c>
      <c r="D70" s="11" t="str">
        <f>RAW_Продажи!C69</f>
        <v>3</v>
      </c>
      <c r="E70" s="11" t="str">
        <f>RAW_Продажи!D69</f>
        <v>€120</v>
      </c>
      <c r="F70" s="11" t="str">
        <f>RAW_Продажи!E69</f>
        <v>C0068</v>
      </c>
      <c r="G70" s="11" t="str">
        <f>RAW_Продажи!F69</f>
        <v>P006</v>
      </c>
      <c r="H70" s="11" t="str">
        <f>RAW_Продажи!G69</f>
        <v>Завершен</v>
      </c>
      <c r="I70" s="12" t="str">
        <f t="shared" si="145"/>
        <v>203</v>
      </c>
      <c r="J70" s="12" t="str">
        <f t="shared" si="146"/>
        <v>€</v>
      </c>
      <c r="K70" s="12">
        <f t="shared" si="147"/>
        <v>120</v>
      </c>
      <c r="L70" s="19">
        <f t="shared" si="148"/>
        <v>45705</v>
      </c>
      <c r="M70" s="13" t="str">
        <f t="shared" si="149"/>
        <v>АРТ-203</v>
      </c>
      <c r="N70" s="13">
        <f t="shared" si="150"/>
        <v>3</v>
      </c>
      <c r="O70" s="13" t="str">
        <f>IFERROR(VLOOKUP(J70,Справочники!$G$6:$H$8,2,0),"RUB")</f>
        <v>EUR</v>
      </c>
      <c r="P70" s="14">
        <f>ROUND(K70*IFERROR(VLOOKUP(J70,Справочники!$G$6:$I$8,3,0),1),2)</f>
        <v>12000</v>
      </c>
      <c r="Q70" s="13" t="str">
        <f>IFERROR(VLOOKUP(H70,Справочники!$D$6:$E$14,2,0),"НЕИЗВЕСТНО")</f>
        <v>Завершен</v>
      </c>
      <c r="R70" s="20">
        <f>IFERROR(INDEX(Товары_очищенные!$Q$3:$Q$503,MATCH(M70,Товары_очищенные!$L$3:$L$503,0)),"нет в каталоге")</f>
        <v>9200</v>
      </c>
      <c r="S70" s="21" t="str">
        <f>IFERROR(INDEX(Товары_очищенные!$N$3:$N$503,MATCH(M70,Товары_очищенные!$L$3:$L$503,0)),"нет в каталоге")</f>
        <v>Наушники</v>
      </c>
      <c r="T70" s="21" t="str">
        <f t="shared" si="151"/>
        <v>OK</v>
      </c>
      <c r="U70" s="12" t="str">
        <f t="shared" si="152"/>
        <v>17/02/2025|АРТ-203|C0068</v>
      </c>
      <c r="V70" s="12" t="str">
        <f t="shared" si="153"/>
        <v>оригинал</v>
      </c>
    </row>
    <row r="71" ht="15" customHeight="1">
      <c r="A71" s="10">
        <v>69</v>
      </c>
      <c r="B71" s="11" t="str">
        <f>RAW_Продажи!A70</f>
        <v>02/18/2025</v>
      </c>
      <c r="C71" s="11" t="str">
        <f>RAW_Продажи!B70</f>
        <v>188/24</v>
      </c>
      <c r="D71" s="11" t="str">
        <f>RAW_Продажи!C70</f>
        <v xml:space="preserve">1 шт.</v>
      </c>
      <c r="E71" s="11" t="str">
        <f>RAW_Продажи!D70</f>
        <v xml:space="preserve">10500 ₽</v>
      </c>
      <c r="F71" s="11" t="str">
        <f>RAW_Продажи!E70</f>
        <v>C0069</v>
      </c>
      <c r="G71" s="11" t="str">
        <f>RAW_Продажи!F70</f>
        <v>P024</v>
      </c>
      <c r="H71" s="11" t="str">
        <f>RAW_Продажи!G70</f>
        <v>возврат</v>
      </c>
      <c r="I71" s="12" t="str">
        <f t="shared" si="145"/>
        <v>188/24</v>
      </c>
      <c r="J71" s="12" t="str">
        <f t="shared" si="146"/>
        <v>₽</v>
      </c>
      <c r="K71" s="12">
        <f t="shared" si="147"/>
        <v>10500</v>
      </c>
      <c r="L71" s="19">
        <f t="shared" si="148"/>
        <v>45706</v>
      </c>
      <c r="M71" s="13" t="str">
        <f t="shared" si="149"/>
        <v>АРТ-188</v>
      </c>
      <c r="N71" s="13">
        <f t="shared" si="150"/>
        <v>1</v>
      </c>
      <c r="O71" s="13" t="str">
        <f>IFERROR(VLOOKUP(J71,Справочники!$G$6:$H$8,2,0),"RUB")</f>
        <v>RUB</v>
      </c>
      <c r="P71" s="14">
        <f>ROUND(K71*IFERROR(VLOOKUP(J71,Справочники!$G$6:$I$8,3,0),1),2)</f>
        <v>10500</v>
      </c>
      <c r="Q71" s="13" t="str">
        <f>IFERROR(VLOOKUP(H71,Справочники!$D$6:$E$14,2,0),"НЕИЗВЕСТНО")</f>
        <v>Возврат</v>
      </c>
      <c r="R71" s="20">
        <f>IFERROR(INDEX(Товары_очищенные!$Q$3:$Q$503,MATCH(M71,Товары_очищенные!$L$3:$L$503,0)),"нет в каталоге")</f>
        <v>48500</v>
      </c>
      <c r="S71" s="21" t="str">
        <f>IFERROR(INDEX(Товары_очищенные!$N$3:$N$503,MATCH(M71,Товары_очищенные!$L$3:$L$503,0)),"нет в каталоге")</f>
        <v>Часы</v>
      </c>
      <c r="T71" s="21" t="str">
        <f t="shared" si="151"/>
        <v>OK</v>
      </c>
      <c r="U71" s="12" t="str">
        <f t="shared" si="152"/>
        <v>18/02/2025|АРТ-188|C0069</v>
      </c>
      <c r="V71" s="12" t="str">
        <f t="shared" si="153"/>
        <v>оригинал</v>
      </c>
    </row>
    <row r="72" ht="15" customHeight="1">
      <c r="A72" s="10">
        <v>70</v>
      </c>
      <c r="B72" s="11" t="str">
        <f>RAW_Продажи!A71</f>
        <v>02/18/2025</v>
      </c>
      <c r="C72" s="11" t="str">
        <f>RAW_Продажи!B71</f>
        <v>№АРТ-079</v>
      </c>
      <c r="D72" s="11" t="str">
        <f>RAW_Продажи!C71</f>
        <v>-2</v>
      </c>
      <c r="E72" s="11" t="str">
        <f>RAW_Продажи!D71</f>
        <v>$95</v>
      </c>
      <c r="F72" s="11" t="str">
        <f>RAW_Продажи!E71</f>
        <v>C0070</v>
      </c>
      <c r="G72" s="11" t="str">
        <f>RAW_Продажи!F71</f>
        <v>P015</v>
      </c>
      <c r="H72" s="11" t="str">
        <f>RAW_Продажи!G71</f>
        <v>завершен</v>
      </c>
      <c r="I72" s="12" t="str">
        <f t="shared" si="145"/>
        <v>079</v>
      </c>
      <c r="J72" s="12" t="str">
        <f t="shared" si="146"/>
        <v>$</v>
      </c>
      <c r="K72" s="12">
        <f t="shared" si="147"/>
        <v>95</v>
      </c>
      <c r="L72" s="19">
        <f t="shared" si="148"/>
        <v>45706</v>
      </c>
      <c r="M72" s="13" t="str">
        <f t="shared" si="149"/>
        <v>АРТ-079</v>
      </c>
      <c r="N72" s="13">
        <f t="shared" si="150"/>
        <v>-2</v>
      </c>
      <c r="O72" s="13" t="str">
        <f>IFERROR(VLOOKUP(J72,Справочники!$G$6:$H$8,2,0),"RUB")</f>
        <v>USD</v>
      </c>
      <c r="P72" s="14">
        <f>ROUND(K72*IFERROR(VLOOKUP(J72,Справочники!$G$6:$I$8,3,0),1),2)</f>
        <v>9025</v>
      </c>
      <c r="Q72" s="13" t="str">
        <f>IFERROR(VLOOKUP(H72,Справочники!$D$6:$E$14,2,0),"НЕИЗВЕСТНО")</f>
        <v>Завершен</v>
      </c>
      <c r="R72" s="20">
        <f>IFERROR(INDEX(Товары_очищенные!$Q$3:$Q$503,MATCH(M72,Товары_очищенные!$L$3:$L$503,0)),"нет в каталоге")</f>
        <v>45999</v>
      </c>
      <c r="S72" s="21" t="str">
        <f>IFERROR(INDEX(Товары_очищенные!$N$3:$N$503,MATCH(M72,Товары_очищенные!$L$3:$L$503,0)),"нет в каталоге")</f>
        <v>Планшеты</v>
      </c>
      <c r="T72" s="21" t="str">
        <f t="shared" si="151"/>
        <v>OK</v>
      </c>
      <c r="U72" s="12" t="str">
        <f t="shared" si="152"/>
        <v>18/02/2025|АРТ-079|C0070</v>
      </c>
      <c r="V72" s="12" t="str">
        <f t="shared" si="153"/>
        <v>оригинал</v>
      </c>
    </row>
    <row r="73" ht="15" customHeight="1">
      <c r="A73" s="10">
        <v>71</v>
      </c>
      <c r="B73" s="11" t="str">
        <f>RAW_Продажи!A72</f>
        <v>02/19/2025</v>
      </c>
      <c r="C73" s="11" t="str">
        <f>RAW_Продажи!B72</f>
        <v>АРТ_411</v>
      </c>
      <c r="D73" s="11" t="str">
        <f>RAW_Продажи!C72</f>
        <v>2</v>
      </c>
      <c r="E73" s="11" t="str">
        <f>RAW_Продажи!D72</f>
        <v>€75</v>
      </c>
      <c r="F73" s="11" t="str">
        <f>RAW_Продажи!E72</f>
        <v>C0071</v>
      </c>
      <c r="G73" s="11" t="str">
        <f>RAW_Продажи!F72</f>
        <v>P037</v>
      </c>
      <c r="H73" s="11" t="str">
        <f>RAW_Продажи!G72</f>
        <v>completed</v>
      </c>
      <c r="I73" s="12" t="str">
        <f t="shared" si="145"/>
        <v>411</v>
      </c>
      <c r="J73" s="12" t="str">
        <f t="shared" si="146"/>
        <v>€</v>
      </c>
      <c r="K73" s="12">
        <f t="shared" si="147"/>
        <v>75</v>
      </c>
      <c r="L73" s="19">
        <f t="shared" si="148"/>
        <v>45707</v>
      </c>
      <c r="M73" s="13" t="str">
        <f t="shared" si="149"/>
        <v>АРТ-411</v>
      </c>
      <c r="N73" s="13">
        <f t="shared" si="150"/>
        <v>2</v>
      </c>
      <c r="O73" s="13" t="str">
        <f>IFERROR(VLOOKUP(J73,Справочники!$G$6:$H$8,2,0),"RUB")</f>
        <v>EUR</v>
      </c>
      <c r="P73" s="14">
        <f>ROUND(K73*IFERROR(VLOOKUP(J73,Справочники!$G$6:$I$8,3,0),1),2)</f>
        <v>7500</v>
      </c>
      <c r="Q73" s="13" t="str">
        <f>IFERROR(VLOOKUP(H73,Справочники!$D$6:$E$14,2,0),"НЕИЗВЕСТНО")</f>
        <v>Завершен</v>
      </c>
      <c r="R73" s="20">
        <f>IFERROR(INDEX(Товары_очищенные!$Q$3:$Q$503,MATCH(M73,Товары_очищенные!$L$3:$L$503,0)),"нет в каталоге")</f>
        <v>41500</v>
      </c>
      <c r="S73" s="21" t="str">
        <f>IFERROR(INDEX(Товары_очищенные!$N$3:$N$503,MATCH(M73,Товары_очищенные!$L$3:$L$503,0)),"нет в каталоге")</f>
        <v>Наушники</v>
      </c>
      <c r="T73" s="21" t="str">
        <f t="shared" si="151"/>
        <v>OK</v>
      </c>
      <c r="U73" s="12" t="str">
        <f t="shared" si="152"/>
        <v>19/02/2025|АРТ-411|C0071</v>
      </c>
      <c r="V73" s="12" t="str">
        <f t="shared" si="153"/>
        <v>оригинал</v>
      </c>
    </row>
    <row r="74" ht="15" customHeight="1">
      <c r="A74" s="10">
        <v>72</v>
      </c>
      <c r="B74" s="11" t="str">
        <f>RAW_Продажи!A73</f>
        <v>02/19/2025</v>
      </c>
      <c r="C74" s="11" t="str">
        <f>RAW_Продажи!B73</f>
        <v>056-24</v>
      </c>
      <c r="D74" s="11" t="str">
        <f>RAW_Продажи!C73</f>
        <v>1</v>
      </c>
      <c r="E74" s="11" t="str">
        <f>RAW_Продажи!D73</f>
        <v xml:space="preserve">7000 ₽</v>
      </c>
      <c r="F74" s="11" t="str">
        <f>RAW_Продажи!E73</f>
        <v>C0072</v>
      </c>
      <c r="G74" s="11" t="str">
        <f>RAW_Продажи!F73</f>
        <v>P048</v>
      </c>
      <c r="H74" s="11" t="str">
        <f>RAW_Продажи!G73</f>
        <v>Завершен</v>
      </c>
      <c r="I74" s="12" t="str">
        <f t="shared" ref="I74:I99" si="154">SUBSTITUTE(SUBSTITUTE(C74,"№АРТ-",""),"АРТ_","")</f>
        <v>056-24</v>
      </c>
      <c r="J74" s="12" t="str">
        <f t="shared" ref="J74:J99" si="155">IF(LEFT(TRIM(E74),1)="$","$",IF(LEFT(TRIM(E74),1)="€","€","₽"))</f>
        <v>₽</v>
      </c>
      <c r="K74" s="12">
        <f t="shared" ref="K74:K99" si="156">VALUE(SUBSTITUTE(SUBSTITUTE(SUBSTITUTE(SUBSTITUTE(TRIM(E74),"$",""),"€",""),"₽","")," ",""))</f>
        <v>7000</v>
      </c>
      <c r="L74" s="19">
        <f t="shared" ref="L74:L99" si="157">DATE(VALUE(MID(B74,7,4)),VALUE(LEFT(B74,2)),VALUE(MID(B74,4,2)))</f>
        <v>45707</v>
      </c>
      <c r="M74" s="13" t="str">
        <f t="shared" ref="M74:M99" si="158">"АРТ-"&amp;LEFT(I74,3)</f>
        <v>АРТ-056</v>
      </c>
      <c r="N74" s="13">
        <f t="shared" ref="N74:N99" si="159">VALUE(LEFT(TRIM(D74),FIND(" ",TRIM(D74)&amp;" ")-1))</f>
        <v>1</v>
      </c>
      <c r="O74" s="13" t="str">
        <f>IFERROR(VLOOKUP(J74,Справочники!$G$6:$H$8,2,0),"RUB")</f>
        <v>RUB</v>
      </c>
      <c r="P74" s="14">
        <f>ROUND(K74*IFERROR(VLOOKUP(J74,Справочники!$G$6:$I$8,3,0),1),2)</f>
        <v>7000</v>
      </c>
      <c r="Q74" s="13" t="str">
        <f>IFERROR(VLOOKUP(H74,Справочники!$D$6:$E$14,2,0),"НЕИЗВЕСТНО")</f>
        <v>Завершен</v>
      </c>
      <c r="R74" s="20">
        <f>IFERROR(INDEX(Товары_очищенные!$Q$3:$Q$503,MATCH(M74,Товары_очищенные!$L$3:$L$503,0)),"нет в каталоге")</f>
        <v>10500</v>
      </c>
      <c r="S74" s="21" t="str">
        <f>IFERROR(INDEX(Товары_очищенные!$N$3:$N$503,MATCH(M74,Товары_очищенные!$L$3:$L$503,0)),"нет в каталоге")</f>
        <v>Аксессуары</v>
      </c>
      <c r="T74" s="21" t="str">
        <f t="shared" ref="T74:T99" si="160">IF(ISNUMBER(R74),IF(P74&lt;=R74*1.5,"OK","Цена выше розницы"),"—")</f>
        <v>OK</v>
      </c>
      <c r="U74" s="12" t="str">
        <f t="shared" ref="U74:U99" si="161">TEXT(L74,"DD.MM.YYYY")&amp;"|"&amp;M74&amp;"|"&amp;F74</f>
        <v>19/02/2025|АРТ-056|C0072</v>
      </c>
      <c r="V74" s="12" t="str">
        <f t="shared" ref="V74:V99" si="162">IF(COUNTIF($U$3:U74,U74)&gt;1,"ДУБЛЬ","оригинал")</f>
        <v>оригинал</v>
      </c>
    </row>
    <row r="75" ht="15" customHeight="1">
      <c r="A75" s="10">
        <v>73</v>
      </c>
      <c r="B75" s="11" t="str">
        <f>RAW_Продажи!A74</f>
        <v>02/20/2025</v>
      </c>
      <c r="C75" s="11" t="str">
        <f>RAW_Продажи!B74</f>
        <v>№АРТ-298</v>
      </c>
      <c r="D75" s="11" t="str">
        <f>RAW_Продажи!C74</f>
        <v>3</v>
      </c>
      <c r="E75" s="11" t="str">
        <f>RAW_Продажи!D74</f>
        <v>$130</v>
      </c>
      <c r="F75" s="11" t="str">
        <f>RAW_Продажи!E74</f>
        <v>C0073</v>
      </c>
      <c r="G75" s="11" t="str">
        <f>RAW_Продажи!F74</f>
        <v>P004</v>
      </c>
      <c r="H75" s="11" t="str">
        <f>RAW_Продажи!G74</f>
        <v>canceled</v>
      </c>
      <c r="I75" s="12" t="str">
        <f t="shared" si="154"/>
        <v>298</v>
      </c>
      <c r="J75" s="12" t="str">
        <f t="shared" si="155"/>
        <v>$</v>
      </c>
      <c r="K75" s="12">
        <f t="shared" si="156"/>
        <v>130</v>
      </c>
      <c r="L75" s="19">
        <f t="shared" si="157"/>
        <v>45708</v>
      </c>
      <c r="M75" s="13" t="str">
        <f t="shared" si="158"/>
        <v>АРТ-298</v>
      </c>
      <c r="N75" s="13">
        <f t="shared" si="159"/>
        <v>3</v>
      </c>
      <c r="O75" s="13" t="str">
        <f>IFERROR(VLOOKUP(J75,Справочники!$G$6:$H$8,2,0),"RUB")</f>
        <v>USD</v>
      </c>
      <c r="P75" s="14">
        <f>ROUND(K75*IFERROR(VLOOKUP(J75,Справочники!$G$6:$I$8,3,0),1),2)</f>
        <v>12350</v>
      </c>
      <c r="Q75" s="13" t="str">
        <f>IFERROR(VLOOKUP(H75,Справочники!$D$6:$E$14,2,0),"НЕИЗВЕСТНО")</f>
        <v>Отменен</v>
      </c>
      <c r="R75" s="20">
        <f>IFERROR(INDEX(Товары_очищенные!$Q$3:$Q$503,MATCH(M75,Товары_очищенные!$L$3:$L$503,0)),"нет в каталоге")</f>
        <v>65990</v>
      </c>
      <c r="S75" s="21" t="str">
        <f>IFERROR(INDEX(Товары_очищенные!$N$3:$N$503,MATCH(M75,Товары_очищенные!$L$3:$L$503,0)),"нет в каталоге")</f>
        <v>Телевизоры</v>
      </c>
      <c r="T75" s="21" t="str">
        <f t="shared" si="160"/>
        <v>OK</v>
      </c>
      <c r="U75" s="12" t="str">
        <f t="shared" si="161"/>
        <v>20/02/2025|АРТ-298|C0073</v>
      </c>
      <c r="V75" s="12" t="str">
        <f t="shared" si="162"/>
        <v>оригинал</v>
      </c>
    </row>
    <row r="76" ht="15" customHeight="1">
      <c r="A76" s="10">
        <v>74</v>
      </c>
      <c r="B76" s="11" t="str">
        <f>RAW_Продажи!A75</f>
        <v>02/20/2025</v>
      </c>
      <c r="C76" s="11" t="str">
        <f>RAW_Продажи!B75</f>
        <v>АРТ_348</v>
      </c>
      <c r="D76" s="11" t="str">
        <f>RAW_Продажи!C75</f>
        <v>2</v>
      </c>
      <c r="E76" s="11" t="str">
        <f>RAW_Продажи!D75</f>
        <v>€110</v>
      </c>
      <c r="F76" s="11" t="str">
        <f>RAW_Продажи!E75</f>
        <v>C0074</v>
      </c>
      <c r="G76" s="11" t="str">
        <f>RAW_Продажи!F75</f>
        <v>P026</v>
      </c>
      <c r="H76" s="11" t="str">
        <f>RAW_Продажи!G75</f>
        <v>отменен</v>
      </c>
      <c r="I76" s="12" t="str">
        <f t="shared" si="154"/>
        <v>348</v>
      </c>
      <c r="J76" s="12" t="str">
        <f t="shared" si="155"/>
        <v>€</v>
      </c>
      <c r="K76" s="12">
        <f t="shared" si="156"/>
        <v>110</v>
      </c>
      <c r="L76" s="19">
        <f t="shared" si="157"/>
        <v>45708</v>
      </c>
      <c r="M76" s="13" t="str">
        <f t="shared" si="158"/>
        <v>АРТ-348</v>
      </c>
      <c r="N76" s="13">
        <f t="shared" si="159"/>
        <v>2</v>
      </c>
      <c r="O76" s="13" t="str">
        <f>IFERROR(VLOOKUP(J76,Справочники!$G$6:$H$8,2,0),"RUB")</f>
        <v>EUR</v>
      </c>
      <c r="P76" s="14">
        <f>ROUND(K76*IFERROR(VLOOKUP(J76,Справочники!$G$6:$I$8,3,0),1),2)</f>
        <v>11000</v>
      </c>
      <c r="Q76" s="13" t="str">
        <f>IFERROR(VLOOKUP(H76,Справочники!$D$6:$E$14,2,0),"НЕИЗВЕСТНО")</f>
        <v>Отменен</v>
      </c>
      <c r="R76" s="20">
        <f>IFERROR(INDEX(Товары_очищенные!$Q$3:$Q$503,MATCH(M76,Товары_очищенные!$L$3:$L$503,0)),"нет в каталоге")</f>
        <v>20800</v>
      </c>
      <c r="S76" s="21" t="str">
        <f>IFERROR(INDEX(Товары_очищенные!$N$3:$N$503,MATCH(M76,Товары_очищенные!$L$3:$L$503,0)),"нет в каталоге")</f>
        <v>Наушники</v>
      </c>
      <c r="T76" s="21" t="str">
        <f t="shared" si="160"/>
        <v>OK</v>
      </c>
      <c r="U76" s="12" t="str">
        <f t="shared" si="161"/>
        <v>20/02/2025|АРТ-348|C0074</v>
      </c>
      <c r="V76" s="12" t="str">
        <f t="shared" si="162"/>
        <v>оригинал</v>
      </c>
    </row>
    <row r="77" ht="15" customHeight="1">
      <c r="A77" s="10">
        <v>75</v>
      </c>
      <c r="B77" s="11" t="str">
        <f>RAW_Продажи!A76</f>
        <v>02/21/2025</v>
      </c>
      <c r="C77" s="11" t="str">
        <f>RAW_Продажи!B76</f>
        <v>241/24</v>
      </c>
      <c r="D77" s="11" t="str">
        <f>RAW_Продажи!C76</f>
        <v xml:space="preserve">1 шт.</v>
      </c>
      <c r="E77" s="11" t="str">
        <f>RAW_Продажи!D76</f>
        <v xml:space="preserve">9800 ₽</v>
      </c>
      <c r="F77" s="11" t="str">
        <f>RAW_Продажи!E76</f>
        <v>C0075</v>
      </c>
      <c r="G77" s="11" t="str">
        <f>RAW_Продажи!F76</f>
        <v>P013</v>
      </c>
      <c r="H77" s="11" t="str">
        <f>RAW_Продажи!G76</f>
        <v>возврат</v>
      </c>
      <c r="I77" s="12" t="str">
        <f t="shared" si="154"/>
        <v>241/24</v>
      </c>
      <c r="J77" s="12" t="str">
        <f t="shared" si="155"/>
        <v>₽</v>
      </c>
      <c r="K77" s="12">
        <f t="shared" si="156"/>
        <v>9800</v>
      </c>
      <c r="L77" s="19">
        <f t="shared" si="157"/>
        <v>45709</v>
      </c>
      <c r="M77" s="13" t="str">
        <f t="shared" si="158"/>
        <v>АРТ-241</v>
      </c>
      <c r="N77" s="13">
        <f t="shared" si="159"/>
        <v>1</v>
      </c>
      <c r="O77" s="13" t="str">
        <f>IFERROR(VLOOKUP(J77,Справочники!$G$6:$H$8,2,0),"RUB")</f>
        <v>RUB</v>
      </c>
      <c r="P77" s="14">
        <f>ROUND(K77*IFERROR(VLOOKUP(J77,Справочники!$G$6:$I$8,3,0),1),2)</f>
        <v>9800</v>
      </c>
      <c r="Q77" s="13" t="str">
        <f>IFERROR(VLOOKUP(H77,Справочники!$D$6:$E$14,2,0),"НЕИЗВЕСТНО")</f>
        <v>Возврат</v>
      </c>
      <c r="R77" s="20">
        <f>IFERROR(INDEX(Товары_очищенные!$Q$3:$Q$503,MATCH(M77,Товары_очищенные!$L$3:$L$503,0)),"нет в каталоге")</f>
        <v>59990</v>
      </c>
      <c r="S77" s="21" t="str">
        <f>IFERROR(INDEX(Товары_очищенные!$N$3:$N$503,MATCH(M77,Товары_очищенные!$L$3:$L$503,0)),"нет в каталоге")</f>
        <v>Наушники</v>
      </c>
      <c r="T77" s="21" t="str">
        <f t="shared" si="160"/>
        <v>OK</v>
      </c>
      <c r="U77" s="12" t="str">
        <f t="shared" si="161"/>
        <v>21/02/2025|АРТ-241|C0075</v>
      </c>
      <c r="V77" s="12" t="str">
        <f t="shared" si="162"/>
        <v>оригинал</v>
      </c>
    </row>
    <row r="78" ht="15" customHeight="1">
      <c r="A78" s="10">
        <v>76</v>
      </c>
      <c r="B78" s="11" t="str">
        <f>RAW_Продажи!A77</f>
        <v>02/21/2025</v>
      </c>
      <c r="C78" s="11" t="str">
        <f>RAW_Продажи!B77</f>
        <v>№АРТ-132</v>
      </c>
      <c r="D78" s="11" t="str">
        <f>RAW_Продажи!C77</f>
        <v>-3</v>
      </c>
      <c r="E78" s="11" t="str">
        <f>RAW_Продажи!D77</f>
        <v>$85</v>
      </c>
      <c r="F78" s="11" t="str">
        <f>RAW_Продажи!E77</f>
        <v>C0076</v>
      </c>
      <c r="G78" s="11" t="str">
        <f>RAW_Продажи!F77</f>
        <v>P034</v>
      </c>
      <c r="H78" s="11" t="str">
        <f>RAW_Продажи!G77</f>
        <v>Завершен</v>
      </c>
      <c r="I78" s="12" t="str">
        <f t="shared" si="154"/>
        <v>132</v>
      </c>
      <c r="J78" s="12" t="str">
        <f t="shared" si="155"/>
        <v>$</v>
      </c>
      <c r="K78" s="12">
        <f t="shared" si="156"/>
        <v>85</v>
      </c>
      <c r="L78" s="19">
        <f t="shared" si="157"/>
        <v>45709</v>
      </c>
      <c r="M78" s="13" t="str">
        <f t="shared" si="158"/>
        <v>АРТ-132</v>
      </c>
      <c r="N78" s="13">
        <f t="shared" si="159"/>
        <v>-3</v>
      </c>
      <c r="O78" s="13" t="str">
        <f>IFERROR(VLOOKUP(J78,Справочники!$G$6:$H$8,2,0),"RUB")</f>
        <v>USD</v>
      </c>
      <c r="P78" s="14">
        <f>ROUND(K78*IFERROR(VLOOKUP(J78,Справочники!$G$6:$I$8,3,0),1),2)</f>
        <v>8075</v>
      </c>
      <c r="Q78" s="13" t="str">
        <f>IFERROR(VLOOKUP(H78,Справочники!$D$6:$E$14,2,0),"НЕИЗВЕСТНО")</f>
        <v>Завершен</v>
      </c>
      <c r="R78" s="20">
        <f>IFERROR(INDEX(Товары_очищенные!$Q$3:$Q$503,MATCH(M78,Товары_очищенные!$L$3:$L$503,0)),"нет в каталоге")</f>
        <v>44500</v>
      </c>
      <c r="S78" s="21" t="str">
        <f>IFERROR(INDEX(Товары_очищенные!$N$3:$N$503,MATCH(M78,Товары_очищенные!$L$3:$L$503,0)),"нет в каталоге")</f>
        <v>Планшеты</v>
      </c>
      <c r="T78" s="21" t="str">
        <f t="shared" si="160"/>
        <v>OK</v>
      </c>
      <c r="U78" s="12" t="str">
        <f t="shared" si="161"/>
        <v>21/02/2025|АРТ-132|C0076</v>
      </c>
      <c r="V78" s="12" t="str">
        <f t="shared" si="162"/>
        <v>оригинал</v>
      </c>
    </row>
    <row r="79" ht="15" customHeight="1">
      <c r="A79" s="10">
        <v>77</v>
      </c>
      <c r="B79" s="11" t="str">
        <f>RAW_Продажи!A78</f>
        <v>02/22/2025</v>
      </c>
      <c r="C79" s="11" t="str">
        <f>RAW_Продажи!B78</f>
        <v>АРТ_494</v>
      </c>
      <c r="D79" s="11" t="str">
        <f>RAW_Продажи!C78</f>
        <v>1</v>
      </c>
      <c r="E79" s="11" t="str">
        <f>RAW_Продажи!D78</f>
        <v>€65</v>
      </c>
      <c r="F79" s="11" t="str">
        <f>RAW_Продажи!E78</f>
        <v>C0077</v>
      </c>
      <c r="G79" s="11" t="str">
        <f>RAW_Продажи!F78</f>
        <v>P044</v>
      </c>
      <c r="H79" s="11" t="str">
        <f>RAW_Продажи!G78</f>
        <v>завершен</v>
      </c>
      <c r="I79" s="12" t="str">
        <f t="shared" si="154"/>
        <v>494</v>
      </c>
      <c r="J79" s="12" t="str">
        <f t="shared" si="155"/>
        <v>€</v>
      </c>
      <c r="K79" s="12">
        <f t="shared" si="156"/>
        <v>65</v>
      </c>
      <c r="L79" s="19">
        <f t="shared" si="157"/>
        <v>45710</v>
      </c>
      <c r="M79" s="13" t="str">
        <f t="shared" si="158"/>
        <v>АРТ-494</v>
      </c>
      <c r="N79" s="13">
        <f t="shared" si="159"/>
        <v>1</v>
      </c>
      <c r="O79" s="13" t="str">
        <f>IFERROR(VLOOKUP(J79,Справочники!$G$6:$H$8,2,0),"RUB")</f>
        <v>EUR</v>
      </c>
      <c r="P79" s="14">
        <f>ROUND(K79*IFERROR(VLOOKUP(J79,Справочники!$G$6:$I$8,3,0),1),2)</f>
        <v>6500</v>
      </c>
      <c r="Q79" s="13" t="str">
        <f>IFERROR(VLOOKUP(H79,Справочники!$D$6:$E$14,2,0),"НЕИЗВЕСТНО")</f>
        <v>Завершен</v>
      </c>
      <c r="R79" s="20">
        <f>IFERROR(INDEX(Товары_очищенные!$Q$3:$Q$503,MATCH(M79,Товары_очищенные!$L$3:$L$503,0)),"нет в каталоге")</f>
        <v>14000</v>
      </c>
      <c r="S79" s="21" t="str">
        <f>IFERROR(INDEX(Товары_очищенные!$N$3:$N$503,MATCH(M79,Товары_очищенные!$L$3:$L$503,0)),"нет в каталоге")</f>
        <v>Наушники</v>
      </c>
      <c r="T79" s="21" t="str">
        <f t="shared" si="160"/>
        <v>OK</v>
      </c>
      <c r="U79" s="12" t="str">
        <f t="shared" si="161"/>
        <v>22/02/2025|АРТ-494|C0077</v>
      </c>
      <c r="V79" s="12" t="str">
        <f t="shared" si="162"/>
        <v>оригинал</v>
      </c>
    </row>
    <row r="80" ht="15" customHeight="1">
      <c r="A80" s="10">
        <v>78</v>
      </c>
      <c r="B80" s="11" t="str">
        <f>RAW_Продажи!A79</f>
        <v>02/22/2025</v>
      </c>
      <c r="C80" s="11" t="str">
        <f>RAW_Продажи!B79</f>
        <v>032-24</v>
      </c>
      <c r="D80" s="11" t="str">
        <f>RAW_Продажи!C79</f>
        <v>2</v>
      </c>
      <c r="E80" s="11" t="str">
        <f>RAW_Продажи!D79</f>
        <v xml:space="preserve">6000 ₽</v>
      </c>
      <c r="F80" s="11" t="str">
        <f>RAW_Продажи!E79</f>
        <v>C0078</v>
      </c>
      <c r="G80" s="11" t="str">
        <f>RAW_Продажи!F79</f>
        <v>P001</v>
      </c>
      <c r="H80" s="11" t="str">
        <f>RAW_Продажи!G79</f>
        <v>completed</v>
      </c>
      <c r="I80" s="12" t="str">
        <f t="shared" si="154"/>
        <v>032-24</v>
      </c>
      <c r="J80" s="12" t="str">
        <f t="shared" si="155"/>
        <v>₽</v>
      </c>
      <c r="K80" s="12">
        <f t="shared" si="156"/>
        <v>6000</v>
      </c>
      <c r="L80" s="19">
        <f t="shared" si="157"/>
        <v>45710</v>
      </c>
      <c r="M80" s="13" t="str">
        <f t="shared" si="158"/>
        <v>АРТ-032</v>
      </c>
      <c r="N80" s="13">
        <f t="shared" si="159"/>
        <v>2</v>
      </c>
      <c r="O80" s="13" t="str">
        <f>IFERROR(VLOOKUP(J80,Справочники!$G$6:$H$8,2,0),"RUB")</f>
        <v>RUB</v>
      </c>
      <c r="P80" s="14">
        <f>ROUND(K80*IFERROR(VLOOKUP(J80,Справочники!$G$6:$I$8,3,0),1),2)</f>
        <v>6000</v>
      </c>
      <c r="Q80" s="13" t="str">
        <f>IFERROR(VLOOKUP(H80,Справочники!$D$6:$E$14,2,0),"НЕИЗВЕСТНО")</f>
        <v>Завершен</v>
      </c>
      <c r="R80" s="20">
        <f>IFERROR(INDEX(Товары_очищенные!$Q$3:$Q$503,MATCH(M80,Товары_очищенные!$L$3:$L$503,0)),"нет в каталоге")</f>
        <v>8500</v>
      </c>
      <c r="S80" s="21" t="str">
        <f>IFERROR(INDEX(Товары_очищенные!$N$3:$N$503,MATCH(M80,Товары_очищенные!$L$3:$L$503,0)),"нет в каталоге")</f>
        <v>Аксессуары</v>
      </c>
      <c r="T80" s="21" t="str">
        <f t="shared" si="160"/>
        <v>OK</v>
      </c>
      <c r="U80" s="12" t="str">
        <f t="shared" si="161"/>
        <v>22/02/2025|АРТ-032|C0078</v>
      </c>
      <c r="V80" s="12" t="str">
        <f t="shared" si="162"/>
        <v>оригинал</v>
      </c>
    </row>
    <row r="81" ht="15" customHeight="1">
      <c r="A81" s="10">
        <v>79</v>
      </c>
      <c r="B81" s="11" t="str">
        <f>RAW_Продажи!A80</f>
        <v>02/23/2025</v>
      </c>
      <c r="C81" s="11" t="str">
        <f>RAW_Продажи!B80</f>
        <v>№АРТ-266</v>
      </c>
      <c r="D81" s="11" t="str">
        <f>RAW_Продажи!C80</f>
        <v>3</v>
      </c>
      <c r="E81" s="11" t="str">
        <f>RAW_Продажи!D80</f>
        <v>$110</v>
      </c>
      <c r="F81" s="11" t="str">
        <f>RAW_Продажи!E80</f>
        <v>C0079</v>
      </c>
      <c r="G81" s="11" t="str">
        <f>RAW_Продажи!F80</f>
        <v>P021</v>
      </c>
      <c r="H81" s="11" t="str">
        <f>RAW_Продажи!G80</f>
        <v>отменен</v>
      </c>
      <c r="I81" s="12" t="str">
        <f t="shared" si="154"/>
        <v>266</v>
      </c>
      <c r="J81" s="12" t="str">
        <f t="shared" si="155"/>
        <v>$</v>
      </c>
      <c r="K81" s="12">
        <f t="shared" si="156"/>
        <v>110</v>
      </c>
      <c r="L81" s="19">
        <f t="shared" si="157"/>
        <v>45711</v>
      </c>
      <c r="M81" s="13" t="str">
        <f t="shared" si="158"/>
        <v>АРТ-266</v>
      </c>
      <c r="N81" s="13">
        <f t="shared" si="159"/>
        <v>3</v>
      </c>
      <c r="O81" s="13" t="str">
        <f>IFERROR(VLOOKUP(J81,Справочники!$G$6:$H$8,2,0),"RUB")</f>
        <v>USD</v>
      </c>
      <c r="P81" s="14">
        <f>ROUND(K81*IFERROR(VLOOKUP(J81,Справочники!$G$6:$I$8,3,0),1),2)</f>
        <v>10450</v>
      </c>
      <c r="Q81" s="13" t="str">
        <f>IFERROR(VLOOKUP(H81,Справочники!$D$6:$E$14,2,0),"НЕИЗВЕСТНО")</f>
        <v>Отменен</v>
      </c>
      <c r="R81" s="20">
        <f>IFERROR(INDEX(Товары_очищенные!$Q$3:$Q$503,MATCH(M81,Товары_очищенные!$L$3:$L$503,0)),"нет в каталоге")</f>
        <v>65500</v>
      </c>
      <c r="S81" s="21" t="str">
        <f>IFERROR(INDEX(Товары_очищенные!$N$3:$N$503,MATCH(M81,Товары_очищенные!$L$3:$L$503,0)),"нет в каталоге")</f>
        <v>Мониторы</v>
      </c>
      <c r="T81" s="21" t="str">
        <f t="shared" si="160"/>
        <v>OK</v>
      </c>
      <c r="U81" s="12" t="str">
        <f t="shared" si="161"/>
        <v>23/02/2025|АРТ-266|C0079</v>
      </c>
      <c r="V81" s="12" t="str">
        <f t="shared" si="162"/>
        <v>оригинал</v>
      </c>
    </row>
    <row r="82" ht="15" customHeight="1">
      <c r="A82" s="10">
        <v>80</v>
      </c>
      <c r="B82" s="11" t="str">
        <f>RAW_Продажи!A81</f>
        <v>02/23/2025</v>
      </c>
      <c r="C82" s="11" t="str">
        <f>RAW_Продажи!B81</f>
        <v>АРТ_182</v>
      </c>
      <c r="D82" s="11" t="str">
        <f>RAW_Продажи!C81</f>
        <v>1</v>
      </c>
      <c r="E82" s="11" t="str">
        <f>RAW_Продажи!D81</f>
        <v>€90</v>
      </c>
      <c r="F82" s="11" t="str">
        <f>RAW_Продажи!E81</f>
        <v>C0080</v>
      </c>
      <c r="G82" s="11" t="str">
        <f>RAW_Продажи!F81</f>
        <v>P039</v>
      </c>
      <c r="H82" s="11" t="str">
        <f>RAW_Продажи!G81</f>
        <v>canceled</v>
      </c>
      <c r="I82" s="12" t="str">
        <f t="shared" si="154"/>
        <v>182</v>
      </c>
      <c r="J82" s="12" t="str">
        <f t="shared" si="155"/>
        <v>€</v>
      </c>
      <c r="K82" s="12">
        <f t="shared" si="156"/>
        <v>90</v>
      </c>
      <c r="L82" s="19">
        <f t="shared" si="157"/>
        <v>45711</v>
      </c>
      <c r="M82" s="13" t="str">
        <f t="shared" si="158"/>
        <v>АРТ-182</v>
      </c>
      <c r="N82" s="13">
        <f t="shared" si="159"/>
        <v>1</v>
      </c>
      <c r="O82" s="13" t="str">
        <f>IFERROR(VLOOKUP(J82,Справочники!$G$6:$H$8,2,0),"RUB")</f>
        <v>EUR</v>
      </c>
      <c r="P82" s="14">
        <f>ROUND(K82*IFERROR(VLOOKUP(J82,Справочники!$G$6:$I$8,3,0),1),2)</f>
        <v>9000</v>
      </c>
      <c r="Q82" s="13" t="str">
        <f>IFERROR(VLOOKUP(H82,Справочники!$D$6:$E$14,2,0),"НЕИЗВЕСТНО")</f>
        <v>Отменен</v>
      </c>
      <c r="R82" s="20">
        <f>IFERROR(INDEX(Товары_очищенные!$Q$3:$Q$503,MATCH(M82,Товары_очищенные!$L$3:$L$503,0)),"нет в каталоге")</f>
        <v>166500</v>
      </c>
      <c r="S82" s="21" t="str">
        <f>IFERROR(INDEX(Товары_очищенные!$N$3:$N$503,MATCH(M82,Товары_очищенные!$L$3:$L$503,0)),"нет в каталоге")</f>
        <v>Мониторы</v>
      </c>
      <c r="T82" s="21" t="str">
        <f t="shared" si="160"/>
        <v>OK</v>
      </c>
      <c r="U82" s="12" t="str">
        <f t="shared" si="161"/>
        <v>23/02/2025|АРТ-182|C0080</v>
      </c>
      <c r="V82" s="12" t="str">
        <f t="shared" si="162"/>
        <v>оригинал</v>
      </c>
    </row>
    <row r="83" ht="15" customHeight="1">
      <c r="A83" s="10">
        <v>81</v>
      </c>
      <c r="B83" s="11" t="str">
        <f>RAW_Продажи!A82</f>
        <v>02/24/2025</v>
      </c>
      <c r="C83" s="11" t="str">
        <f>RAW_Продажи!B82</f>
        <v>405/24</v>
      </c>
      <c r="D83" s="11" t="str">
        <f>RAW_Продажи!C82</f>
        <v xml:space="preserve">2 шт.</v>
      </c>
      <c r="E83" s="11" t="str">
        <f>RAW_Продажи!D82</f>
        <v xml:space="preserve">8000 ₽</v>
      </c>
      <c r="F83" s="11" t="str">
        <f>RAW_Продажи!E82</f>
        <v>C0081</v>
      </c>
      <c r="G83" s="11" t="str">
        <f>RAW_Продажи!F82</f>
        <v>P050</v>
      </c>
      <c r="H83" s="11" t="str">
        <f>RAW_Продажи!G82</f>
        <v>Завершен</v>
      </c>
      <c r="I83" s="12" t="str">
        <f t="shared" si="154"/>
        <v>405/24</v>
      </c>
      <c r="J83" s="12" t="str">
        <f t="shared" si="155"/>
        <v>₽</v>
      </c>
      <c r="K83" s="12">
        <f t="shared" si="156"/>
        <v>8000</v>
      </c>
      <c r="L83" s="19">
        <f t="shared" si="157"/>
        <v>45712</v>
      </c>
      <c r="M83" s="13" t="str">
        <f t="shared" si="158"/>
        <v>АРТ-405</v>
      </c>
      <c r="N83" s="13">
        <f t="shared" si="159"/>
        <v>2</v>
      </c>
      <c r="O83" s="13" t="str">
        <f>IFERROR(VLOOKUP(J83,Справочники!$G$6:$H$8,2,0),"RUB")</f>
        <v>RUB</v>
      </c>
      <c r="P83" s="14">
        <f>ROUND(K83*IFERROR(VLOOKUP(J83,Справочники!$G$6:$I$8,3,0),1),2)</f>
        <v>8000</v>
      </c>
      <c r="Q83" s="13" t="str">
        <f>IFERROR(VLOOKUP(H83,Справочники!$D$6:$E$14,2,0),"НЕИЗВЕСТНО")</f>
        <v>Завершен</v>
      </c>
      <c r="R83" s="20">
        <f>IFERROR(INDEX(Товары_очищенные!$Q$3:$Q$503,MATCH(M83,Товары_очищенные!$L$3:$L$503,0)),"нет в каталоге")</f>
        <v>21000</v>
      </c>
      <c r="S83" s="21" t="str">
        <f>IFERROR(INDEX(Товары_очищенные!$N$3:$N$503,MATCH(M83,Товары_очищенные!$L$3:$L$503,0)),"нет в каталоге")</f>
        <v>Планшеты</v>
      </c>
      <c r="T83" s="21" t="str">
        <f t="shared" si="160"/>
        <v>OK</v>
      </c>
      <c r="U83" s="12" t="str">
        <f t="shared" si="161"/>
        <v>24/02/2025|АРТ-405|C0081</v>
      </c>
      <c r="V83" s="12" t="str">
        <f t="shared" si="162"/>
        <v>оригинал</v>
      </c>
    </row>
    <row r="84" ht="15" customHeight="1">
      <c r="A84" s="10">
        <v>82</v>
      </c>
      <c r="B84" s="11" t="str">
        <f>RAW_Продажи!A83</f>
        <v>02/24/2025</v>
      </c>
      <c r="C84" s="11" t="str">
        <f>RAW_Продажи!B83</f>
        <v>№АРТ-059</v>
      </c>
      <c r="D84" s="11" t="str">
        <f>RAW_Продажи!C83</f>
        <v>-1</v>
      </c>
      <c r="E84" s="11" t="str">
        <f>RAW_Продажи!D83</f>
        <v>$100</v>
      </c>
      <c r="F84" s="11" t="str">
        <f>RAW_Продажи!E83</f>
        <v>C0082</v>
      </c>
      <c r="G84" s="11" t="str">
        <f>RAW_Продажи!F83</f>
        <v>P011</v>
      </c>
      <c r="H84" s="11" t="str">
        <f>RAW_Продажи!G83</f>
        <v>возврат</v>
      </c>
      <c r="I84" s="12" t="str">
        <f t="shared" si="154"/>
        <v>059</v>
      </c>
      <c r="J84" s="12" t="str">
        <f t="shared" si="155"/>
        <v>$</v>
      </c>
      <c r="K84" s="12">
        <f t="shared" si="156"/>
        <v>100</v>
      </c>
      <c r="L84" s="19">
        <f t="shared" si="157"/>
        <v>45712</v>
      </c>
      <c r="M84" s="13" t="str">
        <f t="shared" si="158"/>
        <v>АРТ-059</v>
      </c>
      <c r="N84" s="13">
        <f t="shared" si="159"/>
        <v>-1</v>
      </c>
      <c r="O84" s="13" t="str">
        <f>IFERROR(VLOOKUP(J84,Справочники!$G$6:$H$8,2,0),"RUB")</f>
        <v>USD</v>
      </c>
      <c r="P84" s="14">
        <f>ROUND(K84*IFERROR(VLOOKUP(J84,Справочники!$G$6:$I$8,3,0),1),2)</f>
        <v>9500</v>
      </c>
      <c r="Q84" s="13" t="str">
        <f>IFERROR(VLOOKUP(H84,Справочники!$D$6:$E$14,2,0),"НЕИЗВЕСТНО")</f>
        <v>Возврат</v>
      </c>
      <c r="R84" s="20">
        <f>IFERROR(INDEX(Товары_очищенные!$Q$3:$Q$503,MATCH(M84,Товары_очищенные!$L$3:$L$503,0)),"нет в каталоге")</f>
        <v>66000</v>
      </c>
      <c r="S84" s="21" t="str">
        <f>IFERROR(INDEX(Товары_очищенные!$N$3:$N$503,MATCH(M84,Товары_очищенные!$L$3:$L$503,0)),"нет в каталоге")</f>
        <v>Планшеты</v>
      </c>
      <c r="T84" s="21" t="str">
        <f t="shared" si="160"/>
        <v>OK</v>
      </c>
      <c r="U84" s="12" t="str">
        <f t="shared" si="161"/>
        <v>24/02/2025|АРТ-059|C0082</v>
      </c>
      <c r="V84" s="12" t="str">
        <f t="shared" si="162"/>
        <v>оригинал</v>
      </c>
    </row>
    <row r="85" ht="15" customHeight="1">
      <c r="A85" s="10">
        <v>83</v>
      </c>
      <c r="B85" s="11" t="str">
        <f>RAW_Продажи!A84</f>
        <v>02/25/2025</v>
      </c>
      <c r="C85" s="11" t="str">
        <f>RAW_Продажи!B84</f>
        <v>АРТ_319</v>
      </c>
      <c r="D85" s="11" t="str">
        <f>RAW_Продажи!C84</f>
        <v>3</v>
      </c>
      <c r="E85" s="11" t="str">
        <f>RAW_Продажи!D84</f>
        <v>€80</v>
      </c>
      <c r="F85" s="11" t="str">
        <f>RAW_Продажи!E84</f>
        <v>C0083</v>
      </c>
      <c r="G85" s="11" t="str">
        <f>RAW_Продажи!F84</f>
        <v>P027</v>
      </c>
      <c r="H85" s="11" t="str">
        <f>RAW_Продажи!G84</f>
        <v>завершен</v>
      </c>
      <c r="I85" s="12" t="str">
        <f t="shared" si="154"/>
        <v>319</v>
      </c>
      <c r="J85" s="12" t="str">
        <f t="shared" si="155"/>
        <v>€</v>
      </c>
      <c r="K85" s="12">
        <f t="shared" si="156"/>
        <v>80</v>
      </c>
      <c r="L85" s="19">
        <f t="shared" si="157"/>
        <v>45713</v>
      </c>
      <c r="M85" s="13" t="str">
        <f t="shared" si="158"/>
        <v>АРТ-319</v>
      </c>
      <c r="N85" s="13">
        <f t="shared" si="159"/>
        <v>3</v>
      </c>
      <c r="O85" s="13" t="str">
        <f>IFERROR(VLOOKUP(J85,Справочники!$G$6:$H$8,2,0),"RUB")</f>
        <v>EUR</v>
      </c>
      <c r="P85" s="14">
        <f>ROUND(K85*IFERROR(VLOOKUP(J85,Справочники!$G$6:$I$8,3,0),1),2)</f>
        <v>8000</v>
      </c>
      <c r="Q85" s="13" t="str">
        <f>IFERROR(VLOOKUP(H85,Справочники!$D$6:$E$14,2,0),"НЕИЗВЕСТНО")</f>
        <v>Завершен</v>
      </c>
      <c r="R85" s="20">
        <f>IFERROR(INDEX(Товары_очищенные!$Q$3:$Q$503,MATCH(M85,Товары_очищенные!$L$3:$L$503,0)),"нет в каталоге")</f>
        <v>184990</v>
      </c>
      <c r="S85" s="21" t="str">
        <f>IFERROR(INDEX(Товары_очищенные!$N$3:$N$503,MATCH(M85,Товары_очищенные!$L$3:$L$503,0)),"нет в каталоге")</f>
        <v>Телевизоры</v>
      </c>
      <c r="T85" s="21" t="str">
        <f t="shared" si="160"/>
        <v>OK</v>
      </c>
      <c r="U85" s="12" t="str">
        <f t="shared" si="161"/>
        <v>25/02/2025|АРТ-319|C0083</v>
      </c>
      <c r="V85" s="12" t="str">
        <f t="shared" si="162"/>
        <v>оригинал</v>
      </c>
    </row>
    <row r="86" ht="15" customHeight="1">
      <c r="A86" s="10">
        <v>84</v>
      </c>
      <c r="B86" s="11" t="str">
        <f>RAW_Продажи!A85</f>
        <v>02/25/2025</v>
      </c>
      <c r="C86" s="11" t="str">
        <f>RAW_Продажи!B85</f>
        <v>147-24</v>
      </c>
      <c r="D86" s="11" t="str">
        <f>RAW_Продажи!C85</f>
        <v>1</v>
      </c>
      <c r="E86" s="11" t="str">
        <f>RAW_Продажи!D85</f>
        <v xml:space="preserve">7500 ₽</v>
      </c>
      <c r="F86" s="11" t="str">
        <f>RAW_Продажи!E85</f>
        <v>C0084</v>
      </c>
      <c r="G86" s="11" t="str">
        <f>RAW_Продажи!F85</f>
        <v>P018</v>
      </c>
      <c r="H86" s="11" t="str">
        <f>RAW_Продажи!G85</f>
        <v>completed</v>
      </c>
      <c r="I86" s="12" t="str">
        <f t="shared" si="154"/>
        <v>147-24</v>
      </c>
      <c r="J86" s="12" t="str">
        <f t="shared" si="155"/>
        <v>₽</v>
      </c>
      <c r="K86" s="12">
        <f t="shared" si="156"/>
        <v>7500</v>
      </c>
      <c r="L86" s="19">
        <f t="shared" si="157"/>
        <v>45713</v>
      </c>
      <c r="M86" s="13" t="str">
        <f t="shared" si="158"/>
        <v>АРТ-147</v>
      </c>
      <c r="N86" s="13">
        <f t="shared" si="159"/>
        <v>1</v>
      </c>
      <c r="O86" s="13" t="str">
        <f>IFERROR(VLOOKUP(J86,Справочники!$G$6:$H$8,2,0),"RUB")</f>
        <v>RUB</v>
      </c>
      <c r="P86" s="14">
        <f>ROUND(K86*IFERROR(VLOOKUP(J86,Справочники!$G$6:$I$8,3,0),1),2)</f>
        <v>7500</v>
      </c>
      <c r="Q86" s="13" t="str">
        <f>IFERROR(VLOOKUP(H86,Справочники!$D$6:$E$14,2,0),"НЕИЗВЕСТНО")</f>
        <v>Завершен</v>
      </c>
      <c r="R86" s="20">
        <f>IFERROR(INDEX(Товары_очищенные!$Q$3:$Q$503,MATCH(M86,Товары_очищенные!$L$3:$L$503,0)),"нет в каталоге")</f>
        <v>47500</v>
      </c>
      <c r="S86" s="21" t="str">
        <f>IFERROR(INDEX(Товары_очищенные!$N$3:$N$503,MATCH(M86,Товары_очищенные!$L$3:$L$503,0)),"нет в каталоге")</f>
        <v>Смартфоны</v>
      </c>
      <c r="T86" s="21" t="str">
        <f t="shared" si="160"/>
        <v>OK</v>
      </c>
      <c r="U86" s="12" t="str">
        <f t="shared" si="161"/>
        <v>25/02/2025|АРТ-147|C0084</v>
      </c>
      <c r="V86" s="12" t="str">
        <f t="shared" si="162"/>
        <v>оригинал</v>
      </c>
    </row>
    <row r="87" ht="15" customHeight="1">
      <c r="A87" s="10">
        <v>85</v>
      </c>
      <c r="B87" s="11" t="str">
        <f>RAW_Продажи!A86</f>
        <v>02/26/2025</v>
      </c>
      <c r="C87" s="11" t="str">
        <f>RAW_Продажи!B86</f>
        <v>№АРТ-388</v>
      </c>
      <c r="D87" s="11" t="str">
        <f>RAW_Продажи!C86</f>
        <v>2</v>
      </c>
      <c r="E87" s="11" t="str">
        <f>RAW_Продажи!D86</f>
        <v>$145</v>
      </c>
      <c r="F87" s="11" t="str">
        <f>RAW_Продажи!E86</f>
        <v>C0085</v>
      </c>
      <c r="G87" s="11" t="str">
        <f>RAW_Продажи!F86</f>
        <v>P040</v>
      </c>
      <c r="H87" s="11" t="str">
        <f>RAW_Продажи!G86</f>
        <v>Завершен</v>
      </c>
      <c r="I87" s="12" t="str">
        <f t="shared" si="154"/>
        <v>388</v>
      </c>
      <c r="J87" s="12" t="str">
        <f t="shared" si="155"/>
        <v>$</v>
      </c>
      <c r="K87" s="12">
        <f t="shared" si="156"/>
        <v>145</v>
      </c>
      <c r="L87" s="19">
        <f t="shared" si="157"/>
        <v>45714</v>
      </c>
      <c r="M87" s="13" t="str">
        <f t="shared" si="158"/>
        <v>АРТ-388</v>
      </c>
      <c r="N87" s="13">
        <f t="shared" si="159"/>
        <v>2</v>
      </c>
      <c r="O87" s="13" t="str">
        <f>IFERROR(VLOOKUP(J87,Справочники!$G$6:$H$8,2,0),"RUB")</f>
        <v>USD</v>
      </c>
      <c r="P87" s="14">
        <f>ROUND(K87*IFERROR(VLOOKUP(J87,Справочники!$G$6:$I$8,3,0),1),2)</f>
        <v>13775</v>
      </c>
      <c r="Q87" s="13" t="str">
        <f>IFERROR(VLOOKUP(H87,Справочники!$D$6:$E$14,2,0),"НЕИЗВЕСТНО")</f>
        <v>Завершен</v>
      </c>
      <c r="R87" s="20">
        <f>IFERROR(INDEX(Товары_очищенные!$Q$3:$Q$503,MATCH(M87,Товары_очищенные!$L$3:$L$503,0)),"нет в каталоге")</f>
        <v>77990</v>
      </c>
      <c r="S87" s="21" t="str">
        <f>IFERROR(INDEX(Товары_очищенные!$N$3:$N$503,MATCH(M87,Товары_очищенные!$L$3:$L$503,0)),"нет в каталоге")</f>
        <v>Телевизоры</v>
      </c>
      <c r="T87" s="21" t="str">
        <f t="shared" si="160"/>
        <v>OK</v>
      </c>
      <c r="U87" s="12" t="str">
        <f t="shared" si="161"/>
        <v>26/02/2025|АРТ-388|C0085</v>
      </c>
      <c r="V87" s="12" t="str">
        <f t="shared" si="162"/>
        <v>оригинал</v>
      </c>
    </row>
    <row r="88" ht="15" customHeight="1">
      <c r="A88" s="10">
        <v>86</v>
      </c>
      <c r="B88" s="11" t="str">
        <f>RAW_Продажи!A87</f>
        <v>02/26/2025</v>
      </c>
      <c r="C88" s="11" t="str">
        <f>RAW_Продажи!B87</f>
        <v>АРТ_233</v>
      </c>
      <c r="D88" s="11" t="str">
        <f>RAW_Продажи!C87</f>
        <v>1</v>
      </c>
      <c r="E88" s="11" t="str">
        <f>RAW_Продажи!D87</f>
        <v>€125</v>
      </c>
      <c r="F88" s="11" t="str">
        <f>RAW_Продажи!E87</f>
        <v>C0086</v>
      </c>
      <c r="G88" s="11" t="str">
        <f>RAW_Продажи!F87</f>
        <v>P003</v>
      </c>
      <c r="H88" s="11" t="str">
        <f>RAW_Продажи!G87</f>
        <v>canceled</v>
      </c>
      <c r="I88" s="12" t="str">
        <f t="shared" si="154"/>
        <v>233</v>
      </c>
      <c r="J88" s="12" t="str">
        <f t="shared" si="155"/>
        <v>€</v>
      </c>
      <c r="K88" s="12">
        <f t="shared" si="156"/>
        <v>125</v>
      </c>
      <c r="L88" s="19">
        <f t="shared" si="157"/>
        <v>45714</v>
      </c>
      <c r="M88" s="13" t="str">
        <f t="shared" si="158"/>
        <v>АРТ-233</v>
      </c>
      <c r="N88" s="13">
        <f t="shared" si="159"/>
        <v>1</v>
      </c>
      <c r="O88" s="13" t="str">
        <f>IFERROR(VLOOKUP(J88,Справочники!$G$6:$H$8,2,0),"RUB")</f>
        <v>EUR</v>
      </c>
      <c r="P88" s="14">
        <f>ROUND(K88*IFERROR(VLOOKUP(J88,Справочники!$G$6:$I$8,3,0),1),2)</f>
        <v>12500</v>
      </c>
      <c r="Q88" s="13" t="str">
        <f>IFERROR(VLOOKUP(H88,Справочники!$D$6:$E$14,2,0),"НЕИЗВЕСТНО")</f>
        <v>Отменен</v>
      </c>
      <c r="R88" s="20">
        <f>IFERROR(INDEX(Товары_очищенные!$Q$3:$Q$503,MATCH(M88,Товары_очищенные!$L$3:$L$503,0)),"нет в каталоге")</f>
        <v>41500</v>
      </c>
      <c r="S88" s="21" t="str">
        <f>IFERROR(INDEX(Товары_очищенные!$N$3:$N$503,MATCH(M88,Товары_очищенные!$L$3:$L$503,0)),"нет в каталоге")</f>
        <v>Смартфоны</v>
      </c>
      <c r="T88" s="21" t="str">
        <f t="shared" si="160"/>
        <v>OK</v>
      </c>
      <c r="U88" s="12" t="str">
        <f t="shared" si="161"/>
        <v>26/02/2025|АРТ-233|C0086</v>
      </c>
      <c r="V88" s="12" t="str">
        <f t="shared" si="162"/>
        <v>оригинал</v>
      </c>
    </row>
    <row r="89" ht="15" customHeight="1">
      <c r="A89" s="10">
        <v>87</v>
      </c>
      <c r="B89" s="11" t="str">
        <f>RAW_Продажи!A88</f>
        <v>02/27/2025</v>
      </c>
      <c r="C89" s="11" t="str">
        <f>RAW_Продажи!B88</f>
        <v>271/24</v>
      </c>
      <c r="D89" s="11" t="str">
        <f>RAW_Продажи!C88</f>
        <v xml:space="preserve">3 шт.</v>
      </c>
      <c r="E89" s="11" t="str">
        <f>RAW_Продажи!D88</f>
        <v xml:space="preserve">11000 ₽</v>
      </c>
      <c r="F89" s="11" t="str">
        <f>RAW_Продажи!E88</f>
        <v>C0087</v>
      </c>
      <c r="G89" s="11" t="str">
        <f>RAW_Продажи!F88</f>
        <v>P025</v>
      </c>
      <c r="H89" s="11" t="str">
        <f>RAW_Продажи!G88</f>
        <v>отменен</v>
      </c>
      <c r="I89" s="12" t="str">
        <f t="shared" si="154"/>
        <v>271/24</v>
      </c>
      <c r="J89" s="12" t="str">
        <f t="shared" si="155"/>
        <v>₽</v>
      </c>
      <c r="K89" s="12">
        <f t="shared" si="156"/>
        <v>11000</v>
      </c>
      <c r="L89" s="19">
        <f t="shared" si="157"/>
        <v>45715</v>
      </c>
      <c r="M89" s="13" t="str">
        <f t="shared" si="158"/>
        <v>АРТ-271</v>
      </c>
      <c r="N89" s="13">
        <f t="shared" si="159"/>
        <v>3</v>
      </c>
      <c r="O89" s="13" t="str">
        <f>IFERROR(VLOOKUP(J89,Справочники!$G$6:$H$8,2,0),"RUB")</f>
        <v>RUB</v>
      </c>
      <c r="P89" s="14">
        <f>ROUND(K89*IFERROR(VLOOKUP(J89,Справочники!$G$6:$I$8,3,0),1),2)</f>
        <v>11000</v>
      </c>
      <c r="Q89" s="13" t="str">
        <f>IFERROR(VLOOKUP(H89,Справочники!$D$6:$E$14,2,0),"НЕИЗВЕСТНО")</f>
        <v>Отменен</v>
      </c>
      <c r="R89" s="20">
        <f>IFERROR(INDEX(Товары_очищенные!$Q$3:$Q$503,MATCH(M89,Товары_очищенные!$L$3:$L$503,0)),"нет в каталоге")</f>
        <v>44990</v>
      </c>
      <c r="S89" s="21" t="str">
        <f>IFERROR(INDEX(Товары_очищенные!$N$3:$N$503,MATCH(M89,Товары_очищенные!$L$3:$L$503,0)),"нет в каталоге")</f>
        <v>Смартфоны</v>
      </c>
      <c r="T89" s="21" t="str">
        <f t="shared" si="160"/>
        <v>OK</v>
      </c>
      <c r="U89" s="12" t="str">
        <f t="shared" si="161"/>
        <v>27/02/2025|АРТ-271|C0087</v>
      </c>
      <c r="V89" s="12" t="str">
        <f t="shared" si="162"/>
        <v>оригинал</v>
      </c>
    </row>
    <row r="90" ht="15" customHeight="1">
      <c r="A90" s="10">
        <v>88</v>
      </c>
      <c r="B90" s="11" t="str">
        <f>RAW_Продажи!A89</f>
        <v>02/27/2025</v>
      </c>
      <c r="C90" s="11" t="str">
        <f>RAW_Продажи!B89</f>
        <v>№АРТ-016</v>
      </c>
      <c r="D90" s="11" t="str">
        <f>RAW_Продажи!C89</f>
        <v>-2</v>
      </c>
      <c r="E90" s="11" t="str">
        <f>RAW_Продажи!D89</f>
        <v>$90</v>
      </c>
      <c r="F90" s="11" t="str">
        <f>RAW_Продажи!E89</f>
        <v>C0088</v>
      </c>
      <c r="G90" s="11" t="str">
        <f>RAW_Продажи!F89</f>
        <v>P010</v>
      </c>
      <c r="H90" s="11" t="str">
        <f>RAW_Продажи!G89</f>
        <v>возврат</v>
      </c>
      <c r="I90" s="12" t="str">
        <f t="shared" si="154"/>
        <v>016</v>
      </c>
      <c r="J90" s="12" t="str">
        <f t="shared" si="155"/>
        <v>$</v>
      </c>
      <c r="K90" s="12">
        <f t="shared" si="156"/>
        <v>90</v>
      </c>
      <c r="L90" s="19">
        <f t="shared" si="157"/>
        <v>45715</v>
      </c>
      <c r="M90" s="13" t="str">
        <f t="shared" si="158"/>
        <v>АРТ-016</v>
      </c>
      <c r="N90" s="13">
        <f t="shared" si="159"/>
        <v>-2</v>
      </c>
      <c r="O90" s="13" t="str">
        <f>IFERROR(VLOOKUP(J90,Справочники!$G$6:$H$8,2,0),"RUB")</f>
        <v>USD</v>
      </c>
      <c r="P90" s="14">
        <f>ROUND(K90*IFERROR(VLOOKUP(J90,Справочники!$G$6:$I$8,3,0),1),2)</f>
        <v>8550</v>
      </c>
      <c r="Q90" s="13" t="str">
        <f>IFERROR(VLOOKUP(H90,Справочники!$D$6:$E$14,2,0),"НЕИЗВЕСТНО")</f>
        <v>Возврат</v>
      </c>
      <c r="R90" s="20">
        <f>IFERROR(INDEX(Товары_очищенные!$Q$3:$Q$503,MATCH(M90,Товары_очищенные!$L$3:$L$503,0)),"нет в каталоге")</f>
        <v>29990</v>
      </c>
      <c r="S90" s="21" t="str">
        <f>IFERROR(INDEX(Товары_очищенные!$N$3:$N$503,MATCH(M90,Товары_очищенные!$L$3:$L$503,0)),"нет в каталоге")</f>
        <v>Наушники</v>
      </c>
      <c r="T90" s="21" t="str">
        <f t="shared" si="160"/>
        <v>OK</v>
      </c>
      <c r="U90" s="12" t="str">
        <f t="shared" si="161"/>
        <v>27/02/2025|АРТ-016|C0088</v>
      </c>
      <c r="V90" s="12" t="str">
        <f t="shared" si="162"/>
        <v>оригинал</v>
      </c>
    </row>
    <row r="91" ht="15" customHeight="1">
      <c r="A91" s="10">
        <v>89</v>
      </c>
      <c r="B91" s="11" t="str">
        <f>RAW_Продажи!A90</f>
        <v>02/28/2025</v>
      </c>
      <c r="C91" s="11" t="str">
        <f>RAW_Продажи!B90</f>
        <v>АРТ_369</v>
      </c>
      <c r="D91" s="11" t="str">
        <f>RAW_Продажи!C90</f>
        <v>2</v>
      </c>
      <c r="E91" s="11" t="str">
        <f>RAW_Продажи!D90</f>
        <v>€70</v>
      </c>
      <c r="F91" s="11" t="str">
        <f>RAW_Продажи!E90</f>
        <v>C0089</v>
      </c>
      <c r="G91" s="11" t="str">
        <f>RAW_Продажи!F90</f>
        <v>P033</v>
      </c>
      <c r="H91" s="11" t="str">
        <f>RAW_Продажи!G90</f>
        <v>Завершен</v>
      </c>
      <c r="I91" s="12" t="str">
        <f t="shared" si="154"/>
        <v>369</v>
      </c>
      <c r="J91" s="12" t="str">
        <f t="shared" si="155"/>
        <v>€</v>
      </c>
      <c r="K91" s="12">
        <f t="shared" si="156"/>
        <v>70</v>
      </c>
      <c r="L91" s="19">
        <f t="shared" si="157"/>
        <v>45716</v>
      </c>
      <c r="M91" s="13" t="str">
        <f t="shared" si="158"/>
        <v>АРТ-369</v>
      </c>
      <c r="N91" s="13">
        <f t="shared" si="159"/>
        <v>2</v>
      </c>
      <c r="O91" s="13" t="str">
        <f>IFERROR(VLOOKUP(J91,Справочники!$G$6:$H$8,2,0),"RUB")</f>
        <v>EUR</v>
      </c>
      <c r="P91" s="14">
        <f>ROUND(K91*IFERROR(VLOOKUP(J91,Справочники!$G$6:$I$8,3,0),1),2)</f>
        <v>7000</v>
      </c>
      <c r="Q91" s="13" t="str">
        <f>IFERROR(VLOOKUP(H91,Справочники!$D$6:$E$14,2,0),"НЕИЗВЕСТНО")</f>
        <v>Завершен</v>
      </c>
      <c r="R91" s="20">
        <f>IFERROR(INDEX(Товары_очищенные!$Q$3:$Q$503,MATCH(M91,Товары_очищенные!$L$3:$L$503,0)),"нет в каталоге")</f>
        <v>20800</v>
      </c>
      <c r="S91" s="21" t="str">
        <f>IFERROR(INDEX(Товары_очищенные!$N$3:$N$503,MATCH(M91,Товары_очищенные!$L$3:$L$503,0)),"нет в каталоге")</f>
        <v>Наушники</v>
      </c>
      <c r="T91" s="21" t="str">
        <f t="shared" si="160"/>
        <v>OK</v>
      </c>
      <c r="U91" s="12" t="str">
        <f t="shared" si="161"/>
        <v>28/02/2025|АРТ-369|C0089</v>
      </c>
      <c r="V91" s="12" t="str">
        <f t="shared" si="162"/>
        <v>оригинал</v>
      </c>
    </row>
    <row r="92" ht="15" customHeight="1">
      <c r="A92" s="10">
        <v>90</v>
      </c>
      <c r="B92" s="11" t="str">
        <f>RAW_Продажи!A91</f>
        <v>02/28/2025</v>
      </c>
      <c r="C92" s="11" t="str">
        <f>RAW_Продажи!B91</f>
        <v>104-24</v>
      </c>
      <c r="D92" s="11" t="str">
        <f>RAW_Продажи!C91</f>
        <v>1</v>
      </c>
      <c r="E92" s="11" t="str">
        <f>RAW_Продажи!D91</f>
        <v xml:space="preserve">6500 ₽</v>
      </c>
      <c r="F92" s="11" t="str">
        <f>RAW_Продажи!E91</f>
        <v>C0090</v>
      </c>
      <c r="G92" s="11" t="str">
        <f>RAW_Продажи!F91</f>
        <v>P047</v>
      </c>
      <c r="H92" s="11" t="str">
        <f>RAW_Продажи!G91</f>
        <v>завершен</v>
      </c>
      <c r="I92" s="12" t="str">
        <f t="shared" si="154"/>
        <v>104-24</v>
      </c>
      <c r="J92" s="12" t="str">
        <f t="shared" si="155"/>
        <v>₽</v>
      </c>
      <c r="K92" s="12">
        <f t="shared" si="156"/>
        <v>6500</v>
      </c>
      <c r="L92" s="19">
        <f t="shared" si="157"/>
        <v>45716</v>
      </c>
      <c r="M92" s="13" t="str">
        <f t="shared" si="158"/>
        <v>АРТ-104</v>
      </c>
      <c r="N92" s="13">
        <f t="shared" si="159"/>
        <v>1</v>
      </c>
      <c r="O92" s="13" t="str">
        <f>IFERROR(VLOOKUP(J92,Справочники!$G$6:$H$8,2,0),"RUB")</f>
        <v>RUB</v>
      </c>
      <c r="P92" s="14">
        <f>ROUND(K92*IFERROR(VLOOKUP(J92,Справочники!$G$6:$I$8,3,0),1),2)</f>
        <v>6500</v>
      </c>
      <c r="Q92" s="13" t="str">
        <f>IFERROR(VLOOKUP(H92,Справочники!$D$6:$E$14,2,0),"НЕИЗВЕСТНО")</f>
        <v>Завершен</v>
      </c>
      <c r="R92" s="20">
        <f>IFERROR(INDEX(Товары_очищенные!$Q$3:$Q$503,MATCH(M92,Товары_очищенные!$L$3:$L$503,0)),"нет в каталоге")</f>
        <v>147000</v>
      </c>
      <c r="S92" s="21" t="str">
        <f>IFERROR(INDEX(Товары_очищенные!$N$3:$N$503,MATCH(M92,Товары_очищенные!$L$3:$L$503,0)),"нет в каталоге")</f>
        <v>Ноутбуки</v>
      </c>
      <c r="T92" s="21" t="str">
        <f t="shared" si="160"/>
        <v>OK</v>
      </c>
      <c r="U92" s="12" t="str">
        <f t="shared" si="161"/>
        <v>28/02/2025|АРТ-104|C0090</v>
      </c>
      <c r="V92" s="12" t="str">
        <f t="shared" si="162"/>
        <v>оригинал</v>
      </c>
    </row>
    <row r="93" ht="15" customHeight="1">
      <c r="A93" s="10">
        <v>91</v>
      </c>
      <c r="B93" s="11" t="str">
        <f>RAW_Продажи!A92</f>
        <v>03/01/2025</v>
      </c>
      <c r="C93" s="11" t="str">
        <f>RAW_Продажи!B92</f>
        <v>№АРТ-452</v>
      </c>
      <c r="D93" s="11" t="str">
        <f>RAW_Продажи!C92</f>
        <v>3</v>
      </c>
      <c r="E93" s="11" t="str">
        <f>RAW_Продажи!D92</f>
        <v>$105</v>
      </c>
      <c r="F93" s="11" t="str">
        <f>RAW_Продажи!E92</f>
        <v>C0091</v>
      </c>
      <c r="G93" s="11" t="str">
        <f>RAW_Продажи!F92</f>
        <v>P020</v>
      </c>
      <c r="H93" s="11" t="str">
        <f>RAW_Продажи!G92</f>
        <v>completed</v>
      </c>
      <c r="I93" s="12" t="str">
        <f t="shared" si="154"/>
        <v>452</v>
      </c>
      <c r="J93" s="12" t="str">
        <f t="shared" si="155"/>
        <v>$</v>
      </c>
      <c r="K93" s="12">
        <f t="shared" si="156"/>
        <v>105</v>
      </c>
      <c r="L93" s="19">
        <f t="shared" si="157"/>
        <v>45717</v>
      </c>
      <c r="M93" s="13" t="str">
        <f t="shared" si="158"/>
        <v>АРТ-452</v>
      </c>
      <c r="N93" s="13">
        <f t="shared" si="159"/>
        <v>3</v>
      </c>
      <c r="O93" s="13" t="str">
        <f>IFERROR(VLOOKUP(J93,Справочники!$G$6:$H$8,2,0),"RUB")</f>
        <v>USD</v>
      </c>
      <c r="P93" s="14">
        <f>ROUND(K93*IFERROR(VLOOKUP(J93,Справочники!$G$6:$I$8,3,0),1),2)</f>
        <v>9975</v>
      </c>
      <c r="Q93" s="13" t="str">
        <f>IFERROR(VLOOKUP(H93,Справочники!$D$6:$E$14,2,0),"НЕИЗВЕСТНО")</f>
        <v>Завершен</v>
      </c>
      <c r="R93" s="20">
        <f>IFERROR(INDEX(Товары_очищенные!$Q$3:$Q$503,MATCH(M93,Товары_очищенные!$L$3:$L$503,0)),"нет в каталоге")</f>
        <v>38500</v>
      </c>
      <c r="S93" s="21" t="str">
        <f>IFERROR(INDEX(Товары_очищенные!$N$3:$N$503,MATCH(M93,Товары_очищенные!$L$3:$L$503,0)),"нет в каталоге")</f>
        <v>Наушники</v>
      </c>
      <c r="T93" s="21" t="str">
        <f t="shared" si="160"/>
        <v>OK</v>
      </c>
      <c r="U93" s="12" t="str">
        <f t="shared" si="161"/>
        <v>01/03/2025|АРТ-452|C0091</v>
      </c>
      <c r="V93" s="12" t="str">
        <f t="shared" si="162"/>
        <v>оригинал</v>
      </c>
    </row>
    <row r="94" ht="15" customHeight="1">
      <c r="A94" s="10">
        <v>92</v>
      </c>
      <c r="B94" s="11" t="str">
        <f>RAW_Продажи!A93</f>
        <v>03/01/2025</v>
      </c>
      <c r="C94" s="11" t="str">
        <f>RAW_Продажи!B93</f>
        <v>АРТ_065</v>
      </c>
      <c r="D94" s="11" t="str">
        <f>RAW_Продажи!C93</f>
        <v>2</v>
      </c>
      <c r="E94" s="11" t="str">
        <f>RAW_Продажи!D93</f>
        <v>€85</v>
      </c>
      <c r="F94" s="11" t="str">
        <f>RAW_Продажи!E93</f>
        <v>C0092</v>
      </c>
      <c r="G94" s="11" t="str">
        <f>RAW_Продажи!F93</f>
        <v>P002</v>
      </c>
      <c r="H94" s="11" t="str">
        <f>RAW_Продажи!G93</f>
        <v>отменен</v>
      </c>
      <c r="I94" s="12" t="str">
        <f t="shared" si="154"/>
        <v>065</v>
      </c>
      <c r="J94" s="12" t="str">
        <f t="shared" si="155"/>
        <v>€</v>
      </c>
      <c r="K94" s="12">
        <f t="shared" si="156"/>
        <v>85</v>
      </c>
      <c r="L94" s="19">
        <f t="shared" si="157"/>
        <v>45717</v>
      </c>
      <c r="M94" s="13" t="str">
        <f t="shared" si="158"/>
        <v>АРТ-065</v>
      </c>
      <c r="N94" s="13">
        <f t="shared" si="159"/>
        <v>2</v>
      </c>
      <c r="O94" s="13" t="str">
        <f>IFERROR(VLOOKUP(J94,Справочники!$G$6:$H$8,2,0),"RUB")</f>
        <v>EUR</v>
      </c>
      <c r="P94" s="14">
        <f>ROUND(K94*IFERROR(VLOOKUP(J94,Справочники!$G$6:$I$8,3,0),1),2)</f>
        <v>8500</v>
      </c>
      <c r="Q94" s="13" t="str">
        <f>IFERROR(VLOOKUP(H94,Справочники!$D$6:$E$14,2,0),"НЕИЗВЕСТНО")</f>
        <v>Отменен</v>
      </c>
      <c r="R94" s="20">
        <f>IFERROR(INDEX(Товары_очищенные!$Q$3:$Q$503,MATCH(M94,Товары_очищенные!$L$3:$L$503,0)),"нет в каталоге")</f>
        <v>55500</v>
      </c>
      <c r="S94" s="21" t="str">
        <f>IFERROR(INDEX(Товары_очищенные!$N$3:$N$503,MATCH(M94,Товары_очищенные!$L$3:$L$503,0)),"нет в каталоге")</f>
        <v>Смартфоны</v>
      </c>
      <c r="T94" s="21" t="str">
        <f t="shared" si="160"/>
        <v>OK</v>
      </c>
      <c r="U94" s="12" t="str">
        <f t="shared" si="161"/>
        <v>01/03/2025|АРТ-065|C0092</v>
      </c>
      <c r="V94" s="12" t="str">
        <f t="shared" si="162"/>
        <v>оригинал</v>
      </c>
    </row>
    <row r="95" ht="15" customHeight="1">
      <c r="A95" s="10">
        <v>93</v>
      </c>
      <c r="B95" s="11" t="str">
        <f>RAW_Продажи!A94</f>
        <v>03/02/2025</v>
      </c>
      <c r="C95" s="11" t="str">
        <f>RAW_Продажи!B94</f>
        <v>336/24</v>
      </c>
      <c r="D95" s="11" t="str">
        <f>RAW_Продажи!C94</f>
        <v xml:space="preserve">1 шт.</v>
      </c>
      <c r="E95" s="11" t="str">
        <f>RAW_Продажи!D94</f>
        <v xml:space="preserve">7800 ₽</v>
      </c>
      <c r="F95" s="11" t="str">
        <f>RAW_Продажи!E94</f>
        <v>C0093</v>
      </c>
      <c r="G95" s="11" t="str">
        <f>RAW_Продажи!F94</f>
        <v>P038</v>
      </c>
      <c r="H95" s="11" t="str">
        <f>RAW_Продажи!G94</f>
        <v>canceled</v>
      </c>
      <c r="I95" s="12" t="str">
        <f t="shared" si="154"/>
        <v>336/24</v>
      </c>
      <c r="J95" s="12" t="str">
        <f t="shared" si="155"/>
        <v>₽</v>
      </c>
      <c r="K95" s="12">
        <f t="shared" si="156"/>
        <v>7800</v>
      </c>
      <c r="L95" s="19">
        <f t="shared" si="157"/>
        <v>45718</v>
      </c>
      <c r="M95" s="13" t="str">
        <f t="shared" si="158"/>
        <v>АРТ-336</v>
      </c>
      <c r="N95" s="13">
        <f t="shared" si="159"/>
        <v>1</v>
      </c>
      <c r="O95" s="13" t="str">
        <f>IFERROR(VLOOKUP(J95,Справочники!$G$6:$H$8,2,0),"RUB")</f>
        <v>RUB</v>
      </c>
      <c r="P95" s="14">
        <f>ROUND(K95*IFERROR(VLOOKUP(J95,Справочники!$G$6:$I$8,3,0),1),2)</f>
        <v>7800</v>
      </c>
      <c r="Q95" s="13" t="str">
        <f>IFERROR(VLOOKUP(H95,Справочники!$D$6:$E$14,2,0),"НЕИЗВЕСТНО")</f>
        <v>Отменен</v>
      </c>
      <c r="R95" s="20">
        <f>IFERROR(INDEX(Товары_очищенные!$Q$3:$Q$503,MATCH(M95,Товары_очищенные!$L$3:$L$503,0)),"нет в каталоге")</f>
        <v>50500</v>
      </c>
      <c r="S95" s="21" t="str">
        <f>IFERROR(INDEX(Товары_очищенные!$N$3:$N$503,MATCH(M95,Товары_очищенные!$L$3:$L$503,0)),"нет в каталоге")</f>
        <v>Планшеты</v>
      </c>
      <c r="T95" s="21" t="str">
        <f t="shared" si="160"/>
        <v>OK</v>
      </c>
      <c r="U95" s="12" t="str">
        <f t="shared" si="161"/>
        <v>02/03/2025|АРТ-336|C0093</v>
      </c>
      <c r="V95" s="12" t="str">
        <f t="shared" si="162"/>
        <v>оригинал</v>
      </c>
    </row>
    <row r="96" ht="15" customHeight="1">
      <c r="A96" s="10">
        <v>94</v>
      </c>
      <c r="B96" s="11" t="str">
        <f>RAW_Продажи!A95</f>
        <v>03/02/2025</v>
      </c>
      <c r="C96" s="11" t="str">
        <f>RAW_Продажи!B95</f>
        <v>№АРТ-211</v>
      </c>
      <c r="D96" s="11" t="str">
        <f>RAW_Продажи!C95</f>
        <v>-3</v>
      </c>
      <c r="E96" s="11" t="str">
        <f>RAW_Продажи!D95</f>
        <v>$120</v>
      </c>
      <c r="F96" s="11" t="str">
        <f>RAW_Продажи!E95</f>
        <v>C0094</v>
      </c>
      <c r="G96" s="11" t="str">
        <f>RAW_Продажи!F95</f>
        <v>P016</v>
      </c>
      <c r="H96" s="11" t="str">
        <f>RAW_Продажи!G95</f>
        <v>Завершен</v>
      </c>
      <c r="I96" s="12" t="str">
        <f t="shared" si="154"/>
        <v>211</v>
      </c>
      <c r="J96" s="12" t="str">
        <f t="shared" si="155"/>
        <v>$</v>
      </c>
      <c r="K96" s="12">
        <f t="shared" si="156"/>
        <v>120</v>
      </c>
      <c r="L96" s="19">
        <f t="shared" si="157"/>
        <v>45718</v>
      </c>
      <c r="M96" s="13" t="str">
        <f t="shared" si="158"/>
        <v>АРТ-211</v>
      </c>
      <c r="N96" s="13">
        <f t="shared" si="159"/>
        <v>-3</v>
      </c>
      <c r="O96" s="13" t="str">
        <f>IFERROR(VLOOKUP(J96,Справочники!$G$6:$H$8,2,0),"RUB")</f>
        <v>USD</v>
      </c>
      <c r="P96" s="14">
        <f>ROUND(K96*IFERROR(VLOOKUP(J96,Справочники!$G$6:$I$8,3,0),1),2)</f>
        <v>11400</v>
      </c>
      <c r="Q96" s="13" t="str">
        <f>IFERROR(VLOOKUP(H96,Справочники!$D$6:$E$14,2,0),"НЕИЗВЕСТНО")</f>
        <v>Завершен</v>
      </c>
      <c r="R96" s="20">
        <f>IFERROR(INDEX(Товары_очищенные!$Q$3:$Q$503,MATCH(M96,Товары_очищенные!$L$3:$L$503,0)),"нет в каталоге")</f>
        <v>59990</v>
      </c>
      <c r="S96" s="21" t="str">
        <f>IFERROR(INDEX(Товары_очищенные!$N$3:$N$503,MATCH(M96,Товары_очищенные!$L$3:$L$503,0)),"нет в каталоге")</f>
        <v>Смартфоны</v>
      </c>
      <c r="T96" s="21" t="str">
        <f t="shared" si="160"/>
        <v>OK</v>
      </c>
      <c r="U96" s="12" t="str">
        <f t="shared" si="161"/>
        <v>02/03/2025|АРТ-211|C0094</v>
      </c>
      <c r="V96" s="12" t="str">
        <f t="shared" si="162"/>
        <v>оригинал</v>
      </c>
    </row>
    <row r="97" ht="15" customHeight="1">
      <c r="A97" s="10">
        <v>95</v>
      </c>
      <c r="B97" s="11" t="str">
        <f>RAW_Продажи!A96</f>
        <v>03/03/2025</v>
      </c>
      <c r="C97" s="11" t="str">
        <f>RAW_Продажи!B96</f>
        <v>АРТ_490</v>
      </c>
      <c r="D97" s="11" t="str">
        <f>RAW_Продажи!C96</f>
        <v>2</v>
      </c>
      <c r="E97" s="11" t="str">
        <f>RAW_Продажи!D96</f>
        <v>€100</v>
      </c>
      <c r="F97" s="11" t="str">
        <f>RAW_Продажи!E96</f>
        <v>C0095</v>
      </c>
      <c r="G97" s="11" t="str">
        <f>RAW_Продажи!F96</f>
        <v>P029</v>
      </c>
      <c r="H97" s="11" t="str">
        <f>RAW_Продажи!G96</f>
        <v>возврат</v>
      </c>
      <c r="I97" s="12" t="str">
        <f t="shared" si="154"/>
        <v>490</v>
      </c>
      <c r="J97" s="12" t="str">
        <f t="shared" si="155"/>
        <v>€</v>
      </c>
      <c r="K97" s="12">
        <f t="shared" si="156"/>
        <v>100</v>
      </c>
      <c r="L97" s="19">
        <f t="shared" si="157"/>
        <v>45719</v>
      </c>
      <c r="M97" s="13" t="str">
        <f t="shared" si="158"/>
        <v>АРТ-490</v>
      </c>
      <c r="N97" s="13">
        <f t="shared" si="159"/>
        <v>2</v>
      </c>
      <c r="O97" s="13" t="str">
        <f>IFERROR(VLOOKUP(J97,Справочники!$G$6:$H$8,2,0),"RUB")</f>
        <v>EUR</v>
      </c>
      <c r="P97" s="14">
        <f>ROUND(K97*IFERROR(VLOOKUP(J97,Справочники!$G$6:$I$8,3,0),1),2)</f>
        <v>10000</v>
      </c>
      <c r="Q97" s="13" t="str">
        <f>IFERROR(VLOOKUP(H97,Справочники!$D$6:$E$14,2,0),"НЕИЗВЕСТНО")</f>
        <v>Возврат</v>
      </c>
      <c r="R97" s="20">
        <f>IFERROR(INDEX(Товары_очищенные!$Q$3:$Q$503,MATCH(M97,Товары_очищенные!$L$3:$L$503,0)),"нет в каталоге")</f>
        <v>61990</v>
      </c>
      <c r="S97" s="21" t="str">
        <f>IFERROR(INDEX(Товары_очищенные!$N$3:$N$503,MATCH(M97,Товары_очищенные!$L$3:$L$503,0)),"нет в каталоге")</f>
        <v>Телевизоры</v>
      </c>
      <c r="T97" s="21" t="str">
        <f t="shared" si="160"/>
        <v>OK</v>
      </c>
      <c r="U97" s="12" t="str">
        <f t="shared" si="161"/>
        <v>03/03/2025|АРТ-490|C0095</v>
      </c>
      <c r="V97" s="12" t="str">
        <f t="shared" si="162"/>
        <v>оригинал</v>
      </c>
    </row>
    <row r="98" ht="15" customHeight="1">
      <c r="A98" s="10">
        <v>96</v>
      </c>
      <c r="B98" s="11" t="str">
        <f>RAW_Продажи!A97</f>
        <v>03/03/2025</v>
      </c>
      <c r="C98" s="11" t="str">
        <f>RAW_Продажи!B97</f>
        <v>087-24</v>
      </c>
      <c r="D98" s="11" t="str">
        <f>RAW_Продажи!C97</f>
        <v>1</v>
      </c>
      <c r="E98" s="11" t="str">
        <f>RAW_Продажи!D97</f>
        <v xml:space="preserve">8500 ₽</v>
      </c>
      <c r="F98" s="11" t="str">
        <f>RAW_Продажи!E97</f>
        <v>C0096</v>
      </c>
      <c r="G98" s="11" t="str">
        <f>RAW_Продажи!F97</f>
        <v>P035</v>
      </c>
      <c r="H98" s="11" t="str">
        <f>RAW_Продажи!G97</f>
        <v>завершен</v>
      </c>
      <c r="I98" s="12" t="str">
        <f t="shared" si="154"/>
        <v>087-24</v>
      </c>
      <c r="J98" s="12" t="str">
        <f t="shared" si="155"/>
        <v>₽</v>
      </c>
      <c r="K98" s="12">
        <f t="shared" si="156"/>
        <v>8500</v>
      </c>
      <c r="L98" s="19">
        <f t="shared" si="157"/>
        <v>45719</v>
      </c>
      <c r="M98" s="13" t="str">
        <f t="shared" si="158"/>
        <v>АРТ-087</v>
      </c>
      <c r="N98" s="13">
        <f t="shared" si="159"/>
        <v>1</v>
      </c>
      <c r="O98" s="13" t="str">
        <f>IFERROR(VLOOKUP(J98,Справочники!$G$6:$H$8,2,0),"RUB")</f>
        <v>RUB</v>
      </c>
      <c r="P98" s="14">
        <f>ROUND(K98*IFERROR(VLOOKUP(J98,Справочники!$G$6:$I$8,3,0),1),2)</f>
        <v>8500</v>
      </c>
      <c r="Q98" s="13" t="str">
        <f>IFERROR(VLOOKUP(H98,Справочники!$D$6:$E$14,2,0),"НЕИЗВЕСТНО")</f>
        <v>Завершен</v>
      </c>
      <c r="R98" s="20">
        <f>IFERROR(INDEX(Товары_очищенные!$Q$3:$Q$503,MATCH(M98,Товары_очищенные!$L$3:$L$503,0)),"нет в каталоге")</f>
        <v>112000</v>
      </c>
      <c r="S98" s="21" t="str">
        <f>IFERROR(INDEX(Товары_очищенные!$N$3:$N$503,MATCH(M98,Товары_очищенные!$L$3:$L$503,0)),"нет в каталоге")</f>
        <v>Ноутбуки</v>
      </c>
      <c r="T98" s="21" t="str">
        <f t="shared" si="160"/>
        <v>OK</v>
      </c>
      <c r="U98" s="12" t="str">
        <f t="shared" si="161"/>
        <v>03/03/2025|АРТ-087|C0096</v>
      </c>
      <c r="V98" s="12" t="str">
        <f t="shared" si="162"/>
        <v>оригинал</v>
      </c>
    </row>
    <row r="99" ht="15" customHeight="1">
      <c r="A99" s="10">
        <v>97</v>
      </c>
      <c r="B99" s="11" t="str">
        <f>RAW_Продажи!A98</f>
        <v>03/04/2025</v>
      </c>
      <c r="C99" s="11" t="str">
        <f>RAW_Продажи!B98</f>
        <v>№АРТ-073</v>
      </c>
      <c r="D99" s="11" t="str">
        <f>RAW_Продажи!C98</f>
        <v>3</v>
      </c>
      <c r="E99" s="11" t="str">
        <f>RAW_Продажи!D98</f>
        <v>$130</v>
      </c>
      <c r="F99" s="11" t="str">
        <f>RAW_Продажи!E98</f>
        <v>C0097</v>
      </c>
      <c r="G99" s="11" t="str">
        <f>RAW_Продажи!F98</f>
        <v>P046</v>
      </c>
      <c r="H99" s="11" t="str">
        <f>RAW_Продажи!G98</f>
        <v>completed</v>
      </c>
      <c r="I99" s="12" t="str">
        <f t="shared" si="154"/>
        <v>073</v>
      </c>
      <c r="J99" s="12" t="str">
        <f t="shared" si="155"/>
        <v>$</v>
      </c>
      <c r="K99" s="12">
        <f t="shared" si="156"/>
        <v>130</v>
      </c>
      <c r="L99" s="19">
        <f t="shared" si="157"/>
        <v>45720</v>
      </c>
      <c r="M99" s="13" t="str">
        <f t="shared" si="158"/>
        <v>АРТ-073</v>
      </c>
      <c r="N99" s="13">
        <f t="shared" si="159"/>
        <v>3</v>
      </c>
      <c r="O99" s="13" t="str">
        <f>IFERROR(VLOOKUP(J99,Справочники!$G$6:$H$8,2,0),"RUB")</f>
        <v>USD</v>
      </c>
      <c r="P99" s="14">
        <f>ROUND(K99*IFERROR(VLOOKUP(J99,Справочники!$G$6:$I$8,3,0),1),2)</f>
        <v>12350</v>
      </c>
      <c r="Q99" s="13" t="str">
        <f>IFERROR(VLOOKUP(H99,Справочники!$D$6:$E$14,2,0),"НЕИЗВЕСТНО")</f>
        <v>Завершен</v>
      </c>
      <c r="R99" s="20">
        <f>IFERROR(INDEX(Товары_очищенные!$Q$3:$Q$503,MATCH(M99,Товары_очищенные!$L$3:$L$503,0)),"нет в каталоге")</f>
        <v>79900</v>
      </c>
      <c r="S99" s="21" t="str">
        <f>IFERROR(INDEX(Товары_очищенные!$N$3:$N$503,MATCH(M99,Товары_очищенные!$L$3:$L$503,0)),"нет в каталоге")</f>
        <v>Мониторы</v>
      </c>
      <c r="T99" s="21" t="str">
        <f t="shared" si="160"/>
        <v>OK</v>
      </c>
      <c r="U99" s="12" t="str">
        <f t="shared" si="161"/>
        <v>04/03/2025|АРТ-073|C0097</v>
      </c>
      <c r="V99" s="12" t="str">
        <f t="shared" si="162"/>
        <v>оригинал</v>
      </c>
    </row>
    <row r="100" ht="15" customHeight="1">
      <c r="A100" s="10">
        <v>98</v>
      </c>
      <c r="B100" s="11" t="str">
        <f>RAW_Продажи!A99</f>
        <v>03/04/2025</v>
      </c>
      <c r="C100" s="11" t="str">
        <f>RAW_Продажи!B99</f>
        <v>АРТ_141</v>
      </c>
      <c r="D100" s="11" t="str">
        <f>RAW_Продажи!C99</f>
        <v>2</v>
      </c>
      <c r="E100" s="11" t="str">
        <f>RAW_Продажи!D99</f>
        <v>€110</v>
      </c>
      <c r="F100" s="11" t="str">
        <f>RAW_Продажи!E99</f>
        <v>C0098</v>
      </c>
      <c r="G100" s="11" t="str">
        <f>RAW_Продажи!F99</f>
        <v>P022</v>
      </c>
      <c r="H100" s="11" t="str">
        <f>RAW_Продажи!G99</f>
        <v>Завершен</v>
      </c>
      <c r="I100" s="12" t="str">
        <f t="shared" ref="I100:I163" si="163">SUBSTITUTE(SUBSTITUTE(C100,"№АРТ-",""),"АРТ_","")</f>
        <v>141</v>
      </c>
      <c r="J100" s="12" t="str">
        <f t="shared" ref="J100:J163" si="164">IF(LEFT(TRIM(E100),1)="$","$",IF(LEFT(TRIM(E100),1)="€","€","₽"))</f>
        <v>€</v>
      </c>
      <c r="K100" s="12">
        <f t="shared" ref="K100:K163" si="165">VALUE(SUBSTITUTE(SUBSTITUTE(SUBSTITUTE(SUBSTITUTE(TRIM(E100),"$",""),"€",""),"₽","")," ",""))</f>
        <v>110</v>
      </c>
      <c r="L100" s="19">
        <f t="shared" ref="L100:L163" si="166">DATE(VALUE(MID(B100,7,4)),VALUE(LEFT(B100,2)),VALUE(MID(B100,4,2)))</f>
        <v>45720</v>
      </c>
      <c r="M100" s="13" t="str">
        <f t="shared" ref="M100:M163" si="167">"АРТ-"&amp;LEFT(I100,3)</f>
        <v>АРТ-141</v>
      </c>
      <c r="N100" s="13">
        <f t="shared" ref="N100:N163" si="168">VALUE(LEFT(TRIM(D100),FIND(" ",TRIM(D100)&amp;" ")-1))</f>
        <v>2</v>
      </c>
      <c r="O100" s="13" t="str">
        <f>IFERROR(VLOOKUP(J100,Справочники!$G$6:$H$8,2,0),"RUB")</f>
        <v>EUR</v>
      </c>
      <c r="P100" s="14">
        <f>ROUND(K100*IFERROR(VLOOKUP(J100,Справочники!$G$6:$I$8,3,0),1),2)</f>
        <v>11000</v>
      </c>
      <c r="Q100" s="13" t="str">
        <f>IFERROR(VLOOKUP(H100,Справочники!$D$6:$E$14,2,0),"НЕИЗВЕСТНО")</f>
        <v>Завершен</v>
      </c>
      <c r="R100" s="20">
        <f>IFERROR(INDEX(Товары_очищенные!$Q$3:$Q$503,MATCH(M100,Товары_очищенные!$L$3:$L$503,0)),"нет в каталоге")</f>
        <v>92500</v>
      </c>
      <c r="S100" s="21" t="str">
        <f>IFERROR(INDEX(Товары_очищенные!$N$3:$N$503,MATCH(M100,Товары_очищенные!$L$3:$L$503,0)),"нет в каталоге")</f>
        <v>Мониторы</v>
      </c>
      <c r="T100" s="21" t="str">
        <f t="shared" ref="T100:T163" si="169">IF(ISNUMBER(R100),IF(P100&lt;=R100*1.5,"OK","Цена выше розницы"),"—")</f>
        <v>OK</v>
      </c>
      <c r="U100" s="12" t="str">
        <f t="shared" ref="U100:U163" si="170">TEXT(L100,"DD.MM.YYYY")&amp;"|"&amp;M100&amp;"|"&amp;F100</f>
        <v>04/03/2025|АРТ-141|C0098</v>
      </c>
      <c r="V100" s="12" t="str">
        <f t="shared" ref="V100:V163" si="171">IF(COUNTIF($U$3:U100,U100)&gt;1,"ДУБЛЬ","оригинал")</f>
        <v>оригинал</v>
      </c>
    </row>
    <row r="101" ht="15" customHeight="1">
      <c r="A101" s="10">
        <v>99</v>
      </c>
      <c r="B101" s="11" t="str">
        <f>RAW_Продажи!A100</f>
        <v>03/05/2025</v>
      </c>
      <c r="C101" s="11" t="str">
        <f>RAW_Продажи!B100</f>
        <v>226/24</v>
      </c>
      <c r="D101" s="11" t="str">
        <f>RAW_Продажи!C100</f>
        <v xml:space="preserve">1 шт.</v>
      </c>
      <c r="E101" s="11" t="str">
        <f>RAW_Продажи!D100</f>
        <v xml:space="preserve">9200 ₽</v>
      </c>
      <c r="F101" s="11" t="str">
        <f>RAW_Продажи!E100</f>
        <v>C0099</v>
      </c>
      <c r="G101" s="11" t="str">
        <f>RAW_Продажи!F100</f>
        <v>P043</v>
      </c>
      <c r="H101" s="11" t="str">
        <f>RAW_Продажи!G100</f>
        <v>canceled</v>
      </c>
      <c r="I101" s="12" t="str">
        <f t="shared" si="163"/>
        <v>226/24</v>
      </c>
      <c r="J101" s="12" t="str">
        <f t="shared" si="164"/>
        <v>₽</v>
      </c>
      <c r="K101" s="12">
        <f t="shared" si="165"/>
        <v>9200</v>
      </c>
      <c r="L101" s="19">
        <f t="shared" si="166"/>
        <v>45721</v>
      </c>
      <c r="M101" s="13" t="str">
        <f t="shared" si="167"/>
        <v>АРТ-226</v>
      </c>
      <c r="N101" s="13">
        <f t="shared" si="168"/>
        <v>1</v>
      </c>
      <c r="O101" s="13" t="str">
        <f>IFERROR(VLOOKUP(J101,Справочники!$G$6:$H$8,2,0),"RUB")</f>
        <v>RUB</v>
      </c>
      <c r="P101" s="14">
        <f>ROUND(K101*IFERROR(VLOOKUP(J101,Справочники!$G$6:$I$8,3,0),1),2)</f>
        <v>9200</v>
      </c>
      <c r="Q101" s="13" t="str">
        <f>IFERROR(VLOOKUP(H101,Справочники!$D$6:$E$14,2,0),"НЕИЗВЕСТНО")</f>
        <v>Отменен</v>
      </c>
      <c r="R101" s="20">
        <f>IFERROR(INDEX(Товары_очищенные!$Q$3:$Q$503,MATCH(M101,Товары_очищенные!$L$3:$L$503,0)),"нет в каталоге")</f>
        <v>5990</v>
      </c>
      <c r="S101" s="21" t="str">
        <f>IFERROR(INDEX(Товары_очищенные!$N$3:$N$503,MATCH(M101,Товары_очищенные!$L$3:$L$503,0)),"нет в каталоге")</f>
        <v>Аксессуары</v>
      </c>
      <c r="T101" s="21" t="str">
        <f t="shared" si="169"/>
        <v xml:space="preserve">Цена выше розницы</v>
      </c>
      <c r="U101" s="12" t="str">
        <f t="shared" si="170"/>
        <v>05/03/2025|АРТ-226|C0099</v>
      </c>
      <c r="V101" s="12" t="str">
        <f t="shared" si="171"/>
        <v>оригинал</v>
      </c>
    </row>
    <row r="102" ht="15" customHeight="1">
      <c r="A102" s="10">
        <v>100</v>
      </c>
      <c r="B102" s="11" t="str">
        <f>RAW_Продажи!A101</f>
        <v>03/05/2025</v>
      </c>
      <c r="C102" s="11" t="str">
        <f>RAW_Продажи!B101</f>
        <v>№АРТ-322</v>
      </c>
      <c r="D102" s="11" t="str">
        <f>RAW_Продажи!C101</f>
        <v>-1</v>
      </c>
      <c r="E102" s="11" t="str">
        <f>RAW_Продажи!D101</f>
        <v>$85</v>
      </c>
      <c r="F102" s="11" t="str">
        <f>RAW_Продажи!E101</f>
        <v>C0100</v>
      </c>
      <c r="G102" s="11" t="str">
        <f>RAW_Продажи!F101</f>
        <v>P030</v>
      </c>
      <c r="H102" s="11" t="str">
        <f>RAW_Продажи!G101</f>
        <v>отменен</v>
      </c>
      <c r="I102" s="12" t="str">
        <f t="shared" si="163"/>
        <v>322</v>
      </c>
      <c r="J102" s="12" t="str">
        <f t="shared" si="164"/>
        <v>$</v>
      </c>
      <c r="K102" s="12">
        <f t="shared" si="165"/>
        <v>85</v>
      </c>
      <c r="L102" s="19">
        <f t="shared" si="166"/>
        <v>45721</v>
      </c>
      <c r="M102" s="13" t="str">
        <f t="shared" si="167"/>
        <v>АРТ-322</v>
      </c>
      <c r="N102" s="13">
        <f t="shared" si="168"/>
        <v>-1</v>
      </c>
      <c r="O102" s="13" t="str">
        <f>IFERROR(VLOOKUP(J102,Справочники!$G$6:$H$8,2,0),"RUB")</f>
        <v>USD</v>
      </c>
      <c r="P102" s="14">
        <f>ROUND(K102*IFERROR(VLOOKUP(J102,Справочники!$G$6:$I$8,3,0),1),2)</f>
        <v>8075</v>
      </c>
      <c r="Q102" s="13" t="str">
        <f>IFERROR(VLOOKUP(H102,Справочники!$D$6:$E$14,2,0),"НЕИЗВЕСТНО")</f>
        <v>Отменен</v>
      </c>
      <c r="R102" s="20">
        <f>IFERROR(INDEX(Товары_очищенные!$Q$3:$Q$503,MATCH(M102,Товары_очищенные!$L$3:$L$503,0)),"нет в каталоге")</f>
        <v>12990</v>
      </c>
      <c r="S102" s="21" t="str">
        <f>IFERROR(INDEX(Товары_очищенные!$N$3:$N$503,MATCH(M102,Товары_очищенные!$L$3:$L$503,0)),"нет в каталоге")</f>
        <v>Наушники</v>
      </c>
      <c r="T102" s="21" t="str">
        <f t="shared" si="169"/>
        <v>OK</v>
      </c>
      <c r="U102" s="12" t="str">
        <f t="shared" si="170"/>
        <v>05/03/2025|АРТ-322|C0100</v>
      </c>
      <c r="V102" s="12" t="str">
        <f t="shared" si="171"/>
        <v>оригинал</v>
      </c>
    </row>
    <row r="103" ht="15" customHeight="1">
      <c r="A103" s="10">
        <v>101</v>
      </c>
      <c r="B103" s="11" t="str">
        <f>RAW_Продажи!A102</f>
        <v>03/06/2025</v>
      </c>
      <c r="C103" s="11" t="str">
        <f>RAW_Продажи!B102</f>
        <v>АРТ_273</v>
      </c>
      <c r="D103" s="11" t="str">
        <f>RAW_Продажи!C102</f>
        <v>3</v>
      </c>
      <c r="E103" s="11" t="str">
        <f>RAW_Продажи!D102</f>
        <v>€65</v>
      </c>
      <c r="F103" s="11" t="str">
        <f>RAW_Продажи!E102</f>
        <v>C0101</v>
      </c>
      <c r="G103" s="11" t="str">
        <f>RAW_Продажи!F102</f>
        <v>P012</v>
      </c>
      <c r="H103" s="11" t="str">
        <f>RAW_Продажи!G102</f>
        <v>возврат</v>
      </c>
      <c r="I103" s="12" t="str">
        <f t="shared" si="163"/>
        <v>273</v>
      </c>
      <c r="J103" s="12" t="str">
        <f t="shared" si="164"/>
        <v>€</v>
      </c>
      <c r="K103" s="12">
        <f t="shared" si="165"/>
        <v>65</v>
      </c>
      <c r="L103" s="19">
        <f t="shared" si="166"/>
        <v>45722</v>
      </c>
      <c r="M103" s="13" t="str">
        <f t="shared" si="167"/>
        <v>АРТ-273</v>
      </c>
      <c r="N103" s="13">
        <f t="shared" si="168"/>
        <v>3</v>
      </c>
      <c r="O103" s="13" t="str">
        <f>IFERROR(VLOOKUP(J103,Справочники!$G$6:$H$8,2,0),"RUB")</f>
        <v>EUR</v>
      </c>
      <c r="P103" s="14">
        <f>ROUND(K103*IFERROR(VLOOKUP(J103,Справочники!$G$6:$I$8,3,0),1),2)</f>
        <v>6500</v>
      </c>
      <c r="Q103" s="13" t="str">
        <f>IFERROR(VLOOKUP(H103,Справочники!$D$6:$E$14,2,0),"НЕИЗВЕСТНО")</f>
        <v>Возврат</v>
      </c>
      <c r="R103" s="20">
        <f>IFERROR(INDEX(Товары_очищенные!$Q$3:$Q$503,MATCH(M103,Товары_очищенные!$L$3:$L$503,0)),"нет в каталоге")</f>
        <v>46500</v>
      </c>
      <c r="S103" s="21" t="str">
        <f>IFERROR(INDEX(Товары_очищенные!$N$3:$N$503,MATCH(M103,Товары_очищенные!$L$3:$L$503,0)),"нет в каталоге")</f>
        <v>Смартфоны</v>
      </c>
      <c r="T103" s="21" t="str">
        <f t="shared" si="169"/>
        <v>OK</v>
      </c>
      <c r="U103" s="12" t="str">
        <f t="shared" si="170"/>
        <v>06/03/2025|АРТ-273|C0101</v>
      </c>
      <c r="V103" s="12" t="str">
        <f t="shared" si="171"/>
        <v>оригинал</v>
      </c>
    </row>
    <row r="104" ht="15" customHeight="1">
      <c r="A104" s="10">
        <v>102</v>
      </c>
      <c r="B104" s="11" t="str">
        <f>RAW_Продажи!A103</f>
        <v>03/06/2025</v>
      </c>
      <c r="C104" s="11" t="str">
        <f>RAW_Продажи!B103</f>
        <v>184-24</v>
      </c>
      <c r="D104" s="11" t="str">
        <f>RAW_Продажи!C103</f>
        <v>2</v>
      </c>
      <c r="E104" s="11" t="str">
        <f>RAW_Продажи!D103</f>
        <v xml:space="preserve">6500 ₽</v>
      </c>
      <c r="F104" s="11" t="str">
        <f>RAW_Продажи!E103</f>
        <v>C0102</v>
      </c>
      <c r="G104" s="11" t="str">
        <f>RAW_Продажи!F103</f>
        <v>P007</v>
      </c>
      <c r="H104" s="11" t="str">
        <f>RAW_Продажи!G103</f>
        <v>Завершен</v>
      </c>
      <c r="I104" s="12" t="str">
        <f t="shared" si="163"/>
        <v>184-24</v>
      </c>
      <c r="J104" s="12" t="str">
        <f t="shared" si="164"/>
        <v>₽</v>
      </c>
      <c r="K104" s="12">
        <f t="shared" si="165"/>
        <v>6500</v>
      </c>
      <c r="L104" s="19">
        <f t="shared" si="166"/>
        <v>45722</v>
      </c>
      <c r="M104" s="13" t="str">
        <f t="shared" si="167"/>
        <v>АРТ-184</v>
      </c>
      <c r="N104" s="13">
        <f t="shared" si="168"/>
        <v>2</v>
      </c>
      <c r="O104" s="13" t="str">
        <f>IFERROR(VLOOKUP(J104,Справочники!$G$6:$H$8,2,0),"RUB")</f>
        <v>RUB</v>
      </c>
      <c r="P104" s="14">
        <f>ROUND(K104*IFERROR(VLOOKUP(J104,Справочники!$G$6:$I$8,3,0),1),2)</f>
        <v>6500</v>
      </c>
      <c r="Q104" s="13" t="str">
        <f>IFERROR(VLOOKUP(H104,Справочники!$D$6:$E$14,2,0),"НЕИЗВЕСТНО")</f>
        <v>Завершен</v>
      </c>
      <c r="R104" s="20">
        <f>IFERROR(INDEX(Товары_очищенные!$Q$3:$Q$503,MATCH(M104,Товары_очищенные!$L$3:$L$503,0)),"нет в каталоге")</f>
        <v>19990</v>
      </c>
      <c r="S104" s="21" t="str">
        <f>IFERROR(INDEX(Товары_очищенные!$N$3:$N$503,MATCH(M104,Товары_очищенные!$L$3:$L$503,0)),"нет в каталоге")</f>
        <v>Аксессуары</v>
      </c>
      <c r="T104" s="21" t="str">
        <f t="shared" si="169"/>
        <v>OK</v>
      </c>
      <c r="U104" s="12" t="str">
        <f t="shared" si="170"/>
        <v>06/03/2025|АРТ-184|C0102</v>
      </c>
      <c r="V104" s="12" t="str">
        <f t="shared" si="171"/>
        <v>оригинал</v>
      </c>
    </row>
    <row r="105" ht="15" customHeight="1">
      <c r="A105" s="10">
        <v>103</v>
      </c>
      <c r="B105" s="11" t="str">
        <f>RAW_Продажи!A104</f>
        <v>03/07/2025</v>
      </c>
      <c r="C105" s="11" t="str">
        <f>RAW_Продажи!B104</f>
        <v>№АРТ-065</v>
      </c>
      <c r="D105" s="11" t="str">
        <f>RAW_Продажи!C104</f>
        <v>1</v>
      </c>
      <c r="E105" s="11" t="str">
        <f>RAW_Продажи!D104</f>
        <v>$105</v>
      </c>
      <c r="F105" s="11" t="str">
        <f>RAW_Продажи!E104</f>
        <v>C0103</v>
      </c>
      <c r="G105" s="11" t="str">
        <f>RAW_Продажи!F104</f>
        <v>P023</v>
      </c>
      <c r="H105" s="11" t="str">
        <f>RAW_Продажи!G104</f>
        <v>завершен</v>
      </c>
      <c r="I105" s="12" t="str">
        <f t="shared" si="163"/>
        <v>065</v>
      </c>
      <c r="J105" s="12" t="str">
        <f t="shared" si="164"/>
        <v>$</v>
      </c>
      <c r="K105" s="12">
        <f t="shared" si="165"/>
        <v>105</v>
      </c>
      <c r="L105" s="19">
        <f t="shared" si="166"/>
        <v>45723</v>
      </c>
      <c r="M105" s="13" t="str">
        <f t="shared" si="167"/>
        <v>АРТ-065</v>
      </c>
      <c r="N105" s="13">
        <f t="shared" si="168"/>
        <v>1</v>
      </c>
      <c r="O105" s="13" t="str">
        <f>IFERROR(VLOOKUP(J105,Справочники!$G$6:$H$8,2,0),"RUB")</f>
        <v>USD</v>
      </c>
      <c r="P105" s="14">
        <f>ROUND(K105*IFERROR(VLOOKUP(J105,Справочники!$G$6:$I$8,3,0),1),2)</f>
        <v>9975</v>
      </c>
      <c r="Q105" s="13" t="str">
        <f>IFERROR(VLOOKUP(H105,Справочники!$D$6:$E$14,2,0),"НЕИЗВЕСТНО")</f>
        <v>Завершен</v>
      </c>
      <c r="R105" s="20">
        <f>IFERROR(INDEX(Товары_очищенные!$Q$3:$Q$503,MATCH(M105,Товары_очищенные!$L$3:$L$503,0)),"нет в каталоге")</f>
        <v>55500</v>
      </c>
      <c r="S105" s="21" t="str">
        <f>IFERROR(INDEX(Товары_очищенные!$N$3:$N$503,MATCH(M105,Товары_очищенные!$L$3:$L$503,0)),"нет в каталоге")</f>
        <v>Смартфоны</v>
      </c>
      <c r="T105" s="21" t="str">
        <f t="shared" si="169"/>
        <v>OK</v>
      </c>
      <c r="U105" s="12" t="str">
        <f t="shared" si="170"/>
        <v>07/03/2025|АРТ-065|C0103</v>
      </c>
      <c r="V105" s="12" t="str">
        <f t="shared" si="171"/>
        <v>оригинал</v>
      </c>
    </row>
    <row r="106" ht="15" customHeight="1">
      <c r="A106" s="10">
        <v>104</v>
      </c>
      <c r="B106" s="11" t="str">
        <f>RAW_Продажи!A105</f>
        <v>03/07/2025</v>
      </c>
      <c r="C106" s="11" t="str">
        <f>RAW_Продажи!B105</f>
        <v>АРТ_408</v>
      </c>
      <c r="D106" s="11" t="str">
        <f>RAW_Продажи!C105</f>
        <v>2</v>
      </c>
      <c r="E106" s="11" t="str">
        <f>RAW_Продажи!D105</f>
        <v>€85</v>
      </c>
      <c r="F106" s="11" t="str">
        <f>RAW_Продажи!E105</f>
        <v>C0104</v>
      </c>
      <c r="G106" s="11" t="str">
        <f>RAW_Продажи!F105</f>
        <v>P045</v>
      </c>
      <c r="H106" s="11" t="str">
        <f>RAW_Продажи!G105</f>
        <v>completed</v>
      </c>
      <c r="I106" s="12" t="str">
        <f t="shared" si="163"/>
        <v>408</v>
      </c>
      <c r="J106" s="12" t="str">
        <f t="shared" si="164"/>
        <v>€</v>
      </c>
      <c r="K106" s="12">
        <f t="shared" si="165"/>
        <v>85</v>
      </c>
      <c r="L106" s="19">
        <f t="shared" si="166"/>
        <v>45723</v>
      </c>
      <c r="M106" s="13" t="str">
        <f t="shared" si="167"/>
        <v>АРТ-408</v>
      </c>
      <c r="N106" s="13">
        <f t="shared" si="168"/>
        <v>2</v>
      </c>
      <c r="O106" s="13" t="str">
        <f>IFERROR(VLOOKUP(J106,Справочники!$G$6:$H$8,2,0),"RUB")</f>
        <v>EUR</v>
      </c>
      <c r="P106" s="14">
        <f>ROUND(K106*IFERROR(VLOOKUP(J106,Справочники!$G$6:$I$8,3,0),1),2)</f>
        <v>8500</v>
      </c>
      <c r="Q106" s="13" t="str">
        <f>IFERROR(VLOOKUP(H106,Справочники!$D$6:$E$14,2,0),"НЕИЗВЕСТНО")</f>
        <v>Завершен</v>
      </c>
      <c r="R106" s="20">
        <f>IFERROR(INDEX(Товары_очищенные!$Q$3:$Q$503,MATCH(M106,Товары_очищенные!$L$3:$L$503,0)),"нет в каталоге")</f>
        <v>107500</v>
      </c>
      <c r="S106" s="21" t="str">
        <f>IFERROR(INDEX(Товары_очищенные!$N$3:$N$503,MATCH(M106,Товары_очищенные!$L$3:$L$503,0)),"нет в каталоге")</f>
        <v>Телевизоры</v>
      </c>
      <c r="T106" s="21" t="str">
        <f t="shared" si="169"/>
        <v>OK</v>
      </c>
      <c r="U106" s="12" t="str">
        <f t="shared" si="170"/>
        <v>07/03/2025|АРТ-408|C0104</v>
      </c>
      <c r="V106" s="12" t="str">
        <f t="shared" si="171"/>
        <v>оригинал</v>
      </c>
    </row>
    <row r="107" ht="15" customHeight="1">
      <c r="A107" s="10">
        <v>105</v>
      </c>
      <c r="B107" s="11" t="str">
        <f>RAW_Продажи!A106</f>
        <v>03/08/2025</v>
      </c>
      <c r="C107" s="11" t="str">
        <f>RAW_Продажи!B106</f>
        <v>315/24</v>
      </c>
      <c r="D107" s="11" t="str">
        <f>RAW_Продажи!C106</f>
        <v xml:space="preserve">3 шт.</v>
      </c>
      <c r="E107" s="11" t="str">
        <f>RAW_Продажи!D106</f>
        <v xml:space="preserve">8000 ₽</v>
      </c>
      <c r="F107" s="11" t="str">
        <f>RAW_Продажи!E106</f>
        <v>C0105</v>
      </c>
      <c r="G107" s="11" t="str">
        <f>RAW_Продажи!F106</f>
        <v>P008</v>
      </c>
      <c r="H107" s="11" t="str">
        <f>RAW_Продажи!G106</f>
        <v>отменен</v>
      </c>
      <c r="I107" s="12" t="str">
        <f t="shared" si="163"/>
        <v>315/24</v>
      </c>
      <c r="J107" s="12" t="str">
        <f t="shared" si="164"/>
        <v>₽</v>
      </c>
      <c r="K107" s="12">
        <f t="shared" si="165"/>
        <v>8000</v>
      </c>
      <c r="L107" s="19">
        <f t="shared" si="166"/>
        <v>45724</v>
      </c>
      <c r="M107" s="13" t="str">
        <f t="shared" si="167"/>
        <v>АРТ-315</v>
      </c>
      <c r="N107" s="13">
        <f t="shared" si="168"/>
        <v>3</v>
      </c>
      <c r="O107" s="13" t="str">
        <f>IFERROR(VLOOKUP(J107,Справочники!$G$6:$H$8,2,0),"RUB")</f>
        <v>RUB</v>
      </c>
      <c r="P107" s="14">
        <f>ROUND(K107*IFERROR(VLOOKUP(J107,Справочники!$G$6:$I$8,3,0),1),2)</f>
        <v>8000</v>
      </c>
      <c r="Q107" s="13" t="str">
        <f>IFERROR(VLOOKUP(H107,Справочники!$D$6:$E$14,2,0),"НЕИЗВЕСТНО")</f>
        <v>Отменен</v>
      </c>
      <c r="R107" s="20">
        <f>IFERROR(INDEX(Товары_очищенные!$Q$3:$Q$503,MATCH(M107,Товары_очищенные!$L$3:$L$503,0)),"нет в каталоге")</f>
        <v>72000</v>
      </c>
      <c r="S107" s="21" t="str">
        <f>IFERROR(INDEX(Товары_очищенные!$N$3:$N$503,MATCH(M107,Товары_очищенные!$L$3:$L$503,0)),"нет в каталоге")</f>
        <v>Смартфоны</v>
      </c>
      <c r="T107" s="21" t="str">
        <f t="shared" si="169"/>
        <v>OK</v>
      </c>
      <c r="U107" s="12" t="str">
        <f t="shared" si="170"/>
        <v>08/03/2025|АРТ-315|C0105</v>
      </c>
      <c r="V107" s="12" t="str">
        <f t="shared" si="171"/>
        <v>оригинал</v>
      </c>
    </row>
    <row r="108" ht="15" customHeight="1">
      <c r="A108" s="10">
        <v>106</v>
      </c>
      <c r="B108" s="11" t="str">
        <f>RAW_Продажи!A107</f>
        <v>03/08/2025</v>
      </c>
      <c r="C108" s="11" t="str">
        <f>RAW_Продажи!B107</f>
        <v>№АРТ-159</v>
      </c>
      <c r="D108" s="11" t="str">
        <f>RAW_Продажи!C107</f>
        <v>-2</v>
      </c>
      <c r="E108" s="11" t="str">
        <f>RAW_Продажи!D107</f>
        <v>$120</v>
      </c>
      <c r="F108" s="11" t="str">
        <f>RAW_Продажи!E107</f>
        <v>C0106</v>
      </c>
      <c r="G108" s="11" t="str">
        <f>RAW_Продажи!F107</f>
        <v>P031</v>
      </c>
      <c r="H108" s="11" t="str">
        <f>RAW_Продажи!G107</f>
        <v>canceled</v>
      </c>
      <c r="I108" s="12" t="str">
        <f t="shared" si="163"/>
        <v>159</v>
      </c>
      <c r="J108" s="12" t="str">
        <f t="shared" si="164"/>
        <v>$</v>
      </c>
      <c r="K108" s="12">
        <f t="shared" si="165"/>
        <v>120</v>
      </c>
      <c r="L108" s="19">
        <f t="shared" si="166"/>
        <v>45724</v>
      </c>
      <c r="M108" s="13" t="str">
        <f t="shared" si="167"/>
        <v>АРТ-159</v>
      </c>
      <c r="N108" s="13">
        <f t="shared" si="168"/>
        <v>-2</v>
      </c>
      <c r="O108" s="13" t="str">
        <f>IFERROR(VLOOKUP(J108,Справочники!$G$6:$H$8,2,0),"RUB")</f>
        <v>USD</v>
      </c>
      <c r="P108" s="14">
        <f>ROUND(K108*IFERROR(VLOOKUP(J108,Справочники!$G$6:$I$8,3,0),1),2)</f>
        <v>11400</v>
      </c>
      <c r="Q108" s="13" t="str">
        <f>IFERROR(VLOOKUP(H108,Справочники!$D$6:$E$14,2,0),"НЕИЗВЕСТНО")</f>
        <v>Отменен</v>
      </c>
      <c r="R108" s="20">
        <f>IFERROR(INDEX(Товары_очищенные!$Q$3:$Q$503,MATCH(M108,Товары_очищенные!$L$3:$L$503,0)),"нет в каталоге")</f>
        <v>95500</v>
      </c>
      <c r="S108" s="21" t="str">
        <f>IFERROR(INDEX(Товары_очищенные!$N$3:$N$503,MATCH(M108,Товары_очищенные!$L$3:$L$503,0)),"нет в каталоге")</f>
        <v>Мониторы</v>
      </c>
      <c r="T108" s="21" t="str">
        <f t="shared" si="169"/>
        <v>OK</v>
      </c>
      <c r="U108" s="12" t="str">
        <f t="shared" si="170"/>
        <v>08/03/2025|АРТ-159|C0106</v>
      </c>
      <c r="V108" s="12" t="str">
        <f t="shared" si="171"/>
        <v>оригинал</v>
      </c>
    </row>
    <row r="109" ht="15" customHeight="1">
      <c r="A109" s="10">
        <v>107</v>
      </c>
      <c r="B109" s="11" t="str">
        <f>RAW_Продажи!A108</f>
        <v>03/09/2025</v>
      </c>
      <c r="C109" s="11" t="str">
        <f>RAW_Продажи!B108</f>
        <v>АРТ_432</v>
      </c>
      <c r="D109" s="11" t="str">
        <f>RAW_Продажи!C108</f>
        <v>1</v>
      </c>
      <c r="E109" s="11" t="str">
        <f>RAW_Продажи!D108</f>
        <v>€100</v>
      </c>
      <c r="F109" s="11" t="str">
        <f>RAW_Продажи!E108</f>
        <v>C0107</v>
      </c>
      <c r="G109" s="11" t="str">
        <f>RAW_Продажи!F108</f>
        <v>P019</v>
      </c>
      <c r="H109" s="11" t="str">
        <f>RAW_Продажи!G108</f>
        <v>Завершен</v>
      </c>
      <c r="I109" s="12" t="str">
        <f t="shared" si="163"/>
        <v>432</v>
      </c>
      <c r="J109" s="12" t="str">
        <f t="shared" si="164"/>
        <v>€</v>
      </c>
      <c r="K109" s="12">
        <f t="shared" si="165"/>
        <v>100</v>
      </c>
      <c r="L109" s="19">
        <f t="shared" si="166"/>
        <v>45725</v>
      </c>
      <c r="M109" s="13" t="str">
        <f t="shared" si="167"/>
        <v>АРТ-432</v>
      </c>
      <c r="N109" s="13">
        <f t="shared" si="168"/>
        <v>1</v>
      </c>
      <c r="O109" s="13" t="str">
        <f>IFERROR(VLOOKUP(J109,Справочники!$G$6:$H$8,2,0),"RUB")</f>
        <v>EUR</v>
      </c>
      <c r="P109" s="14">
        <f>ROUND(K109*IFERROR(VLOOKUP(J109,Справочники!$G$6:$I$8,3,0),1),2)</f>
        <v>10000</v>
      </c>
      <c r="Q109" s="13" t="str">
        <f>IFERROR(VLOOKUP(H109,Справочники!$D$6:$E$14,2,0),"НЕИЗВЕСТНО")</f>
        <v>Завершен</v>
      </c>
      <c r="R109" s="20">
        <f>IFERROR(INDEX(Товары_очищенные!$Q$3:$Q$503,MATCH(M109,Товары_очищенные!$L$3:$L$503,0)),"нет в каталоге")</f>
        <v>15800</v>
      </c>
      <c r="S109" s="21" t="str">
        <f>IFERROR(INDEX(Товары_очищенные!$N$3:$N$503,MATCH(M109,Товары_очищенные!$L$3:$L$503,0)),"нет в каталоге")</f>
        <v>Наушники</v>
      </c>
      <c r="T109" s="21" t="str">
        <f t="shared" si="169"/>
        <v>OK</v>
      </c>
      <c r="U109" s="12" t="str">
        <f t="shared" si="170"/>
        <v>09/03/2025|АРТ-432|C0107</v>
      </c>
      <c r="V109" s="12" t="str">
        <f t="shared" si="171"/>
        <v>оригинал</v>
      </c>
    </row>
    <row r="110" ht="15" customHeight="1">
      <c r="A110" s="10">
        <v>108</v>
      </c>
      <c r="B110" s="11" t="str">
        <f>RAW_Продажи!A109</f>
        <v>03/09/2025</v>
      </c>
      <c r="C110" s="11" t="str">
        <f>RAW_Продажи!B109</f>
        <v>067-24</v>
      </c>
      <c r="D110" s="11" t="str">
        <f>RAW_Продажи!C109</f>
        <v>2</v>
      </c>
      <c r="E110" s="11" t="str">
        <f>RAW_Продажи!D109</f>
        <v xml:space="preserve">8800 ₽</v>
      </c>
      <c r="F110" s="11" t="str">
        <f>RAW_Продажи!E109</f>
        <v>C0108</v>
      </c>
      <c r="G110" s="11" t="str">
        <f>RAW_Продажи!F109</f>
        <v>P042</v>
      </c>
      <c r="H110" s="11" t="str">
        <f>RAW_Продажи!G109</f>
        <v>возврат</v>
      </c>
      <c r="I110" s="12" t="str">
        <f t="shared" si="163"/>
        <v>067-24</v>
      </c>
      <c r="J110" s="12" t="str">
        <f t="shared" si="164"/>
        <v>₽</v>
      </c>
      <c r="K110" s="12">
        <f t="shared" si="165"/>
        <v>8800</v>
      </c>
      <c r="L110" s="19">
        <f t="shared" si="166"/>
        <v>45725</v>
      </c>
      <c r="M110" s="13" t="str">
        <f t="shared" si="167"/>
        <v>АРТ-067</v>
      </c>
      <c r="N110" s="13">
        <f t="shared" si="168"/>
        <v>2</v>
      </c>
      <c r="O110" s="13" t="str">
        <f>IFERROR(VLOOKUP(J110,Справочники!$G$6:$H$8,2,0),"RUB")</f>
        <v>RUB</v>
      </c>
      <c r="P110" s="14">
        <f>ROUND(K110*IFERROR(VLOOKUP(J110,Справочники!$G$6:$I$8,3,0),1),2)</f>
        <v>8800</v>
      </c>
      <c r="Q110" s="13" t="str">
        <f>IFERROR(VLOOKUP(H110,Справочники!$D$6:$E$14,2,0),"НЕИЗВЕСТНО")</f>
        <v>Возврат</v>
      </c>
      <c r="R110" s="20">
        <f>IFERROR(INDEX(Товары_очищенные!$Q$3:$Q$503,MATCH(M110,Товары_очищенные!$L$3:$L$503,0)),"нет в каталоге")</f>
        <v>109999</v>
      </c>
      <c r="S110" s="21" t="str">
        <f>IFERROR(INDEX(Товары_очищенные!$N$3:$N$503,MATCH(M110,Товары_очищенные!$L$3:$L$503,0)),"нет в каталоге")</f>
        <v>Телевизоры</v>
      </c>
      <c r="T110" s="21" t="str">
        <f t="shared" si="169"/>
        <v>OK</v>
      </c>
      <c r="U110" s="12" t="str">
        <f t="shared" si="170"/>
        <v>09/03/2025|АРТ-067|C0108</v>
      </c>
      <c r="V110" s="12" t="str">
        <f t="shared" si="171"/>
        <v>оригинал</v>
      </c>
    </row>
    <row r="111" ht="15" customHeight="1">
      <c r="A111" s="10">
        <v>109</v>
      </c>
      <c r="B111" s="11" t="str">
        <f>RAW_Продажи!A110</f>
        <v>03/10/2025</v>
      </c>
      <c r="C111" s="11" t="str">
        <f>RAW_Продажи!B110</f>
        <v>№АРТ-287</v>
      </c>
      <c r="D111" s="11" t="str">
        <f>RAW_Продажи!C110</f>
        <v>3</v>
      </c>
      <c r="E111" s="11" t="str">
        <f>RAW_Продажи!D110</f>
        <v>$95</v>
      </c>
      <c r="F111" s="11" t="str">
        <f>RAW_Продажи!E110</f>
        <v>C0109</v>
      </c>
      <c r="G111" s="11" t="str">
        <f>RAW_Продажи!F110</f>
        <v>P005</v>
      </c>
      <c r="H111" s="11" t="str">
        <f>RAW_Продажи!G110</f>
        <v>завершен</v>
      </c>
      <c r="I111" s="12" t="str">
        <f t="shared" si="163"/>
        <v>287</v>
      </c>
      <c r="J111" s="12" t="str">
        <f t="shared" si="164"/>
        <v>$</v>
      </c>
      <c r="K111" s="12">
        <f t="shared" si="165"/>
        <v>95</v>
      </c>
      <c r="L111" s="19">
        <f t="shared" si="166"/>
        <v>45726</v>
      </c>
      <c r="M111" s="13" t="str">
        <f t="shared" si="167"/>
        <v>АРТ-287</v>
      </c>
      <c r="N111" s="13">
        <f t="shared" si="168"/>
        <v>3</v>
      </c>
      <c r="O111" s="13" t="str">
        <f>IFERROR(VLOOKUP(J111,Справочники!$G$6:$H$8,2,0),"RUB")</f>
        <v>USD</v>
      </c>
      <c r="P111" s="14">
        <f>ROUND(K111*IFERROR(VLOOKUP(J111,Справочники!$G$6:$I$8,3,0),1),2)</f>
        <v>9025</v>
      </c>
      <c r="Q111" s="13" t="str">
        <f>IFERROR(VLOOKUP(H111,Справочники!$D$6:$E$14,2,0),"НЕИЗВЕСТНО")</f>
        <v>Завершен</v>
      </c>
      <c r="R111" s="20">
        <f>IFERROR(INDEX(Товары_очищенные!$Q$3:$Q$503,MATCH(M111,Товары_очищенные!$L$3:$L$503,0)),"нет в каталоге")</f>
        <v>7000</v>
      </c>
      <c r="S111" s="21" t="str">
        <f>IFERROR(INDEX(Товары_очищенные!$N$3:$N$503,MATCH(M111,Товары_очищенные!$L$3:$L$503,0)),"нет в каталоге")</f>
        <v>Аксессуары</v>
      </c>
      <c r="T111" s="21" t="str">
        <f t="shared" si="169"/>
        <v>OK</v>
      </c>
      <c r="U111" s="12" t="str">
        <f t="shared" si="170"/>
        <v>10/03/2025|АРТ-287|C0109</v>
      </c>
      <c r="V111" s="12" t="str">
        <f t="shared" si="171"/>
        <v>оригинал</v>
      </c>
    </row>
    <row r="112" ht="15" customHeight="1">
      <c r="A112" s="10">
        <v>110</v>
      </c>
      <c r="B112" s="11" t="str">
        <f>RAW_Продажи!A111</f>
        <v>03/10/2025</v>
      </c>
      <c r="C112" s="11" t="str">
        <f>RAW_Продажи!B111</f>
        <v>АРТ_209</v>
      </c>
      <c r="D112" s="11" t="str">
        <f>RAW_Продажи!C111</f>
        <v xml:space="preserve">2 шт.</v>
      </c>
      <c r="E112" s="11" t="str">
        <f>RAW_Продажи!D111</f>
        <v xml:space="preserve">7500 ₽</v>
      </c>
      <c r="F112" s="11" t="str">
        <f>RAW_Продажи!E111</f>
        <v>C0110</v>
      </c>
      <c r="G112" s="11" t="str">
        <f>RAW_Продажи!F111</f>
        <v>P036</v>
      </c>
      <c r="H112" s="11" t="str">
        <f>RAW_Продажи!G111</f>
        <v>completed</v>
      </c>
      <c r="I112" s="12" t="str">
        <f t="shared" si="163"/>
        <v>209</v>
      </c>
      <c r="J112" s="12" t="str">
        <f t="shared" si="164"/>
        <v>₽</v>
      </c>
      <c r="K112" s="12">
        <f t="shared" si="165"/>
        <v>7500</v>
      </c>
      <c r="L112" s="19">
        <f t="shared" si="166"/>
        <v>45726</v>
      </c>
      <c r="M112" s="13" t="str">
        <f t="shared" si="167"/>
        <v>АРТ-209</v>
      </c>
      <c r="N112" s="13">
        <f t="shared" si="168"/>
        <v>2</v>
      </c>
      <c r="O112" s="13" t="str">
        <f>IFERROR(VLOOKUP(J112,Справочники!$G$6:$H$8,2,0),"RUB")</f>
        <v>RUB</v>
      </c>
      <c r="P112" s="14">
        <f>ROUND(K112*IFERROR(VLOOKUP(J112,Справочники!$G$6:$I$8,3,0),1),2)</f>
        <v>7500</v>
      </c>
      <c r="Q112" s="13" t="str">
        <f>IFERROR(VLOOKUP(H112,Справочники!$D$6:$E$14,2,0),"НЕИЗВЕСТНО")</f>
        <v>Завершен</v>
      </c>
      <c r="R112" s="20">
        <f>IFERROR(INDEX(Товары_очищенные!$Q$3:$Q$503,MATCH(M112,Товары_очищенные!$L$3:$L$503,0)),"нет в каталоге")</f>
        <v>10500</v>
      </c>
      <c r="S112" s="21" t="str">
        <f>IFERROR(INDEX(Товары_очищенные!$N$3:$N$503,MATCH(M112,Товары_очищенные!$L$3:$L$503,0)),"нет в каталоге")</f>
        <v>Аксессуары</v>
      </c>
      <c r="T112" s="21" t="str">
        <f t="shared" si="169"/>
        <v>OK</v>
      </c>
      <c r="U112" s="12" t="str">
        <f t="shared" si="170"/>
        <v>10/03/2025|АРТ-209|C0110</v>
      </c>
      <c r="V112" s="12" t="str">
        <f t="shared" si="171"/>
        <v>оригинал</v>
      </c>
    </row>
    <row r="113" ht="15" customHeight="1">
      <c r="A113" s="10">
        <v>111</v>
      </c>
      <c r="B113" s="11" t="str">
        <f>RAW_Продажи!A112</f>
        <v>03/11/2025</v>
      </c>
      <c r="C113" s="11" t="str">
        <f>RAW_Продажи!B112</f>
        <v>382/24</v>
      </c>
      <c r="D113" s="11" t="str">
        <f>RAW_Продажи!C112</f>
        <v>1</v>
      </c>
      <c r="E113" s="11" t="str">
        <f>RAW_Продажи!D112</f>
        <v xml:space="preserve">5500 ₽</v>
      </c>
      <c r="F113" s="11" t="str">
        <f>RAW_Продажи!E112</f>
        <v>C0111</v>
      </c>
      <c r="G113" s="11" t="str">
        <f>RAW_Продажи!F112</f>
        <v>P014</v>
      </c>
      <c r="H113" s="11" t="str">
        <f>RAW_Продажи!G112</f>
        <v>Завершен</v>
      </c>
      <c r="I113" s="12" t="str">
        <f t="shared" si="163"/>
        <v>382/24</v>
      </c>
      <c r="J113" s="12" t="str">
        <f t="shared" si="164"/>
        <v>₽</v>
      </c>
      <c r="K113" s="12">
        <f t="shared" si="165"/>
        <v>5500</v>
      </c>
      <c r="L113" s="19">
        <f t="shared" si="166"/>
        <v>45727</v>
      </c>
      <c r="M113" s="13" t="str">
        <f t="shared" si="167"/>
        <v>АРТ-382</v>
      </c>
      <c r="N113" s="13">
        <f t="shared" si="168"/>
        <v>1</v>
      </c>
      <c r="O113" s="13" t="str">
        <f>IFERROR(VLOOKUP(J113,Справочники!$G$6:$H$8,2,0),"RUB")</f>
        <v>RUB</v>
      </c>
      <c r="P113" s="14">
        <f>ROUND(K113*IFERROR(VLOOKUP(J113,Справочники!$G$6:$I$8,3,0),1),2)</f>
        <v>5500</v>
      </c>
      <c r="Q113" s="13" t="str">
        <f>IFERROR(VLOOKUP(H113,Справочники!$D$6:$E$14,2,0),"НЕИЗВЕСТНО")</f>
        <v>Завершен</v>
      </c>
      <c r="R113" s="20">
        <f>IFERROR(INDEX(Товары_очищенные!$Q$3:$Q$503,MATCH(M113,Товары_очищенные!$L$3:$L$503,0)),"нет в каталоге")</f>
        <v>42990</v>
      </c>
      <c r="S113" s="21" t="str">
        <f>IFERROR(INDEX(Товары_очищенные!$N$3:$N$503,MATCH(M113,Товары_очищенные!$L$3:$L$503,0)),"нет в каталоге")</f>
        <v>Смартфоны</v>
      </c>
      <c r="T113" s="21" t="str">
        <f t="shared" si="169"/>
        <v>OK</v>
      </c>
      <c r="U113" s="12" t="str">
        <f t="shared" si="170"/>
        <v>11/03/2025|АРТ-382|C0111</v>
      </c>
      <c r="V113" s="12" t="str">
        <f t="shared" si="171"/>
        <v>оригинал</v>
      </c>
    </row>
    <row r="114" ht="15" customHeight="1">
      <c r="A114" s="10">
        <v>112</v>
      </c>
      <c r="B114" s="11" t="str">
        <f>RAW_Продажи!A113</f>
        <v>03/11/2025</v>
      </c>
      <c r="C114" s="11" t="str">
        <f>RAW_Продажи!B113</f>
        <v>№АРТ-077</v>
      </c>
      <c r="D114" s="11" t="str">
        <f>RAW_Продажи!C113</f>
        <v>-3</v>
      </c>
      <c r="E114" s="11" t="str">
        <f>RAW_Продажи!D113</f>
        <v>$120</v>
      </c>
      <c r="F114" s="11" t="str">
        <f>RAW_Продажи!E113</f>
        <v>C0112</v>
      </c>
      <c r="G114" s="11" t="str">
        <f>RAW_Продажи!F113</f>
        <v>P028</v>
      </c>
      <c r="H114" s="11" t="str">
        <f>RAW_Продажи!G113</f>
        <v>canceled</v>
      </c>
      <c r="I114" s="12" t="str">
        <f t="shared" si="163"/>
        <v>077</v>
      </c>
      <c r="J114" s="12" t="str">
        <f t="shared" si="164"/>
        <v>$</v>
      </c>
      <c r="K114" s="12">
        <f t="shared" si="165"/>
        <v>120</v>
      </c>
      <c r="L114" s="19">
        <f t="shared" si="166"/>
        <v>45727</v>
      </c>
      <c r="M114" s="13" t="str">
        <f t="shared" si="167"/>
        <v>АРТ-077</v>
      </c>
      <c r="N114" s="13">
        <f t="shared" si="168"/>
        <v>-3</v>
      </c>
      <c r="O114" s="13" t="str">
        <f>IFERROR(VLOOKUP(J114,Справочники!$G$6:$H$8,2,0),"RUB")</f>
        <v>USD</v>
      </c>
      <c r="P114" s="14">
        <f>ROUND(K114*IFERROR(VLOOKUP(J114,Справочники!$G$6:$I$8,3,0),1),2)</f>
        <v>11400</v>
      </c>
      <c r="Q114" s="13" t="str">
        <f>IFERROR(VLOOKUP(H114,Справочники!$D$6:$E$14,2,0),"НЕИЗВЕСТНО")</f>
        <v>Отменен</v>
      </c>
      <c r="R114" s="20">
        <f>IFERROR(INDEX(Товары_очищенные!$Q$3:$Q$503,MATCH(M114,Товары_очищенные!$L$3:$L$503,0)),"нет в каталоге")</f>
        <v>12500</v>
      </c>
      <c r="S114" s="21" t="str">
        <f>IFERROR(INDEX(Товары_очищенные!$N$3:$N$503,MATCH(M114,Товары_очищенные!$L$3:$L$503,0)),"нет в каталоге")</f>
        <v>Аксессуары</v>
      </c>
      <c r="T114" s="21" t="str">
        <f t="shared" si="169"/>
        <v>OK</v>
      </c>
      <c r="U114" s="12" t="str">
        <f t="shared" si="170"/>
        <v>11/03/2025|АРТ-077|C0112</v>
      </c>
      <c r="V114" s="12" t="str">
        <f t="shared" si="171"/>
        <v>оригинал</v>
      </c>
    </row>
    <row r="115" ht="15" customHeight="1">
      <c r="A115" s="10">
        <v>113</v>
      </c>
      <c r="B115" s="11" t="str">
        <f>RAW_Продажи!A114</f>
        <v>03/12/2025</v>
      </c>
      <c r="C115" s="11" t="str">
        <f>RAW_Продажи!B114</f>
        <v>АРТ_365</v>
      </c>
      <c r="D115" s="11" t="str">
        <f>RAW_Продажи!C114</f>
        <v>2</v>
      </c>
      <c r="E115" s="11" t="str">
        <f>RAW_Продажи!D114</f>
        <v>€100</v>
      </c>
      <c r="F115" s="11" t="str">
        <f>RAW_Продажи!E114</f>
        <v>C0113</v>
      </c>
      <c r="G115" s="11" t="str">
        <f>RAW_Продажи!F114</f>
        <v>P009</v>
      </c>
      <c r="H115" s="11" t="str">
        <f>RAW_Продажи!G114</f>
        <v>отменен</v>
      </c>
      <c r="I115" s="12" t="str">
        <f t="shared" si="163"/>
        <v>365</v>
      </c>
      <c r="J115" s="12" t="str">
        <f t="shared" si="164"/>
        <v>€</v>
      </c>
      <c r="K115" s="12">
        <f t="shared" si="165"/>
        <v>100</v>
      </c>
      <c r="L115" s="19">
        <f t="shared" si="166"/>
        <v>45728</v>
      </c>
      <c r="M115" s="13" t="str">
        <f t="shared" si="167"/>
        <v>АРТ-365</v>
      </c>
      <c r="N115" s="13">
        <f t="shared" si="168"/>
        <v>2</v>
      </c>
      <c r="O115" s="13" t="str">
        <f>IFERROR(VLOOKUP(J115,Справочники!$G$6:$H$8,2,0),"RUB")</f>
        <v>EUR</v>
      </c>
      <c r="P115" s="14">
        <f>ROUND(K115*IFERROR(VLOOKUP(J115,Справочники!$G$6:$I$8,3,0),1),2)</f>
        <v>10000</v>
      </c>
      <c r="Q115" s="13" t="str">
        <f>IFERROR(VLOOKUP(H115,Справочники!$D$6:$E$14,2,0),"НЕИЗВЕСТНО")</f>
        <v>Отменен</v>
      </c>
      <c r="R115" s="20">
        <f>IFERROR(INDEX(Товары_очищенные!$Q$3:$Q$503,MATCH(M115,Товары_очищенные!$L$3:$L$503,0)),"нет в каталоге")</f>
        <v>137000</v>
      </c>
      <c r="S115" s="21" t="str">
        <f>IFERROR(INDEX(Товары_очищенные!$N$3:$N$503,MATCH(M115,Товары_очищенные!$L$3:$L$503,0)),"нет в каталоге")</f>
        <v>Телевизоры</v>
      </c>
      <c r="T115" s="21" t="str">
        <f t="shared" si="169"/>
        <v>OK</v>
      </c>
      <c r="U115" s="12" t="str">
        <f t="shared" si="170"/>
        <v>12/03/2025|АРТ-365|C0113</v>
      </c>
      <c r="V115" s="12" t="str">
        <f t="shared" si="171"/>
        <v>оригинал</v>
      </c>
    </row>
    <row r="116" ht="15" customHeight="1">
      <c r="A116" s="10">
        <v>114</v>
      </c>
      <c r="B116" s="11" t="str">
        <f>RAW_Продажи!A115</f>
        <v>03/12/2025</v>
      </c>
      <c r="C116" s="11" t="str">
        <f>RAW_Продажи!B115</f>
        <v>245-24</v>
      </c>
      <c r="D116" s="11" t="str">
        <f>RAW_Продажи!C115</f>
        <v>1</v>
      </c>
      <c r="E116" s="11" t="str">
        <f>RAW_Продажи!D115</f>
        <v xml:space="preserve">9000 ₽</v>
      </c>
      <c r="F116" s="11" t="str">
        <f>RAW_Продажи!E115</f>
        <v>C0114</v>
      </c>
      <c r="G116" s="11" t="str">
        <f>RAW_Продажи!F115</f>
        <v>P041</v>
      </c>
      <c r="H116" s="11" t="str">
        <f>RAW_Продажи!G115</f>
        <v>возврат</v>
      </c>
      <c r="I116" s="12" t="str">
        <f t="shared" si="163"/>
        <v>245-24</v>
      </c>
      <c r="J116" s="12" t="str">
        <f t="shared" si="164"/>
        <v>₽</v>
      </c>
      <c r="K116" s="12">
        <f t="shared" si="165"/>
        <v>9000</v>
      </c>
      <c r="L116" s="19">
        <f t="shared" si="166"/>
        <v>45728</v>
      </c>
      <c r="M116" s="13" t="str">
        <f t="shared" si="167"/>
        <v>АРТ-245</v>
      </c>
      <c r="N116" s="13">
        <f t="shared" si="168"/>
        <v>1</v>
      </c>
      <c r="O116" s="13" t="str">
        <f>IFERROR(VLOOKUP(J116,Справочники!$G$6:$H$8,2,0),"RUB")</f>
        <v>RUB</v>
      </c>
      <c r="P116" s="14">
        <f>ROUND(K116*IFERROR(VLOOKUP(J116,Справочники!$G$6:$I$8,3,0),1),2)</f>
        <v>9000</v>
      </c>
      <c r="Q116" s="13" t="str">
        <f>IFERROR(VLOOKUP(H116,Справочники!$D$6:$E$14,2,0),"НЕИЗВЕСТНО")</f>
        <v>Возврат</v>
      </c>
      <c r="R116" s="20">
        <f>IFERROR(INDEX(Товары_очищенные!$Q$3:$Q$503,MATCH(M116,Товары_очищенные!$L$3:$L$503,0)),"нет в каталоге")</f>
        <v>75000</v>
      </c>
      <c r="S116" s="21" t="str">
        <f>IFERROR(INDEX(Товары_очищенные!$N$3:$N$503,MATCH(M116,Товары_очищенные!$L$3:$L$503,0)),"нет в каталоге")</f>
        <v>Мониторы</v>
      </c>
      <c r="T116" s="21" t="str">
        <f t="shared" si="169"/>
        <v>OK</v>
      </c>
      <c r="U116" s="12" t="str">
        <f t="shared" si="170"/>
        <v>12/03/2025|АРТ-245|C0114</v>
      </c>
      <c r="V116" s="12" t="str">
        <f t="shared" si="171"/>
        <v>оригинал</v>
      </c>
    </row>
    <row r="117" ht="15" customHeight="1">
      <c r="A117" s="10">
        <v>115</v>
      </c>
      <c r="B117" s="11" t="str">
        <f>RAW_Продажи!A116</f>
        <v>03/13/2025</v>
      </c>
      <c r="C117" s="11" t="str">
        <f>RAW_Продажи!B116</f>
        <v>№АРТ-154</v>
      </c>
      <c r="D117" s="11" t="str">
        <f>RAW_Продажи!C116</f>
        <v>3</v>
      </c>
      <c r="E117" s="11" t="str">
        <f>RAW_Продажи!D116</f>
        <v>$95</v>
      </c>
      <c r="F117" s="11" t="str">
        <f>RAW_Продажи!E116</f>
        <v>C0115</v>
      </c>
      <c r="G117" s="11" t="str">
        <f>RAW_Продажи!F116</f>
        <v>P017</v>
      </c>
      <c r="H117" s="11" t="str">
        <f>RAW_Продажи!G116</f>
        <v>Завершен</v>
      </c>
      <c r="I117" s="12" t="str">
        <f t="shared" si="163"/>
        <v>154</v>
      </c>
      <c r="J117" s="12" t="str">
        <f t="shared" si="164"/>
        <v>$</v>
      </c>
      <c r="K117" s="12">
        <f t="shared" si="165"/>
        <v>95</v>
      </c>
      <c r="L117" s="19">
        <f t="shared" si="166"/>
        <v>45729</v>
      </c>
      <c r="M117" s="13" t="str">
        <f t="shared" si="167"/>
        <v>АРТ-154</v>
      </c>
      <c r="N117" s="13">
        <f t="shared" si="168"/>
        <v>3</v>
      </c>
      <c r="O117" s="13" t="str">
        <f>IFERROR(VLOOKUP(J117,Справочники!$G$6:$H$8,2,0),"RUB")</f>
        <v>USD</v>
      </c>
      <c r="P117" s="14">
        <f>ROUND(K117*IFERROR(VLOOKUP(J117,Справочники!$G$6:$I$8,3,0),1),2)</f>
        <v>9025</v>
      </c>
      <c r="Q117" s="13" t="str">
        <f>IFERROR(VLOOKUP(H117,Справочники!$D$6:$E$14,2,0),"НЕИЗВЕСТНО")</f>
        <v>Завершен</v>
      </c>
      <c r="R117" s="20">
        <f>IFERROR(INDEX(Товары_очищенные!$Q$3:$Q$503,MATCH(M117,Товары_очищенные!$L$3:$L$503,0)),"нет в каталоге")</f>
        <v>16990</v>
      </c>
      <c r="S117" s="21" t="str">
        <f>IFERROR(INDEX(Товары_очищенные!$N$3:$N$503,MATCH(M117,Товары_очищенные!$L$3:$L$503,0)),"нет в каталоге")</f>
        <v>Наушники</v>
      </c>
      <c r="T117" s="21" t="str">
        <f t="shared" si="169"/>
        <v>OK</v>
      </c>
      <c r="U117" s="12" t="str">
        <f t="shared" si="170"/>
        <v>13/03/2025|АРТ-154|C0115</v>
      </c>
      <c r="V117" s="12" t="str">
        <f t="shared" si="171"/>
        <v>оригинал</v>
      </c>
    </row>
    <row r="118" ht="15" customHeight="1">
      <c r="A118" s="10">
        <v>116</v>
      </c>
      <c r="B118" s="11" t="str">
        <f>RAW_Продажи!A117</f>
        <v>03/13/2025</v>
      </c>
      <c r="C118" s="11" t="str">
        <f>RAW_Продажи!B117</f>
        <v>АРТ_298</v>
      </c>
      <c r="D118" s="11" t="str">
        <f>RAW_Продажи!C117</f>
        <v>2</v>
      </c>
      <c r="E118" s="11" t="str">
        <f>RAW_Продажи!D117</f>
        <v>€75</v>
      </c>
      <c r="F118" s="11" t="str">
        <f>RAW_Продажи!E117</f>
        <v>C0116</v>
      </c>
      <c r="G118" s="11" t="str">
        <f>RAW_Продажи!F117</f>
        <v>P032</v>
      </c>
      <c r="H118" s="11" t="str">
        <f>RAW_Продажи!G117</f>
        <v>завершен</v>
      </c>
      <c r="I118" s="12" t="str">
        <f t="shared" si="163"/>
        <v>298</v>
      </c>
      <c r="J118" s="12" t="str">
        <f t="shared" si="164"/>
        <v>€</v>
      </c>
      <c r="K118" s="12">
        <f t="shared" si="165"/>
        <v>75</v>
      </c>
      <c r="L118" s="19">
        <f t="shared" si="166"/>
        <v>45729</v>
      </c>
      <c r="M118" s="13" t="str">
        <f t="shared" si="167"/>
        <v>АРТ-298</v>
      </c>
      <c r="N118" s="13">
        <f t="shared" si="168"/>
        <v>2</v>
      </c>
      <c r="O118" s="13" t="str">
        <f>IFERROR(VLOOKUP(J118,Справочники!$G$6:$H$8,2,0),"RUB")</f>
        <v>EUR</v>
      </c>
      <c r="P118" s="14">
        <f>ROUND(K118*IFERROR(VLOOKUP(J118,Справочники!$G$6:$I$8,3,0),1),2)</f>
        <v>7500</v>
      </c>
      <c r="Q118" s="13" t="str">
        <f>IFERROR(VLOOKUP(H118,Справочники!$D$6:$E$14,2,0),"НЕИЗВЕСТНО")</f>
        <v>Завершен</v>
      </c>
      <c r="R118" s="20">
        <f>IFERROR(INDEX(Товары_очищенные!$Q$3:$Q$503,MATCH(M118,Товары_очищенные!$L$3:$L$503,0)),"нет в каталоге")</f>
        <v>65990</v>
      </c>
      <c r="S118" s="21" t="str">
        <f>IFERROR(INDEX(Товары_очищенные!$N$3:$N$503,MATCH(M118,Товары_очищенные!$L$3:$L$503,0)),"нет в каталоге")</f>
        <v>Телевизоры</v>
      </c>
      <c r="T118" s="21" t="str">
        <f t="shared" si="169"/>
        <v>OK</v>
      </c>
      <c r="U118" s="12" t="str">
        <f t="shared" si="170"/>
        <v>13/03/2025|АРТ-298|C0116</v>
      </c>
      <c r="V118" s="12" t="str">
        <f t="shared" si="171"/>
        <v>оригинал</v>
      </c>
    </row>
    <row r="119" ht="15" customHeight="1">
      <c r="A119" s="10">
        <v>117</v>
      </c>
      <c r="B119" s="11" t="str">
        <f>RAW_Продажи!A118</f>
        <v>03/14/2025</v>
      </c>
      <c r="C119" s="11" t="str">
        <f>RAW_Продажи!B118</f>
        <v>171/24</v>
      </c>
      <c r="D119" s="11" t="str">
        <f>RAW_Продажи!C118</f>
        <v xml:space="preserve">1 шт.</v>
      </c>
      <c r="E119" s="11" t="str">
        <f>RAW_Продажи!D118</f>
        <v xml:space="preserve">6500 ₽</v>
      </c>
      <c r="F119" s="11" t="str">
        <f>RAW_Продажи!E118</f>
        <v>C0117</v>
      </c>
      <c r="G119" s="11" t="str">
        <f>RAW_Продажи!F118</f>
        <v>P049</v>
      </c>
      <c r="H119" s="11" t="str">
        <f>RAW_Продажи!G118</f>
        <v>completed</v>
      </c>
      <c r="I119" s="12" t="str">
        <f t="shared" si="163"/>
        <v>171/24</v>
      </c>
      <c r="J119" s="12" t="str">
        <f t="shared" si="164"/>
        <v>₽</v>
      </c>
      <c r="K119" s="12">
        <f t="shared" si="165"/>
        <v>6500</v>
      </c>
      <c r="L119" s="19">
        <f t="shared" si="166"/>
        <v>45730</v>
      </c>
      <c r="M119" s="13" t="str">
        <f t="shared" si="167"/>
        <v>АРТ-171</v>
      </c>
      <c r="N119" s="13">
        <f t="shared" si="168"/>
        <v>1</v>
      </c>
      <c r="O119" s="13" t="str">
        <f>IFERROR(VLOOKUP(J119,Справочники!$G$6:$H$8,2,0),"RUB")</f>
        <v>RUB</v>
      </c>
      <c r="P119" s="14">
        <f>ROUND(K119*IFERROR(VLOOKUP(J119,Справочники!$G$6:$I$8,3,0),1),2)</f>
        <v>6500</v>
      </c>
      <c r="Q119" s="13" t="str">
        <f>IFERROR(VLOOKUP(H119,Справочники!$D$6:$E$14,2,0),"НЕИЗВЕСТНО")</f>
        <v>Завершен</v>
      </c>
      <c r="R119" s="20">
        <f>IFERROR(INDEX(Товары_очищенные!$Q$3:$Q$503,MATCH(M119,Товары_очищенные!$L$3:$L$503,0)),"нет в каталоге")</f>
        <v>59500</v>
      </c>
      <c r="S119" s="21" t="str">
        <f>IFERROR(INDEX(Товары_очищенные!$N$3:$N$503,MATCH(M119,Товары_очищенные!$L$3:$L$503,0)),"нет в каталоге")</f>
        <v>Смартфоны</v>
      </c>
      <c r="T119" s="21" t="str">
        <f t="shared" si="169"/>
        <v>OK</v>
      </c>
      <c r="U119" s="12" t="str">
        <f t="shared" si="170"/>
        <v>14/03/2025|АРТ-171|C0117</v>
      </c>
      <c r="V119" s="12" t="str">
        <f t="shared" si="171"/>
        <v>оригинал</v>
      </c>
    </row>
    <row r="120" ht="15" customHeight="1">
      <c r="A120" s="10">
        <v>118</v>
      </c>
      <c r="B120" s="11" t="str">
        <f>RAW_Продажи!A119</f>
        <v>03/14/2025</v>
      </c>
      <c r="C120" s="11" t="str">
        <f>RAW_Продажи!B119</f>
        <v>№АРТ-329</v>
      </c>
      <c r="D120" s="11" t="str">
        <f>RAW_Продажи!C119</f>
        <v>-2</v>
      </c>
      <c r="E120" s="11" t="str">
        <f>RAW_Продажи!D119</f>
        <v>$110</v>
      </c>
      <c r="F120" s="11" t="str">
        <f>RAW_Продажи!E119</f>
        <v>C0118</v>
      </c>
      <c r="G120" s="11" t="str">
        <f>RAW_Продажи!F119</f>
        <v>P006</v>
      </c>
      <c r="H120" s="11" t="str">
        <f>RAW_Продажи!G119</f>
        <v>отменен</v>
      </c>
      <c r="I120" s="12" t="str">
        <f t="shared" si="163"/>
        <v>329</v>
      </c>
      <c r="J120" s="12" t="str">
        <f t="shared" si="164"/>
        <v>$</v>
      </c>
      <c r="K120" s="12">
        <f t="shared" si="165"/>
        <v>110</v>
      </c>
      <c r="L120" s="19">
        <f t="shared" si="166"/>
        <v>45730</v>
      </c>
      <c r="M120" s="13" t="str">
        <f t="shared" si="167"/>
        <v>АРТ-329</v>
      </c>
      <c r="N120" s="13">
        <f t="shared" si="168"/>
        <v>-2</v>
      </c>
      <c r="O120" s="13" t="str">
        <f>IFERROR(VLOOKUP(J120,Справочники!$G$6:$H$8,2,0),"RUB")</f>
        <v>USD</v>
      </c>
      <c r="P120" s="14">
        <f>ROUND(K120*IFERROR(VLOOKUP(J120,Справочники!$G$6:$I$8,3,0),1),2)</f>
        <v>10450</v>
      </c>
      <c r="Q120" s="13" t="str">
        <f>IFERROR(VLOOKUP(H120,Справочники!$D$6:$E$14,2,0),"НЕИЗВЕСТНО")</f>
        <v>Отменен</v>
      </c>
      <c r="R120" s="20">
        <f>IFERROR(INDEX(Товары_очищенные!$Q$3:$Q$503,MATCH(M120,Товары_очищенные!$L$3:$L$503,0)),"нет в каталоге")</f>
        <v>11500</v>
      </c>
      <c r="S120" s="21" t="str">
        <f>IFERROR(INDEX(Товары_очищенные!$N$3:$N$503,MATCH(M120,Товары_очищенные!$L$3:$L$503,0)),"нет в каталоге")</f>
        <v>Аксессуары</v>
      </c>
      <c r="T120" s="21" t="str">
        <f t="shared" si="169"/>
        <v>OK</v>
      </c>
      <c r="U120" s="12" t="str">
        <f t="shared" si="170"/>
        <v>14/03/2025|АРТ-329|C0118</v>
      </c>
      <c r="V120" s="12" t="str">
        <f t="shared" si="171"/>
        <v>оригинал</v>
      </c>
    </row>
    <row r="121" ht="15" customHeight="1">
      <c r="A121" s="10">
        <v>119</v>
      </c>
      <c r="B121" s="11" t="str">
        <f>RAW_Продажи!A120</f>
        <v>03/15/2025</v>
      </c>
      <c r="C121" s="11" t="str">
        <f>RAW_Продажи!B120</f>
        <v>АРТ_063</v>
      </c>
      <c r="D121" s="11" t="str">
        <f>RAW_Продажи!C120</f>
        <v>1</v>
      </c>
      <c r="E121" s="11" t="str">
        <f>RAW_Продажи!D120</f>
        <v>€90</v>
      </c>
      <c r="F121" s="11" t="str">
        <f>RAW_Продажи!E120</f>
        <v>C0119</v>
      </c>
      <c r="G121" s="11" t="str">
        <f>RAW_Продажи!F120</f>
        <v>P024</v>
      </c>
      <c r="H121" s="11" t="str">
        <f>RAW_Продажи!G120</f>
        <v>canceled</v>
      </c>
      <c r="I121" s="12" t="str">
        <f t="shared" si="163"/>
        <v>063</v>
      </c>
      <c r="J121" s="12" t="str">
        <f t="shared" si="164"/>
        <v>€</v>
      </c>
      <c r="K121" s="12">
        <f t="shared" si="165"/>
        <v>90</v>
      </c>
      <c r="L121" s="19">
        <f t="shared" si="166"/>
        <v>45731</v>
      </c>
      <c r="M121" s="13" t="str">
        <f t="shared" si="167"/>
        <v>АРТ-063</v>
      </c>
      <c r="N121" s="13">
        <f t="shared" si="168"/>
        <v>1</v>
      </c>
      <c r="O121" s="13" t="str">
        <f>IFERROR(VLOOKUP(J121,Справочники!$G$6:$H$8,2,0),"RUB")</f>
        <v>EUR</v>
      </c>
      <c r="P121" s="14">
        <f>ROUND(K121*IFERROR(VLOOKUP(J121,Справочники!$G$6:$I$8,3,0),1),2)</f>
        <v>9000</v>
      </c>
      <c r="Q121" s="13" t="str">
        <f>IFERROR(VLOOKUP(H121,Справочники!$D$6:$E$14,2,0),"НЕИЗВЕСТНО")</f>
        <v>Отменен</v>
      </c>
      <c r="R121" s="20">
        <f>IFERROR(INDEX(Товары_очищенные!$Q$3:$Q$503,MATCH(M121,Товары_очищенные!$L$3:$L$503,0)),"нет в каталоге")</f>
        <v>127000</v>
      </c>
      <c r="S121" s="21" t="str">
        <f>IFERROR(INDEX(Товары_очищенные!$N$3:$N$503,MATCH(M121,Товары_очищенные!$L$3:$L$503,0)),"нет в каталоге")</f>
        <v>Ноутбуки</v>
      </c>
      <c r="T121" s="21" t="str">
        <f t="shared" si="169"/>
        <v>OK</v>
      </c>
      <c r="U121" s="12" t="str">
        <f t="shared" si="170"/>
        <v>15/03/2025|АРТ-063|C0119</v>
      </c>
      <c r="V121" s="12" t="str">
        <f t="shared" si="171"/>
        <v>оригинал</v>
      </c>
    </row>
    <row r="122" ht="15" customHeight="1">
      <c r="A122" s="10">
        <v>120</v>
      </c>
      <c r="B122" s="11" t="str">
        <f>RAW_Продажи!A121</f>
        <v>03/15/2025</v>
      </c>
      <c r="C122" s="11" t="str">
        <f>RAW_Продажи!B121</f>
        <v>049-24</v>
      </c>
      <c r="D122" s="11" t="str">
        <f>RAW_Продажи!C121</f>
        <v>3</v>
      </c>
      <c r="E122" s="11" t="str">
        <f>RAW_Продажи!D121</f>
        <v xml:space="preserve">8500 ₽</v>
      </c>
      <c r="F122" s="11" t="str">
        <f>RAW_Продажи!E121</f>
        <v>C0120</v>
      </c>
      <c r="G122" s="11" t="str">
        <f>RAW_Продажи!F121</f>
        <v>P015</v>
      </c>
      <c r="H122" s="11" t="str">
        <f>RAW_Продажи!G121</f>
        <v>Завершен</v>
      </c>
      <c r="I122" s="12" t="str">
        <f t="shared" si="163"/>
        <v>049-24</v>
      </c>
      <c r="J122" s="12" t="str">
        <f t="shared" si="164"/>
        <v>₽</v>
      </c>
      <c r="K122" s="12">
        <f t="shared" si="165"/>
        <v>8500</v>
      </c>
      <c r="L122" s="19">
        <f t="shared" si="166"/>
        <v>45731</v>
      </c>
      <c r="M122" s="13" t="str">
        <f t="shared" si="167"/>
        <v>АРТ-049</v>
      </c>
      <c r="N122" s="13">
        <f t="shared" si="168"/>
        <v>3</v>
      </c>
      <c r="O122" s="13" t="str">
        <f>IFERROR(VLOOKUP(J122,Справочники!$G$6:$H$8,2,0),"RUB")</f>
        <v>RUB</v>
      </c>
      <c r="P122" s="14">
        <f>ROUND(K122*IFERROR(VLOOKUP(J122,Справочники!$G$6:$I$8,3,0),1),2)</f>
        <v>8500</v>
      </c>
      <c r="Q122" s="13" t="str">
        <f>IFERROR(VLOOKUP(H122,Справочники!$D$6:$E$14,2,0),"НЕИЗВЕСТНО")</f>
        <v>Завершен</v>
      </c>
      <c r="R122" s="20">
        <f>IFERROR(INDEX(Товары_очищенные!$Q$3:$Q$503,MATCH(M122,Товары_очищенные!$L$3:$L$503,0)),"нет в каталоге")</f>
        <v>54999</v>
      </c>
      <c r="S122" s="21" t="str">
        <f>IFERROR(INDEX(Товары_очищенные!$N$3:$N$503,MATCH(M122,Товары_очищенные!$L$3:$L$503,0)),"нет в каталоге")</f>
        <v>Смартфоны</v>
      </c>
      <c r="T122" s="21" t="str">
        <f t="shared" si="169"/>
        <v>OK</v>
      </c>
      <c r="U122" s="12" t="str">
        <f t="shared" si="170"/>
        <v>15/03/2025|АРТ-049|C0120</v>
      </c>
      <c r="V122" s="12" t="str">
        <f t="shared" si="171"/>
        <v>оригинал</v>
      </c>
    </row>
    <row r="123" ht="15" customHeight="1">
      <c r="A123" s="10">
        <v>121</v>
      </c>
      <c r="B123" s="11" t="str">
        <f>RAW_Продажи!A122</f>
        <v>03/16/2025</v>
      </c>
      <c r="C123" s="11" t="str">
        <f>RAW_Продажи!B122</f>
        <v>№АРТ-118</v>
      </c>
      <c r="D123" s="11" t="str">
        <f>RAW_Продажи!C122</f>
        <v>2</v>
      </c>
      <c r="E123" s="11" t="str">
        <f>RAW_Продажи!D122</f>
        <v>$100</v>
      </c>
      <c r="F123" s="11" t="str">
        <f>RAW_Продажи!E122</f>
        <v>C0121</v>
      </c>
      <c r="G123" s="11" t="str">
        <f>RAW_Продажи!F122</f>
        <v>P037</v>
      </c>
      <c r="H123" s="11" t="str">
        <f>RAW_Продажи!G122</f>
        <v>возврат</v>
      </c>
      <c r="I123" s="12" t="str">
        <f t="shared" si="163"/>
        <v>118</v>
      </c>
      <c r="J123" s="12" t="str">
        <f t="shared" si="164"/>
        <v>$</v>
      </c>
      <c r="K123" s="12">
        <f t="shared" si="165"/>
        <v>100</v>
      </c>
      <c r="L123" s="19">
        <f t="shared" si="166"/>
        <v>45732</v>
      </c>
      <c r="M123" s="13" t="str">
        <f t="shared" si="167"/>
        <v>АРТ-118</v>
      </c>
      <c r="N123" s="13">
        <f t="shared" si="168"/>
        <v>2</v>
      </c>
      <c r="O123" s="13" t="str">
        <f>IFERROR(VLOOKUP(J123,Справочники!$G$6:$H$8,2,0),"RUB")</f>
        <v>USD</v>
      </c>
      <c r="P123" s="14">
        <f>ROUND(K123*IFERROR(VLOOKUP(J123,Справочники!$G$6:$I$8,3,0),1),2)</f>
        <v>9500</v>
      </c>
      <c r="Q123" s="13" t="str">
        <f>IFERROR(VLOOKUP(H123,Справочники!$D$6:$E$14,2,0),"НЕИЗВЕСТНО")</f>
        <v>Возврат</v>
      </c>
      <c r="R123" s="20">
        <f>IFERROR(INDEX(Товары_очищенные!$Q$3:$Q$503,MATCH(M123,Товары_очищенные!$L$3:$L$503,0)),"нет в каталоге")</f>
        <v>7990</v>
      </c>
      <c r="S123" s="21" t="str">
        <f>IFERROR(INDEX(Товары_очищенные!$N$3:$N$503,MATCH(M123,Товары_очищенные!$L$3:$L$503,0)),"нет в каталоге")</f>
        <v>Аксессуары</v>
      </c>
      <c r="T123" s="21" t="str">
        <f t="shared" si="169"/>
        <v>OK</v>
      </c>
      <c r="U123" s="12" t="str">
        <f t="shared" si="170"/>
        <v>16/03/2025|АРТ-118|C0121</v>
      </c>
      <c r="V123" s="12" t="str">
        <f t="shared" si="171"/>
        <v>оригинал</v>
      </c>
    </row>
    <row r="124" ht="15" customHeight="1">
      <c r="A124" s="10">
        <v>122</v>
      </c>
      <c r="B124" s="11" t="str">
        <f>RAW_Продажи!A123</f>
        <v>03/16/2025</v>
      </c>
      <c r="C124" s="11" t="str">
        <f>RAW_Продажи!B123</f>
        <v>АРТ_461</v>
      </c>
      <c r="D124" s="11" t="str">
        <f>RAW_Продажи!C123</f>
        <v>2</v>
      </c>
      <c r="E124" s="11" t="str">
        <f>RAW_Продажи!D123</f>
        <v>€80</v>
      </c>
      <c r="F124" s="11" t="str">
        <f>RAW_Продажи!E123</f>
        <v>C0122</v>
      </c>
      <c r="G124" s="11" t="str">
        <f>RAW_Продажи!F123</f>
        <v>P048</v>
      </c>
      <c r="H124" s="11" t="str">
        <f>RAW_Продажи!G123</f>
        <v>завершен</v>
      </c>
      <c r="I124" s="12" t="str">
        <f t="shared" si="163"/>
        <v>461</v>
      </c>
      <c r="J124" s="12" t="str">
        <f t="shared" si="164"/>
        <v>€</v>
      </c>
      <c r="K124" s="12">
        <f t="shared" si="165"/>
        <v>80</v>
      </c>
      <c r="L124" s="19">
        <f t="shared" si="166"/>
        <v>45732</v>
      </c>
      <c r="M124" s="13" t="str">
        <f t="shared" si="167"/>
        <v>АРТ-461</v>
      </c>
      <c r="N124" s="13">
        <f t="shared" si="168"/>
        <v>2</v>
      </c>
      <c r="O124" s="13" t="str">
        <f>IFERROR(VLOOKUP(J124,Справочники!$G$6:$H$8,2,0),"RUB")</f>
        <v>EUR</v>
      </c>
      <c r="P124" s="14">
        <f>ROUND(K124*IFERROR(VLOOKUP(J124,Справочники!$G$6:$I$8,3,0),1),2)</f>
        <v>8000</v>
      </c>
      <c r="Q124" s="13" t="str">
        <f>IFERROR(VLOOKUP(H124,Справочники!$D$6:$E$14,2,0),"НЕИЗВЕСТНО")</f>
        <v>Завершен</v>
      </c>
      <c r="R124" s="20">
        <f>IFERROR(INDEX(Товары_очищенные!$Q$3:$Q$503,MATCH(M124,Товары_очищенные!$L$3:$L$503,0)),"нет в каталоге")</f>
        <v>46000</v>
      </c>
      <c r="S124" s="21" t="str">
        <f>IFERROR(INDEX(Товары_очищенные!$N$3:$N$503,MATCH(M124,Товары_очищенные!$L$3:$L$503,0)),"нет в каталоге")</f>
        <v>Часы</v>
      </c>
      <c r="T124" s="21" t="str">
        <f t="shared" si="169"/>
        <v>OK</v>
      </c>
      <c r="U124" s="12" t="str">
        <f t="shared" si="170"/>
        <v>16/03/2025|АРТ-461|C0122</v>
      </c>
      <c r="V124" s="12" t="str">
        <f t="shared" si="171"/>
        <v>оригинал</v>
      </c>
    </row>
    <row r="125" ht="15" customHeight="1">
      <c r="A125" s="10">
        <v>123</v>
      </c>
      <c r="B125" s="11" t="str">
        <f>RAW_Продажи!A124</f>
        <v>03/17/2025</v>
      </c>
      <c r="C125" s="11" t="str">
        <f>RAW_Продажи!B124</f>
        <v>329/24</v>
      </c>
      <c r="D125" s="11" t="str">
        <f>RAW_Продажи!C124</f>
        <v xml:space="preserve">2 шт.</v>
      </c>
      <c r="E125" s="11" t="str">
        <f>RAW_Продажи!D124</f>
        <v xml:space="preserve">7500 ₽</v>
      </c>
      <c r="F125" s="11" t="str">
        <f>RAW_Продажи!E124</f>
        <v>C0123</v>
      </c>
      <c r="G125" s="11" t="str">
        <f>RAW_Продажи!F124</f>
        <v>P004</v>
      </c>
      <c r="H125" s="11" t="str">
        <f>RAW_Продажи!G124</f>
        <v>completed</v>
      </c>
      <c r="I125" s="12" t="str">
        <f t="shared" si="163"/>
        <v>329/24</v>
      </c>
      <c r="J125" s="12" t="str">
        <f t="shared" si="164"/>
        <v>₽</v>
      </c>
      <c r="K125" s="12">
        <f t="shared" si="165"/>
        <v>7500</v>
      </c>
      <c r="L125" s="19">
        <f t="shared" si="166"/>
        <v>45733</v>
      </c>
      <c r="M125" s="13" t="str">
        <f t="shared" si="167"/>
        <v>АРТ-329</v>
      </c>
      <c r="N125" s="13">
        <f t="shared" si="168"/>
        <v>2</v>
      </c>
      <c r="O125" s="13" t="str">
        <f>IFERROR(VLOOKUP(J125,Справочники!$G$6:$H$8,2,0),"RUB")</f>
        <v>RUB</v>
      </c>
      <c r="P125" s="14">
        <f>ROUND(K125*IFERROR(VLOOKUP(J125,Справочники!$G$6:$I$8,3,0),1),2)</f>
        <v>7500</v>
      </c>
      <c r="Q125" s="13" t="str">
        <f>IFERROR(VLOOKUP(H125,Справочники!$D$6:$E$14,2,0),"НЕИЗВЕСТНО")</f>
        <v>Завершен</v>
      </c>
      <c r="R125" s="20">
        <f>IFERROR(INDEX(Товары_очищенные!$Q$3:$Q$503,MATCH(M125,Товары_очищенные!$L$3:$L$503,0)),"нет в каталоге")</f>
        <v>11500</v>
      </c>
      <c r="S125" s="21" t="str">
        <f>IFERROR(INDEX(Товары_очищенные!$N$3:$N$503,MATCH(M125,Товары_очищенные!$L$3:$L$503,0)),"нет в каталоге")</f>
        <v>Аксессуары</v>
      </c>
      <c r="T125" s="21" t="str">
        <f t="shared" si="169"/>
        <v>OK</v>
      </c>
      <c r="U125" s="12" t="str">
        <f t="shared" si="170"/>
        <v>17/03/2025|АРТ-329|C0123</v>
      </c>
      <c r="V125" s="12" t="str">
        <f t="shared" si="171"/>
        <v>оригинал</v>
      </c>
    </row>
    <row r="126" ht="15" customHeight="1">
      <c r="A126" s="10">
        <v>124</v>
      </c>
      <c r="B126" s="11" t="str">
        <f>RAW_Продажи!A125</f>
        <v>03/17/2025</v>
      </c>
      <c r="C126" s="11" t="str">
        <f>RAW_Продажи!B125</f>
        <v>№АРТ-344</v>
      </c>
      <c r="D126" s="11" t="str">
        <f>RAW_Продажи!C125</f>
        <v>-1</v>
      </c>
      <c r="E126" s="11" t="str">
        <f>RAW_Продажи!D125</f>
        <v>$115</v>
      </c>
      <c r="F126" s="11" t="str">
        <f>RAW_Продажи!E125</f>
        <v>C0124</v>
      </c>
      <c r="G126" s="11" t="str">
        <f>RAW_Продажи!F125</f>
        <v>P026</v>
      </c>
      <c r="H126" s="11" t="str">
        <f>RAW_Продажи!G125</f>
        <v>Завершен</v>
      </c>
      <c r="I126" s="12" t="str">
        <f t="shared" si="163"/>
        <v>344</v>
      </c>
      <c r="J126" s="12" t="str">
        <f t="shared" si="164"/>
        <v>$</v>
      </c>
      <c r="K126" s="12">
        <f t="shared" si="165"/>
        <v>115</v>
      </c>
      <c r="L126" s="19">
        <f t="shared" si="166"/>
        <v>45733</v>
      </c>
      <c r="M126" s="13" t="str">
        <f t="shared" si="167"/>
        <v>АРТ-344</v>
      </c>
      <c r="N126" s="13">
        <f t="shared" si="168"/>
        <v>-1</v>
      </c>
      <c r="O126" s="13" t="str">
        <f>IFERROR(VLOOKUP(J126,Справочники!$G$6:$H$8,2,0),"RUB")</f>
        <v>USD</v>
      </c>
      <c r="P126" s="14">
        <f>ROUND(K126*IFERROR(VLOOKUP(J126,Справочники!$G$6:$I$8,3,0),1),2)</f>
        <v>10925</v>
      </c>
      <c r="Q126" s="13" t="str">
        <f>IFERROR(VLOOKUP(H126,Справочники!$D$6:$E$14,2,0),"НЕИЗВЕСТНО")</f>
        <v>Завершен</v>
      </c>
      <c r="R126" s="20">
        <f>IFERROR(INDEX(Товары_очищенные!$Q$3:$Q$503,MATCH(M126,Товары_очищенные!$L$3:$L$503,0)),"нет в каталоге")</f>
        <v>82000</v>
      </c>
      <c r="S126" s="21" t="str">
        <f>IFERROR(INDEX(Товары_очищенные!$N$3:$N$503,MATCH(M126,Товары_очищенные!$L$3:$L$503,0)),"нет в каталоге")</f>
        <v>Телевизоры</v>
      </c>
      <c r="T126" s="21" t="str">
        <f t="shared" si="169"/>
        <v>OK</v>
      </c>
      <c r="U126" s="12" t="str">
        <f t="shared" si="170"/>
        <v>17/03/2025|АРТ-344|C0124</v>
      </c>
      <c r="V126" s="12" t="str">
        <f t="shared" si="171"/>
        <v>оригинал</v>
      </c>
    </row>
    <row r="127" ht="15" customHeight="1">
      <c r="A127" s="10">
        <v>125</v>
      </c>
      <c r="B127" s="11" t="str">
        <f>RAW_Продажи!A126</f>
        <v>03/18/2025</v>
      </c>
      <c r="C127" s="11" t="str">
        <f>RAW_Продажи!B126</f>
        <v>АРТ_291</v>
      </c>
      <c r="D127" s="11" t="str">
        <f>RAW_Продажи!C126</f>
        <v>3</v>
      </c>
      <c r="E127" s="11" t="str">
        <f>RAW_Продажи!D126</f>
        <v>€95</v>
      </c>
      <c r="F127" s="11" t="str">
        <f>RAW_Продажи!E126</f>
        <v>C0125</v>
      </c>
      <c r="G127" s="11" t="str">
        <f>RAW_Продажи!F126</f>
        <v>P013</v>
      </c>
      <c r="H127" s="11" t="str">
        <f>RAW_Продажи!G126</f>
        <v>canceled</v>
      </c>
      <c r="I127" s="12" t="str">
        <f t="shared" si="163"/>
        <v>291</v>
      </c>
      <c r="J127" s="12" t="str">
        <f t="shared" si="164"/>
        <v>€</v>
      </c>
      <c r="K127" s="12">
        <f t="shared" si="165"/>
        <v>95</v>
      </c>
      <c r="L127" s="19">
        <f t="shared" si="166"/>
        <v>45734</v>
      </c>
      <c r="M127" s="13" t="str">
        <f t="shared" si="167"/>
        <v>АРТ-291</v>
      </c>
      <c r="N127" s="13">
        <f t="shared" si="168"/>
        <v>3</v>
      </c>
      <c r="O127" s="13" t="str">
        <f>IFERROR(VLOOKUP(J127,Справочники!$G$6:$H$8,2,0),"RUB")</f>
        <v>EUR</v>
      </c>
      <c r="P127" s="14">
        <f>ROUND(K127*IFERROR(VLOOKUP(J127,Справочники!$G$6:$I$8,3,0),1),2)</f>
        <v>9500</v>
      </c>
      <c r="Q127" s="13" t="str">
        <f>IFERROR(VLOOKUP(H127,Справочники!$D$6:$E$14,2,0),"НЕИЗВЕСТНО")</f>
        <v>Отменен</v>
      </c>
      <c r="R127" s="20">
        <f>IFERROR(INDEX(Товары_очищенные!$Q$3:$Q$503,MATCH(M127,Товары_очищенные!$L$3:$L$503,0)),"нет в каталоге")</f>
        <v>65000</v>
      </c>
      <c r="S127" s="21" t="str">
        <f>IFERROR(INDEX(Товары_очищенные!$N$3:$N$503,MATCH(M127,Товары_очищенные!$L$3:$L$503,0)),"нет в каталоге")</f>
        <v>Часы</v>
      </c>
      <c r="T127" s="21" t="str">
        <f t="shared" si="169"/>
        <v>OK</v>
      </c>
      <c r="U127" s="12" t="str">
        <f t="shared" si="170"/>
        <v>18/03/2025|АРТ-291|C0125</v>
      </c>
      <c r="V127" s="12" t="str">
        <f t="shared" si="171"/>
        <v>оригинал</v>
      </c>
    </row>
    <row r="128" ht="15" customHeight="1">
      <c r="A128" s="10">
        <v>126</v>
      </c>
      <c r="B128" s="11" t="str">
        <f>RAW_Продажи!A127</f>
        <v>03/18/2025</v>
      </c>
      <c r="C128" s="11" t="str">
        <f>RAW_Продажи!B127</f>
        <v>133-24</v>
      </c>
      <c r="D128" s="11" t="str">
        <f>RAW_Продажи!C127</f>
        <v>1</v>
      </c>
      <c r="E128" s="11" t="str">
        <f>RAW_Продажи!D127</f>
        <v xml:space="preserve">8800 ₽</v>
      </c>
      <c r="F128" s="11" t="str">
        <f>RAW_Продажи!E127</f>
        <v>C0126</v>
      </c>
      <c r="G128" s="11" t="str">
        <f>RAW_Продажи!F127</f>
        <v>P034</v>
      </c>
      <c r="H128" s="11" t="str">
        <f>RAW_Продажи!G127</f>
        <v>отменен</v>
      </c>
      <c r="I128" s="12" t="str">
        <f t="shared" si="163"/>
        <v>133-24</v>
      </c>
      <c r="J128" s="12" t="str">
        <f t="shared" si="164"/>
        <v>₽</v>
      </c>
      <c r="K128" s="12">
        <f t="shared" si="165"/>
        <v>8800</v>
      </c>
      <c r="L128" s="19">
        <f t="shared" si="166"/>
        <v>45734</v>
      </c>
      <c r="M128" s="13" t="str">
        <f t="shared" si="167"/>
        <v>АРТ-133</v>
      </c>
      <c r="N128" s="13">
        <f t="shared" si="168"/>
        <v>1</v>
      </c>
      <c r="O128" s="13" t="str">
        <f>IFERROR(VLOOKUP(J128,Справочники!$G$6:$H$8,2,0),"RUB")</f>
        <v>RUB</v>
      </c>
      <c r="P128" s="14">
        <f>ROUND(K128*IFERROR(VLOOKUP(J128,Справочники!$G$6:$I$8,3,0),1),2)</f>
        <v>8800</v>
      </c>
      <c r="Q128" s="13" t="str">
        <f>IFERROR(VLOOKUP(H128,Справочники!$D$6:$E$14,2,0),"НЕИЗВЕСТНО")</f>
        <v>Отменен</v>
      </c>
      <c r="R128" s="20">
        <f>IFERROR(INDEX(Товары_очищенные!$Q$3:$Q$503,MATCH(M128,Товары_очищенные!$L$3:$L$503,0)),"нет в каталоге")</f>
        <v>126990</v>
      </c>
      <c r="S128" s="21" t="str">
        <f>IFERROR(INDEX(Товары_очищенные!$N$3:$N$503,MATCH(M128,Товары_очищенные!$L$3:$L$503,0)),"нет в каталоге")</f>
        <v>Телевизоры</v>
      </c>
      <c r="T128" s="21" t="str">
        <f t="shared" si="169"/>
        <v>OK</v>
      </c>
      <c r="U128" s="12" t="str">
        <f t="shared" si="170"/>
        <v>18/03/2025|АРТ-133|C0126</v>
      </c>
      <c r="V128" s="12" t="str">
        <f t="shared" si="171"/>
        <v>оригинал</v>
      </c>
    </row>
    <row r="129" ht="15" customHeight="1">
      <c r="A129" s="10">
        <v>127</v>
      </c>
      <c r="B129" s="11" t="str">
        <f>RAW_Продажи!A128</f>
        <v>03/19/2025</v>
      </c>
      <c r="C129" s="11" t="str">
        <f>RAW_Продажи!B128</f>
        <v>№АРТ-251</v>
      </c>
      <c r="D129" s="11" t="str">
        <f>RAW_Продажи!C128</f>
        <v>2</v>
      </c>
      <c r="E129" s="11" t="str">
        <f>RAW_Продажи!D128</f>
        <v>$130</v>
      </c>
      <c r="F129" s="11" t="str">
        <f>RAW_Продажи!E128</f>
        <v>C0127</v>
      </c>
      <c r="G129" s="11" t="str">
        <f>RAW_Продажи!F128</f>
        <v>P044</v>
      </c>
      <c r="H129" s="11" t="str">
        <f>RAW_Продажи!G128</f>
        <v>возврат</v>
      </c>
      <c r="I129" s="12" t="str">
        <f t="shared" si="163"/>
        <v>251</v>
      </c>
      <c r="J129" s="12" t="str">
        <f t="shared" si="164"/>
        <v>$</v>
      </c>
      <c r="K129" s="12">
        <f t="shared" si="165"/>
        <v>130</v>
      </c>
      <c r="L129" s="19">
        <f t="shared" si="166"/>
        <v>45735</v>
      </c>
      <c r="M129" s="13" t="str">
        <f t="shared" si="167"/>
        <v>АРТ-251</v>
      </c>
      <c r="N129" s="13">
        <f t="shared" si="168"/>
        <v>2</v>
      </c>
      <c r="O129" s="13" t="str">
        <f>IFERROR(VLOOKUP(J129,Справочники!$G$6:$H$8,2,0),"RUB")</f>
        <v>USD</v>
      </c>
      <c r="P129" s="14">
        <f>ROUND(K129*IFERROR(VLOOKUP(J129,Справочники!$G$6:$I$8,3,0),1),2)</f>
        <v>12350</v>
      </c>
      <c r="Q129" s="13" t="str">
        <f>IFERROR(VLOOKUP(H129,Справочники!$D$6:$E$14,2,0),"НЕИЗВЕСТНО")</f>
        <v>Возврат</v>
      </c>
      <c r="R129" s="20">
        <f>IFERROR(INDEX(Товары_очищенные!$Q$3:$Q$503,MATCH(M129,Товары_очищенные!$L$3:$L$503,0)),"нет в каталоге")</f>
        <v>53500</v>
      </c>
      <c r="S129" s="21" t="str">
        <f>IFERROR(INDEX(Товары_очищенные!$N$3:$N$503,MATCH(M129,Товары_очищенные!$L$3:$L$503,0)),"нет в каталоге")</f>
        <v>Часы</v>
      </c>
      <c r="T129" s="21" t="str">
        <f t="shared" si="169"/>
        <v>OK</v>
      </c>
      <c r="U129" s="12" t="str">
        <f t="shared" si="170"/>
        <v>19/03/2025|АРТ-251|C0127</v>
      </c>
      <c r="V129" s="12" t="str">
        <f t="shared" si="171"/>
        <v>оригинал</v>
      </c>
    </row>
    <row r="130" ht="15" customHeight="1">
      <c r="A130" s="10">
        <v>128</v>
      </c>
      <c r="B130" s="11" t="str">
        <f>RAW_Продажи!A129</f>
        <v>03/19/2025</v>
      </c>
      <c r="C130" s="11" t="str">
        <f>RAW_Продажи!B129</f>
        <v>АРТ_218</v>
      </c>
      <c r="D130" s="11" t="str">
        <f>RAW_Продажи!C129</f>
        <v>1</v>
      </c>
      <c r="E130" s="11" t="str">
        <f>RAW_Продажи!D129</f>
        <v>€110</v>
      </c>
      <c r="F130" s="11" t="str">
        <f>RAW_Продажи!E129</f>
        <v>C0128</v>
      </c>
      <c r="G130" s="11" t="str">
        <f>RAW_Продажи!F129</f>
        <v>P001</v>
      </c>
      <c r="H130" s="11" t="str">
        <f>RAW_Продажи!G129</f>
        <v>Завершен</v>
      </c>
      <c r="I130" s="12" t="str">
        <f t="shared" si="163"/>
        <v>218</v>
      </c>
      <c r="J130" s="12" t="str">
        <f t="shared" si="164"/>
        <v>€</v>
      </c>
      <c r="K130" s="12">
        <f t="shared" si="165"/>
        <v>110</v>
      </c>
      <c r="L130" s="19">
        <f t="shared" si="166"/>
        <v>45735</v>
      </c>
      <c r="M130" s="13" t="str">
        <f t="shared" si="167"/>
        <v>АРТ-218</v>
      </c>
      <c r="N130" s="13">
        <f t="shared" si="168"/>
        <v>1</v>
      </c>
      <c r="O130" s="13" t="str">
        <f>IFERROR(VLOOKUP(J130,Справочники!$G$6:$H$8,2,0),"RUB")</f>
        <v>EUR</v>
      </c>
      <c r="P130" s="14">
        <f>ROUND(K130*IFERROR(VLOOKUP(J130,Справочники!$G$6:$I$8,3,0),1),2)</f>
        <v>11000</v>
      </c>
      <c r="Q130" s="13" t="str">
        <f>IFERROR(VLOOKUP(H130,Справочники!$D$6:$E$14,2,0),"НЕИЗВЕСТНО")</f>
        <v>Завершен</v>
      </c>
      <c r="R130" s="20">
        <f>IFERROR(INDEX(Товары_очищенные!$Q$3:$Q$503,MATCH(M130,Товары_очищенные!$L$3:$L$503,0)),"нет в каталоге")</f>
        <v>67500</v>
      </c>
      <c r="S130" s="21" t="str">
        <f>IFERROR(INDEX(Товары_очищенные!$N$3:$N$503,MATCH(M130,Товары_очищенные!$L$3:$L$503,0)),"нет в каталоге")</f>
        <v>Телевизоры</v>
      </c>
      <c r="T130" s="21" t="str">
        <f t="shared" si="169"/>
        <v>OK</v>
      </c>
      <c r="U130" s="12" t="str">
        <f t="shared" si="170"/>
        <v>19/03/2025|АРТ-218|C0128</v>
      </c>
      <c r="V130" s="12" t="str">
        <f t="shared" si="171"/>
        <v>оригинал</v>
      </c>
    </row>
    <row r="131" ht="15" customHeight="1">
      <c r="A131" s="10">
        <v>129</v>
      </c>
      <c r="B131" s="11" t="str">
        <f>RAW_Продажи!A130</f>
        <v>03/20/2025</v>
      </c>
      <c r="C131" s="11" t="str">
        <f>RAW_Продажи!B130</f>
        <v>378/24</v>
      </c>
      <c r="D131" s="11" t="str">
        <f>RAW_Продажи!C130</f>
        <v xml:space="preserve">3 шт.</v>
      </c>
      <c r="E131" s="11" t="str">
        <f>RAW_Продажи!D130</f>
        <v xml:space="preserve">10000 ₽</v>
      </c>
      <c r="F131" s="11" t="str">
        <f>RAW_Продажи!E130</f>
        <v>C0129</v>
      </c>
      <c r="G131" s="11" t="str">
        <f>RAW_Продажи!F130</f>
        <v>P021</v>
      </c>
      <c r="H131" s="11" t="str">
        <f>RAW_Продажи!G130</f>
        <v>завершен</v>
      </c>
      <c r="I131" s="12" t="str">
        <f t="shared" si="163"/>
        <v>378/24</v>
      </c>
      <c r="J131" s="12" t="str">
        <f t="shared" si="164"/>
        <v>₽</v>
      </c>
      <c r="K131" s="12">
        <f t="shared" si="165"/>
        <v>10000</v>
      </c>
      <c r="L131" s="19">
        <f t="shared" si="166"/>
        <v>45736</v>
      </c>
      <c r="M131" s="13" t="str">
        <f t="shared" si="167"/>
        <v>АРТ-378</v>
      </c>
      <c r="N131" s="13">
        <f t="shared" si="168"/>
        <v>3</v>
      </c>
      <c r="O131" s="13" t="str">
        <f>IFERROR(VLOOKUP(J131,Справочники!$G$6:$H$8,2,0),"RUB")</f>
        <v>RUB</v>
      </c>
      <c r="P131" s="14">
        <f>ROUND(K131*IFERROR(VLOOKUP(J131,Справочники!$G$6:$I$8,3,0),1),2)</f>
        <v>10000</v>
      </c>
      <c r="Q131" s="13" t="str">
        <f>IFERROR(VLOOKUP(H131,Справочники!$D$6:$E$14,2,0),"НЕИЗВЕСТНО")</f>
        <v>Завершен</v>
      </c>
      <c r="R131" s="20">
        <f>IFERROR(INDEX(Товары_очищенные!$Q$3:$Q$503,MATCH(M131,Товары_очищенные!$L$3:$L$503,0)),"нет в каталоге")</f>
        <v>26500</v>
      </c>
      <c r="S131" s="21" t="str">
        <f>IFERROR(INDEX(Товары_очищенные!$N$3:$N$503,MATCH(M131,Товары_очищенные!$L$3:$L$503,0)),"нет в каталоге")</f>
        <v>Часы</v>
      </c>
      <c r="T131" s="21" t="str">
        <f t="shared" si="169"/>
        <v>OK</v>
      </c>
      <c r="U131" s="12" t="str">
        <f t="shared" si="170"/>
        <v>20/03/2025|АРТ-378|C0129</v>
      </c>
      <c r="V131" s="12" t="str">
        <f t="shared" si="171"/>
        <v>оригинал</v>
      </c>
    </row>
    <row r="132" ht="15" customHeight="1">
      <c r="A132" s="10">
        <v>130</v>
      </c>
      <c r="B132" s="11" t="str">
        <f>RAW_Продажи!A131</f>
        <v>03/20/2025</v>
      </c>
      <c r="C132" s="11" t="str">
        <f>RAW_Продажи!B131</f>
        <v>№АРТ-161</v>
      </c>
      <c r="D132" s="11" t="str">
        <f>RAW_Продажи!C131</f>
        <v>-2</v>
      </c>
      <c r="E132" s="11" t="str">
        <f>RAW_Продажи!D131</f>
        <v>$90</v>
      </c>
      <c r="F132" s="11" t="str">
        <f>RAW_Продажи!E131</f>
        <v>C0130</v>
      </c>
      <c r="G132" s="11" t="str">
        <f>RAW_Продажи!F131</f>
        <v>P039</v>
      </c>
      <c r="H132" s="11" t="str">
        <f>RAW_Продажи!G131</f>
        <v>completed</v>
      </c>
      <c r="I132" s="12" t="str">
        <f t="shared" si="163"/>
        <v>161</v>
      </c>
      <c r="J132" s="12" t="str">
        <f t="shared" si="164"/>
        <v>$</v>
      </c>
      <c r="K132" s="12">
        <f t="shared" si="165"/>
        <v>90</v>
      </c>
      <c r="L132" s="19">
        <f t="shared" si="166"/>
        <v>45736</v>
      </c>
      <c r="M132" s="13" t="str">
        <f t="shared" si="167"/>
        <v>АРТ-161</v>
      </c>
      <c r="N132" s="13">
        <f t="shared" si="168"/>
        <v>-2</v>
      </c>
      <c r="O132" s="13" t="str">
        <f>IFERROR(VLOOKUP(J132,Справочники!$G$6:$H$8,2,0),"RUB")</f>
        <v>USD</v>
      </c>
      <c r="P132" s="14">
        <f>ROUND(K132*IFERROR(VLOOKUP(J132,Справочники!$G$6:$I$8,3,0),1),2)</f>
        <v>8550</v>
      </c>
      <c r="Q132" s="13" t="str">
        <f>IFERROR(VLOOKUP(H132,Справочники!$D$6:$E$14,2,0),"НЕИЗВЕСТНО")</f>
        <v>Завершен</v>
      </c>
      <c r="R132" s="20">
        <f>IFERROR(INDEX(Товары_очищенные!$Q$3:$Q$503,MATCH(M132,Товары_очищенные!$L$3:$L$503,0)),"нет в каталоге")</f>
        <v>8500</v>
      </c>
      <c r="S132" s="21" t="str">
        <f>IFERROR(INDEX(Товары_очищенные!$N$3:$N$503,MATCH(M132,Товары_очищенные!$L$3:$L$503,0)),"нет в каталоге")</f>
        <v>Аксессуары</v>
      </c>
      <c r="T132" s="21" t="str">
        <f t="shared" si="169"/>
        <v>OK</v>
      </c>
      <c r="U132" s="12" t="str">
        <f t="shared" si="170"/>
        <v>20/03/2025|АРТ-161|C0130</v>
      </c>
      <c r="V132" s="12" t="str">
        <f t="shared" si="171"/>
        <v>оригинал</v>
      </c>
    </row>
    <row r="133" ht="15" customHeight="1">
      <c r="A133" s="10">
        <v>131</v>
      </c>
      <c r="B133" s="11" t="str">
        <f>RAW_Продажи!A132</f>
        <v>03/21/2025</v>
      </c>
      <c r="C133" s="11" t="str">
        <f>RAW_Продажи!B132</f>
        <v>АРТ_480</v>
      </c>
      <c r="D133" s="11" t="str">
        <f>RAW_Продажи!C132</f>
        <v>1</v>
      </c>
      <c r="E133" s="11" t="str">
        <f>RAW_Продажи!D132</f>
        <v>€70</v>
      </c>
      <c r="F133" s="11" t="str">
        <f>RAW_Продажи!E132</f>
        <v>C0131</v>
      </c>
      <c r="G133" s="11" t="str">
        <f>RAW_Продажи!F132</f>
        <v>P050</v>
      </c>
      <c r="H133" s="11" t="str">
        <f>RAW_Продажи!G132</f>
        <v>отменен</v>
      </c>
      <c r="I133" s="12" t="str">
        <f t="shared" si="163"/>
        <v>480</v>
      </c>
      <c r="J133" s="12" t="str">
        <f t="shared" si="164"/>
        <v>€</v>
      </c>
      <c r="K133" s="12">
        <f t="shared" si="165"/>
        <v>70</v>
      </c>
      <c r="L133" s="19">
        <f t="shared" si="166"/>
        <v>45737</v>
      </c>
      <c r="M133" s="13" t="str">
        <f t="shared" si="167"/>
        <v>АРТ-480</v>
      </c>
      <c r="N133" s="13">
        <f t="shared" si="168"/>
        <v>1</v>
      </c>
      <c r="O133" s="13" t="str">
        <f>IFERROR(VLOOKUP(J133,Справочники!$G$6:$H$8,2,0),"RUB")</f>
        <v>EUR</v>
      </c>
      <c r="P133" s="14">
        <f>ROUND(K133*IFERROR(VLOOKUP(J133,Справочники!$G$6:$I$8,3,0),1),2)</f>
        <v>7000</v>
      </c>
      <c r="Q133" s="13" t="str">
        <f>IFERROR(VLOOKUP(H133,Справочники!$D$6:$E$14,2,0),"НЕИЗВЕСТНО")</f>
        <v>Отменен</v>
      </c>
      <c r="R133" s="20">
        <f>IFERROR(INDEX(Товары_очищенные!$Q$3:$Q$503,MATCH(M133,Товары_очищенные!$L$3:$L$503,0)),"нет в каталоге")</f>
        <v>13800</v>
      </c>
      <c r="S133" s="21" t="str">
        <f>IFERROR(INDEX(Товары_очищенные!$N$3:$N$503,MATCH(M133,Товары_очищенные!$L$3:$L$503,0)),"нет в каталоге")</f>
        <v>Аксессуары</v>
      </c>
      <c r="T133" s="21" t="str">
        <f t="shared" si="169"/>
        <v>OK</v>
      </c>
      <c r="U133" s="12" t="str">
        <f t="shared" si="170"/>
        <v>21/03/2025|АРТ-480|C0131</v>
      </c>
      <c r="V133" s="12" t="str">
        <f t="shared" si="171"/>
        <v>оригинал</v>
      </c>
    </row>
    <row r="134" ht="15" customHeight="1">
      <c r="A134" s="10">
        <v>132</v>
      </c>
      <c r="B134" s="11" t="str">
        <f>RAW_Продажи!A133</f>
        <v>03/21/2025</v>
      </c>
      <c r="C134" s="11" t="str">
        <f>RAW_Продажи!B133</f>
        <v>059-24</v>
      </c>
      <c r="D134" s="11" t="str">
        <f>RAW_Продажи!C133</f>
        <v>2</v>
      </c>
      <c r="E134" s="11" t="str">
        <f>RAW_Продажи!D133</f>
        <v xml:space="preserve">6500 ₽</v>
      </c>
      <c r="F134" s="11" t="str">
        <f>RAW_Продажи!E133</f>
        <v>C0132</v>
      </c>
      <c r="G134" s="11" t="str">
        <f>RAW_Продажи!F133</f>
        <v>P011</v>
      </c>
      <c r="H134" s="11" t="str">
        <f>RAW_Продажи!G133</f>
        <v>canceled</v>
      </c>
      <c r="I134" s="12" t="str">
        <f t="shared" si="163"/>
        <v>059-24</v>
      </c>
      <c r="J134" s="12" t="str">
        <f t="shared" si="164"/>
        <v>₽</v>
      </c>
      <c r="K134" s="12">
        <f t="shared" si="165"/>
        <v>6500</v>
      </c>
      <c r="L134" s="19">
        <f t="shared" si="166"/>
        <v>45737</v>
      </c>
      <c r="M134" s="13" t="str">
        <f t="shared" si="167"/>
        <v>АРТ-059</v>
      </c>
      <c r="N134" s="13">
        <f t="shared" si="168"/>
        <v>2</v>
      </c>
      <c r="O134" s="13" t="str">
        <f>IFERROR(VLOOKUP(J134,Справочники!$G$6:$H$8,2,0),"RUB")</f>
        <v>RUB</v>
      </c>
      <c r="P134" s="14">
        <f>ROUND(K134*IFERROR(VLOOKUP(J134,Справочники!$G$6:$I$8,3,0),1),2)</f>
        <v>6500</v>
      </c>
      <c r="Q134" s="13" t="str">
        <f>IFERROR(VLOOKUP(H134,Справочники!$D$6:$E$14,2,0),"НЕИЗВЕСТНО")</f>
        <v>Отменен</v>
      </c>
      <c r="R134" s="20">
        <f>IFERROR(INDEX(Товары_очищенные!$Q$3:$Q$503,MATCH(M134,Товары_очищенные!$L$3:$L$503,0)),"нет в каталоге")</f>
        <v>66000</v>
      </c>
      <c r="S134" s="21" t="str">
        <f>IFERROR(INDEX(Товары_очищенные!$N$3:$N$503,MATCH(M134,Товары_очищенные!$L$3:$L$503,0)),"нет в каталоге")</f>
        <v>Планшеты</v>
      </c>
      <c r="T134" s="21" t="str">
        <f t="shared" si="169"/>
        <v>OK</v>
      </c>
      <c r="U134" s="12" t="str">
        <f t="shared" si="170"/>
        <v>21/03/2025|АРТ-059|C0132</v>
      </c>
      <c r="V134" s="12" t="str">
        <f t="shared" si="171"/>
        <v>оригинал</v>
      </c>
    </row>
    <row r="135" ht="15" customHeight="1">
      <c r="A135" s="10">
        <v>133</v>
      </c>
      <c r="B135" s="11" t="str">
        <f>RAW_Продажи!A134</f>
        <v>03/22/2025</v>
      </c>
      <c r="C135" s="11" t="str">
        <f>RAW_Продажи!B134</f>
        <v>№АРТ-222</v>
      </c>
      <c r="D135" s="11" t="str">
        <f>RAW_Продажи!C134</f>
        <v>3</v>
      </c>
      <c r="E135" s="11" t="str">
        <f>RAW_Продажи!D134</f>
        <v>$105</v>
      </c>
      <c r="F135" s="11" t="str">
        <f>RAW_Продажи!E134</f>
        <v>C0133</v>
      </c>
      <c r="G135" s="11" t="str">
        <f>RAW_Продажи!F134</f>
        <v>P027</v>
      </c>
      <c r="H135" s="11" t="str">
        <f>RAW_Продажи!G134</f>
        <v>Завершен</v>
      </c>
      <c r="I135" s="12" t="str">
        <f t="shared" si="163"/>
        <v>222</v>
      </c>
      <c r="J135" s="12" t="str">
        <f t="shared" si="164"/>
        <v>$</v>
      </c>
      <c r="K135" s="12">
        <f t="shared" si="165"/>
        <v>105</v>
      </c>
      <c r="L135" s="19">
        <f t="shared" si="166"/>
        <v>45738</v>
      </c>
      <c r="M135" s="13" t="str">
        <f t="shared" si="167"/>
        <v>АРТ-222</v>
      </c>
      <c r="N135" s="13">
        <f t="shared" si="168"/>
        <v>3</v>
      </c>
      <c r="O135" s="13" t="str">
        <f>IFERROR(VLOOKUP(J135,Справочники!$G$6:$H$8,2,0),"RUB")</f>
        <v>USD</v>
      </c>
      <c r="P135" s="14">
        <f>ROUND(K135*IFERROR(VLOOKUP(J135,Справочники!$G$6:$I$8,3,0),1),2)</f>
        <v>9975</v>
      </c>
      <c r="Q135" s="13" t="str">
        <f>IFERROR(VLOOKUP(H135,Справочники!$D$6:$E$14,2,0),"НЕИЗВЕСТНО")</f>
        <v>Завершен</v>
      </c>
      <c r="R135" s="20">
        <f>IFERROR(INDEX(Товары_очищенные!$Q$3:$Q$503,MATCH(M135,Товары_очищенные!$L$3:$L$503,0)),"нет в каталоге")</f>
        <v>26000</v>
      </c>
      <c r="S135" s="21" t="str">
        <f>IFERROR(INDEX(Товары_очищенные!$N$3:$N$503,MATCH(M135,Товары_очищенные!$L$3:$L$503,0)),"нет в каталоге")</f>
        <v>Наушники</v>
      </c>
      <c r="T135" s="21" t="str">
        <f t="shared" si="169"/>
        <v>OK</v>
      </c>
      <c r="U135" s="12" t="str">
        <f t="shared" si="170"/>
        <v>22/03/2025|АРТ-222|C0133</v>
      </c>
      <c r="V135" s="12" t="str">
        <f t="shared" si="171"/>
        <v>оригинал</v>
      </c>
    </row>
    <row r="136" ht="15" customHeight="1">
      <c r="A136" s="10">
        <v>134</v>
      </c>
      <c r="B136" s="11" t="str">
        <f>RAW_Продажи!A135</f>
        <v>03/22/2025</v>
      </c>
      <c r="C136" s="11" t="str">
        <f>RAW_Продажи!B135</f>
        <v>АРТ_348</v>
      </c>
      <c r="D136" s="11" t="str">
        <f>RAW_Продажи!C135</f>
        <v>2</v>
      </c>
      <c r="E136" s="11" t="str">
        <f>RAW_Продажи!D135</f>
        <v>€85</v>
      </c>
      <c r="F136" s="11" t="str">
        <f>RAW_Продажи!E135</f>
        <v>C0134</v>
      </c>
      <c r="G136" s="11" t="str">
        <f>RAW_Продажи!F135</f>
        <v>P018</v>
      </c>
      <c r="H136" s="11" t="str">
        <f>RAW_Продажи!G135</f>
        <v>возврат</v>
      </c>
      <c r="I136" s="12" t="str">
        <f t="shared" si="163"/>
        <v>348</v>
      </c>
      <c r="J136" s="12" t="str">
        <f t="shared" si="164"/>
        <v>€</v>
      </c>
      <c r="K136" s="12">
        <f t="shared" si="165"/>
        <v>85</v>
      </c>
      <c r="L136" s="19">
        <f t="shared" si="166"/>
        <v>45738</v>
      </c>
      <c r="M136" s="13" t="str">
        <f t="shared" si="167"/>
        <v>АРТ-348</v>
      </c>
      <c r="N136" s="13">
        <f t="shared" si="168"/>
        <v>2</v>
      </c>
      <c r="O136" s="13" t="str">
        <f>IFERROR(VLOOKUP(J136,Справочники!$G$6:$H$8,2,0),"RUB")</f>
        <v>EUR</v>
      </c>
      <c r="P136" s="14">
        <f>ROUND(K136*IFERROR(VLOOKUP(J136,Справочники!$G$6:$I$8,3,0),1),2)</f>
        <v>8500</v>
      </c>
      <c r="Q136" s="13" t="str">
        <f>IFERROR(VLOOKUP(H136,Справочники!$D$6:$E$14,2,0),"НЕИЗВЕСТНО")</f>
        <v>Возврат</v>
      </c>
      <c r="R136" s="20">
        <f>IFERROR(INDEX(Товары_очищенные!$Q$3:$Q$503,MATCH(M136,Товары_очищенные!$L$3:$L$503,0)),"нет в каталоге")</f>
        <v>20800</v>
      </c>
      <c r="S136" s="21" t="str">
        <f>IFERROR(INDEX(Товары_очищенные!$N$3:$N$503,MATCH(M136,Товары_очищенные!$L$3:$L$503,0)),"нет в каталоге")</f>
        <v>Наушники</v>
      </c>
      <c r="T136" s="21" t="str">
        <f t="shared" si="169"/>
        <v>OK</v>
      </c>
      <c r="U136" s="12" t="str">
        <f t="shared" si="170"/>
        <v>22/03/2025|АРТ-348|C0134</v>
      </c>
      <c r="V136" s="12" t="str">
        <f t="shared" si="171"/>
        <v>оригинал</v>
      </c>
    </row>
    <row r="137" ht="15" customHeight="1">
      <c r="A137" s="10">
        <v>135</v>
      </c>
      <c r="B137" s="11" t="str">
        <f>RAW_Продажи!A136</f>
        <v>03/23/2025</v>
      </c>
      <c r="C137" s="11" t="str">
        <f>RAW_Продажи!B136</f>
        <v>097/24</v>
      </c>
      <c r="D137" s="11" t="str">
        <f>RAW_Продажи!C136</f>
        <v xml:space="preserve">1 шт.</v>
      </c>
      <c r="E137" s="11" t="str">
        <f>RAW_Продажи!D136</f>
        <v xml:space="preserve">7800 ₽</v>
      </c>
      <c r="F137" s="11" t="str">
        <f>RAW_Продажи!E136</f>
        <v>C0135</v>
      </c>
      <c r="G137" s="11" t="str">
        <f>RAW_Продажи!F136</f>
        <v>P040</v>
      </c>
      <c r="H137" s="11" t="str">
        <f>RAW_Продажи!G136</f>
        <v>завершен</v>
      </c>
      <c r="I137" s="12" t="str">
        <f t="shared" si="163"/>
        <v>097/24</v>
      </c>
      <c r="J137" s="12" t="str">
        <f t="shared" si="164"/>
        <v>₽</v>
      </c>
      <c r="K137" s="12">
        <f t="shared" si="165"/>
        <v>7800</v>
      </c>
      <c r="L137" s="19">
        <f t="shared" si="166"/>
        <v>45739</v>
      </c>
      <c r="M137" s="13" t="str">
        <f t="shared" si="167"/>
        <v>АРТ-097</v>
      </c>
      <c r="N137" s="13">
        <f t="shared" si="168"/>
        <v>1</v>
      </c>
      <c r="O137" s="13" t="str">
        <f>IFERROR(VLOOKUP(J137,Справочники!$G$6:$H$8,2,0),"RUB")</f>
        <v>RUB</v>
      </c>
      <c r="P137" s="14">
        <f>ROUND(K137*IFERROR(VLOOKUP(J137,Справочники!$G$6:$I$8,3,0),1),2)</f>
        <v>7800</v>
      </c>
      <c r="Q137" s="13" t="str">
        <f>IFERROR(VLOOKUP(H137,Справочники!$D$6:$E$14,2,0),"НЕИЗВЕСТНО")</f>
        <v>Завершен</v>
      </c>
      <c r="R137" s="20">
        <f>IFERROR(INDEX(Товары_очищенные!$Q$3:$Q$503,MATCH(M137,Товары_очищенные!$L$3:$L$503,0)),"нет в каталоге")</f>
        <v>6990</v>
      </c>
      <c r="S137" s="21" t="str">
        <f>IFERROR(INDEX(Товары_очищенные!$N$3:$N$503,MATCH(M137,Товары_очищенные!$L$3:$L$503,0)),"нет в каталоге")</f>
        <v>Аксессуары</v>
      </c>
      <c r="T137" s="21" t="str">
        <f t="shared" si="169"/>
        <v>OK</v>
      </c>
      <c r="U137" s="12" t="str">
        <f t="shared" si="170"/>
        <v>23/03/2025|АРТ-097|C0135</v>
      </c>
      <c r="V137" s="12" t="str">
        <f t="shared" si="171"/>
        <v>оригинал</v>
      </c>
    </row>
    <row r="138" ht="15" customHeight="1">
      <c r="A138" s="10">
        <v>136</v>
      </c>
      <c r="B138" s="11" t="str">
        <f>RAW_Продажи!A137</f>
        <v>03/23/2025</v>
      </c>
      <c r="C138" s="11" t="str">
        <f>RAW_Продажи!B137</f>
        <v>№АРТ-306</v>
      </c>
      <c r="D138" s="11" t="str">
        <f>RAW_Продажи!C137</f>
        <v>-3</v>
      </c>
      <c r="E138" s="11" t="str">
        <f>RAW_Продажи!D137</f>
        <v>$120</v>
      </c>
      <c r="F138" s="11" t="str">
        <f>RAW_Продажи!E137</f>
        <v>C0136</v>
      </c>
      <c r="G138" s="11" t="str">
        <f>RAW_Продажи!F137</f>
        <v>P003</v>
      </c>
      <c r="H138" s="11" t="str">
        <f>RAW_Продажи!G137</f>
        <v>completed</v>
      </c>
      <c r="I138" s="12" t="str">
        <f t="shared" si="163"/>
        <v>306</v>
      </c>
      <c r="J138" s="12" t="str">
        <f t="shared" si="164"/>
        <v>$</v>
      </c>
      <c r="K138" s="12">
        <f t="shared" si="165"/>
        <v>120</v>
      </c>
      <c r="L138" s="19">
        <f t="shared" si="166"/>
        <v>45739</v>
      </c>
      <c r="M138" s="13" t="str">
        <f t="shared" si="167"/>
        <v>АРТ-306</v>
      </c>
      <c r="N138" s="13">
        <f t="shared" si="168"/>
        <v>-3</v>
      </c>
      <c r="O138" s="13" t="str">
        <f>IFERROR(VLOOKUP(J138,Справочники!$G$6:$H$8,2,0),"RUB")</f>
        <v>USD</v>
      </c>
      <c r="P138" s="14">
        <f>ROUND(K138*IFERROR(VLOOKUP(J138,Справочники!$G$6:$I$8,3,0),1),2)</f>
        <v>11400</v>
      </c>
      <c r="Q138" s="13" t="str">
        <f>IFERROR(VLOOKUP(H138,Справочники!$D$6:$E$14,2,0),"НЕИЗВЕСТНО")</f>
        <v>Завершен</v>
      </c>
      <c r="R138" s="20">
        <f>IFERROR(INDEX(Товары_очищенные!$Q$3:$Q$503,MATCH(M138,Товары_очищенные!$L$3:$L$503,0)),"нет в каталоге")</f>
        <v>62000</v>
      </c>
      <c r="S138" s="21" t="str">
        <f>IFERROR(INDEX(Товары_очищенные!$N$3:$N$503,MATCH(M138,Товары_очищенные!$L$3:$L$503,0)),"нет в каталоге")</f>
        <v>Мониторы</v>
      </c>
      <c r="T138" s="21" t="str">
        <f t="shared" si="169"/>
        <v>OK</v>
      </c>
      <c r="U138" s="12" t="str">
        <f t="shared" si="170"/>
        <v>23/03/2025|АРТ-306|C0136</v>
      </c>
      <c r="V138" s="12" t="str">
        <f t="shared" si="171"/>
        <v>оригинал</v>
      </c>
    </row>
    <row r="139" ht="15" customHeight="1">
      <c r="A139" s="10">
        <v>137</v>
      </c>
      <c r="B139" s="11" t="str">
        <f>RAW_Продажи!A138</f>
        <v>03/24/2025</v>
      </c>
      <c r="C139" s="11" t="str">
        <f>RAW_Продажи!B138</f>
        <v>АРТ_184</v>
      </c>
      <c r="D139" s="11" t="str">
        <f>RAW_Продажи!C138</f>
        <v>2</v>
      </c>
      <c r="E139" s="11" t="str">
        <f>RAW_Продажи!D138</f>
        <v>€100</v>
      </c>
      <c r="F139" s="11" t="str">
        <f>RAW_Продажи!E138</f>
        <v>C0137</v>
      </c>
      <c r="G139" s="11" t="str">
        <f>RAW_Продажи!F138</f>
        <v>P025</v>
      </c>
      <c r="H139" s="11" t="str">
        <f>RAW_Продажи!G138</f>
        <v>Завершен</v>
      </c>
      <c r="I139" s="12" t="str">
        <f t="shared" si="163"/>
        <v>184</v>
      </c>
      <c r="J139" s="12" t="str">
        <f t="shared" si="164"/>
        <v>€</v>
      </c>
      <c r="K139" s="12">
        <f t="shared" si="165"/>
        <v>100</v>
      </c>
      <c r="L139" s="19">
        <f t="shared" si="166"/>
        <v>45740</v>
      </c>
      <c r="M139" s="13" t="str">
        <f t="shared" si="167"/>
        <v>АРТ-184</v>
      </c>
      <c r="N139" s="13">
        <f t="shared" si="168"/>
        <v>2</v>
      </c>
      <c r="O139" s="13" t="str">
        <f>IFERROR(VLOOKUP(J139,Справочники!$G$6:$H$8,2,0),"RUB")</f>
        <v>EUR</v>
      </c>
      <c r="P139" s="14">
        <f>ROUND(K139*IFERROR(VLOOKUP(J139,Справочники!$G$6:$I$8,3,0),1),2)</f>
        <v>10000</v>
      </c>
      <c r="Q139" s="13" t="str">
        <f>IFERROR(VLOOKUP(H139,Справочники!$D$6:$E$14,2,0),"НЕИЗВЕСТНО")</f>
        <v>Завершен</v>
      </c>
      <c r="R139" s="20">
        <f>IFERROR(INDEX(Товары_очищенные!$Q$3:$Q$503,MATCH(M139,Товары_очищенные!$L$3:$L$503,0)),"нет в каталоге")</f>
        <v>19990</v>
      </c>
      <c r="S139" s="21" t="str">
        <f>IFERROR(INDEX(Товары_очищенные!$N$3:$N$503,MATCH(M139,Товары_очищенные!$L$3:$L$503,0)),"нет в каталоге")</f>
        <v>Аксессуары</v>
      </c>
      <c r="T139" s="21" t="str">
        <f t="shared" si="169"/>
        <v>OK</v>
      </c>
      <c r="U139" s="12" t="str">
        <f t="shared" si="170"/>
        <v>24/03/2025|АРТ-184|C0137</v>
      </c>
      <c r="V139" s="12" t="str">
        <f t="shared" si="171"/>
        <v>оригинал</v>
      </c>
    </row>
    <row r="140" ht="15" customHeight="1">
      <c r="A140" s="10">
        <v>138</v>
      </c>
      <c r="B140" s="11" t="str">
        <f>RAW_Продажи!A139</f>
        <v>03/24/2025</v>
      </c>
      <c r="C140" s="11" t="str">
        <f>RAW_Продажи!B139</f>
        <v>256-24</v>
      </c>
      <c r="D140" s="11" t="str">
        <f>RAW_Продажи!C139</f>
        <v>1</v>
      </c>
      <c r="E140" s="11" t="str">
        <f>RAW_Продажи!D139</f>
        <v xml:space="preserve">9200 ₽</v>
      </c>
      <c r="F140" s="11" t="str">
        <f>RAW_Продажи!E139</f>
        <v>C0138</v>
      </c>
      <c r="G140" s="11" t="str">
        <f>RAW_Продажи!F139</f>
        <v>P010</v>
      </c>
      <c r="H140" s="11" t="str">
        <f>RAW_Продажи!G139</f>
        <v>canceled</v>
      </c>
      <c r="I140" s="12" t="str">
        <f t="shared" si="163"/>
        <v>256-24</v>
      </c>
      <c r="J140" s="12" t="str">
        <f t="shared" si="164"/>
        <v>₽</v>
      </c>
      <c r="K140" s="12">
        <f t="shared" si="165"/>
        <v>9200</v>
      </c>
      <c r="L140" s="19">
        <f t="shared" si="166"/>
        <v>45740</v>
      </c>
      <c r="M140" s="13" t="str">
        <f t="shared" si="167"/>
        <v>АРТ-256</v>
      </c>
      <c r="N140" s="13">
        <f t="shared" si="168"/>
        <v>1</v>
      </c>
      <c r="O140" s="13" t="str">
        <f>IFERROR(VLOOKUP(J140,Справочники!$G$6:$H$8,2,0),"RUB")</f>
        <v>RUB</v>
      </c>
      <c r="P140" s="14">
        <f>ROUND(K140*IFERROR(VLOOKUP(J140,Справочники!$G$6:$I$8,3,0),1),2)</f>
        <v>9200</v>
      </c>
      <c r="Q140" s="13" t="str">
        <f>IFERROR(VLOOKUP(H140,Справочники!$D$6:$E$14,2,0),"НЕИЗВЕСТНО")</f>
        <v>Отменен</v>
      </c>
      <c r="R140" s="20">
        <f>IFERROR(INDEX(Товары_очищенные!$Q$3:$Q$503,MATCH(M140,Товары_очищенные!$L$3:$L$503,0)),"нет в каталоге")</f>
        <v>37990</v>
      </c>
      <c r="S140" s="21" t="str">
        <f>IFERROR(INDEX(Товары_очищенные!$N$3:$N$503,MATCH(M140,Товары_очищенные!$L$3:$L$503,0)),"нет в каталоге")</f>
        <v>Смартфоны</v>
      </c>
      <c r="T140" s="21" t="str">
        <f t="shared" si="169"/>
        <v>OK</v>
      </c>
      <c r="U140" s="12" t="str">
        <f t="shared" si="170"/>
        <v>24/03/2025|АРТ-256|C0138</v>
      </c>
      <c r="V140" s="12" t="str">
        <f t="shared" si="171"/>
        <v>оригинал</v>
      </c>
    </row>
    <row r="141" ht="15" customHeight="1">
      <c r="A141" s="10">
        <v>139</v>
      </c>
      <c r="B141" s="11" t="str">
        <f>RAW_Продажи!A140</f>
        <v>03/25/2025</v>
      </c>
      <c r="C141" s="11" t="str">
        <f>RAW_Продажи!B140</f>
        <v>№АРТ-138</v>
      </c>
      <c r="D141" s="11" t="str">
        <f>RAW_Продажи!C140</f>
        <v>3</v>
      </c>
      <c r="E141" s="11" t="str">
        <f>RAW_Продажи!D140</f>
        <v>$85</v>
      </c>
      <c r="F141" s="11" t="str">
        <f>RAW_Продажи!E140</f>
        <v>C0139</v>
      </c>
      <c r="G141" s="11" t="str">
        <f>RAW_Продажи!F140</f>
        <v>P033</v>
      </c>
      <c r="H141" s="11" t="str">
        <f>RAW_Продажи!G140</f>
        <v>отменен</v>
      </c>
      <c r="I141" s="12" t="str">
        <f t="shared" si="163"/>
        <v>138</v>
      </c>
      <c r="J141" s="12" t="str">
        <f t="shared" si="164"/>
        <v>$</v>
      </c>
      <c r="K141" s="12">
        <f t="shared" si="165"/>
        <v>85</v>
      </c>
      <c r="L141" s="19">
        <f t="shared" si="166"/>
        <v>45741</v>
      </c>
      <c r="M141" s="13" t="str">
        <f t="shared" si="167"/>
        <v>АРТ-138</v>
      </c>
      <c r="N141" s="13">
        <f t="shared" si="168"/>
        <v>3</v>
      </c>
      <c r="O141" s="13" t="str">
        <f>IFERROR(VLOOKUP(J141,Справочники!$G$6:$H$8,2,0),"RUB")</f>
        <v>USD</v>
      </c>
      <c r="P141" s="14">
        <f>ROUND(K141*IFERROR(VLOOKUP(J141,Справочники!$G$6:$I$8,3,0),1),2)</f>
        <v>8075</v>
      </c>
      <c r="Q141" s="13" t="str">
        <f>IFERROR(VLOOKUP(H141,Справочники!$D$6:$E$14,2,0),"НЕИЗВЕСТНО")</f>
        <v>Отменен</v>
      </c>
      <c r="R141" s="20">
        <f>IFERROR(INDEX(Товары_очищенные!$Q$3:$Q$503,MATCH(M141,Товары_очищенные!$L$3:$L$503,0)),"нет в каталоге")</f>
        <v>24000</v>
      </c>
      <c r="S141" s="21" t="str">
        <f>IFERROR(INDEX(Товары_очищенные!$N$3:$N$503,MATCH(M141,Товары_очищенные!$L$3:$L$503,0)),"нет в каталоге")</f>
        <v>Наушники</v>
      </c>
      <c r="T141" s="21" t="str">
        <f t="shared" si="169"/>
        <v>OK</v>
      </c>
      <c r="U141" s="12" t="str">
        <f t="shared" si="170"/>
        <v>25/03/2025|АРТ-138|C0139</v>
      </c>
      <c r="V141" s="12" t="str">
        <f t="shared" si="171"/>
        <v>оригинал</v>
      </c>
    </row>
    <row r="142" ht="15" customHeight="1">
      <c r="A142" s="10">
        <v>140</v>
      </c>
      <c r="B142" s="11" t="str">
        <f>RAW_Продажи!A141</f>
        <v>03/25/2025</v>
      </c>
      <c r="C142" s="11" t="str">
        <f>RAW_Продажи!B141</f>
        <v>АРТ_399</v>
      </c>
      <c r="D142" s="11" t="str">
        <f>RAW_Продажи!C141</f>
        <v>2</v>
      </c>
      <c r="E142" s="11" t="str">
        <f>RAW_Продажи!D141</f>
        <v>€65</v>
      </c>
      <c r="F142" s="11" t="str">
        <f>RAW_Продажи!E141</f>
        <v>C0140</v>
      </c>
      <c r="G142" s="11" t="str">
        <f>RAW_Продажи!F141</f>
        <v>P047</v>
      </c>
      <c r="H142" s="11" t="str">
        <f>RAW_Продажи!G141</f>
        <v>возврат</v>
      </c>
      <c r="I142" s="12" t="str">
        <f t="shared" si="163"/>
        <v>399</v>
      </c>
      <c r="J142" s="12" t="str">
        <f t="shared" si="164"/>
        <v>€</v>
      </c>
      <c r="K142" s="12">
        <f t="shared" si="165"/>
        <v>65</v>
      </c>
      <c r="L142" s="19">
        <f t="shared" si="166"/>
        <v>45741</v>
      </c>
      <c r="M142" s="13" t="str">
        <f t="shared" si="167"/>
        <v>АРТ-399</v>
      </c>
      <c r="N142" s="13">
        <f t="shared" si="168"/>
        <v>2</v>
      </c>
      <c r="O142" s="13" t="str">
        <f>IFERROR(VLOOKUP(J142,Справочники!$G$6:$H$8,2,0),"RUB")</f>
        <v>EUR</v>
      </c>
      <c r="P142" s="14">
        <f>ROUND(K142*IFERROR(VLOOKUP(J142,Справочники!$G$6:$I$8,3,0),1),2)</f>
        <v>6500</v>
      </c>
      <c r="Q142" s="13" t="str">
        <f>IFERROR(VLOOKUP(H142,Справочники!$D$6:$E$14,2,0),"НЕИЗВЕСТНО")</f>
        <v>Возврат</v>
      </c>
      <c r="R142" s="20">
        <f>IFERROR(INDEX(Товары_очищенные!$Q$3:$Q$503,MATCH(M142,Товары_очищенные!$L$3:$L$503,0)),"нет в каталоге")</f>
        <v>8800</v>
      </c>
      <c r="S142" s="21" t="str">
        <f>IFERROR(INDEX(Товары_очищенные!$N$3:$N$503,MATCH(M142,Товары_очищенные!$L$3:$L$503,0)),"нет в каталоге")</f>
        <v>Аксессуары</v>
      </c>
      <c r="T142" s="21" t="str">
        <f t="shared" si="169"/>
        <v>OK</v>
      </c>
      <c r="U142" s="12" t="str">
        <f t="shared" si="170"/>
        <v>25/03/2025|АРТ-399|C0140</v>
      </c>
      <c r="V142" s="12" t="str">
        <f t="shared" si="171"/>
        <v>оригинал</v>
      </c>
    </row>
    <row r="143" ht="15" customHeight="1">
      <c r="A143" s="10">
        <v>141</v>
      </c>
      <c r="B143" s="11" t="str">
        <f>RAW_Продажи!A142</f>
        <v>03/26/2025</v>
      </c>
      <c r="C143" s="11" t="str">
        <f>RAW_Продажи!B142</f>
        <v>407/24</v>
      </c>
      <c r="D143" s="11" t="str">
        <f>RAW_Продажи!C142</f>
        <v xml:space="preserve">1 шт.</v>
      </c>
      <c r="E143" s="11" t="str">
        <f>RAW_Продажи!D142</f>
        <v xml:space="preserve">6000 ₽</v>
      </c>
      <c r="F143" s="11" t="str">
        <f>RAW_Продажи!E142</f>
        <v>C0141</v>
      </c>
      <c r="G143" s="11" t="str">
        <f>RAW_Продажи!F142</f>
        <v>P020</v>
      </c>
      <c r="H143" s="11" t="str">
        <f>RAW_Продажи!G142</f>
        <v>Завершен</v>
      </c>
      <c r="I143" s="12" t="str">
        <f t="shared" si="163"/>
        <v>407/24</v>
      </c>
      <c r="J143" s="12" t="str">
        <f t="shared" si="164"/>
        <v>₽</v>
      </c>
      <c r="K143" s="12">
        <f t="shared" si="165"/>
        <v>6000</v>
      </c>
      <c r="L143" s="19">
        <f t="shared" si="166"/>
        <v>45742</v>
      </c>
      <c r="M143" s="13" t="str">
        <f t="shared" si="167"/>
        <v>АРТ-407</v>
      </c>
      <c r="N143" s="13">
        <f t="shared" si="168"/>
        <v>1</v>
      </c>
      <c r="O143" s="13" t="str">
        <f>IFERROR(VLOOKUP(J143,Справочники!$G$6:$H$8,2,0),"RUB")</f>
        <v>RUB</v>
      </c>
      <c r="P143" s="14">
        <f>ROUND(K143*IFERROR(VLOOKUP(J143,Справочники!$G$6:$I$8,3,0),1),2)</f>
        <v>6000</v>
      </c>
      <c r="Q143" s="13" t="str">
        <f>IFERROR(VLOOKUP(H143,Справочники!$D$6:$E$14,2,0),"НЕИЗВЕСТНО")</f>
        <v>Завершен</v>
      </c>
      <c r="R143" s="20">
        <f>IFERROR(INDEX(Товары_очищенные!$Q$3:$Q$503,MATCH(M143,Товары_очищенные!$L$3:$L$503,0)),"нет в каталоге")</f>
        <v>102000</v>
      </c>
      <c r="S143" s="21" t="str">
        <f>IFERROR(INDEX(Товары_очищенные!$N$3:$N$503,MATCH(M143,Товары_очищенные!$L$3:$L$503,0)),"нет в каталоге")</f>
        <v>Телевизоры</v>
      </c>
      <c r="T143" s="21" t="str">
        <f t="shared" si="169"/>
        <v>OK</v>
      </c>
      <c r="U143" s="12" t="str">
        <f t="shared" si="170"/>
        <v>26/03/2025|АРТ-407|C0141</v>
      </c>
      <c r="V143" s="12" t="str">
        <f t="shared" si="171"/>
        <v>оригинал</v>
      </c>
    </row>
    <row r="144" ht="15" customHeight="1">
      <c r="A144" s="10">
        <v>142</v>
      </c>
      <c r="B144" s="11" t="str">
        <f>RAW_Продажи!A143</f>
        <v>03/26/2025</v>
      </c>
      <c r="C144" s="11" t="str">
        <f>RAW_Продажи!B143</f>
        <v>№АРТ-272</v>
      </c>
      <c r="D144" s="11" t="str">
        <f>RAW_Продажи!C143</f>
        <v>-1</v>
      </c>
      <c r="E144" s="11" t="str">
        <f>RAW_Продажи!D143</f>
        <v>$110</v>
      </c>
      <c r="F144" s="11" t="str">
        <f>RAW_Продажи!E143</f>
        <v>C0142</v>
      </c>
      <c r="G144" s="11" t="str">
        <f>RAW_Продажи!F143</f>
        <v>P002</v>
      </c>
      <c r="H144" s="11" t="str">
        <f>RAW_Продажи!G143</f>
        <v>завершен</v>
      </c>
      <c r="I144" s="12" t="str">
        <f t="shared" si="163"/>
        <v>272</v>
      </c>
      <c r="J144" s="12" t="str">
        <f t="shared" si="164"/>
        <v>$</v>
      </c>
      <c r="K144" s="12">
        <f t="shared" si="165"/>
        <v>110</v>
      </c>
      <c r="L144" s="19">
        <f t="shared" si="166"/>
        <v>45742</v>
      </c>
      <c r="M144" s="13" t="str">
        <f t="shared" si="167"/>
        <v>АРТ-272</v>
      </c>
      <c r="N144" s="13">
        <f t="shared" si="168"/>
        <v>-1</v>
      </c>
      <c r="O144" s="13" t="str">
        <f>IFERROR(VLOOKUP(J144,Справочники!$G$6:$H$8,2,0),"RUB")</f>
        <v>USD</v>
      </c>
      <c r="P144" s="14">
        <f>ROUND(K144*IFERROR(VLOOKUP(J144,Справочники!$G$6:$I$8,3,0),1),2)</f>
        <v>10450</v>
      </c>
      <c r="Q144" s="13" t="str">
        <f>IFERROR(VLOOKUP(H144,Справочники!$D$6:$E$14,2,0),"НЕИЗВЕСТНО")</f>
        <v>Завершен</v>
      </c>
      <c r="R144" s="20">
        <f>IFERROR(INDEX(Товары_очищенные!$Q$3:$Q$503,MATCH(M144,Товары_очищенные!$L$3:$L$503,0)),"нет в каталоге")</f>
        <v>43500</v>
      </c>
      <c r="S144" s="21" t="str">
        <f>IFERROR(INDEX(Товары_очищенные!$N$3:$N$503,MATCH(M144,Товары_очищенные!$L$3:$L$503,0)),"нет в каталоге")</f>
        <v>Смартфоны</v>
      </c>
      <c r="T144" s="21" t="str">
        <f t="shared" si="169"/>
        <v>OK</v>
      </c>
      <c r="U144" s="12" t="str">
        <f t="shared" si="170"/>
        <v>26/03/2025|АРТ-272|C0142</v>
      </c>
      <c r="V144" s="12" t="str">
        <f t="shared" si="171"/>
        <v>оригинал</v>
      </c>
    </row>
    <row r="145" ht="15" customHeight="1">
      <c r="A145" s="10">
        <v>143</v>
      </c>
      <c r="B145" s="11" t="str">
        <f>RAW_Продажи!A144</f>
        <v>03/27/2025</v>
      </c>
      <c r="C145" s="11" t="str">
        <f>RAW_Продажи!B144</f>
        <v>АРТ_144</v>
      </c>
      <c r="D145" s="11" t="str">
        <f>RAW_Продажи!C144</f>
        <v>3</v>
      </c>
      <c r="E145" s="11" t="str">
        <f>RAW_Продажи!D144</f>
        <v>€90</v>
      </c>
      <c r="F145" s="11" t="str">
        <f>RAW_Продажи!E144</f>
        <v>C0143</v>
      </c>
      <c r="G145" s="11" t="str">
        <f>RAW_Продажи!F144</f>
        <v>P038</v>
      </c>
      <c r="H145" s="11" t="str">
        <f>RAW_Продажи!G144</f>
        <v>completed</v>
      </c>
      <c r="I145" s="12" t="str">
        <f t="shared" si="163"/>
        <v>144</v>
      </c>
      <c r="J145" s="12" t="str">
        <f t="shared" si="164"/>
        <v>€</v>
      </c>
      <c r="K145" s="12">
        <f t="shared" si="165"/>
        <v>90</v>
      </c>
      <c r="L145" s="19">
        <f t="shared" si="166"/>
        <v>45743</v>
      </c>
      <c r="M145" s="13" t="str">
        <f t="shared" si="167"/>
        <v>АРТ-144</v>
      </c>
      <c r="N145" s="13">
        <f t="shared" si="168"/>
        <v>3</v>
      </c>
      <c r="O145" s="13" t="str">
        <f>IFERROR(VLOOKUP(J145,Справочники!$G$6:$H$8,2,0),"RUB")</f>
        <v>EUR</v>
      </c>
      <c r="P145" s="14">
        <f>ROUND(K145*IFERROR(VLOOKUP(J145,Справочники!$G$6:$I$8,3,0),1),2)</f>
        <v>9000</v>
      </c>
      <c r="Q145" s="13" t="str">
        <f>IFERROR(VLOOKUP(H145,Справочники!$D$6:$E$14,2,0),"НЕИЗВЕСТНО")</f>
        <v>Завершен</v>
      </c>
      <c r="R145" s="20">
        <f>IFERROR(INDEX(Товары_очищенные!$Q$3:$Q$503,MATCH(M145,Товары_очищенные!$L$3:$L$503,0)),"нет в каталоге")</f>
        <v>8500</v>
      </c>
      <c r="S145" s="21" t="str">
        <f>IFERROR(INDEX(Товары_очищенные!$N$3:$N$503,MATCH(M145,Товары_очищенные!$L$3:$L$503,0)),"нет в каталоге")</f>
        <v>Аксессуары</v>
      </c>
      <c r="T145" s="21" t="str">
        <f t="shared" si="169"/>
        <v>OK</v>
      </c>
      <c r="U145" s="12" t="str">
        <f t="shared" si="170"/>
        <v>27/03/2025|АРТ-144|C0143</v>
      </c>
      <c r="V145" s="12" t="str">
        <f t="shared" si="171"/>
        <v>оригинал</v>
      </c>
    </row>
    <row r="146" ht="15" customHeight="1">
      <c r="A146" s="10">
        <v>144</v>
      </c>
      <c r="B146" s="11" t="str">
        <f>RAW_Продажи!A145</f>
        <v>03/27/2025</v>
      </c>
      <c r="C146" s="11" t="str">
        <f>RAW_Продажи!B145</f>
        <v>112-24</v>
      </c>
      <c r="D146" s="11" t="str">
        <f>RAW_Продажи!C145</f>
        <v>2</v>
      </c>
      <c r="E146" s="11" t="str">
        <f>RAW_Продажи!D145</f>
        <v xml:space="preserve">8000 ₽</v>
      </c>
      <c r="F146" s="11" t="str">
        <f>RAW_Продажи!E145</f>
        <v>C0144</v>
      </c>
      <c r="G146" s="11" t="str">
        <f>RAW_Продажи!F145</f>
        <v>P016</v>
      </c>
      <c r="H146" s="11" t="str">
        <f>RAW_Продажи!G145</f>
        <v>отменен</v>
      </c>
      <c r="I146" s="12" t="str">
        <f t="shared" si="163"/>
        <v>112-24</v>
      </c>
      <c r="J146" s="12" t="str">
        <f t="shared" si="164"/>
        <v>₽</v>
      </c>
      <c r="K146" s="12">
        <f t="shared" si="165"/>
        <v>8000</v>
      </c>
      <c r="L146" s="19">
        <f t="shared" si="166"/>
        <v>45743</v>
      </c>
      <c r="M146" s="13" t="str">
        <f t="shared" si="167"/>
        <v>АРТ-112</v>
      </c>
      <c r="N146" s="13">
        <f t="shared" si="168"/>
        <v>2</v>
      </c>
      <c r="O146" s="13" t="str">
        <f>IFERROR(VLOOKUP(J146,Справочники!$G$6:$H$8,2,0),"RUB")</f>
        <v>RUB</v>
      </c>
      <c r="P146" s="14">
        <f>ROUND(K146*IFERROR(VLOOKUP(J146,Справочники!$G$6:$I$8,3,0),1),2)</f>
        <v>8000</v>
      </c>
      <c r="Q146" s="13" t="str">
        <f>IFERROR(VLOOKUP(H146,Справочники!$D$6:$E$14,2,0),"НЕИЗВЕСТНО")</f>
        <v>Отменен</v>
      </c>
      <c r="R146" s="20">
        <f>IFERROR(INDEX(Товары_очищенные!$Q$3:$Q$503,MATCH(M146,Товары_очищенные!$L$3:$L$503,0)),"нет в каталоге")</f>
        <v>34990</v>
      </c>
      <c r="S146" s="21" t="str">
        <f>IFERROR(INDEX(Товары_очищенные!$N$3:$N$503,MATCH(M146,Товары_очищенные!$L$3:$L$503,0)),"нет в каталоге")</f>
        <v>Наушники</v>
      </c>
      <c r="T146" s="21" t="str">
        <f t="shared" si="169"/>
        <v>OK</v>
      </c>
      <c r="U146" s="12" t="str">
        <f t="shared" si="170"/>
        <v>27/03/2025|АРТ-112|C0144</v>
      </c>
      <c r="V146" s="12" t="str">
        <f t="shared" si="171"/>
        <v>оригинал</v>
      </c>
    </row>
    <row r="147" ht="15" customHeight="1">
      <c r="A147" s="10">
        <v>145</v>
      </c>
      <c r="B147" s="11" t="str">
        <f>RAW_Продажи!A146</f>
        <v>03/28/2025</v>
      </c>
      <c r="C147" s="11" t="str">
        <f>RAW_Продажи!B146</f>
        <v>№АРТ-099</v>
      </c>
      <c r="D147" s="11" t="str">
        <f>RAW_Продажи!C146</f>
        <v>1</v>
      </c>
      <c r="E147" s="11" t="str">
        <f>RAW_Продажи!D146</f>
        <v>$100</v>
      </c>
      <c r="F147" s="11" t="str">
        <f>RAW_Продажи!E146</f>
        <v>C0145</v>
      </c>
      <c r="G147" s="11" t="str">
        <f>RAW_Продажи!F146</f>
        <v>P029</v>
      </c>
      <c r="H147" s="11" t="str">
        <f>RAW_Продажи!G146</f>
        <v>canceled</v>
      </c>
      <c r="I147" s="12" t="str">
        <f t="shared" si="163"/>
        <v>099</v>
      </c>
      <c r="J147" s="12" t="str">
        <f t="shared" si="164"/>
        <v>$</v>
      </c>
      <c r="K147" s="12">
        <f t="shared" si="165"/>
        <v>100</v>
      </c>
      <c r="L147" s="19">
        <f t="shared" si="166"/>
        <v>45744</v>
      </c>
      <c r="M147" s="13" t="str">
        <f t="shared" si="167"/>
        <v>АРТ-099</v>
      </c>
      <c r="N147" s="13">
        <f t="shared" si="168"/>
        <v>1</v>
      </c>
      <c r="O147" s="13" t="str">
        <f>IFERROR(VLOOKUP(J147,Справочники!$G$6:$H$8,2,0),"RUB")</f>
        <v>USD</v>
      </c>
      <c r="P147" s="14">
        <f>ROUND(K147*IFERROR(VLOOKUP(J147,Справочники!$G$6:$I$8,3,0),1),2)</f>
        <v>9500</v>
      </c>
      <c r="Q147" s="13" t="str">
        <f>IFERROR(VLOOKUP(H147,Справочники!$D$6:$E$14,2,0),"НЕИЗВЕСТНО")</f>
        <v>Отменен</v>
      </c>
      <c r="R147" s="20">
        <f>IFERROR(INDEX(Товары_очищенные!$Q$3:$Q$503,MATCH(M147,Товары_очищенные!$L$3:$L$503,0)),"нет в каталоге")</f>
        <v>7500</v>
      </c>
      <c r="S147" s="21" t="str">
        <f>IFERROR(INDEX(Товары_очищенные!$N$3:$N$503,MATCH(M147,Товары_очищенные!$L$3:$L$503,0)),"нет в каталоге")</f>
        <v>Аксессуары</v>
      </c>
      <c r="T147" s="21" t="str">
        <f t="shared" si="169"/>
        <v>OK</v>
      </c>
      <c r="U147" s="12" t="str">
        <f t="shared" si="170"/>
        <v>28/03/2025|АРТ-099|C0145</v>
      </c>
      <c r="V147" s="12" t="str">
        <f t="shared" si="171"/>
        <v>оригинал</v>
      </c>
    </row>
    <row r="148" ht="15" customHeight="1">
      <c r="A148" s="10">
        <v>146</v>
      </c>
      <c r="B148" s="11" t="str">
        <f>RAW_Продажи!A147</f>
        <v>03/28/2025</v>
      </c>
      <c r="C148" s="11" t="str">
        <f>RAW_Продажи!B147</f>
        <v>АРТ_337</v>
      </c>
      <c r="D148" s="11" t="str">
        <f>RAW_Продажи!C147</f>
        <v>2</v>
      </c>
      <c r="E148" s="11" t="str">
        <f>RAW_Продажи!D147</f>
        <v>€80</v>
      </c>
      <c r="F148" s="11" t="str">
        <f>RAW_Продажи!E147</f>
        <v>C0146</v>
      </c>
      <c r="G148" s="11" t="str">
        <f>RAW_Продажи!F147</f>
        <v>P035</v>
      </c>
      <c r="H148" s="11" t="str">
        <f>RAW_Продажи!G147</f>
        <v>Завершен</v>
      </c>
      <c r="I148" s="12" t="str">
        <f t="shared" si="163"/>
        <v>337</v>
      </c>
      <c r="J148" s="12" t="str">
        <f t="shared" si="164"/>
        <v>€</v>
      </c>
      <c r="K148" s="12">
        <f t="shared" si="165"/>
        <v>80</v>
      </c>
      <c r="L148" s="19">
        <f t="shared" si="166"/>
        <v>45744</v>
      </c>
      <c r="M148" s="13" t="str">
        <f t="shared" si="167"/>
        <v>АРТ-337</v>
      </c>
      <c r="N148" s="13">
        <f t="shared" si="168"/>
        <v>2</v>
      </c>
      <c r="O148" s="13" t="str">
        <f>IFERROR(VLOOKUP(J148,Справочники!$G$6:$H$8,2,0),"RUB")</f>
        <v>EUR</v>
      </c>
      <c r="P148" s="14">
        <f>ROUND(K148*IFERROR(VLOOKUP(J148,Справочники!$G$6:$I$8,3,0),1),2)</f>
        <v>8000</v>
      </c>
      <c r="Q148" s="13" t="str">
        <f>IFERROR(VLOOKUP(H148,Справочники!$D$6:$E$14,2,0),"НЕИЗВЕСТНО")</f>
        <v>Завершен</v>
      </c>
      <c r="R148" s="20">
        <f>IFERROR(INDEX(Товары_очищенные!$Q$3:$Q$503,MATCH(M148,Товары_очищенные!$L$3:$L$503,0)),"нет в каталоге")</f>
        <v>64990</v>
      </c>
      <c r="S148" s="21" t="str">
        <f>IFERROR(INDEX(Товары_очищенные!$N$3:$N$503,MATCH(M148,Товары_очищенные!$L$3:$L$503,0)),"нет в каталоге")</f>
        <v>Смартфоны</v>
      </c>
      <c r="T148" s="21" t="str">
        <f t="shared" si="169"/>
        <v>OK</v>
      </c>
      <c r="U148" s="12" t="str">
        <f t="shared" si="170"/>
        <v>28/03/2025|АРТ-337|C0146</v>
      </c>
      <c r="V148" s="12" t="str">
        <f t="shared" si="171"/>
        <v>оригинал</v>
      </c>
    </row>
    <row r="149" ht="15" customHeight="1">
      <c r="A149" s="10">
        <v>147</v>
      </c>
      <c r="B149" s="11" t="str">
        <f>RAW_Продажи!A148</f>
        <v>03/29/2025</v>
      </c>
      <c r="C149" s="11" t="str">
        <f>RAW_Продажи!B148</f>
        <v>231/24</v>
      </c>
      <c r="D149" s="11" t="str">
        <f>RAW_Продажи!C148</f>
        <v xml:space="preserve">3 шт.</v>
      </c>
      <c r="E149" s="11" t="str">
        <f>RAW_Продажи!D148</f>
        <v xml:space="preserve">7500 ₽</v>
      </c>
      <c r="F149" s="11" t="str">
        <f>RAW_Продажи!E148</f>
        <v>C0147</v>
      </c>
      <c r="G149" s="11" t="str">
        <f>RAW_Продажи!F148</f>
        <v>P046</v>
      </c>
      <c r="H149" s="11" t="str">
        <f>RAW_Продажи!G148</f>
        <v>возврат</v>
      </c>
      <c r="I149" s="12" t="str">
        <f t="shared" si="163"/>
        <v>231/24</v>
      </c>
      <c r="J149" s="12" t="str">
        <f t="shared" si="164"/>
        <v>₽</v>
      </c>
      <c r="K149" s="12">
        <f t="shared" si="165"/>
        <v>7500</v>
      </c>
      <c r="L149" s="19">
        <f t="shared" si="166"/>
        <v>45745</v>
      </c>
      <c r="M149" s="13" t="str">
        <f t="shared" si="167"/>
        <v>АРТ-231</v>
      </c>
      <c r="N149" s="13">
        <f t="shared" si="168"/>
        <v>3</v>
      </c>
      <c r="O149" s="13" t="str">
        <f>IFERROR(VLOOKUP(J149,Справочники!$G$6:$H$8,2,0),"RUB")</f>
        <v>RUB</v>
      </c>
      <c r="P149" s="14">
        <f>ROUND(K149*IFERROR(VLOOKUP(J149,Справочники!$G$6:$I$8,3,0),1),2)</f>
        <v>7500</v>
      </c>
      <c r="Q149" s="13" t="str">
        <f>IFERROR(VLOOKUP(H149,Справочники!$D$6:$E$14,2,0),"НЕИЗВЕСТНО")</f>
        <v>Возврат</v>
      </c>
      <c r="R149" s="20">
        <f>IFERROR(INDEX(Товары_очищенные!$Q$3:$Q$503,MATCH(M149,Товары_очищенные!$L$3:$L$503,0)),"нет в каталоге")</f>
        <v>122500</v>
      </c>
      <c r="S149" s="21" t="str">
        <f>IFERROR(INDEX(Товары_очищенные!$N$3:$N$503,MATCH(M149,Товары_очищенные!$L$3:$L$503,0)),"нет в каталоге")</f>
        <v>Ноутбуки</v>
      </c>
      <c r="T149" s="21" t="str">
        <f t="shared" si="169"/>
        <v>OK</v>
      </c>
      <c r="U149" s="12" t="str">
        <f t="shared" si="170"/>
        <v>29/03/2025|АРТ-231|C0147</v>
      </c>
      <c r="V149" s="12" t="str">
        <f t="shared" si="171"/>
        <v>оригинал</v>
      </c>
    </row>
    <row r="150" ht="15" customHeight="1">
      <c r="A150" s="10">
        <v>148</v>
      </c>
      <c r="B150" s="11" t="str">
        <f>RAW_Продажи!A149</f>
        <v>03/29/2025</v>
      </c>
      <c r="C150" s="11" t="str">
        <f>RAW_Продажи!B149</f>
        <v>№АРТ-165</v>
      </c>
      <c r="D150" s="11" t="str">
        <f>RAW_Продажи!C149</f>
        <v>-2</v>
      </c>
      <c r="E150" s="11" t="str">
        <f>RAW_Продажи!D149</f>
        <v>$115</v>
      </c>
      <c r="F150" s="11" t="str">
        <f>RAW_Продажи!E149</f>
        <v>C0148</v>
      </c>
      <c r="G150" s="11" t="str">
        <f>RAW_Продажи!F149</f>
        <v>P022</v>
      </c>
      <c r="H150" s="11" t="str">
        <f>RAW_Продажи!G149</f>
        <v>завершен</v>
      </c>
      <c r="I150" s="12" t="str">
        <f t="shared" si="163"/>
        <v>165</v>
      </c>
      <c r="J150" s="12" t="str">
        <f t="shared" si="164"/>
        <v>$</v>
      </c>
      <c r="K150" s="12">
        <f t="shared" si="165"/>
        <v>115</v>
      </c>
      <c r="L150" s="19">
        <f t="shared" si="166"/>
        <v>45745</v>
      </c>
      <c r="M150" s="13" t="str">
        <f t="shared" si="167"/>
        <v>АРТ-165</v>
      </c>
      <c r="N150" s="13">
        <f t="shared" si="168"/>
        <v>-2</v>
      </c>
      <c r="O150" s="13" t="str">
        <f>IFERROR(VLOOKUP(J150,Справочники!$G$6:$H$8,2,0),"RUB")</f>
        <v>USD</v>
      </c>
      <c r="P150" s="14">
        <f>ROUND(K150*IFERROR(VLOOKUP(J150,Справочники!$G$6:$I$8,3,0),1),2)</f>
        <v>10925</v>
      </c>
      <c r="Q150" s="13" t="str">
        <f>IFERROR(VLOOKUP(H150,Справочники!$D$6:$E$14,2,0),"НЕИЗВЕСТНО")</f>
        <v>Завершен</v>
      </c>
      <c r="R150" s="20">
        <f>IFERROR(INDEX(Товары_очищенные!$Q$3:$Q$503,MATCH(M150,Товары_очищенные!$L$3:$L$503,0)),"нет в каталоге")</f>
        <v>31000</v>
      </c>
      <c r="S150" s="21" t="str">
        <f>IFERROR(INDEX(Товары_очищенные!$N$3:$N$503,MATCH(M150,Товары_очищенные!$L$3:$L$503,0)),"нет в каталоге")</f>
        <v>Часы</v>
      </c>
      <c r="T150" s="21" t="str">
        <f t="shared" si="169"/>
        <v>OK</v>
      </c>
      <c r="U150" s="12" t="str">
        <f t="shared" si="170"/>
        <v>29/03/2025|АРТ-165|C0148</v>
      </c>
      <c r="V150" s="12" t="str">
        <f t="shared" si="171"/>
        <v>оригинал</v>
      </c>
    </row>
    <row r="151" ht="15" customHeight="1">
      <c r="A151" s="10">
        <v>149</v>
      </c>
      <c r="B151" s="11" t="str">
        <f>RAW_Продажи!A150</f>
        <v>03/30/2025</v>
      </c>
      <c r="C151" s="11" t="str">
        <f>RAW_Продажи!B150</f>
        <v>АРТ_407</v>
      </c>
      <c r="D151" s="11" t="str">
        <f>RAW_Продажи!C150</f>
        <v>1</v>
      </c>
      <c r="E151" s="11" t="str">
        <f>RAW_Продажи!D150</f>
        <v>€95</v>
      </c>
      <c r="F151" s="11" t="str">
        <f>RAW_Продажи!E150</f>
        <v>C0149</v>
      </c>
      <c r="G151" s="11" t="str">
        <f>RAW_Продажи!F150</f>
        <v>P043</v>
      </c>
      <c r="H151" s="11" t="str">
        <f>RAW_Продажи!G150</f>
        <v>completed</v>
      </c>
      <c r="I151" s="12" t="str">
        <f t="shared" si="163"/>
        <v>407</v>
      </c>
      <c r="J151" s="12" t="str">
        <f t="shared" si="164"/>
        <v>€</v>
      </c>
      <c r="K151" s="12">
        <f t="shared" si="165"/>
        <v>95</v>
      </c>
      <c r="L151" s="19">
        <f t="shared" si="166"/>
        <v>45746</v>
      </c>
      <c r="M151" s="13" t="str">
        <f t="shared" si="167"/>
        <v>АРТ-407</v>
      </c>
      <c r="N151" s="13">
        <f t="shared" si="168"/>
        <v>1</v>
      </c>
      <c r="O151" s="13" t="str">
        <f>IFERROR(VLOOKUP(J151,Справочники!$G$6:$H$8,2,0),"RUB")</f>
        <v>EUR</v>
      </c>
      <c r="P151" s="14">
        <f>ROUND(K151*IFERROR(VLOOKUP(J151,Справочники!$G$6:$I$8,3,0),1),2)</f>
        <v>9500</v>
      </c>
      <c r="Q151" s="13" t="str">
        <f>IFERROR(VLOOKUP(H151,Справочники!$D$6:$E$14,2,0),"НЕИЗВЕСТНО")</f>
        <v>Завершен</v>
      </c>
      <c r="R151" s="20">
        <f>IFERROR(INDEX(Товары_очищенные!$Q$3:$Q$503,MATCH(M151,Товары_очищенные!$L$3:$L$503,0)),"нет в каталоге")</f>
        <v>102000</v>
      </c>
      <c r="S151" s="21" t="str">
        <f>IFERROR(INDEX(Товары_очищенные!$N$3:$N$503,MATCH(M151,Товары_очищенные!$L$3:$L$503,0)),"нет в каталоге")</f>
        <v>Телевизоры</v>
      </c>
      <c r="T151" s="21" t="str">
        <f t="shared" si="169"/>
        <v>OK</v>
      </c>
      <c r="U151" s="12" t="str">
        <f t="shared" si="170"/>
        <v>30/03/2025|АРТ-407|C0149</v>
      </c>
      <c r="V151" s="12" t="str">
        <f t="shared" si="171"/>
        <v>оригинал</v>
      </c>
    </row>
    <row r="152" ht="15" customHeight="1">
      <c r="A152" s="10">
        <v>150</v>
      </c>
      <c r="B152" s="11" t="str">
        <f>RAW_Продажи!A151</f>
        <v>03/30/2025</v>
      </c>
      <c r="C152" s="11" t="str">
        <f>RAW_Продажи!B151</f>
        <v>025-24</v>
      </c>
      <c r="D152" s="11" t="str">
        <f>RAW_Продажи!C151</f>
        <v>2</v>
      </c>
      <c r="E152" s="11" t="str">
        <f>RAW_Продажи!D151</f>
        <v xml:space="preserve">8500 ₽</v>
      </c>
      <c r="F152" s="11" t="str">
        <f>RAW_Продажи!E151</f>
        <v>C0150</v>
      </c>
      <c r="G152" s="11" t="str">
        <f>RAW_Продажи!F151</f>
        <v>P030</v>
      </c>
      <c r="H152" s="11" t="str">
        <f>RAW_Продажи!G151</f>
        <v>Завершен</v>
      </c>
      <c r="I152" s="12" t="str">
        <f t="shared" si="163"/>
        <v>025-24</v>
      </c>
      <c r="J152" s="12" t="str">
        <f t="shared" si="164"/>
        <v>₽</v>
      </c>
      <c r="K152" s="12">
        <f t="shared" si="165"/>
        <v>8500</v>
      </c>
      <c r="L152" s="19">
        <f t="shared" si="166"/>
        <v>45746</v>
      </c>
      <c r="M152" s="13" t="str">
        <f t="shared" si="167"/>
        <v>АРТ-025</v>
      </c>
      <c r="N152" s="13">
        <f t="shared" si="168"/>
        <v>2</v>
      </c>
      <c r="O152" s="13" t="str">
        <f>IFERROR(VLOOKUP(J152,Справочники!$G$6:$H$8,2,0),"RUB")</f>
        <v>RUB</v>
      </c>
      <c r="P152" s="14">
        <f>ROUND(K152*IFERROR(VLOOKUP(J152,Справочники!$G$6:$I$8,3,0),1),2)</f>
        <v>8500</v>
      </c>
      <c r="Q152" s="13" t="str">
        <f>IFERROR(VLOOKUP(H152,Справочники!$D$6:$E$14,2,0),"НЕИЗВЕСТНО")</f>
        <v>Завершен</v>
      </c>
      <c r="R152" s="20">
        <f>IFERROR(INDEX(Товары_очищенные!$Q$3:$Q$503,MATCH(M152,Товары_очищенные!$L$3:$L$503,0)),"нет в каталоге")</f>
        <v>99900</v>
      </c>
      <c r="S152" s="21" t="str">
        <f>IFERROR(INDEX(Товары_очищенные!$N$3:$N$503,MATCH(M152,Товары_очищенные!$L$3:$L$503,0)),"нет в каталоге")</f>
        <v>Мониторы</v>
      </c>
      <c r="T152" s="21" t="str">
        <f t="shared" si="169"/>
        <v>OK</v>
      </c>
      <c r="U152" s="12" t="str">
        <f t="shared" si="170"/>
        <v>30/03/2025|АРТ-025|C0150</v>
      </c>
      <c r="V152" s="12" t="str">
        <f t="shared" si="171"/>
        <v>оригинал</v>
      </c>
    </row>
    <row r="153" ht="15" customHeight="1">
      <c r="A153" s="10">
        <v>151</v>
      </c>
      <c r="B153" s="11" t="str">
        <f>RAW_Продажи!A152</f>
        <v>03/31/2025</v>
      </c>
      <c r="C153" s="11" t="str">
        <f>RAW_Продажи!B152</f>
        <v>№АРТ-285</v>
      </c>
      <c r="D153" s="11" t="str">
        <f>RAW_Продажи!C152</f>
        <v>3</v>
      </c>
      <c r="E153" s="11" t="str">
        <f>RAW_Продажи!D152</f>
        <v>$130</v>
      </c>
      <c r="F153" s="11" t="str">
        <f>RAW_Продажи!E152</f>
        <v>C0151</v>
      </c>
      <c r="G153" s="11" t="str">
        <f>RAW_Продажи!F152</f>
        <v>P012</v>
      </c>
      <c r="H153" s="11" t="str">
        <f>RAW_Продажи!G152</f>
        <v>canceled</v>
      </c>
      <c r="I153" s="12" t="str">
        <f t="shared" si="163"/>
        <v>285</v>
      </c>
      <c r="J153" s="12" t="str">
        <f t="shared" si="164"/>
        <v>$</v>
      </c>
      <c r="K153" s="12">
        <f t="shared" si="165"/>
        <v>130</v>
      </c>
      <c r="L153" s="19">
        <f t="shared" si="166"/>
        <v>45747</v>
      </c>
      <c r="M153" s="13" t="str">
        <f t="shared" si="167"/>
        <v>АРТ-285</v>
      </c>
      <c r="N153" s="13">
        <f t="shared" si="168"/>
        <v>3</v>
      </c>
      <c r="O153" s="13" t="str">
        <f>IFERROR(VLOOKUP(J153,Справочники!$G$6:$H$8,2,0),"RUB")</f>
        <v>USD</v>
      </c>
      <c r="P153" s="14">
        <f>ROUND(K153*IFERROR(VLOOKUP(J153,Справочники!$G$6:$I$8,3,0),1),2)</f>
        <v>12350</v>
      </c>
      <c r="Q153" s="13" t="str">
        <f>IFERROR(VLOOKUP(H153,Справочники!$D$6:$E$14,2,0),"НЕИЗВЕСТНО")</f>
        <v>Отменен</v>
      </c>
      <c r="R153" s="20">
        <f>IFERROR(INDEX(Товары_очищенные!$Q$3:$Q$503,MATCH(M153,Товары_очищенные!$L$3:$L$503,0)),"нет в каталоге")</f>
        <v>87500</v>
      </c>
      <c r="S153" s="21" t="str">
        <f>IFERROR(INDEX(Товары_очищенные!$N$3:$N$503,MATCH(M153,Товары_очищенные!$L$3:$L$503,0)),"нет в каталоге")</f>
        <v>Мониторы</v>
      </c>
      <c r="T153" s="21" t="str">
        <f t="shared" si="169"/>
        <v>OK</v>
      </c>
      <c r="U153" s="12" t="str">
        <f t="shared" si="170"/>
        <v>31/03/2025|АРТ-285|C0151</v>
      </c>
      <c r="V153" s="12" t="str">
        <f t="shared" si="171"/>
        <v>оригинал</v>
      </c>
    </row>
    <row r="154" ht="15" customHeight="1">
      <c r="A154" s="10">
        <v>152</v>
      </c>
      <c r="B154" s="11" t="str">
        <f>RAW_Продажи!A153</f>
        <v>03/31/2025</v>
      </c>
      <c r="C154" s="11" t="str">
        <f>RAW_Продажи!B153</f>
        <v>АРТ_472</v>
      </c>
      <c r="D154" s="11" t="str">
        <f>RAW_Продажи!C153</f>
        <v>2</v>
      </c>
      <c r="E154" s="11" t="str">
        <f>RAW_Продажи!D153</f>
        <v>€110</v>
      </c>
      <c r="F154" s="11" t="str">
        <f>RAW_Продажи!E153</f>
        <v>C0152</v>
      </c>
      <c r="G154" s="11" t="str">
        <f>RAW_Продажи!F153</f>
        <v>P007</v>
      </c>
      <c r="H154" s="11" t="str">
        <f>RAW_Продажи!G153</f>
        <v>отменен</v>
      </c>
      <c r="I154" s="12" t="str">
        <f t="shared" si="163"/>
        <v>472</v>
      </c>
      <c r="J154" s="12" t="str">
        <f t="shared" si="164"/>
        <v>€</v>
      </c>
      <c r="K154" s="12">
        <f t="shared" si="165"/>
        <v>110</v>
      </c>
      <c r="L154" s="19">
        <f t="shared" si="166"/>
        <v>45747</v>
      </c>
      <c r="M154" s="13" t="str">
        <f t="shared" si="167"/>
        <v>АРТ-472</v>
      </c>
      <c r="N154" s="13">
        <f t="shared" si="168"/>
        <v>2</v>
      </c>
      <c r="O154" s="13" t="str">
        <f>IFERROR(VLOOKUP(J154,Справочники!$G$6:$H$8,2,0),"RUB")</f>
        <v>EUR</v>
      </c>
      <c r="P154" s="14">
        <f>ROUND(K154*IFERROR(VLOOKUP(J154,Справочники!$G$6:$I$8,3,0),1),2)</f>
        <v>11000</v>
      </c>
      <c r="Q154" s="13" t="str">
        <f>IFERROR(VLOOKUP(H154,Справочники!$D$6:$E$14,2,0),"НЕИЗВЕСТНО")</f>
        <v>Отменен</v>
      </c>
      <c r="R154" s="20">
        <f>IFERROR(INDEX(Товары_очищенные!$Q$3:$Q$503,MATCH(M154,Товары_очищенные!$L$3:$L$503,0)),"нет в каталоге")</f>
        <v>8990</v>
      </c>
      <c r="S154" s="21" t="str">
        <f>IFERROR(INDEX(Товары_очищенные!$N$3:$N$503,MATCH(M154,Товары_очищенные!$L$3:$L$503,0)),"нет в каталоге")</f>
        <v>Наушники</v>
      </c>
      <c r="T154" s="21" t="str">
        <f t="shared" si="169"/>
        <v>OK</v>
      </c>
      <c r="U154" s="12" t="str">
        <f t="shared" si="170"/>
        <v>31/03/2025|АРТ-472|C0152</v>
      </c>
      <c r="V154" s="12" t="str">
        <f t="shared" si="171"/>
        <v>оригинал</v>
      </c>
    </row>
    <row r="155" ht="15" customHeight="1">
      <c r="A155" s="10">
        <v>153</v>
      </c>
      <c r="B155" s="11" t="str">
        <f>RAW_Продажи!A154</f>
        <v>04/01/2025</v>
      </c>
      <c r="C155" s="11" t="str">
        <f>RAW_Продажи!B154</f>
        <v>157/24</v>
      </c>
      <c r="D155" s="11" t="str">
        <f>RAW_Продажи!C154</f>
        <v xml:space="preserve">1 шт.</v>
      </c>
      <c r="E155" s="11" t="str">
        <f>RAW_Продажи!D154</f>
        <v xml:space="preserve">10500 ₽</v>
      </c>
      <c r="F155" s="11" t="str">
        <f>RAW_Продажи!E154</f>
        <v>C0153</v>
      </c>
      <c r="G155" s="11" t="str">
        <f>RAW_Продажи!F154</f>
        <v>P023</v>
      </c>
      <c r="H155" s="11" t="str">
        <f>RAW_Продажи!G154</f>
        <v>возврат</v>
      </c>
      <c r="I155" s="12" t="str">
        <f t="shared" si="163"/>
        <v>157/24</v>
      </c>
      <c r="J155" s="12" t="str">
        <f t="shared" si="164"/>
        <v>₽</v>
      </c>
      <c r="K155" s="12">
        <f t="shared" si="165"/>
        <v>10500</v>
      </c>
      <c r="L155" s="19">
        <f t="shared" si="166"/>
        <v>45748</v>
      </c>
      <c r="M155" s="13" t="str">
        <f t="shared" si="167"/>
        <v>АРТ-157</v>
      </c>
      <c r="N155" s="13">
        <f t="shared" si="168"/>
        <v>1</v>
      </c>
      <c r="O155" s="13" t="str">
        <f>IFERROR(VLOOKUP(J155,Справочники!$G$6:$H$8,2,0),"RUB")</f>
        <v>RUB</v>
      </c>
      <c r="P155" s="14">
        <f>ROUND(K155*IFERROR(VLOOKUP(J155,Справочники!$G$6:$I$8,3,0),1),2)</f>
        <v>10500</v>
      </c>
      <c r="Q155" s="13" t="str">
        <f>IFERROR(VLOOKUP(H155,Справочники!$D$6:$E$14,2,0),"НЕИЗВЕСТНО")</f>
        <v>Возврат</v>
      </c>
      <c r="R155" s="20">
        <f>IFERROR(INDEX(Товары_очищенные!$Q$3:$Q$503,MATCH(M155,Товары_очищенные!$L$3:$L$503,0)),"нет в каталоге")</f>
        <v>92900</v>
      </c>
      <c r="S155" s="21" t="str">
        <f>IFERROR(INDEX(Товары_очищенные!$N$3:$N$503,MATCH(M155,Товары_очищенные!$L$3:$L$503,0)),"нет в каталоге")</f>
        <v>Мониторы</v>
      </c>
      <c r="T155" s="21" t="str">
        <f t="shared" si="169"/>
        <v>OK</v>
      </c>
      <c r="U155" s="12" t="str">
        <f t="shared" si="170"/>
        <v>01/04/2025|АРТ-157|C0153</v>
      </c>
      <c r="V155" s="12" t="str">
        <f t="shared" si="171"/>
        <v>оригинал</v>
      </c>
    </row>
    <row r="156" ht="15" customHeight="1">
      <c r="A156" s="10">
        <v>154</v>
      </c>
      <c r="B156" s="11" t="str">
        <f>RAW_Продажи!A155</f>
        <v>04/01/2025</v>
      </c>
      <c r="C156" s="11" t="str">
        <f>RAW_Продажи!B155</f>
        <v>№АРТ-042</v>
      </c>
      <c r="D156" s="11" t="str">
        <f>RAW_Продажи!C155</f>
        <v>-3</v>
      </c>
      <c r="E156" s="11" t="str">
        <f>RAW_Продажи!D155</f>
        <v>$95</v>
      </c>
      <c r="F156" s="11" t="str">
        <f>RAW_Продажи!E155</f>
        <v>C0154</v>
      </c>
      <c r="G156" s="11" t="str">
        <f>RAW_Продажи!F155</f>
        <v>P045</v>
      </c>
      <c r="H156" s="11" t="str">
        <f>RAW_Продажи!G155</f>
        <v>Завершен</v>
      </c>
      <c r="I156" s="12" t="str">
        <f t="shared" si="163"/>
        <v>042</v>
      </c>
      <c r="J156" s="12" t="str">
        <f t="shared" si="164"/>
        <v>$</v>
      </c>
      <c r="K156" s="12">
        <f t="shared" si="165"/>
        <v>95</v>
      </c>
      <c r="L156" s="19">
        <f t="shared" si="166"/>
        <v>45748</v>
      </c>
      <c r="M156" s="13" t="str">
        <f t="shared" si="167"/>
        <v>АРТ-042</v>
      </c>
      <c r="N156" s="13">
        <f t="shared" si="168"/>
        <v>-3</v>
      </c>
      <c r="O156" s="13" t="str">
        <f>IFERROR(VLOOKUP(J156,Справочники!$G$6:$H$8,2,0),"RUB")</f>
        <v>USD</v>
      </c>
      <c r="P156" s="14">
        <f>ROUND(K156*IFERROR(VLOOKUP(J156,Справочники!$G$6:$I$8,3,0),1),2)</f>
        <v>9025</v>
      </c>
      <c r="Q156" s="13" t="str">
        <f>IFERROR(VLOOKUP(H156,Справочники!$D$6:$E$14,2,0),"НЕИЗВЕСТНО")</f>
        <v>Завершен</v>
      </c>
      <c r="R156" s="20">
        <f>IFERROR(INDEX(Товары_очищенные!$Q$3:$Q$503,MATCH(M156,Товары_очищенные!$L$3:$L$503,0)),"нет в каталоге")</f>
        <v>144000</v>
      </c>
      <c r="S156" s="21" t="str">
        <f>IFERROR(INDEX(Товары_очищенные!$N$3:$N$503,MATCH(M156,Товары_очищенные!$L$3:$L$503,0)),"нет в каталоге")</f>
        <v>Ноутбуки</v>
      </c>
      <c r="T156" s="21" t="str">
        <f t="shared" si="169"/>
        <v>OK</v>
      </c>
      <c r="U156" s="12" t="str">
        <f t="shared" si="170"/>
        <v>01/04/2025|АРТ-042|C0154</v>
      </c>
      <c r="V156" s="12" t="str">
        <f t="shared" si="171"/>
        <v>оригинал</v>
      </c>
    </row>
    <row r="157" ht="15" customHeight="1">
      <c r="A157" s="10">
        <v>155</v>
      </c>
      <c r="B157" s="11" t="str">
        <f>RAW_Продажи!A156</f>
        <v>04/02/2025</v>
      </c>
      <c r="C157" s="11" t="str">
        <f>RAW_Продажи!B156</f>
        <v>АРТ_397</v>
      </c>
      <c r="D157" s="11" t="str">
        <f>RAW_Продажи!C156</f>
        <v>1</v>
      </c>
      <c r="E157" s="11" t="str">
        <f>RAW_Продажи!D156</f>
        <v>€75</v>
      </c>
      <c r="F157" s="11" t="str">
        <f>RAW_Продажи!E156</f>
        <v>C0155</v>
      </c>
      <c r="G157" s="11" t="str">
        <f>RAW_Продажи!F156</f>
        <v>P008</v>
      </c>
      <c r="H157" s="11" t="str">
        <f>RAW_Продажи!G156</f>
        <v>завершен</v>
      </c>
      <c r="I157" s="12" t="str">
        <f t="shared" si="163"/>
        <v>397</v>
      </c>
      <c r="J157" s="12" t="str">
        <f t="shared" si="164"/>
        <v>€</v>
      </c>
      <c r="K157" s="12">
        <f t="shared" si="165"/>
        <v>75</v>
      </c>
      <c r="L157" s="19">
        <f t="shared" si="166"/>
        <v>45749</v>
      </c>
      <c r="M157" s="13" t="str">
        <f t="shared" si="167"/>
        <v>АРТ-397</v>
      </c>
      <c r="N157" s="13">
        <f t="shared" si="168"/>
        <v>1</v>
      </c>
      <c r="O157" s="13" t="str">
        <f>IFERROR(VLOOKUP(J157,Справочники!$G$6:$H$8,2,0),"RUB")</f>
        <v>EUR</v>
      </c>
      <c r="P157" s="14">
        <f>ROUND(K157*IFERROR(VLOOKUP(J157,Справочники!$G$6:$I$8,3,0),1),2)</f>
        <v>7500</v>
      </c>
      <c r="Q157" s="13" t="str">
        <f>IFERROR(VLOOKUP(H157,Справочники!$D$6:$E$14,2,0),"НЕИЗВЕСТНО")</f>
        <v>Завершен</v>
      </c>
      <c r="R157" s="20">
        <f>IFERROR(INDEX(Товары_очищенные!$Q$3:$Q$503,MATCH(M157,Товары_очищенные!$L$3:$L$503,0)),"нет в каталоге")</f>
        <v>7990</v>
      </c>
      <c r="S157" s="21" t="str">
        <f>IFERROR(INDEX(Товары_очищенные!$N$3:$N$503,MATCH(M157,Товары_очищенные!$L$3:$L$503,0)),"нет в каталоге")</f>
        <v>Аксессуары</v>
      </c>
      <c r="T157" s="21" t="str">
        <f t="shared" si="169"/>
        <v>OK</v>
      </c>
      <c r="U157" s="12" t="str">
        <f t="shared" si="170"/>
        <v>02/04/2025|АРТ-397|C0155</v>
      </c>
      <c r="V157" s="12" t="str">
        <f t="shared" si="171"/>
        <v>оригинал</v>
      </c>
    </row>
    <row r="158" ht="15" customHeight="1">
      <c r="A158" s="10">
        <v>156</v>
      </c>
      <c r="B158" s="11" t="str">
        <f>RAW_Продажи!A157</f>
        <v>04/02/2025</v>
      </c>
      <c r="C158" s="11" t="str">
        <f>RAW_Продажи!B157</f>
        <v>203-24</v>
      </c>
      <c r="D158" s="11" t="str">
        <f>RAW_Продажи!C157</f>
        <v>2</v>
      </c>
      <c r="E158" s="11" t="str">
        <f>RAW_Продажи!D157</f>
        <v xml:space="preserve">7000 ₽</v>
      </c>
      <c r="F158" s="11" t="str">
        <f>RAW_Продажи!E157</f>
        <v>C0156</v>
      </c>
      <c r="G158" s="11" t="str">
        <f>RAW_Продажи!F157</f>
        <v>P031</v>
      </c>
      <c r="H158" s="11" t="str">
        <f>RAW_Продажи!G157</f>
        <v>completed</v>
      </c>
      <c r="I158" s="12" t="str">
        <f t="shared" si="163"/>
        <v>203-24</v>
      </c>
      <c r="J158" s="12" t="str">
        <f t="shared" si="164"/>
        <v>₽</v>
      </c>
      <c r="K158" s="12">
        <f t="shared" si="165"/>
        <v>7000</v>
      </c>
      <c r="L158" s="19">
        <f t="shared" si="166"/>
        <v>45749</v>
      </c>
      <c r="M158" s="13" t="str">
        <f t="shared" si="167"/>
        <v>АРТ-203</v>
      </c>
      <c r="N158" s="13">
        <f t="shared" si="168"/>
        <v>2</v>
      </c>
      <c r="O158" s="13" t="str">
        <f>IFERROR(VLOOKUP(J158,Справочники!$G$6:$H$8,2,0),"RUB")</f>
        <v>RUB</v>
      </c>
      <c r="P158" s="14">
        <f>ROUND(K158*IFERROR(VLOOKUP(J158,Справочники!$G$6:$I$8,3,0),1),2)</f>
        <v>7000</v>
      </c>
      <c r="Q158" s="13" t="str">
        <f>IFERROR(VLOOKUP(H158,Справочники!$D$6:$E$14,2,0),"НЕИЗВЕСТНО")</f>
        <v>Завершен</v>
      </c>
      <c r="R158" s="20">
        <f>IFERROR(INDEX(Товары_очищенные!$Q$3:$Q$503,MATCH(M158,Товары_очищенные!$L$3:$L$503,0)),"нет в каталоге")</f>
        <v>9200</v>
      </c>
      <c r="S158" s="21" t="str">
        <f>IFERROR(INDEX(Товары_очищенные!$N$3:$N$503,MATCH(M158,Товары_очищенные!$L$3:$L$503,0)),"нет в каталоге")</f>
        <v>Наушники</v>
      </c>
      <c r="T158" s="21" t="str">
        <f t="shared" si="169"/>
        <v>OK</v>
      </c>
      <c r="U158" s="12" t="str">
        <f t="shared" si="170"/>
        <v>02/04/2025|АРТ-203|C0156</v>
      </c>
      <c r="V158" s="12" t="str">
        <f t="shared" si="171"/>
        <v>оригинал</v>
      </c>
    </row>
    <row r="159" ht="15" customHeight="1">
      <c r="A159" s="10">
        <v>157</v>
      </c>
      <c r="B159" s="11" t="str">
        <f>RAW_Продажи!A158</f>
        <v>04/03/2025</v>
      </c>
      <c r="C159" s="11" t="str">
        <f>RAW_Продажи!B158</f>
        <v>№АРТ-315</v>
      </c>
      <c r="D159" s="11" t="str">
        <f>RAW_Продажи!C158</f>
        <v>3</v>
      </c>
      <c r="E159" s="11" t="str">
        <f>RAW_Продажи!D158</f>
        <v>$120</v>
      </c>
      <c r="F159" s="11" t="str">
        <f>RAW_Продажи!E158</f>
        <v>C0157</v>
      </c>
      <c r="G159" s="11" t="str">
        <f>RAW_Продажи!F158</f>
        <v>P019</v>
      </c>
      <c r="H159" s="11" t="str">
        <f>RAW_Продажи!G158</f>
        <v>отменен</v>
      </c>
      <c r="I159" s="12" t="str">
        <f t="shared" si="163"/>
        <v>315</v>
      </c>
      <c r="J159" s="12" t="str">
        <f t="shared" si="164"/>
        <v>$</v>
      </c>
      <c r="K159" s="12">
        <f t="shared" si="165"/>
        <v>120</v>
      </c>
      <c r="L159" s="19">
        <f t="shared" si="166"/>
        <v>45750</v>
      </c>
      <c r="M159" s="13" t="str">
        <f t="shared" si="167"/>
        <v>АРТ-315</v>
      </c>
      <c r="N159" s="13">
        <f t="shared" si="168"/>
        <v>3</v>
      </c>
      <c r="O159" s="13" t="str">
        <f>IFERROR(VLOOKUP(J159,Справочники!$G$6:$H$8,2,0),"RUB")</f>
        <v>USD</v>
      </c>
      <c r="P159" s="14">
        <f>ROUND(K159*IFERROR(VLOOKUP(J159,Справочники!$G$6:$I$8,3,0),1),2)</f>
        <v>11400</v>
      </c>
      <c r="Q159" s="13" t="str">
        <f>IFERROR(VLOOKUP(H159,Справочники!$D$6:$E$14,2,0),"НЕИЗВЕСТНО")</f>
        <v>Отменен</v>
      </c>
      <c r="R159" s="20">
        <f>IFERROR(INDEX(Товары_очищенные!$Q$3:$Q$503,MATCH(M159,Товары_очищенные!$L$3:$L$503,0)),"нет в каталоге")</f>
        <v>72000</v>
      </c>
      <c r="S159" s="21" t="str">
        <f>IFERROR(INDEX(Товары_очищенные!$N$3:$N$503,MATCH(M159,Товары_очищенные!$L$3:$L$503,0)),"нет в каталоге")</f>
        <v>Смартфоны</v>
      </c>
      <c r="T159" s="21" t="str">
        <f t="shared" si="169"/>
        <v>OK</v>
      </c>
      <c r="U159" s="12" t="str">
        <f t="shared" si="170"/>
        <v>03/04/2025|АРТ-315|C0157</v>
      </c>
      <c r="V159" s="12" t="str">
        <f t="shared" si="171"/>
        <v>оригинал</v>
      </c>
    </row>
    <row r="160" ht="15" customHeight="1">
      <c r="A160" s="10">
        <v>158</v>
      </c>
      <c r="B160" s="11" t="str">
        <f>RAW_Продажи!A159</f>
        <v>04/03/2025</v>
      </c>
      <c r="C160" s="11" t="str">
        <f>RAW_Продажи!B159</f>
        <v>АРТ_109</v>
      </c>
      <c r="D160" s="11" t="str">
        <f>RAW_Продажи!C159</f>
        <v>2</v>
      </c>
      <c r="E160" s="11" t="str">
        <f>RAW_Продажи!D159</f>
        <v>€100</v>
      </c>
      <c r="F160" s="11" t="str">
        <f>RAW_Продажи!E159</f>
        <v>C0158</v>
      </c>
      <c r="G160" s="11" t="str">
        <f>RAW_Продажи!F159</f>
        <v>P042</v>
      </c>
      <c r="H160" s="11" t="str">
        <f>RAW_Продажи!G159</f>
        <v>canceled</v>
      </c>
      <c r="I160" s="12" t="str">
        <f t="shared" si="163"/>
        <v>109</v>
      </c>
      <c r="J160" s="12" t="str">
        <f t="shared" si="164"/>
        <v>€</v>
      </c>
      <c r="K160" s="12">
        <f t="shared" si="165"/>
        <v>100</v>
      </c>
      <c r="L160" s="19">
        <f t="shared" si="166"/>
        <v>45750</v>
      </c>
      <c r="M160" s="13" t="str">
        <f t="shared" si="167"/>
        <v>АРТ-109</v>
      </c>
      <c r="N160" s="13">
        <f t="shared" si="168"/>
        <v>2</v>
      </c>
      <c r="O160" s="13" t="str">
        <f>IFERROR(VLOOKUP(J160,Справочники!$G$6:$H$8,2,0),"RUB")</f>
        <v>EUR</v>
      </c>
      <c r="P160" s="14">
        <f>ROUND(K160*IFERROR(VLOOKUP(J160,Справочники!$G$6:$I$8,3,0),1),2)</f>
        <v>10000</v>
      </c>
      <c r="Q160" s="13" t="str">
        <f>IFERROR(VLOOKUP(H160,Справочники!$D$6:$E$14,2,0),"НЕИЗВЕСТНО")</f>
        <v>Отменен</v>
      </c>
      <c r="R160" s="20">
        <f>IFERROR(INDEX(Товары_очищенные!$Q$3:$Q$503,MATCH(M160,Товары_очищенные!$L$3:$L$503,0)),"нет в каталоге")</f>
        <v>119999</v>
      </c>
      <c r="S160" s="21" t="str">
        <f>IFERROR(INDEX(Товары_очищенные!$N$3:$N$503,MATCH(M160,Товары_очищенные!$L$3:$L$503,0)),"нет в каталоге")</f>
        <v>Телевизоры</v>
      </c>
      <c r="T160" s="21" t="str">
        <f t="shared" si="169"/>
        <v>OK</v>
      </c>
      <c r="U160" s="12" t="str">
        <f t="shared" si="170"/>
        <v>03/04/2025|АРТ-109|C0158</v>
      </c>
      <c r="V160" s="12" t="str">
        <f t="shared" si="171"/>
        <v>оригинал</v>
      </c>
    </row>
    <row r="161" ht="15" customHeight="1">
      <c r="A161" s="10">
        <v>159</v>
      </c>
      <c r="B161" s="11" t="str">
        <f>RAW_Продажи!A160</f>
        <v>04/04/2025</v>
      </c>
      <c r="C161" s="11" t="str">
        <f>RAW_Продажи!B160</f>
        <v>278/24</v>
      </c>
      <c r="D161" s="11" t="str">
        <f>RAW_Продажи!C160</f>
        <v xml:space="preserve">1 шт.</v>
      </c>
      <c r="E161" s="11" t="str">
        <f>RAW_Продажи!D160</f>
        <v xml:space="preserve">8800 ₽</v>
      </c>
      <c r="F161" s="11" t="str">
        <f>RAW_Продажи!E160</f>
        <v>C0159</v>
      </c>
      <c r="G161" s="11" t="str">
        <f>RAW_Продажи!F160</f>
        <v>P005</v>
      </c>
      <c r="H161" s="11" t="str">
        <f>RAW_Продажи!G160</f>
        <v>Завершен</v>
      </c>
      <c r="I161" s="12" t="str">
        <f t="shared" si="163"/>
        <v>278/24</v>
      </c>
      <c r="J161" s="12" t="str">
        <f t="shared" si="164"/>
        <v>₽</v>
      </c>
      <c r="K161" s="12">
        <f t="shared" si="165"/>
        <v>8800</v>
      </c>
      <c r="L161" s="19">
        <f t="shared" si="166"/>
        <v>45751</v>
      </c>
      <c r="M161" s="13" t="str">
        <f t="shared" si="167"/>
        <v>АРТ-278</v>
      </c>
      <c r="N161" s="13">
        <f t="shared" si="168"/>
        <v>1</v>
      </c>
      <c r="O161" s="13" t="str">
        <f>IFERROR(VLOOKUP(J161,Справочники!$G$6:$H$8,2,0),"RUB")</f>
        <v>RUB</v>
      </c>
      <c r="P161" s="14">
        <f>ROUND(K161*IFERROR(VLOOKUP(J161,Справочники!$G$6:$I$8,3,0),1),2)</f>
        <v>8800</v>
      </c>
      <c r="Q161" s="13" t="str">
        <f>IFERROR(VLOOKUP(H161,Справочники!$D$6:$E$14,2,0),"НЕИЗВЕСТНО")</f>
        <v>Завершен</v>
      </c>
      <c r="R161" s="20">
        <f>IFERROR(INDEX(Товары_очищенные!$Q$3:$Q$503,MATCH(M161,Товары_очищенные!$L$3:$L$503,0)),"нет в каталоге")</f>
        <v>112000</v>
      </c>
      <c r="S161" s="21" t="str">
        <f>IFERROR(INDEX(Товары_очищенные!$N$3:$N$503,MATCH(M161,Товары_очищенные!$L$3:$L$503,0)),"нет в каталоге")</f>
        <v>Телевизоры</v>
      </c>
      <c r="T161" s="21" t="str">
        <f t="shared" si="169"/>
        <v>OK</v>
      </c>
      <c r="U161" s="12" t="str">
        <f t="shared" si="170"/>
        <v>04/04/2025|АРТ-278|C0159</v>
      </c>
      <c r="V161" s="12" t="str">
        <f t="shared" si="171"/>
        <v>оригинал</v>
      </c>
    </row>
    <row r="162" ht="15" customHeight="1">
      <c r="A162" s="10">
        <v>160</v>
      </c>
      <c r="B162" s="11" t="str">
        <f>RAW_Продажи!A161</f>
        <v>04/04/2025</v>
      </c>
      <c r="C162" s="11" t="str">
        <f>RAW_Продажи!B161</f>
        <v>№АРТ-129</v>
      </c>
      <c r="D162" s="11" t="str">
        <f>RAW_Продажи!C161</f>
        <v>-1</v>
      </c>
      <c r="E162" s="11" t="str">
        <f>RAW_Продажи!D161</f>
        <v>$85</v>
      </c>
      <c r="F162" s="11" t="str">
        <f>RAW_Продажи!E161</f>
        <v>C0160</v>
      </c>
      <c r="G162" s="11" t="str">
        <f>RAW_Продажи!F161</f>
        <v>P036</v>
      </c>
      <c r="H162" s="11" t="str">
        <f>RAW_Продажи!G161</f>
        <v>возврат</v>
      </c>
      <c r="I162" s="12" t="str">
        <f t="shared" si="163"/>
        <v>129</v>
      </c>
      <c r="J162" s="12" t="str">
        <f t="shared" si="164"/>
        <v>$</v>
      </c>
      <c r="K162" s="12">
        <f t="shared" si="165"/>
        <v>85</v>
      </c>
      <c r="L162" s="19">
        <f t="shared" si="166"/>
        <v>45751</v>
      </c>
      <c r="M162" s="13" t="str">
        <f t="shared" si="167"/>
        <v>АРТ-129</v>
      </c>
      <c r="N162" s="13">
        <f t="shared" si="168"/>
        <v>-1</v>
      </c>
      <c r="O162" s="13" t="str">
        <f>IFERROR(VLOOKUP(J162,Справочники!$G$6:$H$8,2,0),"RUB")</f>
        <v>USD</v>
      </c>
      <c r="P162" s="14">
        <f>ROUND(K162*IFERROR(VLOOKUP(J162,Справочники!$G$6:$I$8,3,0),1),2)</f>
        <v>8075</v>
      </c>
      <c r="Q162" s="13" t="str">
        <f>IFERROR(VLOOKUP(H162,Справочники!$D$6:$E$14,2,0),"НЕИЗВЕСТНО")</f>
        <v>Возврат</v>
      </c>
      <c r="R162" s="20">
        <f>IFERROR(INDEX(Товары_очищенные!$Q$3:$Q$503,MATCH(M162,Товары_очищенные!$L$3:$L$503,0)),"нет в каталоге")</f>
        <v>53500</v>
      </c>
      <c r="S162" s="21" t="str">
        <f>IFERROR(INDEX(Товары_очищенные!$N$3:$N$503,MATCH(M162,Товары_очищенные!$L$3:$L$503,0)),"нет в каталоге")</f>
        <v>Смартфоны</v>
      </c>
      <c r="T162" s="21" t="str">
        <f t="shared" si="169"/>
        <v>OK</v>
      </c>
      <c r="U162" s="12" t="str">
        <f t="shared" si="170"/>
        <v>04/04/2025|АРТ-129|C0160</v>
      </c>
      <c r="V162" s="12" t="str">
        <f t="shared" si="171"/>
        <v>оригинал</v>
      </c>
    </row>
    <row r="163" ht="15" customHeight="1">
      <c r="A163" s="10">
        <v>161</v>
      </c>
      <c r="B163" s="11" t="str">
        <f>RAW_Продажи!A162</f>
        <v>04/05/2025</v>
      </c>
      <c r="C163" s="11" t="str">
        <f>RAW_Продажи!B162</f>
        <v>АРТ_424</v>
      </c>
      <c r="D163" s="11" t="str">
        <f>RAW_Продажи!C162</f>
        <v>3</v>
      </c>
      <c r="E163" s="11" t="str">
        <f>RAW_Продажи!D162</f>
        <v>€65</v>
      </c>
      <c r="F163" s="11" t="str">
        <f>RAW_Продажи!E162</f>
        <v>C0161</v>
      </c>
      <c r="G163" s="11" t="str">
        <f>RAW_Продажи!F162</f>
        <v>P014</v>
      </c>
      <c r="H163" s="11" t="str">
        <f>RAW_Продажи!G162</f>
        <v>завершен</v>
      </c>
      <c r="I163" s="12" t="str">
        <f t="shared" si="163"/>
        <v>424</v>
      </c>
      <c r="J163" s="12" t="str">
        <f t="shared" si="164"/>
        <v>€</v>
      </c>
      <c r="K163" s="12">
        <f t="shared" si="165"/>
        <v>65</v>
      </c>
      <c r="L163" s="19">
        <f t="shared" si="166"/>
        <v>45752</v>
      </c>
      <c r="M163" s="13" t="str">
        <f t="shared" si="167"/>
        <v>АРТ-424</v>
      </c>
      <c r="N163" s="13">
        <f t="shared" si="168"/>
        <v>3</v>
      </c>
      <c r="O163" s="13" t="str">
        <f>IFERROR(VLOOKUP(J163,Справочники!$G$6:$H$8,2,0),"RUB")</f>
        <v>EUR</v>
      </c>
      <c r="P163" s="14">
        <f>ROUND(K163*IFERROR(VLOOKUP(J163,Справочники!$G$6:$I$8,3,0),1),2)</f>
        <v>6500</v>
      </c>
      <c r="Q163" s="13" t="str">
        <f>IFERROR(VLOOKUP(H163,Справочники!$D$6:$E$14,2,0),"НЕИЗВЕСТНО")</f>
        <v>Завершен</v>
      </c>
      <c r="R163" s="20">
        <f>IFERROR(INDEX(Товары_очищенные!$Q$3:$Q$503,MATCH(M163,Товары_очищенные!$L$3:$L$503,0)),"нет в каталоге")</f>
        <v>48990</v>
      </c>
      <c r="S163" s="21" t="str">
        <f>IFERROR(INDEX(Товары_очищенные!$N$3:$N$503,MATCH(M163,Товары_очищенные!$L$3:$L$503,0)),"нет в каталоге")</f>
        <v>Смартфоны</v>
      </c>
      <c r="T163" s="21" t="str">
        <f t="shared" si="169"/>
        <v>OK</v>
      </c>
      <c r="U163" s="12" t="str">
        <f t="shared" si="170"/>
        <v>05/04/2025|АРТ-424|C0161</v>
      </c>
      <c r="V163" s="12" t="str">
        <f t="shared" si="171"/>
        <v>оригинал</v>
      </c>
    </row>
    <row r="164" ht="15" customHeight="1">
      <c r="A164" s="10">
        <v>162</v>
      </c>
      <c r="B164" s="11" t="str">
        <f>RAW_Продажи!A163</f>
        <v>04/05/2025</v>
      </c>
      <c r="C164" s="11" t="str">
        <f>RAW_Продажи!B163</f>
        <v>046-24</v>
      </c>
      <c r="D164" s="11" t="str">
        <f>RAW_Продажи!C163</f>
        <v>2</v>
      </c>
      <c r="E164" s="11" t="str">
        <f>RAW_Продажи!D163</f>
        <v xml:space="preserve">6500 ₽</v>
      </c>
      <c r="F164" s="11" t="str">
        <f>RAW_Продажи!E163</f>
        <v>C0162</v>
      </c>
      <c r="G164" s="11" t="str">
        <f>RAW_Продажи!F163</f>
        <v>P028</v>
      </c>
      <c r="H164" s="11" t="str">
        <f>RAW_Продажи!G163</f>
        <v>completed</v>
      </c>
      <c r="I164" s="12" t="str">
        <f t="shared" ref="I164:I227" si="172">SUBSTITUTE(SUBSTITUTE(C164,"№АРТ-",""),"АРТ_","")</f>
        <v>046-24</v>
      </c>
      <c r="J164" s="12" t="str">
        <f t="shared" ref="J164:J227" si="173">IF(LEFT(TRIM(E164),1)="$","$",IF(LEFT(TRIM(E164),1)="€","€","₽"))</f>
        <v>₽</v>
      </c>
      <c r="K164" s="12">
        <f t="shared" ref="K164:K227" si="174">VALUE(SUBSTITUTE(SUBSTITUTE(SUBSTITUTE(SUBSTITUTE(TRIM(E164),"$",""),"€",""),"₽","")," ",""))</f>
        <v>6500</v>
      </c>
      <c r="L164" s="19">
        <f t="shared" ref="L164:L227" si="175">DATE(VALUE(MID(B164,7,4)),VALUE(LEFT(B164,2)),VALUE(MID(B164,4,2)))</f>
        <v>45752</v>
      </c>
      <c r="M164" s="13" t="str">
        <f t="shared" ref="M164:M227" si="176">"АРТ-"&amp;LEFT(I164,3)</f>
        <v>АРТ-046</v>
      </c>
      <c r="N164" s="13">
        <f t="shared" ref="N164:N227" si="177">VALUE(LEFT(TRIM(D164),FIND(" ",TRIM(D164)&amp;" ")-1))</f>
        <v>2</v>
      </c>
      <c r="O164" s="13" t="str">
        <f>IFERROR(VLOOKUP(J164,Справочники!$G$6:$H$8,2,0),"RUB")</f>
        <v>RUB</v>
      </c>
      <c r="P164" s="14">
        <f>ROUND(K164*IFERROR(VLOOKUP(J164,Справочники!$G$6:$I$8,3,0),1),2)</f>
        <v>6500</v>
      </c>
      <c r="Q164" s="13" t="str">
        <f>IFERROR(VLOOKUP(H164,Справочники!$D$6:$E$14,2,0),"НЕИЗВЕСТНО")</f>
        <v>Завершен</v>
      </c>
      <c r="R164" s="20">
        <f>IFERROR(INDEX(Товары_очищенные!$Q$3:$Q$503,MATCH(M164,Товары_очищенные!$L$3:$L$503,0)),"нет в каталоге")</f>
        <v>24990</v>
      </c>
      <c r="S164" s="21" t="str">
        <f>IFERROR(INDEX(Товары_очищенные!$N$3:$N$503,MATCH(M164,Товары_очищенные!$L$3:$L$503,0)),"нет в каталоге")</f>
        <v>Наушники</v>
      </c>
      <c r="T164" s="21" t="str">
        <f t="shared" ref="T164:T227" si="178">IF(ISNUMBER(R164),IF(P164&lt;=R164*1.5,"OK","Цена выше розницы"),"—")</f>
        <v>OK</v>
      </c>
      <c r="U164" s="12" t="str">
        <f t="shared" ref="U164:U227" si="179">TEXT(L164,"DD.MM.YYYY")&amp;"|"&amp;M164&amp;"|"&amp;F164</f>
        <v>05/04/2025|АРТ-046|C0162</v>
      </c>
      <c r="V164" s="12" t="str">
        <f t="shared" ref="V164:V227" si="180">IF(COUNTIF($U$3:U164,U164)&gt;1,"ДУБЛЬ","оригинал")</f>
        <v>оригинал</v>
      </c>
    </row>
    <row r="165" ht="15" customHeight="1">
      <c r="A165" s="10">
        <v>163</v>
      </c>
      <c r="B165" s="11" t="str">
        <f>RAW_Продажи!A164</f>
        <v>04/06/2025</v>
      </c>
      <c r="C165" s="11" t="str">
        <f>RAW_Продажи!B164</f>
        <v>№АРТ-353</v>
      </c>
      <c r="D165" s="11" t="str">
        <f>RAW_Продажи!C164</f>
        <v>1</v>
      </c>
      <c r="E165" s="11" t="str">
        <f>RAW_Продажи!D164</f>
        <v>$115</v>
      </c>
      <c r="F165" s="11" t="str">
        <f>RAW_Продажи!E164</f>
        <v>C0163</v>
      </c>
      <c r="G165" s="11" t="str">
        <f>RAW_Продажи!F164</f>
        <v>P009</v>
      </c>
      <c r="H165" s="11" t="str">
        <f>RAW_Продажи!G164</f>
        <v>Завершен</v>
      </c>
      <c r="I165" s="12" t="str">
        <f t="shared" si="172"/>
        <v>353</v>
      </c>
      <c r="J165" s="12" t="str">
        <f t="shared" si="173"/>
        <v>$</v>
      </c>
      <c r="K165" s="12">
        <f t="shared" si="174"/>
        <v>115</v>
      </c>
      <c r="L165" s="19">
        <f t="shared" si="175"/>
        <v>45753</v>
      </c>
      <c r="M165" s="13" t="str">
        <f t="shared" si="176"/>
        <v>АРТ-353</v>
      </c>
      <c r="N165" s="13">
        <f t="shared" si="177"/>
        <v>1</v>
      </c>
      <c r="O165" s="13" t="str">
        <f>IFERROR(VLOOKUP(J165,Справочники!$G$6:$H$8,2,0),"RUB")</f>
        <v>USD</v>
      </c>
      <c r="P165" s="14">
        <f>ROUND(K165*IFERROR(VLOOKUP(J165,Справочники!$G$6:$I$8,3,0),1),2)</f>
        <v>10925</v>
      </c>
      <c r="Q165" s="13" t="str">
        <f>IFERROR(VLOOKUP(H165,Справочники!$D$6:$E$14,2,0),"НЕИЗВЕСТНО")</f>
        <v>Завершен</v>
      </c>
      <c r="R165" s="20">
        <f>IFERROR(INDEX(Товары_очищенные!$Q$3:$Q$503,MATCH(M165,Товары_очищенные!$L$3:$L$503,0)),"нет в каталоге")</f>
        <v>6500</v>
      </c>
      <c r="S165" s="21" t="str">
        <f>IFERROR(INDEX(Товары_очищенные!$N$3:$N$503,MATCH(M165,Товары_очищенные!$L$3:$L$503,0)),"нет в каталоге")</f>
        <v>Аксессуары</v>
      </c>
      <c r="T165" s="21" t="str">
        <f t="shared" si="178"/>
        <v xml:space="preserve">Цена выше розницы</v>
      </c>
      <c r="U165" s="12" t="str">
        <f t="shared" si="179"/>
        <v>06/04/2025|АРТ-353|C0163</v>
      </c>
      <c r="V165" s="12" t="str">
        <f t="shared" si="180"/>
        <v>оригинал</v>
      </c>
    </row>
    <row r="166" ht="15" customHeight="1">
      <c r="A166" s="10">
        <v>164</v>
      </c>
      <c r="B166" s="11" t="str">
        <f>RAW_Продажи!A165</f>
        <v>04/06/2025</v>
      </c>
      <c r="C166" s="11" t="str">
        <f>RAW_Продажи!B165</f>
        <v>АРТ_244</v>
      </c>
      <c r="D166" s="11" t="str">
        <f>RAW_Продажи!C165</f>
        <v>2</v>
      </c>
      <c r="E166" s="11" t="str">
        <f>RAW_Продажи!D165</f>
        <v>€95</v>
      </c>
      <c r="F166" s="11" t="str">
        <f>RAW_Продажи!E165</f>
        <v>C0164</v>
      </c>
      <c r="G166" s="11" t="str">
        <f>RAW_Продажи!F165</f>
        <v>P041</v>
      </c>
      <c r="H166" s="11" t="str">
        <f>RAW_Продажи!G165</f>
        <v>canceled</v>
      </c>
      <c r="I166" s="12" t="str">
        <f t="shared" si="172"/>
        <v>244</v>
      </c>
      <c r="J166" s="12" t="str">
        <f t="shared" si="173"/>
        <v>€</v>
      </c>
      <c r="K166" s="12">
        <f t="shared" si="174"/>
        <v>95</v>
      </c>
      <c r="L166" s="19">
        <f t="shared" si="175"/>
        <v>45753</v>
      </c>
      <c r="M166" s="13" t="str">
        <f t="shared" si="176"/>
        <v>АРТ-244</v>
      </c>
      <c r="N166" s="13">
        <f t="shared" si="177"/>
        <v>2</v>
      </c>
      <c r="O166" s="13" t="str">
        <f>IFERROR(VLOOKUP(J166,Справочники!$G$6:$H$8,2,0),"RUB")</f>
        <v>EUR</v>
      </c>
      <c r="P166" s="14">
        <f>ROUND(K166*IFERROR(VLOOKUP(J166,Справочники!$G$6:$I$8,3,0),1),2)</f>
        <v>9500</v>
      </c>
      <c r="Q166" s="13" t="str">
        <f>IFERROR(VLOOKUP(H166,Справочники!$D$6:$E$14,2,0),"НЕИЗВЕСТНО")</f>
        <v>Отменен</v>
      </c>
      <c r="R166" s="20">
        <f>IFERROR(INDEX(Товары_очищенные!$Q$3:$Q$503,MATCH(M166,Товары_очищенные!$L$3:$L$503,0)),"нет в каталоге")</f>
        <v>77990</v>
      </c>
      <c r="S166" s="21" t="str">
        <f>IFERROR(INDEX(Товары_очищенные!$N$3:$N$503,MATCH(M166,Товары_очищенные!$L$3:$L$503,0)),"нет в каталоге")</f>
        <v>Мониторы</v>
      </c>
      <c r="T166" s="21" t="str">
        <f t="shared" si="178"/>
        <v>OK</v>
      </c>
      <c r="U166" s="12" t="str">
        <f t="shared" si="179"/>
        <v>06/04/2025|АРТ-244|C0164</v>
      </c>
      <c r="V166" s="12" t="str">
        <f t="shared" si="180"/>
        <v>оригинал</v>
      </c>
    </row>
    <row r="167" ht="15" customHeight="1">
      <c r="A167" s="10">
        <v>165</v>
      </c>
      <c r="B167" s="11" t="str">
        <f>RAW_Продажи!A166</f>
        <v>04/07/2025</v>
      </c>
      <c r="C167" s="11" t="str">
        <f>RAW_Продажи!B166</f>
        <v>193/24</v>
      </c>
      <c r="D167" s="11" t="str">
        <f>RAW_Продажи!C166</f>
        <v xml:space="preserve">3 шт.</v>
      </c>
      <c r="E167" s="11" t="str">
        <f>RAW_Продажи!D166</f>
        <v xml:space="preserve">8500 ₽</v>
      </c>
      <c r="F167" s="11" t="str">
        <f>RAW_Продажи!E166</f>
        <v>C0165</v>
      </c>
      <c r="G167" s="11" t="str">
        <f>RAW_Продажи!F166</f>
        <v>P017</v>
      </c>
      <c r="H167" s="11" t="str">
        <f>RAW_Продажи!G166</f>
        <v>отменен</v>
      </c>
      <c r="I167" s="12" t="str">
        <f t="shared" si="172"/>
        <v>193/24</v>
      </c>
      <c r="J167" s="12" t="str">
        <f t="shared" si="173"/>
        <v>₽</v>
      </c>
      <c r="K167" s="12">
        <f t="shared" si="174"/>
        <v>8500</v>
      </c>
      <c r="L167" s="19">
        <f t="shared" si="175"/>
        <v>45754</v>
      </c>
      <c r="M167" s="13" t="str">
        <f t="shared" si="176"/>
        <v>АРТ-193</v>
      </c>
      <c r="N167" s="13">
        <f t="shared" si="177"/>
        <v>3</v>
      </c>
      <c r="O167" s="13" t="str">
        <f>IFERROR(VLOOKUP(J167,Справочники!$G$6:$H$8,2,0),"RUB")</f>
        <v>RUB</v>
      </c>
      <c r="P167" s="14">
        <f>ROUND(K167*IFERROR(VLOOKUP(J167,Справочники!$G$6:$I$8,3,0),1),2)</f>
        <v>8500</v>
      </c>
      <c r="Q167" s="13" t="str">
        <f>IFERROR(VLOOKUP(H167,Справочники!$D$6:$E$14,2,0),"НЕИЗВЕСТНО")</f>
        <v>Отменен</v>
      </c>
      <c r="R167" s="20">
        <f>IFERROR(INDEX(Товары_очищенные!$Q$3:$Q$503,MATCH(M167,Товары_очищенные!$L$3:$L$503,0)),"нет в каталоге")</f>
        <v>129990</v>
      </c>
      <c r="S167" s="21" t="str">
        <f>IFERROR(INDEX(Товары_очищенные!$N$3:$N$503,MATCH(M167,Товары_очищенные!$L$3:$L$503,0)),"нет в каталоге")</f>
        <v>Ноутбуки</v>
      </c>
      <c r="T167" s="21" t="str">
        <f t="shared" si="178"/>
        <v>OK</v>
      </c>
      <c r="U167" s="12" t="str">
        <f t="shared" si="179"/>
        <v>07/04/2025|АРТ-193|C0165</v>
      </c>
      <c r="V167" s="12" t="str">
        <f t="shared" si="180"/>
        <v>оригинал</v>
      </c>
    </row>
    <row r="168" ht="15" customHeight="1">
      <c r="A168" s="10">
        <v>166</v>
      </c>
      <c r="B168" s="11" t="str">
        <f>RAW_Продажи!A167</f>
        <v>04/07/2025</v>
      </c>
      <c r="C168" s="11" t="str">
        <f>RAW_Продажи!B167</f>
        <v>№АРТ-082</v>
      </c>
      <c r="D168" s="11" t="str">
        <f>RAW_Продажи!C167</f>
        <v>-2</v>
      </c>
      <c r="E168" s="11" t="str">
        <f>RAW_Продажи!D167</f>
        <v>$100</v>
      </c>
      <c r="F168" s="11" t="str">
        <f>RAW_Продажи!E167</f>
        <v>C0166</v>
      </c>
      <c r="G168" s="11" t="str">
        <f>RAW_Продажи!F167</f>
        <v>P032</v>
      </c>
      <c r="H168" s="11" t="str">
        <f>RAW_Продажи!G167</f>
        <v>возврат</v>
      </c>
      <c r="I168" s="12" t="str">
        <f t="shared" si="172"/>
        <v>082</v>
      </c>
      <c r="J168" s="12" t="str">
        <f t="shared" si="173"/>
        <v>$</v>
      </c>
      <c r="K168" s="12">
        <f t="shared" si="174"/>
        <v>100</v>
      </c>
      <c r="L168" s="19">
        <f t="shared" si="175"/>
        <v>45754</v>
      </c>
      <c r="M168" s="13" t="str">
        <f t="shared" si="176"/>
        <v>АРТ-082</v>
      </c>
      <c r="N168" s="13">
        <f t="shared" si="177"/>
        <v>-2</v>
      </c>
      <c r="O168" s="13" t="str">
        <f>IFERROR(VLOOKUP(J168,Справочники!$G$6:$H$8,2,0),"RUB")</f>
        <v>USD</v>
      </c>
      <c r="P168" s="14">
        <f>ROUND(K168*IFERROR(VLOOKUP(J168,Справочники!$G$6:$I$8,3,0),1),2)</f>
        <v>9500</v>
      </c>
      <c r="Q168" s="13" t="str">
        <f>IFERROR(VLOOKUP(H168,Справочники!$D$6:$E$14,2,0),"НЕИЗВЕСТНО")</f>
        <v>Возврат</v>
      </c>
      <c r="R168" s="20">
        <f>IFERROR(INDEX(Товары_очищенные!$Q$3:$Q$503,MATCH(M168,Товары_очищенные!$L$3:$L$503,0)),"нет в каталоге")</f>
        <v>39990</v>
      </c>
      <c r="S168" s="21" t="str">
        <f>IFERROR(INDEX(Товары_очищенные!$N$3:$N$503,MATCH(M168,Товары_очищенные!$L$3:$L$503,0)),"нет в каталоге")</f>
        <v>Часы</v>
      </c>
      <c r="T168" s="21" t="str">
        <f t="shared" si="178"/>
        <v>OK</v>
      </c>
      <c r="U168" s="12" t="str">
        <f t="shared" si="179"/>
        <v>07/04/2025|АРТ-082|C0166</v>
      </c>
      <c r="V168" s="12" t="str">
        <f t="shared" si="180"/>
        <v>оригинал</v>
      </c>
    </row>
    <row r="169" ht="15" customHeight="1">
      <c r="A169" s="10">
        <v>167</v>
      </c>
      <c r="B169" s="11" t="str">
        <f>RAW_Продажи!A168</f>
        <v>04/08/2025</v>
      </c>
      <c r="C169" s="11" t="str">
        <f>RAW_Продажи!B168</f>
        <v>АРТ_500</v>
      </c>
      <c r="D169" s="11" t="str">
        <f>RAW_Продажи!C168</f>
        <v>1</v>
      </c>
      <c r="E169" s="11" t="str">
        <f>RAW_Продажи!D168</f>
        <v>€80</v>
      </c>
      <c r="F169" s="11" t="str">
        <f>RAW_Продажи!E168</f>
        <v>C0167</v>
      </c>
      <c r="G169" s="11" t="str">
        <f>RAW_Продажи!F168</f>
        <v>P049</v>
      </c>
      <c r="H169" s="11" t="str">
        <f>RAW_Продажи!G168</f>
        <v>Завершен</v>
      </c>
      <c r="I169" s="12" t="str">
        <f t="shared" si="172"/>
        <v>500</v>
      </c>
      <c r="J169" s="12" t="str">
        <f t="shared" si="173"/>
        <v>€</v>
      </c>
      <c r="K169" s="12">
        <f t="shared" si="174"/>
        <v>80</v>
      </c>
      <c r="L169" s="19">
        <f t="shared" si="175"/>
        <v>45755</v>
      </c>
      <c r="M169" s="13" t="str">
        <f t="shared" si="176"/>
        <v>АРТ-500</v>
      </c>
      <c r="N169" s="13">
        <f t="shared" si="177"/>
        <v>1</v>
      </c>
      <c r="O169" s="13" t="str">
        <f>IFERROR(VLOOKUP(J169,Справочники!$G$6:$H$8,2,0),"RUB")</f>
        <v>EUR</v>
      </c>
      <c r="P169" s="14">
        <f>ROUND(K169*IFERROR(VLOOKUP(J169,Справочники!$G$6:$I$8,3,0),1),2)</f>
        <v>8000</v>
      </c>
      <c r="Q169" s="13" t="str">
        <f>IFERROR(VLOOKUP(H169,Справочники!$D$6:$E$14,2,0),"НЕИЗВЕСТНО")</f>
        <v>Завершен</v>
      </c>
      <c r="R169" s="20">
        <f>IFERROR(INDEX(Товары_очищенные!$Q$3:$Q$503,MATCH(M169,Товары_очищенные!$L$3:$L$503,0)),"нет в каталоге")</f>
        <v>5500</v>
      </c>
      <c r="S169" s="21" t="str">
        <f>IFERROR(INDEX(Товары_очищенные!$N$3:$N$503,MATCH(M169,Товары_очищенные!$L$3:$L$503,0)),"нет в каталоге")</f>
        <v>Аксессуары</v>
      </c>
      <c r="T169" s="21" t="str">
        <f t="shared" si="178"/>
        <v>OK</v>
      </c>
      <c r="U169" s="12" t="str">
        <f t="shared" si="179"/>
        <v>08/04/2025|АРТ-500|C0167</v>
      </c>
      <c r="V169" s="12" t="str">
        <f t="shared" si="180"/>
        <v>оригинал</v>
      </c>
    </row>
    <row r="170" ht="15" customHeight="1">
      <c r="A170" s="10">
        <v>168</v>
      </c>
      <c r="B170" s="11" t="str">
        <f>RAW_Продажи!A169</f>
        <v>04/08/2025</v>
      </c>
      <c r="C170" s="11" t="str">
        <f>RAW_Продажи!B169</f>
        <v>321-24</v>
      </c>
      <c r="D170" s="11" t="str">
        <f>RAW_Продажи!C169</f>
        <v>2</v>
      </c>
      <c r="E170" s="11" t="str">
        <f>RAW_Продажи!D169</f>
        <v xml:space="preserve">7500 ₽</v>
      </c>
      <c r="F170" s="11" t="str">
        <f>RAW_Продажи!E169</f>
        <v>C0168</v>
      </c>
      <c r="G170" s="11" t="str">
        <f>RAW_Продажи!F169</f>
        <v>P006</v>
      </c>
      <c r="H170" s="11" t="str">
        <f>RAW_Продажи!G169</f>
        <v>завершен</v>
      </c>
      <c r="I170" s="12" t="str">
        <f t="shared" si="172"/>
        <v>321-24</v>
      </c>
      <c r="J170" s="12" t="str">
        <f t="shared" si="173"/>
        <v>₽</v>
      </c>
      <c r="K170" s="12">
        <f t="shared" si="174"/>
        <v>7500</v>
      </c>
      <c r="L170" s="19">
        <f t="shared" si="175"/>
        <v>45755</v>
      </c>
      <c r="M170" s="13" t="str">
        <f t="shared" si="176"/>
        <v>АРТ-321</v>
      </c>
      <c r="N170" s="13">
        <f t="shared" si="177"/>
        <v>2</v>
      </c>
      <c r="O170" s="13" t="str">
        <f>IFERROR(VLOOKUP(J170,Справочники!$G$6:$H$8,2,0),"RUB")</f>
        <v>RUB</v>
      </c>
      <c r="P170" s="14">
        <f>ROUND(K170*IFERROR(VLOOKUP(J170,Справочники!$G$6:$I$8,3,0),1),2)</f>
        <v>7500</v>
      </c>
      <c r="Q170" s="13" t="str">
        <f>IFERROR(VLOOKUP(H170,Справочники!$D$6:$E$14,2,0),"НЕИЗВЕСТНО")</f>
        <v>Завершен</v>
      </c>
      <c r="R170" s="20">
        <f>IFERROR(INDEX(Товары_очищенные!$Q$3:$Q$503,MATCH(M170,Товары_очищенные!$L$3:$L$503,0)),"нет в каталоге")</f>
        <v>188000</v>
      </c>
      <c r="S170" s="21" t="str">
        <f>IFERROR(INDEX(Товары_очищенные!$N$3:$N$503,MATCH(M170,Товары_очищенные!$L$3:$L$503,0)),"нет в каталоге")</f>
        <v>Телевизоры</v>
      </c>
      <c r="T170" s="21" t="str">
        <f t="shared" si="178"/>
        <v>OK</v>
      </c>
      <c r="U170" s="12" t="str">
        <f t="shared" si="179"/>
        <v>08/04/2025|АРТ-321|C0168</v>
      </c>
      <c r="V170" s="12" t="str">
        <f t="shared" si="180"/>
        <v>оригинал</v>
      </c>
    </row>
    <row r="171" ht="15" customHeight="1">
      <c r="A171" s="10">
        <v>169</v>
      </c>
      <c r="B171" s="11" t="str">
        <f>RAW_Продажи!A170</f>
        <v>04/09/2025</v>
      </c>
      <c r="C171" s="11" t="str">
        <f>RAW_Продажи!B170</f>
        <v>№АРТ-263</v>
      </c>
      <c r="D171" s="11" t="str">
        <f>RAW_Продажи!C170</f>
        <v>3</v>
      </c>
      <c r="E171" s="11" t="str">
        <f>RAW_Продажи!D170</f>
        <v>$105</v>
      </c>
      <c r="F171" s="11" t="str">
        <f>RAW_Продажи!E170</f>
        <v>C0169</v>
      </c>
      <c r="G171" s="11" t="str">
        <f>RAW_Продажи!F170</f>
        <v>P024</v>
      </c>
      <c r="H171" s="11" t="str">
        <f>RAW_Продажи!G170</f>
        <v>completed</v>
      </c>
      <c r="I171" s="12" t="str">
        <f t="shared" si="172"/>
        <v>263</v>
      </c>
      <c r="J171" s="12" t="str">
        <f t="shared" si="173"/>
        <v>$</v>
      </c>
      <c r="K171" s="12">
        <f t="shared" si="174"/>
        <v>105</v>
      </c>
      <c r="L171" s="19">
        <f t="shared" si="175"/>
        <v>45756</v>
      </c>
      <c r="M171" s="13" t="str">
        <f t="shared" si="176"/>
        <v>АРТ-263</v>
      </c>
      <c r="N171" s="13">
        <f t="shared" si="177"/>
        <v>3</v>
      </c>
      <c r="O171" s="13" t="str">
        <f>IFERROR(VLOOKUP(J171,Справочники!$G$6:$H$8,2,0),"RUB")</f>
        <v>USD</v>
      </c>
      <c r="P171" s="14">
        <f>ROUND(K171*IFERROR(VLOOKUP(J171,Справочники!$G$6:$I$8,3,0),1),2)</f>
        <v>9975</v>
      </c>
      <c r="Q171" s="13" t="str">
        <f>IFERROR(VLOOKUP(H171,Справочники!$D$6:$E$14,2,0),"НЕИЗВЕСТНО")</f>
        <v>Завершен</v>
      </c>
      <c r="R171" s="20">
        <f>IFERROR(INDEX(Товары_очищенные!$Q$3:$Q$503,MATCH(M171,Товары_очищенные!$L$3:$L$503,0)),"нет в каталоге")</f>
        <v>11000</v>
      </c>
      <c r="S171" s="21" t="str">
        <f>IFERROR(INDEX(Товары_очищенные!$N$3:$N$503,MATCH(M171,Товары_очищенные!$L$3:$L$503,0)),"нет в каталоге")</f>
        <v>Наушники</v>
      </c>
      <c r="T171" s="21" t="str">
        <f t="shared" si="178"/>
        <v>OK</v>
      </c>
      <c r="U171" s="12" t="str">
        <f t="shared" si="179"/>
        <v>09/04/2025|АРТ-263|C0169</v>
      </c>
      <c r="V171" s="12" t="str">
        <f t="shared" si="180"/>
        <v>оригинал</v>
      </c>
    </row>
    <row r="172" ht="15" customHeight="1">
      <c r="A172" s="10">
        <v>170</v>
      </c>
      <c r="B172" s="11" t="str">
        <f>RAW_Продажи!A171</f>
        <v>04/09/2025</v>
      </c>
      <c r="C172" s="11" t="str">
        <f>RAW_Продажи!B171</f>
        <v>АРТ_184</v>
      </c>
      <c r="D172" s="11" t="str">
        <f>RAW_Продажи!C171</f>
        <v>2</v>
      </c>
      <c r="E172" s="11" t="str">
        <f>RAW_Продажи!D171</f>
        <v>€85</v>
      </c>
      <c r="F172" s="11" t="str">
        <f>RAW_Продажи!E171</f>
        <v>C0170</v>
      </c>
      <c r="G172" s="11" t="str">
        <f>RAW_Продажи!F171</f>
        <v>P015</v>
      </c>
      <c r="H172" s="11" t="str">
        <f>RAW_Продажи!G171</f>
        <v>отменен</v>
      </c>
      <c r="I172" s="12" t="str">
        <f t="shared" si="172"/>
        <v>184</v>
      </c>
      <c r="J172" s="12" t="str">
        <f t="shared" si="173"/>
        <v>€</v>
      </c>
      <c r="K172" s="12">
        <f t="shared" si="174"/>
        <v>85</v>
      </c>
      <c r="L172" s="19">
        <f t="shared" si="175"/>
        <v>45756</v>
      </c>
      <c r="M172" s="13" t="str">
        <f t="shared" si="176"/>
        <v>АРТ-184</v>
      </c>
      <c r="N172" s="13">
        <f t="shared" si="177"/>
        <v>2</v>
      </c>
      <c r="O172" s="13" t="str">
        <f>IFERROR(VLOOKUP(J172,Справочники!$G$6:$H$8,2,0),"RUB")</f>
        <v>EUR</v>
      </c>
      <c r="P172" s="14">
        <f>ROUND(K172*IFERROR(VLOOKUP(J172,Справочники!$G$6:$I$8,3,0),1),2)</f>
        <v>8500</v>
      </c>
      <c r="Q172" s="13" t="str">
        <f>IFERROR(VLOOKUP(H172,Справочники!$D$6:$E$14,2,0),"НЕИЗВЕСТНО")</f>
        <v>Отменен</v>
      </c>
      <c r="R172" s="20">
        <f>IFERROR(INDEX(Товары_очищенные!$Q$3:$Q$503,MATCH(M172,Товары_очищенные!$L$3:$L$503,0)),"нет в каталоге")</f>
        <v>19990</v>
      </c>
      <c r="S172" s="21" t="str">
        <f>IFERROR(INDEX(Товары_очищенные!$N$3:$N$503,MATCH(M172,Товары_очищенные!$L$3:$L$503,0)),"нет в каталоге")</f>
        <v>Аксессуары</v>
      </c>
      <c r="T172" s="21" t="str">
        <f t="shared" si="178"/>
        <v>OK</v>
      </c>
      <c r="U172" s="12" t="str">
        <f t="shared" si="179"/>
        <v>09/04/2025|АРТ-184|C0170</v>
      </c>
      <c r="V172" s="12" t="str">
        <f t="shared" si="180"/>
        <v>оригинал</v>
      </c>
    </row>
    <row r="173" ht="15" customHeight="1">
      <c r="A173" s="10">
        <v>171</v>
      </c>
      <c r="B173" s="11" t="str">
        <f>RAW_Продажи!A172</f>
        <v>04/10/2025</v>
      </c>
      <c r="C173" s="11" t="str">
        <f>RAW_Продажи!B172</f>
        <v>014/24</v>
      </c>
      <c r="D173" s="11" t="str">
        <f>RAW_Продажи!C172</f>
        <v xml:space="preserve">1 шт.</v>
      </c>
      <c r="E173" s="11" t="str">
        <f>RAW_Продажи!D172</f>
        <v xml:space="preserve">7800 ₽</v>
      </c>
      <c r="F173" s="11" t="str">
        <f>RAW_Продажи!E172</f>
        <v>C0171</v>
      </c>
      <c r="G173" s="11" t="str">
        <f>RAW_Продажи!F172</f>
        <v>P037</v>
      </c>
      <c r="H173" s="11" t="str">
        <f>RAW_Продажи!G172</f>
        <v>canceled</v>
      </c>
      <c r="I173" s="12" t="str">
        <f t="shared" si="172"/>
        <v>014/24</v>
      </c>
      <c r="J173" s="12" t="str">
        <f t="shared" si="173"/>
        <v>₽</v>
      </c>
      <c r="K173" s="12">
        <f t="shared" si="174"/>
        <v>7800</v>
      </c>
      <c r="L173" s="19">
        <f t="shared" si="175"/>
        <v>45757</v>
      </c>
      <c r="M173" s="13" t="str">
        <f t="shared" si="176"/>
        <v>АРТ-014</v>
      </c>
      <c r="N173" s="13">
        <f t="shared" si="177"/>
        <v>1</v>
      </c>
      <c r="O173" s="13" t="str">
        <f>IFERROR(VLOOKUP(J173,Справочники!$G$6:$H$8,2,0),"RUB")</f>
        <v>RUB</v>
      </c>
      <c r="P173" s="14">
        <f>ROUND(K173*IFERROR(VLOOKUP(J173,Справочники!$G$6:$I$8,3,0),1),2)</f>
        <v>7800</v>
      </c>
      <c r="Q173" s="13" t="str">
        <f>IFERROR(VLOOKUP(H173,Справочники!$D$6:$E$14,2,0),"НЕИЗВЕСТНО")</f>
        <v>Отменен</v>
      </c>
      <c r="R173" s="20">
        <f>IFERROR(INDEX(Товары_очищенные!$Q$3:$Q$503,MATCH(M173,Товары_очищенные!$L$3:$L$503,0)),"нет в каталоге")</f>
        <v>147500</v>
      </c>
      <c r="S173" s="21" t="str">
        <f>IFERROR(INDEX(Товары_очищенные!$N$3:$N$503,MATCH(M173,Товары_очищенные!$L$3:$L$503,0)),"нет в каталоге")</f>
        <v>Телевизоры</v>
      </c>
      <c r="T173" s="21" t="str">
        <f t="shared" si="178"/>
        <v>OK</v>
      </c>
      <c r="U173" s="12" t="str">
        <f t="shared" si="179"/>
        <v>10/04/2025|АРТ-014|C0171</v>
      </c>
      <c r="V173" s="12" t="str">
        <f t="shared" si="180"/>
        <v>оригинал</v>
      </c>
    </row>
    <row r="174" ht="15" customHeight="1">
      <c r="A174" s="10">
        <v>172</v>
      </c>
      <c r="B174" s="11" t="str">
        <f>RAW_Продажи!A173</f>
        <v>04/10/2025</v>
      </c>
      <c r="C174" s="11" t="str">
        <f>RAW_Продажи!B173</f>
        <v>№АРТ-396</v>
      </c>
      <c r="D174" s="11" t="str">
        <f>RAW_Продажи!C173</f>
        <v>-3</v>
      </c>
      <c r="E174" s="11" t="str">
        <f>RAW_Продажи!D173</f>
        <v>$120</v>
      </c>
      <c r="F174" s="11" t="str">
        <f>RAW_Продажи!E173</f>
        <v>C0172</v>
      </c>
      <c r="G174" s="11" t="str">
        <f>RAW_Продажи!F173</f>
        <v>P048</v>
      </c>
      <c r="H174" s="11" t="str">
        <f>RAW_Продажи!G173</f>
        <v>Завершен</v>
      </c>
      <c r="I174" s="12" t="str">
        <f t="shared" si="172"/>
        <v>396</v>
      </c>
      <c r="J174" s="12" t="str">
        <f t="shared" si="173"/>
        <v>$</v>
      </c>
      <c r="K174" s="12">
        <f t="shared" si="174"/>
        <v>120</v>
      </c>
      <c r="L174" s="19">
        <f t="shared" si="175"/>
        <v>45757</v>
      </c>
      <c r="M174" s="13" t="str">
        <f t="shared" si="176"/>
        <v>АРТ-396</v>
      </c>
      <c r="N174" s="13">
        <f t="shared" si="177"/>
        <v>-3</v>
      </c>
      <c r="O174" s="13" t="str">
        <f>IFERROR(VLOOKUP(J174,Справочники!$G$6:$H$8,2,0),"RUB")</f>
        <v>USD</v>
      </c>
      <c r="P174" s="14">
        <f>ROUND(K174*IFERROR(VLOOKUP(J174,Справочники!$G$6:$I$8,3,0),1),2)</f>
        <v>11400</v>
      </c>
      <c r="Q174" s="13" t="str">
        <f>IFERROR(VLOOKUP(H174,Справочники!$D$6:$E$14,2,0),"НЕИЗВЕСТНО")</f>
        <v>Завершен</v>
      </c>
      <c r="R174" s="20">
        <f>IFERROR(INDEX(Товары_очищенные!$Q$3:$Q$503,MATCH(M174,Товары_очищенные!$L$3:$L$503,0)),"нет в каталоге")</f>
        <v>67000</v>
      </c>
      <c r="S174" s="21" t="str">
        <f>IFERROR(INDEX(Товары_очищенные!$N$3:$N$503,MATCH(M174,Товары_очищенные!$L$3:$L$503,0)),"нет в каталоге")</f>
        <v>Мониторы</v>
      </c>
      <c r="T174" s="21" t="str">
        <f t="shared" si="178"/>
        <v>OK</v>
      </c>
      <c r="U174" s="12" t="str">
        <f t="shared" si="179"/>
        <v>10/04/2025|АРТ-396|C0172</v>
      </c>
      <c r="V174" s="12" t="str">
        <f t="shared" si="180"/>
        <v>оригинал</v>
      </c>
    </row>
    <row r="175" ht="15" customHeight="1">
      <c r="A175" s="10">
        <v>173</v>
      </c>
      <c r="B175" s="11" t="str">
        <f>RAW_Продажи!A174</f>
        <v>04/11/2025</v>
      </c>
      <c r="C175" s="11" t="str">
        <f>RAW_Продажи!B174</f>
        <v>АРТ_078</v>
      </c>
      <c r="D175" s="11" t="str">
        <f>RAW_Продажи!C174</f>
        <v>2</v>
      </c>
      <c r="E175" s="11" t="str">
        <f>RAW_Продажи!D174</f>
        <v>€100</v>
      </c>
      <c r="F175" s="11" t="str">
        <f>RAW_Продажи!E174</f>
        <v>C0173</v>
      </c>
      <c r="G175" s="11" t="str">
        <f>RAW_Продажи!F174</f>
        <v>P004</v>
      </c>
      <c r="H175" s="11" t="str">
        <f>RAW_Продажи!G174</f>
        <v>возврат</v>
      </c>
      <c r="I175" s="12" t="str">
        <f t="shared" si="172"/>
        <v>078</v>
      </c>
      <c r="J175" s="12" t="str">
        <f t="shared" si="173"/>
        <v>€</v>
      </c>
      <c r="K175" s="12">
        <f t="shared" si="174"/>
        <v>100</v>
      </c>
      <c r="L175" s="19">
        <f t="shared" si="175"/>
        <v>45758</v>
      </c>
      <c r="M175" s="13" t="str">
        <f t="shared" si="176"/>
        <v>АРТ-078</v>
      </c>
      <c r="N175" s="13">
        <f t="shared" si="177"/>
        <v>2</v>
      </c>
      <c r="O175" s="13" t="str">
        <f>IFERROR(VLOOKUP(J175,Справочники!$G$6:$H$8,2,0),"RUB")</f>
        <v>EUR</v>
      </c>
      <c r="P175" s="14">
        <f>ROUND(K175*IFERROR(VLOOKUP(J175,Справочники!$G$6:$I$8,3,0),1),2)</f>
        <v>10000</v>
      </c>
      <c r="Q175" s="13" t="str">
        <f>IFERROR(VLOOKUP(H175,Справочники!$D$6:$E$14,2,0),"НЕИЗВЕСТНО")</f>
        <v>Возврат</v>
      </c>
      <c r="R175" s="20">
        <f>IFERROR(INDEX(Товары_очищенные!$Q$3:$Q$503,MATCH(M175,Товары_очищенные!$L$3:$L$503,0)),"нет в каталоге")</f>
        <v>13500</v>
      </c>
      <c r="S175" s="21" t="str">
        <f>IFERROR(INDEX(Товары_очищенные!$N$3:$N$503,MATCH(M175,Товары_очищенные!$L$3:$L$503,0)),"нет в каталоге")</f>
        <v>Аксессуары</v>
      </c>
      <c r="T175" s="21" t="str">
        <f t="shared" si="178"/>
        <v>OK</v>
      </c>
      <c r="U175" s="12" t="str">
        <f t="shared" si="179"/>
        <v>11/04/2025|АРТ-078|C0173</v>
      </c>
      <c r="V175" s="12" t="str">
        <f t="shared" si="180"/>
        <v>оригинал</v>
      </c>
    </row>
    <row r="176" ht="15" customHeight="1">
      <c r="A176" s="10">
        <v>174</v>
      </c>
      <c r="B176" s="11" t="str">
        <f>RAW_Продажи!A175</f>
        <v>04/11/2025</v>
      </c>
      <c r="C176" s="11" t="str">
        <f>RAW_Продажи!B175</f>
        <v>234-24</v>
      </c>
      <c r="D176" s="11" t="str">
        <f>RAW_Продажи!C175</f>
        <v>1</v>
      </c>
      <c r="E176" s="11" t="str">
        <f>RAW_Продажи!D175</f>
        <v xml:space="preserve">9200 ₽</v>
      </c>
      <c r="F176" s="11" t="str">
        <f>RAW_Продажи!E175</f>
        <v>C0174</v>
      </c>
      <c r="G176" s="11" t="str">
        <f>RAW_Продажи!F175</f>
        <v>P026</v>
      </c>
      <c r="H176" s="11" t="str">
        <f>RAW_Продажи!G175</f>
        <v>завершен</v>
      </c>
      <c r="I176" s="12" t="str">
        <f t="shared" si="172"/>
        <v>234-24</v>
      </c>
      <c r="J176" s="12" t="str">
        <f t="shared" si="173"/>
        <v>₽</v>
      </c>
      <c r="K176" s="12">
        <f t="shared" si="174"/>
        <v>9200</v>
      </c>
      <c r="L176" s="19">
        <f t="shared" si="175"/>
        <v>45758</v>
      </c>
      <c r="M176" s="13" t="str">
        <f t="shared" si="176"/>
        <v>АРТ-234</v>
      </c>
      <c r="N176" s="13">
        <f t="shared" si="177"/>
        <v>1</v>
      </c>
      <c r="O176" s="13" t="str">
        <f>IFERROR(VLOOKUP(J176,Справочники!$G$6:$H$8,2,0),"RUB")</f>
        <v>RUB</v>
      </c>
      <c r="P176" s="14">
        <f>ROUND(K176*IFERROR(VLOOKUP(J176,Справочники!$G$6:$I$8,3,0),1),2)</f>
        <v>9200</v>
      </c>
      <c r="Q176" s="13" t="str">
        <f>IFERROR(VLOOKUP(H176,Справочники!$D$6:$E$14,2,0),"НЕИЗВЕСТНО")</f>
        <v>Завершен</v>
      </c>
      <c r="R176" s="20">
        <f>IFERROR(INDEX(Товары_очищенные!$Q$3:$Q$503,MATCH(M176,Товары_очищенные!$L$3:$L$503,0)),"нет в каталоге")</f>
        <v>44500</v>
      </c>
      <c r="S176" s="21" t="str">
        <f>IFERROR(INDEX(Товары_очищенные!$N$3:$N$503,MATCH(M176,Товары_очищенные!$L$3:$L$503,0)),"нет в каталоге")</f>
        <v>Смартфоны</v>
      </c>
      <c r="T176" s="21" t="str">
        <f t="shared" si="178"/>
        <v>OK</v>
      </c>
      <c r="U176" s="12" t="str">
        <f t="shared" si="179"/>
        <v>11/04/2025|АРТ-234|C0174</v>
      </c>
      <c r="V176" s="12" t="str">
        <f t="shared" si="180"/>
        <v>оригинал</v>
      </c>
    </row>
    <row r="177" ht="15" customHeight="1">
      <c r="A177" s="10">
        <v>175</v>
      </c>
      <c r="B177" s="11" t="str">
        <f>RAW_Продажи!A176</f>
        <v>04/12/2025</v>
      </c>
      <c r="C177" s="11" t="str">
        <f>RAW_Продажи!B176</f>
        <v>№АРТ-145</v>
      </c>
      <c r="D177" s="11" t="str">
        <f>RAW_Продажи!C176</f>
        <v>3</v>
      </c>
      <c r="E177" s="11" t="str">
        <f>RAW_Продажи!D176</f>
        <v>$90</v>
      </c>
      <c r="F177" s="11" t="str">
        <f>RAW_Продажи!E176</f>
        <v>C0175</v>
      </c>
      <c r="G177" s="11" t="str">
        <f>RAW_Продажи!F176</f>
        <v>P013</v>
      </c>
      <c r="H177" s="11" t="str">
        <f>RAW_Продажи!G176</f>
        <v>completed</v>
      </c>
      <c r="I177" s="12" t="str">
        <f t="shared" si="172"/>
        <v>145</v>
      </c>
      <c r="J177" s="12" t="str">
        <f t="shared" si="173"/>
        <v>$</v>
      </c>
      <c r="K177" s="12">
        <f t="shared" si="174"/>
        <v>90</v>
      </c>
      <c r="L177" s="19">
        <f t="shared" si="175"/>
        <v>45759</v>
      </c>
      <c r="M177" s="13" t="str">
        <f t="shared" si="176"/>
        <v>АРТ-145</v>
      </c>
      <c r="N177" s="13">
        <f t="shared" si="177"/>
        <v>3</v>
      </c>
      <c r="O177" s="13" t="str">
        <f>IFERROR(VLOOKUP(J177,Справочники!$G$6:$H$8,2,0),"RUB")</f>
        <v>USD</v>
      </c>
      <c r="P177" s="14">
        <f>ROUND(K177*IFERROR(VLOOKUP(J177,Справочники!$G$6:$I$8,3,0),1),2)</f>
        <v>8550</v>
      </c>
      <c r="Q177" s="13" t="str">
        <f>IFERROR(VLOOKUP(H177,Справочники!$D$6:$E$14,2,0),"НЕИЗВЕСТНО")</f>
        <v>Завершен</v>
      </c>
      <c r="R177" s="20">
        <f>IFERROR(INDEX(Товары_очищенные!$Q$3:$Q$503,MATCH(M177,Товары_очищенные!$L$3:$L$503,0)),"нет в каталоге")</f>
        <v>45990</v>
      </c>
      <c r="S177" s="21" t="str">
        <f>IFERROR(INDEX(Товары_очищенные!$N$3:$N$503,MATCH(M177,Товары_очищенные!$L$3:$L$503,0)),"нет в каталоге")</f>
        <v>Смартфоны</v>
      </c>
      <c r="T177" s="21" t="str">
        <f t="shared" si="178"/>
        <v>OK</v>
      </c>
      <c r="U177" s="12" t="str">
        <f t="shared" si="179"/>
        <v>12/04/2025|АРТ-145|C0175</v>
      </c>
      <c r="V177" s="12" t="str">
        <f t="shared" si="180"/>
        <v>оригинал</v>
      </c>
    </row>
    <row r="178" ht="15" customHeight="1">
      <c r="A178" s="10">
        <v>176</v>
      </c>
      <c r="B178" s="11" t="str">
        <f>RAW_Продажи!A177</f>
        <v>04/12/2025</v>
      </c>
      <c r="C178" s="11" t="str">
        <f>RAW_Продажи!B177</f>
        <v>АРТ_317</v>
      </c>
      <c r="D178" s="11" t="str">
        <f>RAW_Продажи!C177</f>
        <v>2</v>
      </c>
      <c r="E178" s="11" t="str">
        <f>RAW_Продажи!D177</f>
        <v>€70</v>
      </c>
      <c r="F178" s="11" t="str">
        <f>RAW_Продажи!E177</f>
        <v>C0176</v>
      </c>
      <c r="G178" s="11" t="str">
        <f>RAW_Продажи!F177</f>
        <v>P034</v>
      </c>
      <c r="H178" s="11" t="str">
        <f>RAW_Продажи!G177</f>
        <v>Завершен</v>
      </c>
      <c r="I178" s="12" t="str">
        <f t="shared" si="172"/>
        <v>317</v>
      </c>
      <c r="J178" s="12" t="str">
        <f t="shared" si="173"/>
        <v>€</v>
      </c>
      <c r="K178" s="12">
        <f t="shared" si="174"/>
        <v>70</v>
      </c>
      <c r="L178" s="19">
        <f t="shared" si="175"/>
        <v>45759</v>
      </c>
      <c r="M178" s="13" t="str">
        <f t="shared" si="176"/>
        <v>АРТ-317</v>
      </c>
      <c r="N178" s="13">
        <f t="shared" si="177"/>
        <v>2</v>
      </c>
      <c r="O178" s="13" t="str">
        <f>IFERROR(VLOOKUP(J178,Справочники!$G$6:$H$8,2,0),"RUB")</f>
        <v>EUR</v>
      </c>
      <c r="P178" s="14">
        <f>ROUND(K178*IFERROR(VLOOKUP(J178,Справочники!$G$6:$I$8,3,0),1),2)</f>
        <v>7000</v>
      </c>
      <c r="Q178" s="13" t="str">
        <f>IFERROR(VLOOKUP(H178,Справочники!$D$6:$E$14,2,0),"НЕИЗВЕСТНО")</f>
        <v>Завершен</v>
      </c>
      <c r="R178" s="20">
        <f>IFERROR(INDEX(Товары_очищенные!$Q$3:$Q$503,MATCH(M178,Товары_очищенные!$L$3:$L$503,0)),"нет в каталоге")</f>
        <v>107000</v>
      </c>
      <c r="S178" s="21" t="str">
        <f>IFERROR(INDEX(Товары_очищенные!$N$3:$N$503,MATCH(M178,Товары_очищенные!$L$3:$L$503,0)),"нет в каталоге")</f>
        <v>Ноутбуки</v>
      </c>
      <c r="T178" s="21" t="str">
        <f t="shared" si="178"/>
        <v>OK</v>
      </c>
      <c r="U178" s="12" t="str">
        <f t="shared" si="179"/>
        <v>12/04/2025|АРТ-317|C0176</v>
      </c>
      <c r="V178" s="12" t="str">
        <f t="shared" si="180"/>
        <v>оригинал</v>
      </c>
    </row>
    <row r="179" ht="15" customHeight="1">
      <c r="A179" s="10">
        <v>177</v>
      </c>
      <c r="B179" s="11" t="str">
        <f>RAW_Продажи!A178</f>
        <v>04/13/2025</v>
      </c>
      <c r="C179" s="11" t="str">
        <f>RAW_Продажи!B178</f>
        <v>456/24</v>
      </c>
      <c r="D179" s="11" t="str">
        <f>RAW_Продажи!C178</f>
        <v xml:space="preserve">1 шт.</v>
      </c>
      <c r="E179" s="11" t="str">
        <f>RAW_Продажи!D178</f>
        <v xml:space="preserve">6500 ₽</v>
      </c>
      <c r="F179" s="11" t="str">
        <f>RAW_Продажи!E178</f>
        <v>C0177</v>
      </c>
      <c r="G179" s="11" t="str">
        <f>RAW_Продажи!F178</f>
        <v>P044</v>
      </c>
      <c r="H179" s="11" t="str">
        <f>RAW_Продажи!G178</f>
        <v>canceled</v>
      </c>
      <c r="I179" s="12" t="str">
        <f t="shared" si="172"/>
        <v>456/24</v>
      </c>
      <c r="J179" s="12" t="str">
        <f t="shared" si="173"/>
        <v>₽</v>
      </c>
      <c r="K179" s="12">
        <f t="shared" si="174"/>
        <v>6500</v>
      </c>
      <c r="L179" s="19">
        <f t="shared" si="175"/>
        <v>45760</v>
      </c>
      <c r="M179" s="13" t="str">
        <f t="shared" si="176"/>
        <v>АРТ-456</v>
      </c>
      <c r="N179" s="13">
        <f t="shared" si="177"/>
        <v>1</v>
      </c>
      <c r="O179" s="13" t="str">
        <f>IFERROR(VLOOKUP(J179,Справочники!$G$6:$H$8,2,0),"RUB")</f>
        <v>RUB</v>
      </c>
      <c r="P179" s="14">
        <f>ROUND(K179*IFERROR(VLOOKUP(J179,Справочники!$G$6:$I$8,3,0),1),2)</f>
        <v>6500</v>
      </c>
      <c r="Q179" s="13" t="str">
        <f>IFERROR(VLOOKUP(H179,Справочники!$D$6:$E$14,2,0),"НЕИЗВЕСТНО")</f>
        <v>Отменен</v>
      </c>
      <c r="R179" s="20">
        <f>IFERROR(INDEX(Товары_очищенные!$Q$3:$Q$503,MATCH(M179,Товары_очищенные!$L$3:$L$503,0)),"нет в каталоге")</f>
        <v>77500</v>
      </c>
      <c r="S179" s="21" t="str">
        <f>IFERROR(INDEX(Товары_очищенные!$N$3:$N$503,MATCH(M179,Товары_очищенные!$L$3:$L$503,0)),"нет в каталоге")</f>
        <v>Мониторы</v>
      </c>
      <c r="T179" s="21" t="str">
        <f t="shared" si="178"/>
        <v>OK</v>
      </c>
      <c r="U179" s="12" t="str">
        <f t="shared" si="179"/>
        <v>13/04/2025|АРТ-456|C0177</v>
      </c>
      <c r="V179" s="12" t="str">
        <f t="shared" si="180"/>
        <v>оригинал</v>
      </c>
    </row>
    <row r="180" ht="15" customHeight="1">
      <c r="A180" s="10">
        <v>178</v>
      </c>
      <c r="B180" s="11" t="str">
        <f>RAW_Продажи!A179</f>
        <v>04/13/2025</v>
      </c>
      <c r="C180" s="11" t="str">
        <f>RAW_Продажи!B179</f>
        <v>№АРТ-208</v>
      </c>
      <c r="D180" s="11" t="str">
        <f>RAW_Продажи!C179</f>
        <v>-1</v>
      </c>
      <c r="E180" s="11" t="str">
        <f>RAW_Продажи!D179</f>
        <v>$110</v>
      </c>
      <c r="F180" s="11" t="str">
        <f>RAW_Продажи!E179</f>
        <v>C0178</v>
      </c>
      <c r="G180" s="11" t="str">
        <f>RAW_Продажи!F179</f>
        <v>P001</v>
      </c>
      <c r="H180" s="11" t="str">
        <f>RAW_Продажи!G179</f>
        <v>отменен</v>
      </c>
      <c r="I180" s="12" t="str">
        <f t="shared" si="172"/>
        <v>208</v>
      </c>
      <c r="J180" s="12" t="str">
        <f t="shared" si="173"/>
        <v>$</v>
      </c>
      <c r="K180" s="12">
        <f t="shared" si="174"/>
        <v>110</v>
      </c>
      <c r="L180" s="19">
        <f t="shared" si="175"/>
        <v>45760</v>
      </c>
      <c r="M180" s="13" t="str">
        <f t="shared" si="176"/>
        <v>АРТ-208</v>
      </c>
      <c r="N180" s="13">
        <f t="shared" si="177"/>
        <v>-1</v>
      </c>
      <c r="O180" s="13" t="str">
        <f>IFERROR(VLOOKUP(J180,Справочники!$G$6:$H$8,2,0),"RUB")</f>
        <v>USD</v>
      </c>
      <c r="P180" s="14">
        <f>ROUND(K180*IFERROR(VLOOKUP(J180,Справочники!$G$6:$I$8,3,0),1),2)</f>
        <v>10450</v>
      </c>
      <c r="Q180" s="13" t="str">
        <f>IFERROR(VLOOKUP(H180,Справочники!$D$6:$E$14,2,0),"НЕИЗВЕСТНО")</f>
        <v>Отменен</v>
      </c>
      <c r="R180" s="20">
        <f>IFERROR(INDEX(Товары_очищенные!$Q$3:$Q$503,MATCH(M180,Товары_очищенные!$L$3:$L$503,0)),"нет в каталоге")</f>
        <v>10990</v>
      </c>
      <c r="S180" s="21" t="str">
        <f>IFERROR(INDEX(Товары_очищенные!$N$3:$N$503,MATCH(M180,Товары_очищенные!$L$3:$L$503,0)),"нет в каталоге")</f>
        <v>Аксессуары</v>
      </c>
      <c r="T180" s="21" t="str">
        <f t="shared" si="178"/>
        <v>OK</v>
      </c>
      <c r="U180" s="12" t="str">
        <f t="shared" si="179"/>
        <v>13/04/2025|АРТ-208|C0178</v>
      </c>
      <c r="V180" s="12" t="str">
        <f t="shared" si="180"/>
        <v>оригинал</v>
      </c>
    </row>
    <row r="181" ht="15" customHeight="1">
      <c r="A181" s="10">
        <v>179</v>
      </c>
      <c r="B181" s="11" t="str">
        <f>RAW_Продажи!A180</f>
        <v>04/14/2025</v>
      </c>
      <c r="C181" s="11" t="str">
        <f>RAW_Продажи!B180</f>
        <v>АРТ_374</v>
      </c>
      <c r="D181" s="11" t="str">
        <f>RAW_Продажи!C180</f>
        <v>3</v>
      </c>
      <c r="E181" s="11" t="str">
        <f>RAW_Продажи!D180</f>
        <v>€90</v>
      </c>
      <c r="F181" s="11" t="str">
        <f>RAW_Продажи!E180</f>
        <v>C0179</v>
      </c>
      <c r="G181" s="11" t="str">
        <f>RAW_Продажи!F180</f>
        <v>P021</v>
      </c>
      <c r="H181" s="11" t="str">
        <f>RAW_Продажи!G180</f>
        <v>возврат</v>
      </c>
      <c r="I181" s="12" t="str">
        <f t="shared" si="172"/>
        <v>374</v>
      </c>
      <c r="J181" s="12" t="str">
        <f t="shared" si="173"/>
        <v>€</v>
      </c>
      <c r="K181" s="12">
        <f t="shared" si="174"/>
        <v>90</v>
      </c>
      <c r="L181" s="19">
        <f t="shared" si="175"/>
        <v>45761</v>
      </c>
      <c r="M181" s="13" t="str">
        <f t="shared" si="176"/>
        <v>АРТ-374</v>
      </c>
      <c r="N181" s="13">
        <f t="shared" si="177"/>
        <v>3</v>
      </c>
      <c r="O181" s="13" t="str">
        <f>IFERROR(VLOOKUP(J181,Справочники!$G$6:$H$8,2,0),"RUB")</f>
        <v>EUR</v>
      </c>
      <c r="P181" s="14">
        <f>ROUND(K181*IFERROR(VLOOKUP(J181,Справочники!$G$6:$I$8,3,0),1),2)</f>
        <v>9000</v>
      </c>
      <c r="Q181" s="13" t="str">
        <f>IFERROR(VLOOKUP(H181,Справочники!$D$6:$E$14,2,0),"НЕИЗВЕСТНО")</f>
        <v>Возврат</v>
      </c>
      <c r="R181" s="20">
        <f>IFERROR(INDEX(Товары_очищенные!$Q$3:$Q$503,MATCH(M181,Товары_очищенные!$L$3:$L$503,0)),"нет в каталоге")</f>
        <v>13500</v>
      </c>
      <c r="S181" s="21" t="str">
        <f>IFERROR(INDEX(Товары_очищенные!$N$3:$N$503,MATCH(M181,Товары_очищенные!$L$3:$L$503,0)),"нет в каталоге")</f>
        <v>Аксессуары</v>
      </c>
      <c r="T181" s="21" t="str">
        <f t="shared" si="178"/>
        <v>OK</v>
      </c>
      <c r="U181" s="12" t="str">
        <f t="shared" si="179"/>
        <v>14/04/2025|АРТ-374|C0179</v>
      </c>
      <c r="V181" s="12" t="str">
        <f t="shared" si="180"/>
        <v>оригинал</v>
      </c>
    </row>
    <row r="182" ht="15" customHeight="1">
      <c r="A182" s="10">
        <v>180</v>
      </c>
      <c r="B182" s="11" t="str">
        <f>RAW_Продажи!A181</f>
        <v>04/14/2025</v>
      </c>
      <c r="C182" s="11" t="str">
        <f>RAW_Продажи!B181</f>
        <v>091-24</v>
      </c>
      <c r="D182" s="11" t="str">
        <f>RAW_Продажи!C181</f>
        <v>2</v>
      </c>
      <c r="E182" s="11" t="str">
        <f>RAW_Продажи!D181</f>
        <v xml:space="preserve">8000 ₽</v>
      </c>
      <c r="F182" s="11" t="str">
        <f>RAW_Продажи!E181</f>
        <v>C0180</v>
      </c>
      <c r="G182" s="11" t="str">
        <f>RAW_Продажи!F181</f>
        <v>P039</v>
      </c>
      <c r="H182" s="11" t="str">
        <f>RAW_Продажи!G181</f>
        <v>Завершен</v>
      </c>
      <c r="I182" s="12" t="str">
        <f t="shared" si="172"/>
        <v>091-24</v>
      </c>
      <c r="J182" s="12" t="str">
        <f t="shared" si="173"/>
        <v>₽</v>
      </c>
      <c r="K182" s="12">
        <f t="shared" si="174"/>
        <v>8000</v>
      </c>
      <c r="L182" s="19">
        <f t="shared" si="175"/>
        <v>45761</v>
      </c>
      <c r="M182" s="13" t="str">
        <f t="shared" si="176"/>
        <v>АРТ-091</v>
      </c>
      <c r="N182" s="13">
        <f t="shared" si="177"/>
        <v>2</v>
      </c>
      <c r="O182" s="13" t="str">
        <f>IFERROR(VLOOKUP(J182,Справочники!$G$6:$H$8,2,0),"RUB")</f>
        <v>RUB</v>
      </c>
      <c r="P182" s="14">
        <f>ROUND(K182*IFERROR(VLOOKUP(J182,Справочники!$G$6:$I$8,3,0),1),2)</f>
        <v>8000</v>
      </c>
      <c r="Q182" s="13" t="str">
        <f>IFERROR(VLOOKUP(H182,Справочники!$D$6:$E$14,2,0),"НЕИЗВЕСТНО")</f>
        <v>Завершен</v>
      </c>
      <c r="R182" s="20">
        <f>IFERROR(INDEX(Товары_очищенные!$Q$3:$Q$503,MATCH(M182,Товары_очищенные!$L$3:$L$503,0)),"нет в каталоге")</f>
        <v>9990</v>
      </c>
      <c r="S182" s="21" t="str">
        <f>IFERROR(INDEX(Товары_очищенные!$N$3:$N$503,MATCH(M182,Товары_очищенные!$L$3:$L$503,0)),"нет в каталоге")</f>
        <v>Наушники</v>
      </c>
      <c r="T182" s="21" t="str">
        <f t="shared" si="178"/>
        <v>OK</v>
      </c>
      <c r="U182" s="12" t="str">
        <f t="shared" si="179"/>
        <v>14/04/2025|АРТ-091|C0180</v>
      </c>
      <c r="V182" s="12" t="str">
        <f t="shared" si="180"/>
        <v>оригинал</v>
      </c>
    </row>
    <row r="183" ht="15" customHeight="1">
      <c r="A183" s="10">
        <v>181</v>
      </c>
      <c r="B183" s="11" t="str">
        <f>RAW_Продажи!A182</f>
        <v>04/15/2025</v>
      </c>
      <c r="C183" s="11" t="str">
        <f>RAW_Продажи!B182</f>
        <v>№АРТ-323</v>
      </c>
      <c r="D183" s="11" t="str">
        <f>RAW_Продажи!C182</f>
        <v>1</v>
      </c>
      <c r="E183" s="11" t="str">
        <f>RAW_Продажи!D182</f>
        <v>$95</v>
      </c>
      <c r="F183" s="11" t="str">
        <f>RAW_Продажи!E182</f>
        <v>C0181</v>
      </c>
      <c r="G183" s="11" t="str">
        <f>RAW_Продажи!F182</f>
        <v>P050</v>
      </c>
      <c r="H183" s="11" t="str">
        <f>RAW_Продажи!G182</f>
        <v>завершен</v>
      </c>
      <c r="I183" s="12" t="str">
        <f t="shared" si="172"/>
        <v>323</v>
      </c>
      <c r="J183" s="12" t="str">
        <f t="shared" si="173"/>
        <v>$</v>
      </c>
      <c r="K183" s="12">
        <f t="shared" si="174"/>
        <v>95</v>
      </c>
      <c r="L183" s="19">
        <f t="shared" si="175"/>
        <v>45762</v>
      </c>
      <c r="M183" s="13" t="str">
        <f t="shared" si="176"/>
        <v>АРТ-323</v>
      </c>
      <c r="N183" s="13">
        <f t="shared" si="177"/>
        <v>1</v>
      </c>
      <c r="O183" s="13" t="str">
        <f>IFERROR(VLOOKUP(J183,Справочники!$G$6:$H$8,2,0),"RUB")</f>
        <v>USD</v>
      </c>
      <c r="P183" s="14">
        <f>ROUND(K183*IFERROR(VLOOKUP(J183,Справочники!$G$6:$I$8,3,0),1),2)</f>
        <v>9025</v>
      </c>
      <c r="Q183" s="13" t="str">
        <f>IFERROR(VLOOKUP(H183,Справочники!$D$6:$E$14,2,0),"НЕИЗВЕСТНО")</f>
        <v>Завершен</v>
      </c>
      <c r="R183" s="20">
        <f>IFERROR(INDEX(Товары_очищенные!$Q$3:$Q$503,MATCH(M183,Товары_очищенные!$L$3:$L$503,0)),"нет в каталоге")</f>
        <v>12500</v>
      </c>
      <c r="S183" s="21" t="str">
        <f>IFERROR(INDEX(Товары_очищенные!$N$3:$N$503,MATCH(M183,Товары_очищенные!$L$3:$L$503,0)),"нет в каталоге")</f>
        <v>Наушники</v>
      </c>
      <c r="T183" s="21" t="str">
        <f t="shared" si="178"/>
        <v>OK</v>
      </c>
      <c r="U183" s="12" t="str">
        <f t="shared" si="179"/>
        <v>15/04/2025|АРТ-323|C0181</v>
      </c>
      <c r="V183" s="12" t="str">
        <f t="shared" si="180"/>
        <v>оригинал</v>
      </c>
    </row>
    <row r="184" ht="15" customHeight="1">
      <c r="A184" s="10">
        <v>182</v>
      </c>
      <c r="B184" s="11" t="str">
        <f>RAW_Продажи!A183</f>
        <v>04/15/2025</v>
      </c>
      <c r="C184" s="11" t="str">
        <f>RAW_Продажи!B183</f>
        <v>АРТ_468</v>
      </c>
      <c r="D184" s="11" t="str">
        <f>RAW_Продажи!C183</f>
        <v>2</v>
      </c>
      <c r="E184" s="11" t="str">
        <f>RAW_Продажи!D183</f>
        <v>€75</v>
      </c>
      <c r="F184" s="11" t="str">
        <f>RAW_Продажи!E183</f>
        <v>C0182</v>
      </c>
      <c r="G184" s="11" t="str">
        <f>RAW_Продажи!F183</f>
        <v>P011</v>
      </c>
      <c r="H184" s="11" t="str">
        <f>RAW_Продажи!G183</f>
        <v>completed</v>
      </c>
      <c r="I184" s="12" t="str">
        <f t="shared" si="172"/>
        <v>468</v>
      </c>
      <c r="J184" s="12" t="str">
        <f t="shared" si="173"/>
        <v>€</v>
      </c>
      <c r="K184" s="12">
        <f t="shared" si="174"/>
        <v>75</v>
      </c>
      <c r="L184" s="19">
        <f t="shared" si="175"/>
        <v>45762</v>
      </c>
      <c r="M184" s="13" t="str">
        <f t="shared" si="176"/>
        <v>АРТ-468</v>
      </c>
      <c r="N184" s="13">
        <f t="shared" si="177"/>
        <v>2</v>
      </c>
      <c r="O184" s="13" t="str">
        <f>IFERROR(VLOOKUP(J184,Справочники!$G$6:$H$8,2,0),"RUB")</f>
        <v>EUR</v>
      </c>
      <c r="P184" s="14">
        <f>ROUND(K184*IFERROR(VLOOKUP(J184,Справочники!$G$6:$I$8,3,0),1),2)</f>
        <v>7500</v>
      </c>
      <c r="Q184" s="13" t="str">
        <f>IFERROR(VLOOKUP(H184,Справочники!$D$6:$E$14,2,0),"НЕИЗВЕСТНО")</f>
        <v>Завершен</v>
      </c>
      <c r="R184" s="20">
        <f>IFERROR(INDEX(Товары_очищенные!$Q$3:$Q$503,MATCH(M184,Товары_очищенные!$L$3:$L$503,0)),"нет в каталоге")</f>
        <v>24500</v>
      </c>
      <c r="S184" s="21" t="str">
        <f>IFERROR(INDEX(Товары_очищенные!$N$3:$N$503,MATCH(M184,Товары_очищенные!$L$3:$L$503,0)),"нет в каталоге")</f>
        <v>Смартфоны</v>
      </c>
      <c r="T184" s="21" t="str">
        <f t="shared" si="178"/>
        <v>OK</v>
      </c>
      <c r="U184" s="12" t="str">
        <f t="shared" si="179"/>
        <v>15/04/2025|АРТ-468|C0182</v>
      </c>
      <c r="V184" s="12" t="str">
        <f t="shared" si="180"/>
        <v>оригинал</v>
      </c>
    </row>
    <row r="185" ht="15" customHeight="1">
      <c r="A185" s="10">
        <v>183</v>
      </c>
      <c r="B185" s="11" t="str">
        <f>RAW_Продажи!A184</f>
        <v>04/16/2025</v>
      </c>
      <c r="C185" s="11" t="str">
        <f>RAW_Продажи!B184</f>
        <v>358/24</v>
      </c>
      <c r="D185" s="11" t="str">
        <f>RAW_Продажи!C184</f>
        <v xml:space="preserve">3 шт.</v>
      </c>
      <c r="E185" s="11" t="str">
        <f>RAW_Продажи!D184</f>
        <v xml:space="preserve">7000 ₽</v>
      </c>
      <c r="F185" s="11" t="str">
        <f>RAW_Продажи!E184</f>
        <v>C0183</v>
      </c>
      <c r="G185" s="11" t="str">
        <f>RAW_Продажи!F184</f>
        <v>P027</v>
      </c>
      <c r="H185" s="11" t="str">
        <f>RAW_Продажи!G184</f>
        <v>отменен</v>
      </c>
      <c r="I185" s="12" t="str">
        <f t="shared" si="172"/>
        <v>358/24</v>
      </c>
      <c r="J185" s="12" t="str">
        <f t="shared" si="173"/>
        <v>₽</v>
      </c>
      <c r="K185" s="12">
        <f t="shared" si="174"/>
        <v>7000</v>
      </c>
      <c r="L185" s="19">
        <f t="shared" si="175"/>
        <v>45763</v>
      </c>
      <c r="M185" s="13" t="str">
        <f t="shared" si="176"/>
        <v>АРТ-358</v>
      </c>
      <c r="N185" s="13">
        <f t="shared" si="177"/>
        <v>3</v>
      </c>
      <c r="O185" s="13" t="str">
        <f>IFERROR(VLOOKUP(J185,Справочники!$G$6:$H$8,2,0),"RUB")</f>
        <v>RUB</v>
      </c>
      <c r="P185" s="14">
        <f>ROUND(K185*IFERROR(VLOOKUP(J185,Справочники!$G$6:$I$8,3,0),1),2)</f>
        <v>7000</v>
      </c>
      <c r="Q185" s="13" t="str">
        <f>IFERROR(VLOOKUP(H185,Справочники!$D$6:$E$14,2,0),"НЕИЗВЕСТНО")</f>
        <v>Отменен</v>
      </c>
      <c r="R185" s="20">
        <f>IFERROR(INDEX(Товары_очищенные!$Q$3:$Q$503,MATCH(M185,Товары_очищенные!$L$3:$L$503,0)),"нет в каталоге")</f>
        <v>59990</v>
      </c>
      <c r="S185" s="21" t="str">
        <f>IFERROR(INDEX(Товары_очищенные!$N$3:$N$503,MATCH(M185,Товары_очищенные!$L$3:$L$503,0)),"нет в каталоге")</f>
        <v>Планшеты</v>
      </c>
      <c r="T185" s="21" t="str">
        <f t="shared" si="178"/>
        <v>OK</v>
      </c>
      <c r="U185" s="12" t="str">
        <f t="shared" si="179"/>
        <v>16/04/2025|АРТ-358|C0183</v>
      </c>
      <c r="V185" s="12" t="str">
        <f t="shared" si="180"/>
        <v>оригинал</v>
      </c>
    </row>
    <row r="186" ht="15" customHeight="1">
      <c r="A186" s="10">
        <v>184</v>
      </c>
      <c r="B186" s="11" t="str">
        <f>RAW_Продажи!A185</f>
        <v>04/16/2025</v>
      </c>
      <c r="C186" s="11" t="str">
        <f>RAW_Продажи!B185</f>
        <v>№АРТ-172</v>
      </c>
      <c r="D186" s="11" t="str">
        <f>RAW_Продажи!C185</f>
        <v>-2</v>
      </c>
      <c r="E186" s="11" t="str">
        <f>RAW_Продажи!D185</f>
        <v>$115</v>
      </c>
      <c r="F186" s="11" t="str">
        <f>RAW_Продажи!E185</f>
        <v>C0184</v>
      </c>
      <c r="G186" s="11" t="str">
        <f>RAW_Продажи!F185</f>
        <v>P018</v>
      </c>
      <c r="H186" s="11" t="str">
        <f>RAW_Продажи!G185</f>
        <v>canceled</v>
      </c>
      <c r="I186" s="12" t="str">
        <f t="shared" si="172"/>
        <v>172</v>
      </c>
      <c r="J186" s="12" t="str">
        <f t="shared" si="173"/>
        <v>$</v>
      </c>
      <c r="K186" s="12">
        <f t="shared" si="174"/>
        <v>115</v>
      </c>
      <c r="L186" s="19">
        <f t="shared" si="175"/>
        <v>45763</v>
      </c>
      <c r="M186" s="13" t="str">
        <f t="shared" si="176"/>
        <v>АРТ-172</v>
      </c>
      <c r="N186" s="13">
        <f t="shared" si="177"/>
        <v>-2</v>
      </c>
      <c r="O186" s="13" t="str">
        <f>IFERROR(VLOOKUP(J186,Справочники!$G$6:$H$8,2,0),"RUB")</f>
        <v>USD</v>
      </c>
      <c r="P186" s="14">
        <f>ROUND(K186*IFERROR(VLOOKUP(J186,Справочники!$G$6:$I$8,3,0),1),2)</f>
        <v>10925</v>
      </c>
      <c r="Q186" s="13" t="str">
        <f>IFERROR(VLOOKUP(H186,Справочники!$D$6:$E$14,2,0),"НЕИЗВЕСТНО")</f>
        <v>Отменен</v>
      </c>
      <c r="R186" s="20">
        <f>IFERROR(INDEX(Товары_очищенные!$Q$3:$Q$503,MATCH(M186,Товары_очищенные!$L$3:$L$503,0)),"нет в каталоге")</f>
        <v>104990</v>
      </c>
      <c r="S186" s="21" t="str">
        <f>IFERROR(INDEX(Товары_очищенные!$N$3:$N$503,MATCH(M186,Товары_очищенные!$L$3:$L$503,0)),"нет в каталоге")</f>
        <v>Ноутбуки</v>
      </c>
      <c r="T186" s="21" t="str">
        <f t="shared" si="178"/>
        <v>OK</v>
      </c>
      <c r="U186" s="12" t="str">
        <f t="shared" si="179"/>
        <v>16/04/2025|АРТ-172|C0184</v>
      </c>
      <c r="V186" s="12" t="str">
        <f t="shared" si="180"/>
        <v>оригинал</v>
      </c>
    </row>
    <row r="187" ht="15" customHeight="1">
      <c r="A187" s="10">
        <v>185</v>
      </c>
      <c r="B187" s="11" t="str">
        <f>RAW_Продажи!A186</f>
        <v>04/17/2025</v>
      </c>
      <c r="C187" s="11" t="str">
        <f>RAW_Продажи!B186</f>
        <v>АРТ_260</v>
      </c>
      <c r="D187" s="11" t="str">
        <f>RAW_Продажи!C186</f>
        <v>1</v>
      </c>
      <c r="E187" s="11" t="str">
        <f>RAW_Продажи!D186</f>
        <v>€95</v>
      </c>
      <c r="F187" s="11" t="str">
        <f>RAW_Продажи!E186</f>
        <v>C0185</v>
      </c>
      <c r="G187" s="11" t="str">
        <f>RAW_Продажи!F186</f>
        <v>P040</v>
      </c>
      <c r="H187" s="11" t="str">
        <f>RAW_Продажи!G186</f>
        <v>Завершен</v>
      </c>
      <c r="I187" s="12" t="str">
        <f t="shared" si="172"/>
        <v>260</v>
      </c>
      <c r="J187" s="12" t="str">
        <f t="shared" si="173"/>
        <v>€</v>
      </c>
      <c r="K187" s="12">
        <f t="shared" si="174"/>
        <v>95</v>
      </c>
      <c r="L187" s="19">
        <f t="shared" si="175"/>
        <v>45764</v>
      </c>
      <c r="M187" s="13" t="str">
        <f t="shared" si="176"/>
        <v>АРТ-260</v>
      </c>
      <c r="N187" s="13">
        <f t="shared" si="177"/>
        <v>1</v>
      </c>
      <c r="O187" s="13" t="str">
        <f>IFERROR(VLOOKUP(J187,Справочники!$G$6:$H$8,2,0),"RUB")</f>
        <v>EUR</v>
      </c>
      <c r="P187" s="14">
        <f>ROUND(K187*IFERROR(VLOOKUP(J187,Справочники!$G$6:$I$8,3,0),1),2)</f>
        <v>9500</v>
      </c>
      <c r="Q187" s="13" t="str">
        <f>IFERROR(VLOOKUP(H187,Справочники!$D$6:$E$14,2,0),"НЕИЗВЕСТНО")</f>
        <v>Завершен</v>
      </c>
      <c r="R187" s="20">
        <f>IFERROR(INDEX(Товары_очищенные!$Q$3:$Q$503,MATCH(M187,Товары_очищенные!$L$3:$L$503,0)),"нет в каталоге")</f>
        <v>90000</v>
      </c>
      <c r="S187" s="21" t="str">
        <f>IFERROR(INDEX(Товары_очищенные!$N$3:$N$503,MATCH(M187,Товары_очищенные!$L$3:$L$503,0)),"нет в каталоге")</f>
        <v>Телевизоры</v>
      </c>
      <c r="T187" s="21" t="str">
        <f t="shared" si="178"/>
        <v>OK</v>
      </c>
      <c r="U187" s="12" t="str">
        <f t="shared" si="179"/>
        <v>17/04/2025|АРТ-260|C0185</v>
      </c>
      <c r="V187" s="12" t="str">
        <f t="shared" si="180"/>
        <v>оригинал</v>
      </c>
    </row>
    <row r="188" ht="15" customHeight="1">
      <c r="A188" s="10">
        <v>186</v>
      </c>
      <c r="B188" s="11" t="str">
        <f>RAW_Продажи!A187</f>
        <v>04/17/2025</v>
      </c>
      <c r="C188" s="11" t="str">
        <f>RAW_Продажи!B187</f>
        <v>110-24</v>
      </c>
      <c r="D188" s="11" t="str">
        <f>RAW_Продажи!C187</f>
        <v>2</v>
      </c>
      <c r="E188" s="11" t="str">
        <f>RAW_Продажи!D187</f>
        <v xml:space="preserve">8500 ₽</v>
      </c>
      <c r="F188" s="11" t="str">
        <f>RAW_Продажи!E187</f>
        <v>C0186</v>
      </c>
      <c r="G188" s="11" t="str">
        <f>RAW_Продажи!F187</f>
        <v>P003</v>
      </c>
      <c r="H188" s="11" t="str">
        <f>RAW_Продажи!G187</f>
        <v>возврат</v>
      </c>
      <c r="I188" s="12" t="str">
        <f t="shared" si="172"/>
        <v>110-24</v>
      </c>
      <c r="J188" s="12" t="str">
        <f t="shared" si="173"/>
        <v>₽</v>
      </c>
      <c r="K188" s="12">
        <f t="shared" si="174"/>
        <v>8500</v>
      </c>
      <c r="L188" s="19">
        <f t="shared" si="175"/>
        <v>45764</v>
      </c>
      <c r="M188" s="13" t="str">
        <f t="shared" si="176"/>
        <v>АРТ-110</v>
      </c>
      <c r="N188" s="13">
        <f t="shared" si="177"/>
        <v>2</v>
      </c>
      <c r="O188" s="13" t="str">
        <f>IFERROR(VLOOKUP(J188,Справочники!$G$6:$H$8,2,0),"RUB")</f>
        <v>RUB</v>
      </c>
      <c r="P188" s="14">
        <f>ROUND(K188*IFERROR(VLOOKUP(J188,Справочники!$G$6:$I$8,3,0),1),2)</f>
        <v>8500</v>
      </c>
      <c r="Q188" s="13" t="str">
        <f>IFERROR(VLOOKUP(H188,Справочники!$D$6:$E$14,2,0),"НЕИЗВЕСТНО")</f>
        <v>Возврат</v>
      </c>
      <c r="R188" s="20">
        <f>IFERROR(INDEX(Товары_очищенные!$Q$3:$Q$503,MATCH(M188,Товары_очищенные!$L$3:$L$503,0)),"нет в каталоге")</f>
        <v>117000</v>
      </c>
      <c r="S188" s="21" t="str">
        <f>IFERROR(INDEX(Товары_очищенные!$N$3:$N$503,MATCH(M188,Товары_очищенные!$L$3:$L$503,0)),"нет в каталоге")</f>
        <v>Телевизоры</v>
      </c>
      <c r="T188" s="21" t="str">
        <f t="shared" si="178"/>
        <v>OK</v>
      </c>
      <c r="U188" s="12" t="str">
        <f t="shared" si="179"/>
        <v>17/04/2025|АРТ-110|C0186</v>
      </c>
      <c r="V188" s="12" t="str">
        <f t="shared" si="180"/>
        <v>оригинал</v>
      </c>
    </row>
    <row r="189" ht="15" customHeight="1">
      <c r="A189" s="10">
        <v>187</v>
      </c>
      <c r="B189" s="11" t="str">
        <f>RAW_Продажи!A188</f>
        <v>04/18/2025</v>
      </c>
      <c r="C189" s="11" t="str">
        <f>RAW_Продажи!B188</f>
        <v>№АРТ-029</v>
      </c>
      <c r="D189" s="11" t="str">
        <f>RAW_Продажи!C188</f>
        <v>3</v>
      </c>
      <c r="E189" s="11" t="str">
        <f>RAW_Продажи!D188</f>
        <v>$105</v>
      </c>
      <c r="F189" s="11" t="str">
        <f>RAW_Продажи!E188</f>
        <v>C0187</v>
      </c>
      <c r="G189" s="11" t="str">
        <f>RAW_Продажи!F188</f>
        <v>P025</v>
      </c>
      <c r="H189" s="11" t="str">
        <f>RAW_Продажи!G188</f>
        <v>завершен</v>
      </c>
      <c r="I189" s="12" t="str">
        <f t="shared" si="172"/>
        <v>029</v>
      </c>
      <c r="J189" s="12" t="str">
        <f t="shared" si="173"/>
        <v>$</v>
      </c>
      <c r="K189" s="12">
        <f t="shared" si="174"/>
        <v>105</v>
      </c>
      <c r="L189" s="19">
        <f t="shared" si="175"/>
        <v>45765</v>
      </c>
      <c r="M189" s="13" t="str">
        <f t="shared" si="176"/>
        <v>АРТ-029</v>
      </c>
      <c r="N189" s="13">
        <f t="shared" si="177"/>
        <v>3</v>
      </c>
      <c r="O189" s="13" t="str">
        <f>IFERROR(VLOOKUP(J189,Справочники!$G$6:$H$8,2,0),"RUB")</f>
        <v>USD</v>
      </c>
      <c r="P189" s="14">
        <f>ROUND(K189*IFERROR(VLOOKUP(J189,Справочники!$G$6:$I$8,3,0),1),2)</f>
        <v>9975</v>
      </c>
      <c r="Q189" s="13" t="str">
        <f>IFERROR(VLOOKUP(H189,Справочники!$D$6:$E$14,2,0),"НЕИЗВЕСТНО")</f>
        <v>Завершен</v>
      </c>
      <c r="R189" s="20">
        <f>IFERROR(INDEX(Товары_очищенные!$Q$3:$Q$503,MATCH(M189,Товары_очищенные!$L$3:$L$503,0)),"нет в каталоге")</f>
        <v>9500</v>
      </c>
      <c r="S189" s="21" t="str">
        <f>IFERROR(INDEX(Товары_очищенные!$N$3:$N$503,MATCH(M189,Товары_очищенные!$L$3:$L$503,0)),"нет в каталоге")</f>
        <v>Аксессуары</v>
      </c>
      <c r="T189" s="21" t="str">
        <f t="shared" si="178"/>
        <v>OK</v>
      </c>
      <c r="U189" s="12" t="str">
        <f t="shared" si="179"/>
        <v>18/04/2025|АРТ-029|C0187</v>
      </c>
      <c r="V189" s="12" t="str">
        <f t="shared" si="180"/>
        <v>оригинал</v>
      </c>
    </row>
    <row r="190" ht="15" customHeight="1">
      <c r="A190" s="10">
        <v>188</v>
      </c>
      <c r="B190" s="11" t="str">
        <f>RAW_Продажи!A189</f>
        <v>04/18/2025</v>
      </c>
      <c r="C190" s="11" t="str">
        <f>RAW_Продажи!B189</f>
        <v>АРТ_415</v>
      </c>
      <c r="D190" s="11" t="str">
        <f>RAW_Продажи!C189</f>
        <v>2</v>
      </c>
      <c r="E190" s="11" t="str">
        <f>RAW_Продажи!D189</f>
        <v>€85</v>
      </c>
      <c r="F190" s="11" t="str">
        <f>RAW_Продажи!E189</f>
        <v>C0188</v>
      </c>
      <c r="G190" s="11" t="str">
        <f>RAW_Продажи!F189</f>
        <v>P010</v>
      </c>
      <c r="H190" s="11" t="str">
        <f>RAW_Продажи!G189</f>
        <v>completed</v>
      </c>
      <c r="I190" s="12" t="str">
        <f t="shared" si="172"/>
        <v>415</v>
      </c>
      <c r="J190" s="12" t="str">
        <f t="shared" si="173"/>
        <v>€</v>
      </c>
      <c r="K190" s="12">
        <f t="shared" si="174"/>
        <v>85</v>
      </c>
      <c r="L190" s="19">
        <f t="shared" si="175"/>
        <v>45765</v>
      </c>
      <c r="M190" s="13" t="str">
        <f t="shared" si="176"/>
        <v>АРТ-415</v>
      </c>
      <c r="N190" s="13">
        <f t="shared" si="177"/>
        <v>2</v>
      </c>
      <c r="O190" s="13" t="str">
        <f>IFERROR(VLOOKUP(J190,Справочники!$G$6:$H$8,2,0),"RUB")</f>
        <v>EUR</v>
      </c>
      <c r="P190" s="14">
        <f>ROUND(K190*IFERROR(VLOOKUP(J190,Справочники!$G$6:$I$8,3,0),1),2)</f>
        <v>8500</v>
      </c>
      <c r="Q190" s="13" t="str">
        <f>IFERROR(VLOOKUP(H190,Справочники!$D$6:$E$14,2,0),"НЕИЗВЕСТНО")</f>
        <v>Завершен</v>
      </c>
      <c r="R190" s="20">
        <f>IFERROR(INDEX(Товары_очищенные!$Q$3:$Q$503,MATCH(M190,Товары_очищенные!$L$3:$L$503,0)),"нет в каталоге")</f>
        <v>14990</v>
      </c>
      <c r="S190" s="21" t="str">
        <f>IFERROR(INDEX(Товары_очищенные!$N$3:$N$503,MATCH(M190,Товары_очищенные!$L$3:$L$503,0)),"нет в каталоге")</f>
        <v>Аксессуары</v>
      </c>
      <c r="T190" s="21" t="str">
        <f t="shared" si="178"/>
        <v>OK</v>
      </c>
      <c r="U190" s="12" t="str">
        <f t="shared" si="179"/>
        <v>18/04/2025|АРТ-415|C0188</v>
      </c>
      <c r="V190" s="12" t="str">
        <f t="shared" si="180"/>
        <v>оригинал</v>
      </c>
    </row>
    <row r="191" ht="15" customHeight="1">
      <c r="A191" s="10">
        <v>189</v>
      </c>
      <c r="B191" s="11" t="str">
        <f>RAW_Продажи!A190</f>
        <v>04/19/2025</v>
      </c>
      <c r="C191" s="11" t="str">
        <f>RAW_Продажи!B190</f>
        <v>223/24</v>
      </c>
      <c r="D191" s="11" t="str">
        <f>RAW_Продажи!C190</f>
        <v xml:space="preserve">1 шт.</v>
      </c>
      <c r="E191" s="11" t="str">
        <f>RAW_Продажи!D190</f>
        <v xml:space="preserve">7800 ₽</v>
      </c>
      <c r="F191" s="11" t="str">
        <f>RAW_Продажи!E190</f>
        <v>C0189</v>
      </c>
      <c r="G191" s="11" t="str">
        <f>RAW_Продажи!F190</f>
        <v>P033</v>
      </c>
      <c r="H191" s="11" t="str">
        <f>RAW_Продажи!G190</f>
        <v>Завершен</v>
      </c>
      <c r="I191" s="12" t="str">
        <f t="shared" si="172"/>
        <v>223/24</v>
      </c>
      <c r="J191" s="12" t="str">
        <f t="shared" si="173"/>
        <v>₽</v>
      </c>
      <c r="K191" s="12">
        <f t="shared" si="174"/>
        <v>7800</v>
      </c>
      <c r="L191" s="19">
        <f t="shared" si="175"/>
        <v>45766</v>
      </c>
      <c r="M191" s="13" t="str">
        <f t="shared" si="176"/>
        <v>АРТ-223</v>
      </c>
      <c r="N191" s="13">
        <f t="shared" si="177"/>
        <v>1</v>
      </c>
      <c r="O191" s="13" t="str">
        <f>IFERROR(VLOOKUP(J191,Справочники!$G$6:$H$8,2,0),"RUB")</f>
        <v>RUB</v>
      </c>
      <c r="P191" s="14">
        <f>ROUND(K191*IFERROR(VLOOKUP(J191,Справочники!$G$6:$I$8,3,0),1),2)</f>
        <v>7800</v>
      </c>
      <c r="Q191" s="13" t="str">
        <f>IFERROR(VLOOKUP(H191,Справочники!$D$6:$E$14,2,0),"НЕИЗВЕСТНО")</f>
        <v>Завершен</v>
      </c>
      <c r="R191" s="20">
        <f>IFERROR(INDEX(Товары_очищенные!$Q$3:$Q$503,MATCH(M191,Товары_очищенные!$L$3:$L$503,0)),"нет в каталоге")</f>
        <v>54990</v>
      </c>
      <c r="S191" s="21" t="str">
        <f>IFERROR(INDEX(Товары_очищенные!$N$3:$N$503,MATCH(M191,Товары_очищенные!$L$3:$L$503,0)),"нет в каталоге")</f>
        <v>Мониторы</v>
      </c>
      <c r="T191" s="21" t="str">
        <f t="shared" si="178"/>
        <v>OK</v>
      </c>
      <c r="U191" s="12" t="str">
        <f t="shared" si="179"/>
        <v>19/04/2025|АРТ-223|C0189</v>
      </c>
      <c r="V191" s="12" t="str">
        <f t="shared" si="180"/>
        <v>оригинал</v>
      </c>
    </row>
    <row r="192" ht="15" customHeight="1">
      <c r="A192" s="10">
        <v>190</v>
      </c>
      <c r="B192" s="11" t="str">
        <f>RAW_Продажи!A191</f>
        <v>04/19/2025</v>
      </c>
      <c r="C192" s="11" t="str">
        <f>RAW_Продажи!B191</f>
        <v>№АРТ-358</v>
      </c>
      <c r="D192" s="11" t="str">
        <f>RAW_Продажи!C191</f>
        <v>-3</v>
      </c>
      <c r="E192" s="11" t="str">
        <f>RAW_Продажи!D191</f>
        <v>$120</v>
      </c>
      <c r="F192" s="11" t="str">
        <f>RAW_Продажи!E191</f>
        <v>C0190</v>
      </c>
      <c r="G192" s="11" t="str">
        <f>RAW_Продажи!F191</f>
        <v>P047</v>
      </c>
      <c r="H192" s="11" t="str">
        <f>RAW_Продажи!G191</f>
        <v>canceled</v>
      </c>
      <c r="I192" s="12" t="str">
        <f t="shared" si="172"/>
        <v>358</v>
      </c>
      <c r="J192" s="12" t="str">
        <f t="shared" si="173"/>
        <v>$</v>
      </c>
      <c r="K192" s="12">
        <f t="shared" si="174"/>
        <v>120</v>
      </c>
      <c r="L192" s="19">
        <f t="shared" si="175"/>
        <v>45766</v>
      </c>
      <c r="M192" s="13" t="str">
        <f t="shared" si="176"/>
        <v>АРТ-358</v>
      </c>
      <c r="N192" s="13">
        <f t="shared" si="177"/>
        <v>-3</v>
      </c>
      <c r="O192" s="13" t="str">
        <f>IFERROR(VLOOKUP(J192,Справочники!$G$6:$H$8,2,0),"RUB")</f>
        <v>USD</v>
      </c>
      <c r="P192" s="14">
        <f>ROUND(K192*IFERROR(VLOOKUP(J192,Справочники!$G$6:$I$8,3,0),1),2)</f>
        <v>11400</v>
      </c>
      <c r="Q192" s="13" t="str">
        <f>IFERROR(VLOOKUP(H192,Справочники!$D$6:$E$14,2,0),"НЕИЗВЕСТНО")</f>
        <v>Отменен</v>
      </c>
      <c r="R192" s="20">
        <f>IFERROR(INDEX(Товары_очищенные!$Q$3:$Q$503,MATCH(M192,Товары_очищенные!$L$3:$L$503,0)),"нет в каталоге")</f>
        <v>59990</v>
      </c>
      <c r="S192" s="21" t="str">
        <f>IFERROR(INDEX(Товары_очищенные!$N$3:$N$503,MATCH(M192,Товары_очищенные!$L$3:$L$503,0)),"нет в каталоге")</f>
        <v>Планшеты</v>
      </c>
      <c r="T192" s="21" t="str">
        <f t="shared" si="178"/>
        <v>OK</v>
      </c>
      <c r="U192" s="12" t="str">
        <f t="shared" si="179"/>
        <v>19/04/2025|АРТ-358|C0190</v>
      </c>
      <c r="V192" s="12" t="str">
        <f t="shared" si="180"/>
        <v>оригинал</v>
      </c>
    </row>
    <row r="193" ht="15" customHeight="1">
      <c r="A193" s="10">
        <v>191</v>
      </c>
      <c r="B193" s="11" t="str">
        <f>RAW_Продажи!A192</f>
        <v>04/20/2025</v>
      </c>
      <c r="C193" s="11" t="str">
        <f>RAW_Продажи!B192</f>
        <v>АРТ_196</v>
      </c>
      <c r="D193" s="11" t="str">
        <f>RAW_Продажи!C192</f>
        <v>2</v>
      </c>
      <c r="E193" s="11" t="str">
        <f>RAW_Продажи!D192</f>
        <v>€100</v>
      </c>
      <c r="F193" s="11" t="str">
        <f>RAW_Продажи!E192</f>
        <v>C0191</v>
      </c>
      <c r="G193" s="11" t="str">
        <f>RAW_Продажи!F192</f>
        <v>P020</v>
      </c>
      <c r="H193" s="11" t="str">
        <f>RAW_Продажи!G192</f>
        <v>отменен</v>
      </c>
      <c r="I193" s="12" t="str">
        <f t="shared" si="172"/>
        <v>196</v>
      </c>
      <c r="J193" s="12" t="str">
        <f t="shared" si="173"/>
        <v>€</v>
      </c>
      <c r="K193" s="12">
        <f t="shared" si="174"/>
        <v>100</v>
      </c>
      <c r="L193" s="19">
        <f t="shared" si="175"/>
        <v>45767</v>
      </c>
      <c r="M193" s="13" t="str">
        <f t="shared" si="176"/>
        <v>АРТ-196</v>
      </c>
      <c r="N193" s="13">
        <f t="shared" si="177"/>
        <v>2</v>
      </c>
      <c r="O193" s="13" t="str">
        <f>IFERROR(VLOOKUP(J193,Справочники!$G$6:$H$8,2,0),"RUB")</f>
        <v>EUR</v>
      </c>
      <c r="P193" s="14">
        <f>ROUND(K193*IFERROR(VLOOKUP(J193,Справочники!$G$6:$I$8,3,0),1),2)</f>
        <v>10000</v>
      </c>
      <c r="Q193" s="13" t="str">
        <f>IFERROR(VLOOKUP(H193,Справочники!$D$6:$E$14,2,0),"НЕИЗВЕСТНО")</f>
        <v>Отменен</v>
      </c>
      <c r="R193" s="20">
        <f>IFERROR(INDEX(Товары_очищенные!$Q$3:$Q$503,MATCH(M193,Товары_очищенные!$L$3:$L$503,0)),"нет в каталоге")</f>
        <v>53990</v>
      </c>
      <c r="S193" s="21" t="str">
        <f>IFERROR(INDEX(Товары_очищенные!$N$3:$N$503,MATCH(M193,Товары_очищенные!$L$3:$L$503,0)),"нет в каталоге")</f>
        <v>Смартфоны</v>
      </c>
      <c r="T193" s="21" t="str">
        <f t="shared" si="178"/>
        <v>OK</v>
      </c>
      <c r="U193" s="12" t="str">
        <f t="shared" si="179"/>
        <v>20/04/2025|АРТ-196|C0191</v>
      </c>
      <c r="V193" s="12" t="str">
        <f t="shared" si="180"/>
        <v>оригинал</v>
      </c>
    </row>
    <row r="194" ht="15" customHeight="1">
      <c r="A194" s="10">
        <v>192</v>
      </c>
      <c r="B194" s="11" t="str">
        <f>RAW_Продажи!A193</f>
        <v>04/20/2025</v>
      </c>
      <c r="C194" s="11" t="str">
        <f>RAW_Продажи!B193</f>
        <v>289-24</v>
      </c>
      <c r="D194" s="11" t="str">
        <f>RAW_Продажи!C193</f>
        <v>1</v>
      </c>
      <c r="E194" s="11" t="str">
        <f>RAW_Продажи!D193</f>
        <v xml:space="preserve">9200 ₽</v>
      </c>
      <c r="F194" s="11" t="str">
        <f>RAW_Продажи!E193</f>
        <v>C0192</v>
      </c>
      <c r="G194" s="11" t="str">
        <f>RAW_Продажи!F193</f>
        <v>P002</v>
      </c>
      <c r="H194" s="11" t="str">
        <f>RAW_Продажи!G193</f>
        <v>возврат</v>
      </c>
      <c r="I194" s="12" t="str">
        <f t="shared" si="172"/>
        <v>289-24</v>
      </c>
      <c r="J194" s="12" t="str">
        <f t="shared" si="173"/>
        <v>₽</v>
      </c>
      <c r="K194" s="12">
        <f t="shared" si="174"/>
        <v>9200</v>
      </c>
      <c r="L194" s="19">
        <f t="shared" si="175"/>
        <v>45767</v>
      </c>
      <c r="M194" s="13" t="str">
        <f t="shared" si="176"/>
        <v>АРТ-289</v>
      </c>
      <c r="N194" s="13">
        <f t="shared" si="177"/>
        <v>1</v>
      </c>
      <c r="O194" s="13" t="str">
        <f>IFERROR(VLOOKUP(J194,Справочники!$G$6:$H$8,2,0),"RUB")</f>
        <v>RUB</v>
      </c>
      <c r="P194" s="14">
        <f>ROUND(K194*IFERROR(VLOOKUP(J194,Справочники!$G$6:$I$8,3,0),1),2)</f>
        <v>9200</v>
      </c>
      <c r="Q194" s="13" t="str">
        <f>IFERROR(VLOOKUP(H194,Справочники!$D$6:$E$14,2,0),"НЕИЗВЕСТНО")</f>
        <v>Возврат</v>
      </c>
      <c r="R194" s="20">
        <f>IFERROR(INDEX(Товары_очищенные!$Q$3:$Q$503,MATCH(M194,Товары_очищенные!$L$3:$L$503,0)),"нет в каталоге")</f>
        <v>62990</v>
      </c>
      <c r="S194" s="21" t="str">
        <f>IFERROR(INDEX(Товары_очищенные!$N$3:$N$503,MATCH(M194,Товары_очищенные!$L$3:$L$503,0)),"нет в каталоге")</f>
        <v>Часы</v>
      </c>
      <c r="T194" s="21" t="str">
        <f t="shared" si="178"/>
        <v>OK</v>
      </c>
      <c r="U194" s="12" t="str">
        <f t="shared" si="179"/>
        <v>20/04/2025|АРТ-289|C0192</v>
      </c>
      <c r="V194" s="12" t="str">
        <f t="shared" si="180"/>
        <v>оригинал</v>
      </c>
    </row>
    <row r="195" ht="15" customHeight="1">
      <c r="A195" s="10">
        <v>193</v>
      </c>
      <c r="B195" s="11" t="str">
        <f>RAW_Продажи!A194</f>
        <v>04/21/2025</v>
      </c>
      <c r="C195" s="11" t="str">
        <f>RAW_Продажи!B194</f>
        <v>№АРТ-105</v>
      </c>
      <c r="D195" s="11" t="str">
        <f>RAW_Продажи!C194</f>
        <v>3</v>
      </c>
      <c r="E195" s="11" t="str">
        <f>RAW_Продажи!D194</f>
        <v>$90</v>
      </c>
      <c r="F195" s="11" t="str">
        <f>RAW_Продажи!E194</f>
        <v>C0193</v>
      </c>
      <c r="G195" s="11" t="str">
        <f>RAW_Продажи!F194</f>
        <v>P038</v>
      </c>
      <c r="H195" s="11" t="str">
        <f>RAW_Продажи!G194</f>
        <v>Завершен</v>
      </c>
      <c r="I195" s="12" t="str">
        <f t="shared" si="172"/>
        <v>105</v>
      </c>
      <c r="J195" s="12" t="str">
        <f t="shared" si="173"/>
        <v>$</v>
      </c>
      <c r="K195" s="12">
        <f t="shared" si="174"/>
        <v>90</v>
      </c>
      <c r="L195" s="19">
        <f t="shared" si="175"/>
        <v>45768</v>
      </c>
      <c r="M195" s="13" t="str">
        <f t="shared" si="176"/>
        <v>АРТ-105</v>
      </c>
      <c r="N195" s="13">
        <f t="shared" si="177"/>
        <v>3</v>
      </c>
      <c r="O195" s="13" t="str">
        <f>IFERROR(VLOOKUP(J195,Справочники!$G$6:$H$8,2,0),"RUB")</f>
        <v>USD</v>
      </c>
      <c r="P195" s="14">
        <f>ROUND(K195*IFERROR(VLOOKUP(J195,Справочники!$G$6:$I$8,3,0),1),2)</f>
        <v>8550</v>
      </c>
      <c r="Q195" s="13" t="str">
        <f>IFERROR(VLOOKUP(H195,Справочники!$D$6:$E$14,2,0),"НЕИЗВЕСТНО")</f>
        <v>Завершен</v>
      </c>
      <c r="R195" s="20">
        <f>IFERROR(INDEX(Товары_очищенные!$Q$3:$Q$503,MATCH(M195,Товары_очищенные!$L$3:$L$503,0)),"нет в каталоге")</f>
        <v>152000</v>
      </c>
      <c r="S195" s="21" t="str">
        <f>IFERROR(INDEX(Товары_очищенные!$N$3:$N$503,MATCH(M195,Товары_очищенные!$L$3:$L$503,0)),"нет в каталоге")</f>
        <v>Ноутбуки</v>
      </c>
      <c r="T195" s="21" t="str">
        <f t="shared" si="178"/>
        <v>OK</v>
      </c>
      <c r="U195" s="12" t="str">
        <f t="shared" si="179"/>
        <v>21/04/2025|АРТ-105|C0193</v>
      </c>
      <c r="V195" s="12" t="str">
        <f t="shared" si="180"/>
        <v>оригинал</v>
      </c>
    </row>
    <row r="196" ht="15" customHeight="1">
      <c r="A196" s="10">
        <v>194</v>
      </c>
      <c r="B196" s="11" t="str">
        <f>RAW_Продажи!A195</f>
        <v>04/21/2025</v>
      </c>
      <c r="C196" s="11" t="str">
        <f>RAW_Продажи!B195</f>
        <v>АРТ_437</v>
      </c>
      <c r="D196" s="11" t="str">
        <f>RAW_Продажи!C195</f>
        <v>2</v>
      </c>
      <c r="E196" s="11" t="str">
        <f>RAW_Продажи!D195</f>
        <v>€70</v>
      </c>
      <c r="F196" s="11" t="str">
        <f>RAW_Продажи!E195</f>
        <v>C0194</v>
      </c>
      <c r="G196" s="11" t="str">
        <f>RAW_Продажи!F195</f>
        <v>P016</v>
      </c>
      <c r="H196" s="11" t="str">
        <f>RAW_Продажи!G195</f>
        <v>завершен</v>
      </c>
      <c r="I196" s="12" t="str">
        <f t="shared" si="172"/>
        <v>437</v>
      </c>
      <c r="J196" s="12" t="str">
        <f t="shared" si="173"/>
        <v>€</v>
      </c>
      <c r="K196" s="12">
        <f t="shared" si="174"/>
        <v>70</v>
      </c>
      <c r="L196" s="19">
        <f t="shared" si="175"/>
        <v>45768</v>
      </c>
      <c r="M196" s="13" t="str">
        <f t="shared" si="176"/>
        <v>АРТ-437</v>
      </c>
      <c r="N196" s="13">
        <f t="shared" si="177"/>
        <v>2</v>
      </c>
      <c r="O196" s="13" t="str">
        <f>IFERROR(VLOOKUP(J196,Справочники!$G$6:$H$8,2,0),"RUB")</f>
        <v>EUR</v>
      </c>
      <c r="P196" s="14">
        <f>ROUND(K196*IFERROR(VLOOKUP(J196,Справочники!$G$6:$I$8,3,0),1),2)</f>
        <v>7000</v>
      </c>
      <c r="Q196" s="13" t="str">
        <f>IFERROR(VLOOKUP(H196,Справочники!$D$6:$E$14,2,0),"НЕИЗВЕСТНО")</f>
        <v>Завершен</v>
      </c>
      <c r="R196" s="20">
        <f>IFERROR(INDEX(Товары_очищенные!$Q$3:$Q$503,MATCH(M196,Товары_очищенные!$L$3:$L$503,0)),"нет в каталоге")</f>
        <v>5500</v>
      </c>
      <c r="S196" s="21" t="str">
        <f>IFERROR(INDEX(Товары_очищенные!$N$3:$N$503,MATCH(M196,Товары_очищенные!$L$3:$L$503,0)),"нет в каталоге")</f>
        <v>Аксессуары</v>
      </c>
      <c r="T196" s="21" t="str">
        <f t="shared" si="178"/>
        <v>OK</v>
      </c>
      <c r="U196" s="12" t="str">
        <f t="shared" si="179"/>
        <v>21/04/2025|АРТ-437|C0194</v>
      </c>
      <c r="V196" s="12" t="str">
        <f t="shared" si="180"/>
        <v>оригинал</v>
      </c>
    </row>
    <row r="197" ht="15" customHeight="1">
      <c r="A197" s="10">
        <v>195</v>
      </c>
      <c r="B197" s="11" t="str">
        <f>RAW_Продажи!A196</f>
        <v>04/22/2025</v>
      </c>
      <c r="C197" s="11" t="str">
        <f>RAW_Продажи!B196</f>
        <v>371/24</v>
      </c>
      <c r="D197" s="11" t="str">
        <f>RAW_Продажи!C196</f>
        <v xml:space="preserve">1 шт.</v>
      </c>
      <c r="E197" s="11" t="str">
        <f>RAW_Продажи!D196</f>
        <v xml:space="preserve">6500 ₽</v>
      </c>
      <c r="F197" s="11" t="str">
        <f>RAW_Продажи!E196</f>
        <v>C0195</v>
      </c>
      <c r="G197" s="11" t="str">
        <f>RAW_Продажи!F196</f>
        <v>P029</v>
      </c>
      <c r="H197" s="11" t="str">
        <f>RAW_Продажи!G196</f>
        <v>completed</v>
      </c>
      <c r="I197" s="12" t="str">
        <f t="shared" si="172"/>
        <v>371/24</v>
      </c>
      <c r="J197" s="12" t="str">
        <f t="shared" si="173"/>
        <v>₽</v>
      </c>
      <c r="K197" s="12">
        <f t="shared" si="174"/>
        <v>6500</v>
      </c>
      <c r="L197" s="19">
        <f t="shared" si="175"/>
        <v>45769</v>
      </c>
      <c r="M197" s="13" t="str">
        <f t="shared" si="176"/>
        <v>АРТ-371</v>
      </c>
      <c r="N197" s="13">
        <f t="shared" si="177"/>
        <v>1</v>
      </c>
      <c r="O197" s="13" t="str">
        <f>IFERROR(VLOOKUP(J197,Справочники!$G$6:$H$8,2,0),"RUB")</f>
        <v>RUB</v>
      </c>
      <c r="P197" s="14">
        <f>ROUND(K197*IFERROR(VLOOKUP(J197,Справочники!$G$6:$I$8,3,0),1),2)</f>
        <v>6500</v>
      </c>
      <c r="Q197" s="13" t="str">
        <f>IFERROR(VLOOKUP(H197,Справочники!$D$6:$E$14,2,0),"НЕИЗВЕСТНО")</f>
        <v>Завершен</v>
      </c>
      <c r="R197" s="20">
        <f>IFERROR(INDEX(Товары_очищенные!$Q$3:$Q$503,MATCH(M197,Товары_очищенные!$L$3:$L$503,0)),"нет в каталоге")</f>
        <v>48000</v>
      </c>
      <c r="S197" s="21" t="str">
        <f>IFERROR(INDEX(Товары_очищенные!$N$3:$N$503,MATCH(M197,Товары_очищенные!$L$3:$L$503,0)),"нет в каталоге")</f>
        <v>Мониторы</v>
      </c>
      <c r="T197" s="21" t="str">
        <f t="shared" si="178"/>
        <v>OK</v>
      </c>
      <c r="U197" s="12" t="str">
        <f t="shared" si="179"/>
        <v>22/04/2025|АРТ-371|C0195</v>
      </c>
      <c r="V197" s="12" t="str">
        <f t="shared" si="180"/>
        <v>оригинал</v>
      </c>
    </row>
    <row r="198" ht="15" customHeight="1">
      <c r="A198" s="10">
        <v>196</v>
      </c>
      <c r="B198" s="11" t="str">
        <f>RAW_Продажи!A197</f>
        <v>04/22/2025</v>
      </c>
      <c r="C198" s="11" t="str">
        <f>RAW_Продажи!B197</f>
        <v>№АРТ-247</v>
      </c>
      <c r="D198" s="11" t="str">
        <f>RAW_Продажи!C197</f>
        <v>-1</v>
      </c>
      <c r="E198" s="11" t="str">
        <f>RAW_Продажи!D197</f>
        <v>$110</v>
      </c>
      <c r="F198" s="11" t="str">
        <f>RAW_Продажи!E197</f>
        <v>C0196</v>
      </c>
      <c r="G198" s="11" t="str">
        <f>RAW_Продажи!F197</f>
        <v>P035</v>
      </c>
      <c r="H198" s="11" t="str">
        <f>RAW_Продажи!G197</f>
        <v>отменен</v>
      </c>
      <c r="I198" s="12" t="str">
        <f t="shared" si="172"/>
        <v>247</v>
      </c>
      <c r="J198" s="12" t="str">
        <f t="shared" si="173"/>
        <v>$</v>
      </c>
      <c r="K198" s="12">
        <f t="shared" si="174"/>
        <v>110</v>
      </c>
      <c r="L198" s="19">
        <f t="shared" si="175"/>
        <v>45769</v>
      </c>
      <c r="M198" s="13" t="str">
        <f t="shared" si="176"/>
        <v>АРТ-247</v>
      </c>
      <c r="N198" s="13">
        <f t="shared" si="177"/>
        <v>-1</v>
      </c>
      <c r="O198" s="13" t="str">
        <f>IFERROR(VLOOKUP(J198,Справочники!$G$6:$H$8,2,0),"RUB")</f>
        <v>USD</v>
      </c>
      <c r="P198" s="14">
        <f>ROUND(K198*IFERROR(VLOOKUP(J198,Справочники!$G$6:$I$8,3,0),1),2)</f>
        <v>10450</v>
      </c>
      <c r="Q198" s="13" t="str">
        <f>IFERROR(VLOOKUP(H198,Справочники!$D$6:$E$14,2,0),"НЕИЗВЕСТНО")</f>
        <v>Отменен</v>
      </c>
      <c r="R198" s="20">
        <f>IFERROR(INDEX(Товары_очищенные!$Q$3:$Q$503,MATCH(M198,Товары_очищенные!$L$3:$L$503,0)),"нет в каталоге")</f>
        <v>9990</v>
      </c>
      <c r="S198" s="21" t="str">
        <f>IFERROR(INDEX(Товары_очищенные!$N$3:$N$503,MATCH(M198,Товары_очищенные!$L$3:$L$503,0)),"нет в каталоге")</f>
        <v>Аксессуары</v>
      </c>
      <c r="T198" s="21" t="str">
        <f t="shared" si="178"/>
        <v>OK</v>
      </c>
      <c r="U198" s="12" t="str">
        <f t="shared" si="179"/>
        <v>22/04/2025|АРТ-247|C0196</v>
      </c>
      <c r="V198" s="12" t="str">
        <f t="shared" si="180"/>
        <v>оригинал</v>
      </c>
    </row>
    <row r="199" ht="15" customHeight="1">
      <c r="A199" s="10">
        <v>197</v>
      </c>
      <c r="B199" s="11" t="str">
        <f>RAW_Продажи!A198</f>
        <v>04/23/2025</v>
      </c>
      <c r="C199" s="11" t="str">
        <f>RAW_Продажи!B198</f>
        <v>АРТ_311</v>
      </c>
      <c r="D199" s="11" t="str">
        <f>RAW_Продажи!C198</f>
        <v>3</v>
      </c>
      <c r="E199" s="11" t="str">
        <f>RAW_Продажи!D198</f>
        <v>€90</v>
      </c>
      <c r="F199" s="11" t="str">
        <f>RAW_Продажи!E198</f>
        <v>C0197</v>
      </c>
      <c r="G199" s="11" t="str">
        <f>RAW_Продажи!F198</f>
        <v>P046</v>
      </c>
      <c r="H199" s="11" t="str">
        <f>RAW_Продажи!G198</f>
        <v>canceled</v>
      </c>
      <c r="I199" s="12" t="str">
        <f t="shared" si="172"/>
        <v>311</v>
      </c>
      <c r="J199" s="12" t="str">
        <f t="shared" si="173"/>
        <v>€</v>
      </c>
      <c r="K199" s="12">
        <f t="shared" si="174"/>
        <v>90</v>
      </c>
      <c r="L199" s="19">
        <f t="shared" si="175"/>
        <v>45770</v>
      </c>
      <c r="M199" s="13" t="str">
        <f t="shared" si="176"/>
        <v>АРТ-311</v>
      </c>
      <c r="N199" s="13">
        <f t="shared" si="177"/>
        <v>3</v>
      </c>
      <c r="O199" s="13" t="str">
        <f>IFERROR(VLOOKUP(J199,Справочники!$G$6:$H$8,2,0),"RUB")</f>
        <v>EUR</v>
      </c>
      <c r="P199" s="14">
        <f>ROUND(K199*IFERROR(VLOOKUP(J199,Справочники!$G$6:$I$8,3,0),1),2)</f>
        <v>9000</v>
      </c>
      <c r="Q199" s="13" t="str">
        <f>IFERROR(VLOOKUP(H199,Справочники!$D$6:$E$14,2,0),"НЕИЗВЕСТНО")</f>
        <v>Отменен</v>
      </c>
      <c r="R199" s="20">
        <f>IFERROR(INDEX(Товары_очищенные!$Q$3:$Q$503,MATCH(M199,Товары_очищенные!$L$3:$L$503,0)),"нет в каталоге")</f>
        <v>62500</v>
      </c>
      <c r="S199" s="21" t="str">
        <f>IFERROR(INDEX(Товары_очищенные!$N$3:$N$503,MATCH(M199,Товары_очищенные!$L$3:$L$503,0)),"нет в каталоге")</f>
        <v>Планшеты</v>
      </c>
      <c r="T199" s="21" t="str">
        <f t="shared" si="178"/>
        <v>OK</v>
      </c>
      <c r="U199" s="12" t="str">
        <f t="shared" si="179"/>
        <v>23/04/2025|АРТ-311|C0197</v>
      </c>
      <c r="V199" s="12" t="str">
        <f t="shared" si="180"/>
        <v>оригинал</v>
      </c>
    </row>
    <row r="200" ht="15" customHeight="1">
      <c r="A200" s="10">
        <v>198</v>
      </c>
      <c r="B200" s="11" t="str">
        <f>RAW_Продажи!A199</f>
        <v>04/23/2025</v>
      </c>
      <c r="C200" s="11" t="str">
        <f>RAW_Продажи!B199</f>
        <v>062-24</v>
      </c>
      <c r="D200" s="11" t="str">
        <f>RAW_Продажи!C199</f>
        <v>2</v>
      </c>
      <c r="E200" s="11" t="str">
        <f>RAW_Продажи!D199</f>
        <v xml:space="preserve">8000 ₽</v>
      </c>
      <c r="F200" s="11" t="str">
        <f>RAW_Продажи!E199</f>
        <v>C0198</v>
      </c>
      <c r="G200" s="11" t="str">
        <f>RAW_Продажи!F199</f>
        <v>P022</v>
      </c>
      <c r="H200" s="11" t="str">
        <f>RAW_Продажи!G199</f>
        <v>Завершен</v>
      </c>
      <c r="I200" s="12" t="str">
        <f t="shared" si="172"/>
        <v>062-24</v>
      </c>
      <c r="J200" s="12" t="str">
        <f t="shared" si="173"/>
        <v>₽</v>
      </c>
      <c r="K200" s="12">
        <f t="shared" si="174"/>
        <v>8000</v>
      </c>
      <c r="L200" s="19">
        <f t="shared" si="175"/>
        <v>45770</v>
      </c>
      <c r="M200" s="13" t="str">
        <f t="shared" si="176"/>
        <v>АРТ-062</v>
      </c>
      <c r="N200" s="13">
        <f t="shared" si="177"/>
        <v>2</v>
      </c>
      <c r="O200" s="13" t="str">
        <f>IFERROR(VLOOKUP(J200,Справочники!$G$6:$H$8,2,0),"RUB")</f>
        <v>RUB</v>
      </c>
      <c r="P200" s="14">
        <f>ROUND(K200*IFERROR(VLOOKUP(J200,Справочники!$G$6:$I$8,3,0),1),2)</f>
        <v>8000</v>
      </c>
      <c r="Q200" s="13" t="str">
        <f>IFERROR(VLOOKUP(H200,Справочники!$D$6:$E$14,2,0),"НЕИЗВЕСТНО")</f>
        <v>Завершен</v>
      </c>
      <c r="R200" s="20">
        <f>IFERROR(INDEX(Товары_очищенные!$Q$3:$Q$503,MATCH(M200,Товары_очищенные!$L$3:$L$503,0)),"нет в каталоге")</f>
        <v>122500</v>
      </c>
      <c r="S200" s="21" t="str">
        <f>IFERROR(INDEX(Товары_очищенные!$N$3:$N$503,MATCH(M200,Товары_очищенные!$L$3:$L$503,0)),"нет в каталоге")</f>
        <v>Ноутбуки</v>
      </c>
      <c r="T200" s="21" t="str">
        <f t="shared" si="178"/>
        <v>OK</v>
      </c>
      <c r="U200" s="12" t="str">
        <f t="shared" si="179"/>
        <v>23/04/2025|АРТ-062|C0198</v>
      </c>
      <c r="V200" s="12" t="str">
        <f t="shared" si="180"/>
        <v>оригинал</v>
      </c>
    </row>
    <row r="201" ht="15" customHeight="1">
      <c r="A201" s="10">
        <v>199</v>
      </c>
      <c r="B201" s="11" t="str">
        <f>RAW_Продажи!A200</f>
        <v>04/24/2025</v>
      </c>
      <c r="C201" s="11" t="str">
        <f>RAW_Продажи!B200</f>
        <v>№АРТ-134</v>
      </c>
      <c r="D201" s="11" t="str">
        <f>RAW_Продажи!C200</f>
        <v>1</v>
      </c>
      <c r="E201" s="11" t="str">
        <f>RAW_Продажи!D200</f>
        <v>$95</v>
      </c>
      <c r="F201" s="11" t="str">
        <f>RAW_Продажи!E200</f>
        <v>C0199</v>
      </c>
      <c r="G201" s="11" t="str">
        <f>RAW_Продажи!F200</f>
        <v>P043</v>
      </c>
      <c r="H201" s="11" t="str">
        <f>RAW_Продажи!G200</f>
        <v>возврат</v>
      </c>
      <c r="I201" s="12" t="str">
        <f t="shared" si="172"/>
        <v>134</v>
      </c>
      <c r="J201" s="12" t="str">
        <f t="shared" si="173"/>
        <v>$</v>
      </c>
      <c r="K201" s="12">
        <f t="shared" si="174"/>
        <v>95</v>
      </c>
      <c r="L201" s="19">
        <f t="shared" si="175"/>
        <v>45771</v>
      </c>
      <c r="M201" s="13" t="str">
        <f t="shared" si="176"/>
        <v>АРТ-134</v>
      </c>
      <c r="N201" s="13">
        <f t="shared" si="177"/>
        <v>1</v>
      </c>
      <c r="O201" s="13" t="str">
        <f>IFERROR(VLOOKUP(J201,Справочники!$G$6:$H$8,2,0),"RUB")</f>
        <v>USD</v>
      </c>
      <c r="P201" s="14">
        <f>ROUND(K201*IFERROR(VLOOKUP(J201,Справочники!$G$6:$I$8,3,0),1),2)</f>
        <v>9025</v>
      </c>
      <c r="Q201" s="13" t="str">
        <f>IFERROR(VLOOKUP(H201,Справочники!$D$6:$E$14,2,0),"НЕИЗВЕСТНО")</f>
        <v>Возврат</v>
      </c>
      <c r="R201" s="20">
        <f>IFERROR(INDEX(Товары_очищенные!$Q$3:$Q$503,MATCH(M201,Товары_очищенные!$L$3:$L$503,0)),"нет в каталоге")</f>
        <v>124000</v>
      </c>
      <c r="S201" s="21" t="str">
        <f>IFERROR(INDEX(Товары_очищенные!$N$3:$N$503,MATCH(M201,Товары_очищенные!$L$3:$L$503,0)),"нет в каталоге")</f>
        <v>Телевизоры</v>
      </c>
      <c r="T201" s="21" t="str">
        <f t="shared" si="178"/>
        <v>OK</v>
      </c>
      <c r="U201" s="12" t="str">
        <f t="shared" si="179"/>
        <v>24/04/2025|АРТ-134|C0199</v>
      </c>
      <c r="V201" s="12" t="str">
        <f t="shared" si="180"/>
        <v>оригинал</v>
      </c>
    </row>
    <row r="202" ht="15" customHeight="1">
      <c r="A202" s="10">
        <v>200</v>
      </c>
      <c r="B202" s="11" t="str">
        <f>RAW_Продажи!A201</f>
        <v>04/24/2025</v>
      </c>
      <c r="C202" s="11" t="str">
        <f>RAW_Продажи!B201</f>
        <v>АРТ_452</v>
      </c>
      <c r="D202" s="11" t="str">
        <f>RAW_Продажи!C201</f>
        <v>2</v>
      </c>
      <c r="E202" s="11" t="str">
        <f>RAW_Продажи!D201</f>
        <v>€75</v>
      </c>
      <c r="F202" s="11" t="str">
        <f>RAW_Продажи!E201</f>
        <v>C0200</v>
      </c>
      <c r="G202" s="11" t="str">
        <f>RAW_Продажи!F201</f>
        <v>P030</v>
      </c>
      <c r="H202" s="11" t="str">
        <f>RAW_Продажи!G201</f>
        <v>завершен</v>
      </c>
      <c r="I202" s="12" t="str">
        <f t="shared" si="172"/>
        <v>452</v>
      </c>
      <c r="J202" s="12" t="str">
        <f t="shared" si="173"/>
        <v>€</v>
      </c>
      <c r="K202" s="12">
        <f t="shared" si="174"/>
        <v>75</v>
      </c>
      <c r="L202" s="19">
        <f t="shared" si="175"/>
        <v>45771</v>
      </c>
      <c r="M202" s="13" t="str">
        <f t="shared" si="176"/>
        <v>АРТ-452</v>
      </c>
      <c r="N202" s="13">
        <f t="shared" si="177"/>
        <v>2</v>
      </c>
      <c r="O202" s="13" t="str">
        <f>IFERROR(VLOOKUP(J202,Справочники!$G$6:$H$8,2,0),"RUB")</f>
        <v>EUR</v>
      </c>
      <c r="P202" s="14">
        <f>ROUND(K202*IFERROR(VLOOKUP(J202,Справочники!$G$6:$I$8,3,0),1),2)</f>
        <v>7500</v>
      </c>
      <c r="Q202" s="13" t="str">
        <f>IFERROR(VLOOKUP(H202,Справочники!$D$6:$E$14,2,0),"НЕИЗВЕСТНО")</f>
        <v>Завершен</v>
      </c>
      <c r="R202" s="20">
        <f>IFERROR(INDEX(Товары_очищенные!$Q$3:$Q$503,MATCH(M202,Товары_очищенные!$L$3:$L$503,0)),"нет в каталоге")</f>
        <v>38500</v>
      </c>
      <c r="S202" s="21" t="str">
        <f>IFERROR(INDEX(Товары_очищенные!$N$3:$N$503,MATCH(M202,Товары_очищенные!$L$3:$L$503,0)),"нет в каталоге")</f>
        <v>Наушники</v>
      </c>
      <c r="T202" s="21" t="str">
        <f t="shared" si="178"/>
        <v>OK</v>
      </c>
      <c r="U202" s="12" t="str">
        <f t="shared" si="179"/>
        <v>24/04/2025|АРТ-452|C0200</v>
      </c>
      <c r="V202" s="12" t="str">
        <f t="shared" si="180"/>
        <v>оригинал</v>
      </c>
    </row>
    <row r="203" ht="15" customHeight="1">
      <c r="A203" s="10">
        <v>201</v>
      </c>
      <c r="B203" s="11" t="str">
        <f>RAW_Продажи!A202</f>
        <v>04/25/2025</v>
      </c>
      <c r="C203" s="11" t="str">
        <f>RAW_Продажи!B202</f>
        <v>333/24</v>
      </c>
      <c r="D203" s="11" t="str">
        <f>RAW_Продажи!C202</f>
        <v xml:space="preserve">3 шт.</v>
      </c>
      <c r="E203" s="11" t="str">
        <f>RAW_Продажи!D202</f>
        <v xml:space="preserve">7000 ₽</v>
      </c>
      <c r="F203" s="11" t="str">
        <f>RAW_Продажи!E202</f>
        <v>C0201</v>
      </c>
      <c r="G203" s="11" t="str">
        <f>RAW_Продажи!F202</f>
        <v>P012</v>
      </c>
      <c r="H203" s="11" t="str">
        <f>RAW_Продажи!G202</f>
        <v>completed</v>
      </c>
      <c r="I203" s="12" t="str">
        <f t="shared" si="172"/>
        <v>333/24</v>
      </c>
      <c r="J203" s="12" t="str">
        <f t="shared" si="173"/>
        <v>₽</v>
      </c>
      <c r="K203" s="12">
        <f t="shared" si="174"/>
        <v>7000</v>
      </c>
      <c r="L203" s="19">
        <f t="shared" si="175"/>
        <v>45772</v>
      </c>
      <c r="M203" s="13" t="str">
        <f t="shared" si="176"/>
        <v>АРТ-333</v>
      </c>
      <c r="N203" s="13">
        <f t="shared" si="177"/>
        <v>3</v>
      </c>
      <c r="O203" s="13" t="str">
        <f>IFERROR(VLOOKUP(J203,Справочники!$G$6:$H$8,2,0),"RUB")</f>
        <v>RUB</v>
      </c>
      <c r="P203" s="14">
        <f>ROUND(K203*IFERROR(VLOOKUP(J203,Справочники!$G$6:$I$8,3,0),1),2)</f>
        <v>7000</v>
      </c>
      <c r="Q203" s="13" t="str">
        <f>IFERROR(VLOOKUP(H203,Справочники!$D$6:$E$14,2,0),"НЕИЗВЕСТНО")</f>
        <v>Завершен</v>
      </c>
      <c r="R203" s="20">
        <f>IFERROR(INDEX(Товары_очищенные!$Q$3:$Q$503,MATCH(M203,Товары_очищенные!$L$3:$L$503,0)),"нет в каталоге")</f>
        <v>72000</v>
      </c>
      <c r="S203" s="21" t="str">
        <f>IFERROR(INDEX(Товары_очищенные!$N$3:$N$503,MATCH(M203,Товары_очищенные!$L$3:$L$503,0)),"нет в каталоге")</f>
        <v>Часы</v>
      </c>
      <c r="T203" s="21" t="str">
        <f t="shared" si="178"/>
        <v>OK</v>
      </c>
      <c r="U203" s="12" t="str">
        <f t="shared" si="179"/>
        <v>25/04/2025|АРТ-333|C0201</v>
      </c>
      <c r="V203" s="12" t="str">
        <f t="shared" si="180"/>
        <v>оригинал</v>
      </c>
    </row>
    <row r="204" ht="15" customHeight="1">
      <c r="A204" s="10">
        <v>202</v>
      </c>
      <c r="B204" s="11" t="str">
        <f>RAW_Продажи!A203</f>
        <v>04/25/2025</v>
      </c>
      <c r="C204" s="11" t="str">
        <f>RAW_Продажи!B203</f>
        <v>№АРТ-291</v>
      </c>
      <c r="D204" s="11" t="str">
        <f>RAW_Продажи!C203</f>
        <v>-2</v>
      </c>
      <c r="E204" s="11" t="str">
        <f>RAW_Продажи!D203</f>
        <v>$115</v>
      </c>
      <c r="F204" s="11" t="str">
        <f>RAW_Продажи!E203</f>
        <v>C0202</v>
      </c>
      <c r="G204" s="11" t="str">
        <f>RAW_Продажи!F203</f>
        <v>P007</v>
      </c>
      <c r="H204" s="11" t="str">
        <f>RAW_Продажи!G203</f>
        <v>Завершен</v>
      </c>
      <c r="I204" s="12" t="str">
        <f t="shared" si="172"/>
        <v>291</v>
      </c>
      <c r="J204" s="12" t="str">
        <f t="shared" si="173"/>
        <v>$</v>
      </c>
      <c r="K204" s="12">
        <f t="shared" si="174"/>
        <v>115</v>
      </c>
      <c r="L204" s="19">
        <f t="shared" si="175"/>
        <v>45772</v>
      </c>
      <c r="M204" s="13" t="str">
        <f t="shared" si="176"/>
        <v>АРТ-291</v>
      </c>
      <c r="N204" s="13">
        <f t="shared" si="177"/>
        <v>-2</v>
      </c>
      <c r="O204" s="13" t="str">
        <f>IFERROR(VLOOKUP(J204,Справочники!$G$6:$H$8,2,0),"RUB")</f>
        <v>USD</v>
      </c>
      <c r="P204" s="14">
        <f>ROUND(K204*IFERROR(VLOOKUP(J204,Справочники!$G$6:$I$8,3,0),1),2)</f>
        <v>10925</v>
      </c>
      <c r="Q204" s="13" t="str">
        <f>IFERROR(VLOOKUP(H204,Справочники!$D$6:$E$14,2,0),"НЕИЗВЕСТНО")</f>
        <v>Завершен</v>
      </c>
      <c r="R204" s="20">
        <f>IFERROR(INDEX(Товары_очищенные!$Q$3:$Q$503,MATCH(M204,Товары_очищенные!$L$3:$L$503,0)),"нет в каталоге")</f>
        <v>65000</v>
      </c>
      <c r="S204" s="21" t="str">
        <f>IFERROR(INDEX(Товары_очищенные!$N$3:$N$503,MATCH(M204,Товары_очищенные!$L$3:$L$503,0)),"нет в каталоге")</f>
        <v>Часы</v>
      </c>
      <c r="T204" s="21" t="str">
        <f t="shared" si="178"/>
        <v>OK</v>
      </c>
      <c r="U204" s="12" t="str">
        <f t="shared" si="179"/>
        <v>25/04/2025|АРТ-291|C0202</v>
      </c>
      <c r="V204" s="12" t="str">
        <f t="shared" si="180"/>
        <v>оригинал</v>
      </c>
    </row>
    <row r="205" ht="15" customHeight="1">
      <c r="A205" s="10">
        <v>203</v>
      </c>
      <c r="B205" s="11" t="str">
        <f>RAW_Продажи!A204</f>
        <v>04/26/2025</v>
      </c>
      <c r="C205" s="11" t="str">
        <f>RAW_Продажи!B204</f>
        <v>АРТ_180</v>
      </c>
      <c r="D205" s="11" t="str">
        <f>RAW_Продажи!C204</f>
        <v>1</v>
      </c>
      <c r="E205" s="11" t="str">
        <f>RAW_Продажи!D204</f>
        <v>€95</v>
      </c>
      <c r="F205" s="11" t="str">
        <f>RAW_Продажи!E204</f>
        <v>C0203</v>
      </c>
      <c r="G205" s="11" t="str">
        <f>RAW_Продажи!F204</f>
        <v>P023</v>
      </c>
      <c r="H205" s="11" t="str">
        <f>RAW_Продажи!G204</f>
        <v>canceled</v>
      </c>
      <c r="I205" s="12" t="str">
        <f t="shared" si="172"/>
        <v>180</v>
      </c>
      <c r="J205" s="12" t="str">
        <f t="shared" si="173"/>
        <v>€</v>
      </c>
      <c r="K205" s="12">
        <f t="shared" si="174"/>
        <v>95</v>
      </c>
      <c r="L205" s="19">
        <f t="shared" si="175"/>
        <v>45773</v>
      </c>
      <c r="M205" s="13" t="str">
        <f t="shared" si="176"/>
        <v>АРТ-180</v>
      </c>
      <c r="N205" s="13">
        <f t="shared" si="177"/>
        <v>1</v>
      </c>
      <c r="O205" s="13" t="str">
        <f>IFERROR(VLOOKUP(J205,Справочники!$G$6:$H$8,2,0),"RUB")</f>
        <v>EUR</v>
      </c>
      <c r="P205" s="14">
        <f>ROUND(K205*IFERROR(VLOOKUP(J205,Справочники!$G$6:$I$8,3,0),1),2)</f>
        <v>9500</v>
      </c>
      <c r="Q205" s="13" t="str">
        <f>IFERROR(VLOOKUP(H205,Справочники!$D$6:$E$14,2,0),"НЕИЗВЕСТНО")</f>
        <v>Отменен</v>
      </c>
      <c r="R205" s="20">
        <f>IFERROR(INDEX(Товары_очищенные!$Q$3:$Q$503,MATCH(M205,Товары_очищенные!$L$3:$L$503,0)),"нет в каталоге")</f>
        <v>14800</v>
      </c>
      <c r="S205" s="21" t="str">
        <f>IFERROR(INDEX(Товары_очищенные!$N$3:$N$503,MATCH(M205,Товары_очищенные!$L$3:$L$503,0)),"нет в каталоге")</f>
        <v>Наушники</v>
      </c>
      <c r="T205" s="21" t="str">
        <f t="shared" si="178"/>
        <v>OK</v>
      </c>
      <c r="U205" s="12" t="str">
        <f t="shared" si="179"/>
        <v>26/04/2025|АРТ-180|C0203</v>
      </c>
      <c r="V205" s="12" t="str">
        <f t="shared" si="180"/>
        <v>оригинал</v>
      </c>
    </row>
    <row r="206" ht="15" customHeight="1">
      <c r="A206" s="10">
        <v>204</v>
      </c>
      <c r="B206" s="11" t="str">
        <f>RAW_Продажи!A205</f>
        <v>04/26/2025</v>
      </c>
      <c r="C206" s="11" t="str">
        <f>RAW_Продажи!B205</f>
        <v>166-24</v>
      </c>
      <c r="D206" s="11" t="str">
        <f>RAW_Продажи!C205</f>
        <v>2</v>
      </c>
      <c r="E206" s="11" t="str">
        <f>RAW_Продажи!D205</f>
        <v xml:space="preserve">8500 ₽</v>
      </c>
      <c r="F206" s="11" t="str">
        <f>RAW_Продажи!E205</f>
        <v>C0204</v>
      </c>
      <c r="G206" s="11" t="str">
        <f>RAW_Продажи!F205</f>
        <v>P045</v>
      </c>
      <c r="H206" s="11" t="str">
        <f>RAW_Продажи!G205</f>
        <v>отменен</v>
      </c>
      <c r="I206" s="12" t="str">
        <f t="shared" si="172"/>
        <v>166-24</v>
      </c>
      <c r="J206" s="12" t="str">
        <f t="shared" si="173"/>
        <v>₽</v>
      </c>
      <c r="K206" s="12">
        <f t="shared" si="174"/>
        <v>8500</v>
      </c>
      <c r="L206" s="19">
        <f t="shared" si="175"/>
        <v>45773</v>
      </c>
      <c r="M206" s="13" t="str">
        <f t="shared" si="176"/>
        <v>АРТ-166</v>
      </c>
      <c r="N206" s="13">
        <f t="shared" si="177"/>
        <v>2</v>
      </c>
      <c r="O206" s="13" t="str">
        <f>IFERROR(VLOOKUP(J206,Справочники!$G$6:$H$8,2,0),"RUB")</f>
        <v>RUB</v>
      </c>
      <c r="P206" s="14">
        <f>ROUND(K206*IFERROR(VLOOKUP(J206,Справочники!$G$6:$I$8,3,0),1),2)</f>
        <v>8500</v>
      </c>
      <c r="Q206" s="13" t="str">
        <f>IFERROR(VLOOKUP(H206,Справочники!$D$6:$E$14,2,0),"НЕИЗВЕСТНО")</f>
        <v>Отменен</v>
      </c>
      <c r="R206" s="20">
        <f>IFERROR(INDEX(Товары_очищенные!$Q$3:$Q$503,MATCH(M206,Товары_очищенные!$L$3:$L$503,0)),"нет в каталоге")</f>
        <v>82990</v>
      </c>
      <c r="S206" s="21" t="str">
        <f>IFERROR(INDEX(Товары_очищенные!$N$3:$N$503,MATCH(M206,Товары_очищенные!$L$3:$L$503,0)),"нет в каталоге")</f>
        <v>Планшеты</v>
      </c>
      <c r="T206" s="21" t="str">
        <f t="shared" si="178"/>
        <v>OK</v>
      </c>
      <c r="U206" s="12" t="str">
        <f t="shared" si="179"/>
        <v>26/04/2025|АРТ-166|C0204</v>
      </c>
      <c r="V206" s="12" t="str">
        <f t="shared" si="180"/>
        <v>оригинал</v>
      </c>
    </row>
    <row r="207" ht="15" customHeight="1">
      <c r="A207" s="10">
        <v>205</v>
      </c>
      <c r="B207" s="11" t="str">
        <f>RAW_Продажи!A206</f>
        <v>04/27/2025</v>
      </c>
      <c r="C207" s="11" t="str">
        <f>RAW_Продажи!B206</f>
        <v>№АРТ-060</v>
      </c>
      <c r="D207" s="11" t="str">
        <f>RAW_Продажи!C206</f>
        <v>3</v>
      </c>
      <c r="E207" s="11" t="str">
        <f>RAW_Продажи!D206</f>
        <v>$105</v>
      </c>
      <c r="F207" s="11" t="str">
        <f>RAW_Продажи!E206</f>
        <v>C0205</v>
      </c>
      <c r="G207" s="11" t="str">
        <f>RAW_Продажи!F206</f>
        <v>P008</v>
      </c>
      <c r="H207" s="11" t="str">
        <f>RAW_Продажи!G206</f>
        <v>возврат</v>
      </c>
      <c r="I207" s="12" t="str">
        <f t="shared" si="172"/>
        <v>060</v>
      </c>
      <c r="J207" s="12" t="str">
        <f t="shared" si="173"/>
        <v>$</v>
      </c>
      <c r="K207" s="12">
        <f t="shared" si="174"/>
        <v>105</v>
      </c>
      <c r="L207" s="19">
        <f t="shared" si="175"/>
        <v>45774</v>
      </c>
      <c r="M207" s="13" t="str">
        <f t="shared" si="176"/>
        <v>АРТ-060</v>
      </c>
      <c r="N207" s="13">
        <f t="shared" si="177"/>
        <v>3</v>
      </c>
      <c r="O207" s="13" t="str">
        <f>IFERROR(VLOOKUP(J207,Справочники!$G$6:$H$8,2,0),"RUB")</f>
        <v>USD</v>
      </c>
      <c r="P207" s="14">
        <f>ROUND(K207*IFERROR(VLOOKUP(J207,Справочники!$G$6:$I$8,3,0),1),2)</f>
        <v>9975</v>
      </c>
      <c r="Q207" s="13" t="str">
        <f>IFERROR(VLOOKUP(H207,Справочники!$D$6:$E$14,2,0),"НЕИЗВЕСТНО")</f>
        <v>Возврат</v>
      </c>
      <c r="R207" s="20">
        <f>IFERROR(INDEX(Товары_очищенные!$Q$3:$Q$503,MATCH(M207,Товары_очищенные!$L$3:$L$503,0)),"нет в каталоге")</f>
        <v>69500</v>
      </c>
      <c r="S207" s="21" t="str">
        <f>IFERROR(INDEX(Товары_очищенные!$N$3:$N$503,MATCH(M207,Товары_очищенные!$L$3:$L$503,0)),"нет в каталоге")</f>
        <v>Планшеты</v>
      </c>
      <c r="T207" s="21" t="str">
        <f t="shared" si="178"/>
        <v>OK</v>
      </c>
      <c r="U207" s="12" t="str">
        <f t="shared" si="179"/>
        <v>27/04/2025|АРТ-060|C0205</v>
      </c>
      <c r="V207" s="12" t="str">
        <f t="shared" si="180"/>
        <v>оригинал</v>
      </c>
    </row>
    <row r="208" ht="15" customHeight="1">
      <c r="A208" s="10">
        <v>206</v>
      </c>
      <c r="B208" s="11" t="str">
        <f>RAW_Продажи!A207</f>
        <v>04/27/2025</v>
      </c>
      <c r="C208" s="11" t="str">
        <f>RAW_Продажи!B207</f>
        <v>АРТ_397</v>
      </c>
      <c r="D208" s="11" t="str">
        <f>RAW_Продажи!C207</f>
        <v>2</v>
      </c>
      <c r="E208" s="11" t="str">
        <f>RAW_Продажи!D207</f>
        <v>€85</v>
      </c>
      <c r="F208" s="11" t="str">
        <f>RAW_Продажи!E207</f>
        <v>C0206</v>
      </c>
      <c r="G208" s="11" t="str">
        <f>RAW_Продажи!F207</f>
        <v>P031</v>
      </c>
      <c r="H208" s="11" t="str">
        <f>RAW_Продажи!G207</f>
        <v>Завершен</v>
      </c>
      <c r="I208" s="12" t="str">
        <f t="shared" si="172"/>
        <v>397</v>
      </c>
      <c r="J208" s="12" t="str">
        <f t="shared" si="173"/>
        <v>€</v>
      </c>
      <c r="K208" s="12">
        <f t="shared" si="174"/>
        <v>85</v>
      </c>
      <c r="L208" s="19">
        <f t="shared" si="175"/>
        <v>45774</v>
      </c>
      <c r="M208" s="13" t="str">
        <f t="shared" si="176"/>
        <v>АРТ-397</v>
      </c>
      <c r="N208" s="13">
        <f t="shared" si="177"/>
        <v>2</v>
      </c>
      <c r="O208" s="13" t="str">
        <f>IFERROR(VLOOKUP(J208,Справочники!$G$6:$H$8,2,0),"RUB")</f>
        <v>EUR</v>
      </c>
      <c r="P208" s="14">
        <f>ROUND(K208*IFERROR(VLOOKUP(J208,Справочники!$G$6:$I$8,3,0),1),2)</f>
        <v>8500</v>
      </c>
      <c r="Q208" s="13" t="str">
        <f>IFERROR(VLOOKUP(H208,Справочники!$D$6:$E$14,2,0),"НЕИЗВЕСТНО")</f>
        <v>Завершен</v>
      </c>
      <c r="R208" s="20">
        <f>IFERROR(INDEX(Товары_очищенные!$Q$3:$Q$503,MATCH(M208,Товары_очищенные!$L$3:$L$503,0)),"нет в каталоге")</f>
        <v>7990</v>
      </c>
      <c r="S208" s="21" t="str">
        <f>IFERROR(INDEX(Товары_очищенные!$N$3:$N$503,MATCH(M208,Товары_очищенные!$L$3:$L$503,0)),"нет в каталоге")</f>
        <v>Аксессуары</v>
      </c>
      <c r="T208" s="21" t="str">
        <f t="shared" si="178"/>
        <v>OK</v>
      </c>
      <c r="U208" s="12" t="str">
        <f t="shared" si="179"/>
        <v>27/04/2025|АРТ-397|C0206</v>
      </c>
      <c r="V208" s="12" t="str">
        <f t="shared" si="180"/>
        <v>оригинал</v>
      </c>
    </row>
    <row r="209" ht="15" customHeight="1">
      <c r="A209" s="10">
        <v>207</v>
      </c>
      <c r="B209" s="11" t="str">
        <f>RAW_Продажи!A208</f>
        <v>04/28/2025</v>
      </c>
      <c r="C209" s="11" t="str">
        <f>RAW_Продажи!B208</f>
        <v>248/24</v>
      </c>
      <c r="D209" s="11" t="str">
        <f>RAW_Продажи!C208</f>
        <v xml:space="preserve">1 шт.</v>
      </c>
      <c r="E209" s="11" t="str">
        <f>RAW_Продажи!D208</f>
        <v xml:space="preserve">7800 ₽</v>
      </c>
      <c r="F209" s="11" t="str">
        <f>RAW_Продажи!E208</f>
        <v>C0207</v>
      </c>
      <c r="G209" s="11" t="str">
        <f>RAW_Продажи!F208</f>
        <v>P019</v>
      </c>
      <c r="H209" s="11" t="str">
        <f>RAW_Продажи!G208</f>
        <v>завершен</v>
      </c>
      <c r="I209" s="12" t="str">
        <f t="shared" si="172"/>
        <v>248/24</v>
      </c>
      <c r="J209" s="12" t="str">
        <f t="shared" si="173"/>
        <v>₽</v>
      </c>
      <c r="K209" s="12">
        <f t="shared" si="174"/>
        <v>7800</v>
      </c>
      <c r="L209" s="19">
        <f t="shared" si="175"/>
        <v>45775</v>
      </c>
      <c r="M209" s="13" t="str">
        <f t="shared" si="176"/>
        <v>АРТ-248</v>
      </c>
      <c r="N209" s="13">
        <f t="shared" si="177"/>
        <v>1</v>
      </c>
      <c r="O209" s="13" t="str">
        <f>IFERROR(VLOOKUP(J209,Справочники!$G$6:$H$8,2,0),"RUB")</f>
        <v>RUB</v>
      </c>
      <c r="P209" s="14">
        <f>ROUND(K209*IFERROR(VLOOKUP(J209,Справочники!$G$6:$I$8,3,0),1),2)</f>
        <v>7800</v>
      </c>
      <c r="Q209" s="13" t="str">
        <f>IFERROR(VLOOKUP(H209,Справочники!$D$6:$E$14,2,0),"НЕИЗВЕСТНО")</f>
        <v>Завершен</v>
      </c>
      <c r="R209" s="20">
        <f>IFERROR(INDEX(Товары_очищенные!$Q$3:$Q$503,MATCH(M209,Товары_очищенные!$L$3:$L$503,0)),"нет в каталоге")</f>
        <v>9500</v>
      </c>
      <c r="S209" s="21" t="str">
        <f>IFERROR(INDEX(Товары_очищенные!$N$3:$N$503,MATCH(M209,Товары_очищенные!$L$3:$L$503,0)),"нет в каталоге")</f>
        <v>Аксессуары</v>
      </c>
      <c r="T209" s="21" t="str">
        <f t="shared" si="178"/>
        <v>OK</v>
      </c>
      <c r="U209" s="12" t="str">
        <f t="shared" si="179"/>
        <v>28/04/2025|АРТ-248|C0207</v>
      </c>
      <c r="V209" s="12" t="str">
        <f t="shared" si="180"/>
        <v>оригинал</v>
      </c>
    </row>
    <row r="210" ht="15" customHeight="1">
      <c r="A210" s="10">
        <v>208</v>
      </c>
      <c r="B210" s="11" t="str">
        <f>RAW_Продажи!A209</f>
        <v>04/28/2025</v>
      </c>
      <c r="C210" s="11" t="str">
        <f>RAW_Продажи!B209</f>
        <v>№АРТ-383</v>
      </c>
      <c r="D210" s="11" t="str">
        <f>RAW_Продажи!C209</f>
        <v>-3</v>
      </c>
      <c r="E210" s="11" t="str">
        <f>RAW_Продажи!D209</f>
        <v>$120</v>
      </c>
      <c r="F210" s="11" t="str">
        <f>RAW_Продажи!E209</f>
        <v>C0208</v>
      </c>
      <c r="G210" s="11" t="str">
        <f>RAW_Продажи!F209</f>
        <v>P042</v>
      </c>
      <c r="H210" s="11" t="str">
        <f>RAW_Продажи!G209</f>
        <v>completed</v>
      </c>
      <c r="I210" s="12" t="str">
        <f t="shared" si="172"/>
        <v>383</v>
      </c>
      <c r="J210" s="12" t="str">
        <f t="shared" si="173"/>
        <v>$</v>
      </c>
      <c r="K210" s="12">
        <f t="shared" si="174"/>
        <v>120</v>
      </c>
      <c r="L210" s="19">
        <f t="shared" si="175"/>
        <v>45775</v>
      </c>
      <c r="M210" s="13" t="str">
        <f t="shared" si="176"/>
        <v>АРТ-383</v>
      </c>
      <c r="N210" s="13">
        <f t="shared" si="177"/>
        <v>-3</v>
      </c>
      <c r="O210" s="13" t="str">
        <f>IFERROR(VLOOKUP(J210,Справочники!$G$6:$H$8,2,0),"RUB")</f>
        <v>USD</v>
      </c>
      <c r="P210" s="14">
        <f>ROUND(K210*IFERROR(VLOOKUP(J210,Справочники!$G$6:$I$8,3,0),1),2)</f>
        <v>11400</v>
      </c>
      <c r="Q210" s="13" t="str">
        <f>IFERROR(VLOOKUP(H210,Справочники!$D$6:$E$14,2,0),"НЕИЗВЕСТНО")</f>
        <v>Завершен</v>
      </c>
      <c r="R210" s="20">
        <f>IFERROR(INDEX(Товары_очищенные!$Q$3:$Q$503,MATCH(M210,Товары_очищенные!$L$3:$L$503,0)),"нет в каталоге")</f>
        <v>41500</v>
      </c>
      <c r="S210" s="21" t="str">
        <f>IFERROR(INDEX(Товары_очищенные!$N$3:$N$503,MATCH(M210,Товары_очищенные!$L$3:$L$503,0)),"нет в каталоге")</f>
        <v>Смартфоны</v>
      </c>
      <c r="T210" s="21" t="str">
        <f t="shared" si="178"/>
        <v>OK</v>
      </c>
      <c r="U210" s="12" t="str">
        <f t="shared" si="179"/>
        <v>28/04/2025|АРТ-383|C0208</v>
      </c>
      <c r="V210" s="12" t="str">
        <f t="shared" si="180"/>
        <v>оригинал</v>
      </c>
    </row>
    <row r="211" ht="15" customHeight="1">
      <c r="A211" s="10">
        <v>209</v>
      </c>
      <c r="B211" s="11" t="str">
        <f>RAW_Продажи!A210</f>
        <v>04/29/2025</v>
      </c>
      <c r="C211" s="11" t="str">
        <f>RAW_Продажи!B210</f>
        <v>АРТ_229</v>
      </c>
      <c r="D211" s="11" t="str">
        <f>RAW_Продажи!C210</f>
        <v>2</v>
      </c>
      <c r="E211" s="11" t="str">
        <f>RAW_Продажи!D210</f>
        <v>€100</v>
      </c>
      <c r="F211" s="11" t="str">
        <f>RAW_Продажи!E210</f>
        <v>C0209</v>
      </c>
      <c r="G211" s="11" t="str">
        <f>RAW_Продажи!F210</f>
        <v>P005</v>
      </c>
      <c r="H211" s="11" t="str">
        <f>RAW_Продажи!G210</f>
        <v>отменен</v>
      </c>
      <c r="I211" s="12" t="str">
        <f t="shared" si="172"/>
        <v>229</v>
      </c>
      <c r="J211" s="12" t="str">
        <f t="shared" si="173"/>
        <v>€</v>
      </c>
      <c r="K211" s="12">
        <f t="shared" si="174"/>
        <v>100</v>
      </c>
      <c r="L211" s="19">
        <f t="shared" si="175"/>
        <v>45776</v>
      </c>
      <c r="M211" s="13" t="str">
        <f t="shared" si="176"/>
        <v>АРТ-229</v>
      </c>
      <c r="N211" s="13">
        <f t="shared" si="177"/>
        <v>2</v>
      </c>
      <c r="O211" s="13" t="str">
        <f>IFERROR(VLOOKUP(J211,Справочники!$G$6:$H$8,2,0),"RUB")</f>
        <v>EUR</v>
      </c>
      <c r="P211" s="14">
        <f>ROUND(K211*IFERROR(VLOOKUP(J211,Справочники!$G$6:$I$8,3,0),1),2)</f>
        <v>10000</v>
      </c>
      <c r="Q211" s="13" t="str">
        <f>IFERROR(VLOOKUP(H211,Справочники!$D$6:$E$14,2,0),"НЕИЗВЕСТНО")</f>
        <v>Отменен</v>
      </c>
      <c r="R211" s="20">
        <f>IFERROR(INDEX(Товары_очищенные!$Q$3:$Q$503,MATCH(M211,Товары_очищенные!$L$3:$L$503,0)),"нет в каталоге")</f>
        <v>119990</v>
      </c>
      <c r="S211" s="21" t="str">
        <f>IFERROR(INDEX(Товары_очищенные!$N$3:$N$503,MATCH(M211,Товары_очищенные!$L$3:$L$503,0)),"нет в каталоге")</f>
        <v>Ноутбуки</v>
      </c>
      <c r="T211" s="21" t="str">
        <f t="shared" si="178"/>
        <v>OK</v>
      </c>
      <c r="U211" s="12" t="str">
        <f t="shared" si="179"/>
        <v>29/04/2025|АРТ-229|C0209</v>
      </c>
      <c r="V211" s="12" t="str">
        <f t="shared" si="180"/>
        <v>оригинал</v>
      </c>
    </row>
    <row r="212" ht="15" customHeight="1">
      <c r="A212" s="10">
        <v>210</v>
      </c>
      <c r="B212" s="11" t="str">
        <f>RAW_Продажи!A211</f>
        <v>04/29/2025</v>
      </c>
      <c r="C212" s="11" t="str">
        <f>RAW_Продажи!B211</f>
        <v>034-24</v>
      </c>
      <c r="D212" s="11" t="str">
        <f>RAW_Продажи!C211</f>
        <v>1</v>
      </c>
      <c r="E212" s="11" t="str">
        <f>RAW_Продажи!D211</f>
        <v xml:space="preserve">9200 ₽</v>
      </c>
      <c r="F212" s="11" t="str">
        <f>RAW_Продажи!E211</f>
        <v>C0210</v>
      </c>
      <c r="G212" s="11" t="str">
        <f>RAW_Продажи!F211</f>
        <v>P036</v>
      </c>
      <c r="H212" s="11" t="str">
        <f>RAW_Продажи!G211</f>
        <v>canceled</v>
      </c>
      <c r="I212" s="12" t="str">
        <f t="shared" si="172"/>
        <v>034-24</v>
      </c>
      <c r="J212" s="12" t="str">
        <f t="shared" si="173"/>
        <v>₽</v>
      </c>
      <c r="K212" s="12">
        <f t="shared" si="174"/>
        <v>9200</v>
      </c>
      <c r="L212" s="19">
        <f t="shared" si="175"/>
        <v>45776</v>
      </c>
      <c r="M212" s="13" t="str">
        <f t="shared" si="176"/>
        <v>АРТ-034</v>
      </c>
      <c r="N212" s="13">
        <f t="shared" si="177"/>
        <v>1</v>
      </c>
      <c r="O212" s="13" t="str">
        <f>IFERROR(VLOOKUP(J212,Справочники!$G$6:$H$8,2,0),"RUB")</f>
        <v>RUB</v>
      </c>
      <c r="P212" s="14">
        <f>ROUND(K212*IFERROR(VLOOKUP(J212,Справочники!$G$6:$I$8,3,0),1),2)</f>
        <v>9200</v>
      </c>
      <c r="Q212" s="13" t="str">
        <f>IFERROR(VLOOKUP(H212,Справочники!$D$6:$E$14,2,0),"НЕИЗВЕСТНО")</f>
        <v>Отменен</v>
      </c>
      <c r="R212" s="20">
        <f>IFERROR(INDEX(Товары_очищенные!$Q$3:$Q$503,MATCH(M212,Товары_очищенные!$L$3:$L$503,0)),"нет в каталоге")</f>
        <v>64999</v>
      </c>
      <c r="S212" s="21" t="str">
        <f>IFERROR(INDEX(Товары_очищенные!$N$3:$N$503,MATCH(M212,Товары_очищенные!$L$3:$L$503,0)),"нет в каталоге")</f>
        <v>Планшеты</v>
      </c>
      <c r="T212" s="21" t="str">
        <f t="shared" si="178"/>
        <v>OK</v>
      </c>
      <c r="U212" s="12" t="str">
        <f t="shared" si="179"/>
        <v>29/04/2025|АРТ-034|C0210</v>
      </c>
      <c r="V212" s="12" t="str">
        <f t="shared" si="180"/>
        <v>оригинал</v>
      </c>
    </row>
    <row r="213" ht="15" customHeight="1">
      <c r="A213" s="10">
        <v>211</v>
      </c>
      <c r="B213" s="11" t="str">
        <f>RAW_Продажи!A212</f>
        <v>04/30/2025</v>
      </c>
      <c r="C213" s="11" t="str">
        <f>RAW_Продажи!B212</f>
        <v>№АРТ-159</v>
      </c>
      <c r="D213" s="11" t="str">
        <f>RAW_Продажи!C212</f>
        <v>3</v>
      </c>
      <c r="E213" s="11" t="str">
        <f>RAW_Продажи!D212</f>
        <v>$90</v>
      </c>
      <c r="F213" s="11" t="str">
        <f>RAW_Продажи!E212</f>
        <v>C0211</v>
      </c>
      <c r="G213" s="11" t="str">
        <f>RAW_Продажи!F212</f>
        <v>P014</v>
      </c>
      <c r="H213" s="11" t="str">
        <f>RAW_Продажи!G212</f>
        <v>Завершен</v>
      </c>
      <c r="I213" s="12" t="str">
        <f t="shared" si="172"/>
        <v>159</v>
      </c>
      <c r="J213" s="12" t="str">
        <f t="shared" si="173"/>
        <v>$</v>
      </c>
      <c r="K213" s="12">
        <f t="shared" si="174"/>
        <v>90</v>
      </c>
      <c r="L213" s="19">
        <f t="shared" si="175"/>
        <v>45777</v>
      </c>
      <c r="M213" s="13" t="str">
        <f t="shared" si="176"/>
        <v>АРТ-159</v>
      </c>
      <c r="N213" s="13">
        <f t="shared" si="177"/>
        <v>3</v>
      </c>
      <c r="O213" s="13" t="str">
        <f>IFERROR(VLOOKUP(J213,Справочники!$G$6:$H$8,2,0),"RUB")</f>
        <v>USD</v>
      </c>
      <c r="P213" s="14">
        <f>ROUND(K213*IFERROR(VLOOKUP(J213,Справочники!$G$6:$I$8,3,0),1),2)</f>
        <v>8550</v>
      </c>
      <c r="Q213" s="13" t="str">
        <f>IFERROR(VLOOKUP(H213,Справочники!$D$6:$E$14,2,0),"НЕИЗВЕСТНО")</f>
        <v>Завершен</v>
      </c>
      <c r="R213" s="20">
        <f>IFERROR(INDEX(Товары_очищенные!$Q$3:$Q$503,MATCH(M213,Товары_очищенные!$L$3:$L$503,0)),"нет в каталоге")</f>
        <v>95500</v>
      </c>
      <c r="S213" s="21" t="str">
        <f>IFERROR(INDEX(Товары_очищенные!$N$3:$N$503,MATCH(M213,Товары_очищенные!$L$3:$L$503,0)),"нет в каталоге")</f>
        <v>Мониторы</v>
      </c>
      <c r="T213" s="21" t="str">
        <f t="shared" si="178"/>
        <v>OK</v>
      </c>
      <c r="U213" s="12" t="str">
        <f t="shared" si="179"/>
        <v>30/04/2025|АРТ-159|C0211</v>
      </c>
      <c r="V213" s="12" t="str">
        <f t="shared" si="180"/>
        <v>оригинал</v>
      </c>
    </row>
    <row r="214" ht="15" customHeight="1">
      <c r="A214" s="10">
        <v>212</v>
      </c>
      <c r="B214" s="11" t="str">
        <f>RAW_Продажи!A213</f>
        <v>04/30/2025</v>
      </c>
      <c r="C214" s="11" t="str">
        <f>RAW_Продажи!B213</f>
        <v>АРТ_459</v>
      </c>
      <c r="D214" s="11" t="str">
        <f>RAW_Продажи!C213</f>
        <v>2</v>
      </c>
      <c r="E214" s="11" t="str">
        <f>RAW_Продажи!D213</f>
        <v>€70</v>
      </c>
      <c r="F214" s="11" t="str">
        <f>RAW_Продажи!E213</f>
        <v>C0212</v>
      </c>
      <c r="G214" s="11" t="str">
        <f>RAW_Продажи!F213</f>
        <v>P028</v>
      </c>
      <c r="H214" s="11" t="str">
        <f>RAW_Продажи!G213</f>
        <v>возврат</v>
      </c>
      <c r="I214" s="12" t="str">
        <f t="shared" si="172"/>
        <v>459</v>
      </c>
      <c r="J214" s="12" t="str">
        <f t="shared" si="173"/>
        <v>€</v>
      </c>
      <c r="K214" s="12">
        <f t="shared" si="174"/>
        <v>70</v>
      </c>
      <c r="L214" s="19">
        <f t="shared" si="175"/>
        <v>45777</v>
      </c>
      <c r="M214" s="13" t="str">
        <f t="shared" si="176"/>
        <v>АРТ-459</v>
      </c>
      <c r="N214" s="13">
        <f t="shared" si="177"/>
        <v>2</v>
      </c>
      <c r="O214" s="13" t="str">
        <f>IFERROR(VLOOKUP(J214,Справочники!$G$6:$H$8,2,0),"RUB")</f>
        <v>EUR</v>
      </c>
      <c r="P214" s="14">
        <f>ROUND(K214*IFERROR(VLOOKUP(J214,Справочники!$G$6:$I$8,3,0),1),2)</f>
        <v>7000</v>
      </c>
      <c r="Q214" s="13" t="str">
        <f>IFERROR(VLOOKUP(H214,Справочники!$D$6:$E$14,2,0),"НЕИЗВЕСТНО")</f>
        <v>Возврат</v>
      </c>
      <c r="R214" s="20">
        <f>IFERROR(INDEX(Товары_очищенные!$Q$3:$Q$503,MATCH(M214,Товары_очищенные!$L$3:$L$503,0)),"нет в каталоге")</f>
        <v>7800</v>
      </c>
      <c r="S214" s="21" t="str">
        <f>IFERROR(INDEX(Товары_очищенные!$N$3:$N$503,MATCH(M214,Товары_очищенные!$L$3:$L$503,0)),"нет в каталоге")</f>
        <v>Аксессуары</v>
      </c>
      <c r="T214" s="21" t="str">
        <f t="shared" si="178"/>
        <v>OK</v>
      </c>
      <c r="U214" s="12" t="str">
        <f t="shared" si="179"/>
        <v>30/04/2025|АРТ-459|C0212</v>
      </c>
      <c r="V214" s="12" t="str">
        <f t="shared" si="180"/>
        <v>оригинал</v>
      </c>
    </row>
    <row r="215" ht="15" customHeight="1">
      <c r="A215" s="10">
        <v>213</v>
      </c>
      <c r="B215" s="11" t="str">
        <f>RAW_Продажи!A214</f>
        <v>05/01/2025</v>
      </c>
      <c r="C215" s="11" t="str">
        <f>RAW_Продажи!B214</f>
        <v>296/24</v>
      </c>
      <c r="D215" s="11" t="str">
        <f>RAW_Продажи!C214</f>
        <v xml:space="preserve">1 шт.</v>
      </c>
      <c r="E215" s="11" t="str">
        <f>RAW_Продажи!D214</f>
        <v xml:space="preserve">6500 ₽</v>
      </c>
      <c r="F215" s="11" t="str">
        <f>RAW_Продажи!E214</f>
        <v>C0213</v>
      </c>
      <c r="G215" s="11" t="str">
        <f>RAW_Продажи!F214</f>
        <v>P009</v>
      </c>
      <c r="H215" s="11" t="str">
        <f>RAW_Продажи!G214</f>
        <v>завершен</v>
      </c>
      <c r="I215" s="12" t="str">
        <f t="shared" si="172"/>
        <v>296/24</v>
      </c>
      <c r="J215" s="12" t="str">
        <f t="shared" si="173"/>
        <v>₽</v>
      </c>
      <c r="K215" s="12">
        <f t="shared" si="174"/>
        <v>6500</v>
      </c>
      <c r="L215" s="19">
        <f t="shared" si="175"/>
        <v>45778</v>
      </c>
      <c r="M215" s="13" t="str">
        <f t="shared" si="176"/>
        <v>АРТ-296</v>
      </c>
      <c r="N215" s="13">
        <f t="shared" si="177"/>
        <v>1</v>
      </c>
      <c r="O215" s="13" t="str">
        <f>IFERROR(VLOOKUP(J215,Справочники!$G$6:$H$8,2,0),"RUB")</f>
        <v>RUB</v>
      </c>
      <c r="P215" s="14">
        <f>ROUND(K215*IFERROR(VLOOKUP(J215,Справочники!$G$6:$I$8,3,0),1),2)</f>
        <v>6500</v>
      </c>
      <c r="Q215" s="13" t="str">
        <f>IFERROR(VLOOKUP(H215,Справочники!$D$6:$E$14,2,0),"НЕИЗВЕСТНО")</f>
        <v>Завершен</v>
      </c>
      <c r="R215" s="20">
        <f>IFERROR(INDEX(Товары_очищенные!$Q$3:$Q$503,MATCH(M215,Товары_очищенные!$L$3:$L$503,0)),"нет в каталоге")</f>
        <v>33500</v>
      </c>
      <c r="S215" s="21" t="str">
        <f>IFERROR(INDEX(Товары_очищенные!$N$3:$N$503,MATCH(M215,Товары_очищенные!$L$3:$L$503,0)),"нет в каталоге")</f>
        <v>Смартфоны</v>
      </c>
      <c r="T215" s="21" t="str">
        <f t="shared" si="178"/>
        <v>OK</v>
      </c>
      <c r="U215" s="12" t="str">
        <f t="shared" si="179"/>
        <v>01/05/2025|АРТ-296|C0213</v>
      </c>
      <c r="V215" s="12" t="str">
        <f t="shared" si="180"/>
        <v>оригинал</v>
      </c>
    </row>
    <row r="216" ht="15" customHeight="1">
      <c r="A216" s="10">
        <v>214</v>
      </c>
      <c r="B216" s="11" t="str">
        <f>RAW_Продажи!A215</f>
        <v>05/01/2025</v>
      </c>
      <c r="C216" s="11" t="str">
        <f>RAW_Продажи!B215</f>
        <v>№АРТ-267</v>
      </c>
      <c r="D216" s="11" t="str">
        <f>RAW_Продажи!C215</f>
        <v>-1</v>
      </c>
      <c r="E216" s="11" t="str">
        <f>RAW_Продажи!D215</f>
        <v>$110</v>
      </c>
      <c r="F216" s="11" t="str">
        <f>RAW_Продажи!E215</f>
        <v>C0214</v>
      </c>
      <c r="G216" s="11" t="str">
        <f>RAW_Продажи!F215</f>
        <v>P041</v>
      </c>
      <c r="H216" s="11" t="str">
        <f>RAW_Продажи!G215</f>
        <v>completed</v>
      </c>
      <c r="I216" s="12" t="str">
        <f t="shared" si="172"/>
        <v>267</v>
      </c>
      <c r="J216" s="12" t="str">
        <f t="shared" si="173"/>
        <v>$</v>
      </c>
      <c r="K216" s="12">
        <f t="shared" si="174"/>
        <v>110</v>
      </c>
      <c r="L216" s="19">
        <f t="shared" si="175"/>
        <v>45778</v>
      </c>
      <c r="M216" s="13" t="str">
        <f t="shared" si="176"/>
        <v>АРТ-267</v>
      </c>
      <c r="N216" s="13">
        <f t="shared" si="177"/>
        <v>-1</v>
      </c>
      <c r="O216" s="13" t="str">
        <f>IFERROR(VLOOKUP(J216,Справочники!$G$6:$H$8,2,0),"RUB")</f>
        <v>USD</v>
      </c>
      <c r="P216" s="14">
        <f>ROUND(K216*IFERROR(VLOOKUP(J216,Справочники!$G$6:$I$8,3,0),1),2)</f>
        <v>10450</v>
      </c>
      <c r="Q216" s="13" t="str">
        <f>IFERROR(VLOOKUP(H216,Справочники!$D$6:$E$14,2,0),"НЕИЗВЕСТНО")</f>
        <v>Завершен</v>
      </c>
      <c r="R216" s="20">
        <f>IFERROR(INDEX(Товары_очищенные!$Q$3:$Q$503,MATCH(M216,Товары_очищенные!$L$3:$L$503,0)),"нет в каталоге")</f>
        <v>70000</v>
      </c>
      <c r="S216" s="21" t="str">
        <f>IFERROR(INDEX(Товары_очищенные!$N$3:$N$503,MATCH(M216,Товары_очищенные!$L$3:$L$503,0)),"нет в каталоге")</f>
        <v>Мониторы</v>
      </c>
      <c r="T216" s="21" t="str">
        <f t="shared" si="178"/>
        <v>OK</v>
      </c>
      <c r="U216" s="12" t="str">
        <f t="shared" si="179"/>
        <v>01/05/2025|АРТ-267|C0214</v>
      </c>
      <c r="V216" s="12" t="str">
        <f t="shared" si="180"/>
        <v>оригинал</v>
      </c>
    </row>
    <row r="217" ht="15" customHeight="1">
      <c r="A217" s="10">
        <v>215</v>
      </c>
      <c r="B217" s="11" t="str">
        <f>RAW_Продажи!A216</f>
        <v>05/02/2025</v>
      </c>
      <c r="C217" s="11" t="str">
        <f>RAW_Продажи!B216</f>
        <v>АРТ_340</v>
      </c>
      <c r="D217" s="11" t="str">
        <f>RAW_Продажи!C216</f>
        <v>3</v>
      </c>
      <c r="E217" s="11" t="str">
        <f>RAW_Продажи!D216</f>
        <v>€90</v>
      </c>
      <c r="F217" s="11" t="str">
        <f>RAW_Продажи!E216</f>
        <v>C0215</v>
      </c>
      <c r="G217" s="11" t="str">
        <f>RAW_Продажи!F216</f>
        <v>P017</v>
      </c>
      <c r="H217" s="11" t="str">
        <f>RAW_Продажи!G216</f>
        <v>Завершен</v>
      </c>
      <c r="I217" s="12" t="str">
        <f t="shared" si="172"/>
        <v>340</v>
      </c>
      <c r="J217" s="12" t="str">
        <f t="shared" si="173"/>
        <v>€</v>
      </c>
      <c r="K217" s="12">
        <f t="shared" si="174"/>
        <v>90</v>
      </c>
      <c r="L217" s="19">
        <f t="shared" si="175"/>
        <v>45779</v>
      </c>
      <c r="M217" s="13" t="str">
        <f t="shared" si="176"/>
        <v>АРТ-340</v>
      </c>
      <c r="N217" s="13">
        <f t="shared" si="177"/>
        <v>3</v>
      </c>
      <c r="O217" s="13" t="str">
        <f>IFERROR(VLOOKUP(J217,Справочники!$G$6:$H$8,2,0),"RUB")</f>
        <v>EUR</v>
      </c>
      <c r="P217" s="14">
        <f>ROUND(K217*IFERROR(VLOOKUP(J217,Справочники!$G$6:$I$8,3,0),1),2)</f>
        <v>9000</v>
      </c>
      <c r="Q217" s="13" t="str">
        <f>IFERROR(VLOOKUP(H217,Справочники!$D$6:$E$14,2,0),"НЕИЗВЕСТНО")</f>
        <v>Завершен</v>
      </c>
      <c r="R217" s="20">
        <f>IFERROR(INDEX(Товары_очищенные!$Q$3:$Q$503,MATCH(M217,Товары_очищенные!$L$3:$L$503,0)),"нет в каталоге")</f>
        <v>134990</v>
      </c>
      <c r="S217" s="21" t="str">
        <f>IFERROR(INDEX(Товары_очищенные!$N$3:$N$503,MATCH(M217,Товары_очищенные!$L$3:$L$503,0)),"нет в каталоге")</f>
        <v>Ноутбуки</v>
      </c>
      <c r="T217" s="21" t="str">
        <f t="shared" si="178"/>
        <v>OK</v>
      </c>
      <c r="U217" s="12" t="str">
        <f t="shared" si="179"/>
        <v>02/05/2025|АРТ-340|C0215</v>
      </c>
      <c r="V217" s="12" t="str">
        <f t="shared" si="180"/>
        <v>оригинал</v>
      </c>
    </row>
    <row r="218" ht="15" customHeight="1">
      <c r="A218" s="10">
        <v>216</v>
      </c>
      <c r="B218" s="11" t="str">
        <f>RAW_Продажи!A217</f>
        <v>05/02/2025</v>
      </c>
      <c r="C218" s="11" t="str">
        <f>RAW_Продажи!B217</f>
        <v>084-24</v>
      </c>
      <c r="D218" s="11" t="str">
        <f>RAW_Продажи!C217</f>
        <v>2</v>
      </c>
      <c r="E218" s="11" t="str">
        <f>RAW_Продажи!D217</f>
        <v xml:space="preserve">8000 ₽</v>
      </c>
      <c r="F218" s="11" t="str">
        <f>RAW_Продажи!E217</f>
        <v>C0216</v>
      </c>
      <c r="G218" s="11" t="str">
        <f>RAW_Продажи!F217</f>
        <v>P032</v>
      </c>
      <c r="H218" s="11" t="str">
        <f>RAW_Продажи!G217</f>
        <v>canceled</v>
      </c>
      <c r="I218" s="12" t="str">
        <f t="shared" si="172"/>
        <v>084-24</v>
      </c>
      <c r="J218" s="12" t="str">
        <f t="shared" si="173"/>
        <v>₽</v>
      </c>
      <c r="K218" s="12">
        <f t="shared" si="174"/>
        <v>8000</v>
      </c>
      <c r="L218" s="19">
        <f t="shared" si="175"/>
        <v>45779</v>
      </c>
      <c r="M218" s="13" t="str">
        <f t="shared" si="176"/>
        <v>АРТ-084</v>
      </c>
      <c r="N218" s="13">
        <f t="shared" si="177"/>
        <v>2</v>
      </c>
      <c r="O218" s="13" t="str">
        <f>IFERROR(VLOOKUP(J218,Справочники!$G$6:$H$8,2,0),"RUB")</f>
        <v>RUB</v>
      </c>
      <c r="P218" s="14">
        <f>ROUND(K218*IFERROR(VLOOKUP(J218,Справочники!$G$6:$I$8,3,0),1),2)</f>
        <v>8000</v>
      </c>
      <c r="Q218" s="13" t="str">
        <f>IFERROR(VLOOKUP(H218,Справочники!$D$6:$E$14,2,0),"НЕИЗВЕСТНО")</f>
        <v>Отменен</v>
      </c>
      <c r="R218" s="20">
        <f>IFERROR(INDEX(Товары_очищенные!$Q$3:$Q$503,MATCH(M218,Товары_очищенные!$L$3:$L$503,0)),"нет в каталоге")</f>
        <v>41000</v>
      </c>
      <c r="S218" s="21" t="str">
        <f>IFERROR(INDEX(Товары_очищенные!$N$3:$N$503,MATCH(M218,Товары_очищенные!$L$3:$L$503,0)),"нет в каталоге")</f>
        <v>Часы</v>
      </c>
      <c r="T218" s="21" t="str">
        <f t="shared" si="178"/>
        <v>OK</v>
      </c>
      <c r="U218" s="12" t="str">
        <f t="shared" si="179"/>
        <v>02/05/2025|АРТ-084|C0216</v>
      </c>
      <c r="V218" s="12" t="str">
        <f t="shared" si="180"/>
        <v>оригинал</v>
      </c>
    </row>
    <row r="219" ht="15" customHeight="1">
      <c r="A219" s="10">
        <v>217</v>
      </c>
      <c r="B219" s="11" t="str">
        <f>RAW_Продажи!A218</f>
        <v>05/03/2025</v>
      </c>
      <c r="C219" s="11" t="str">
        <f>RAW_Продажи!B218</f>
        <v>№АРТ-148</v>
      </c>
      <c r="D219" s="11" t="str">
        <f>RAW_Продажи!C218</f>
        <v>1</v>
      </c>
      <c r="E219" s="11" t="str">
        <f>RAW_Продажи!D218</f>
        <v>$95</v>
      </c>
      <c r="F219" s="11" t="str">
        <f>RAW_Продажи!E218</f>
        <v>C0217</v>
      </c>
      <c r="G219" s="11" t="str">
        <f>RAW_Продажи!F218</f>
        <v>P049</v>
      </c>
      <c r="H219" s="11" t="str">
        <f>RAW_Продажи!G218</f>
        <v>отменен</v>
      </c>
      <c r="I219" s="12" t="str">
        <f t="shared" si="172"/>
        <v>148</v>
      </c>
      <c r="J219" s="12" t="str">
        <f t="shared" si="173"/>
        <v>$</v>
      </c>
      <c r="K219" s="12">
        <f t="shared" si="174"/>
        <v>95</v>
      </c>
      <c r="L219" s="19">
        <f t="shared" si="175"/>
        <v>45780</v>
      </c>
      <c r="M219" s="13" t="str">
        <f t="shared" si="176"/>
        <v>АРТ-148</v>
      </c>
      <c r="N219" s="13">
        <f t="shared" si="177"/>
        <v>1</v>
      </c>
      <c r="O219" s="13" t="str">
        <f>IFERROR(VLOOKUP(J219,Справочники!$G$6:$H$8,2,0),"RUB")</f>
        <v>USD</v>
      </c>
      <c r="P219" s="14">
        <f>ROUND(K219*IFERROR(VLOOKUP(J219,Справочники!$G$6:$I$8,3,0),1),2)</f>
        <v>9025</v>
      </c>
      <c r="Q219" s="13" t="str">
        <f>IFERROR(VLOOKUP(H219,Справочники!$D$6:$E$14,2,0),"НЕИЗВЕСТНО")</f>
        <v>Отменен</v>
      </c>
      <c r="R219" s="20">
        <f>IFERROR(INDEX(Товары_очищенные!$Q$3:$Q$503,MATCH(M219,Товары_очищенные!$L$3:$L$503,0)),"нет в каталоге")</f>
        <v>139990</v>
      </c>
      <c r="S219" s="21" t="str">
        <f>IFERROR(INDEX(Товары_очищенные!$N$3:$N$503,MATCH(M219,Товары_очищенные!$L$3:$L$503,0)),"нет в каталоге")</f>
        <v>Ноутбуки</v>
      </c>
      <c r="T219" s="21" t="str">
        <f t="shared" si="178"/>
        <v>OK</v>
      </c>
      <c r="U219" s="12" t="str">
        <f t="shared" si="179"/>
        <v>03/05/2025|АРТ-148|C0217</v>
      </c>
      <c r="V219" s="12" t="str">
        <f t="shared" si="180"/>
        <v>оригинал</v>
      </c>
    </row>
    <row r="220" ht="15" customHeight="1">
      <c r="A220" s="10">
        <v>218</v>
      </c>
      <c r="B220" s="11" t="str">
        <f>RAW_Продажи!A219</f>
        <v>05/03/2025</v>
      </c>
      <c r="C220" s="11" t="str">
        <f>RAW_Продажи!B219</f>
        <v>АРТ_474</v>
      </c>
      <c r="D220" s="11" t="str">
        <f>RAW_Продажи!C219</f>
        <v>2</v>
      </c>
      <c r="E220" s="11" t="str">
        <f>RAW_Продажи!D219</f>
        <v>€75</v>
      </c>
      <c r="F220" s="11" t="str">
        <f>RAW_Продажи!E219</f>
        <v>C0218</v>
      </c>
      <c r="G220" s="11" t="str">
        <f>RAW_Продажи!F219</f>
        <v>P006</v>
      </c>
      <c r="H220" s="11" t="str">
        <f>RAW_Продажи!G219</f>
        <v>возврат</v>
      </c>
      <c r="I220" s="12" t="str">
        <f t="shared" si="172"/>
        <v>474</v>
      </c>
      <c r="J220" s="12" t="str">
        <f t="shared" si="173"/>
        <v>€</v>
      </c>
      <c r="K220" s="12">
        <f t="shared" si="174"/>
        <v>75</v>
      </c>
      <c r="L220" s="19">
        <f t="shared" si="175"/>
        <v>45780</v>
      </c>
      <c r="M220" s="13" t="str">
        <f t="shared" si="176"/>
        <v>АРТ-474</v>
      </c>
      <c r="N220" s="13">
        <f t="shared" si="177"/>
        <v>2</v>
      </c>
      <c r="O220" s="13" t="str">
        <f>IFERROR(VLOOKUP(J220,Справочники!$G$6:$H$8,2,0),"RUB")</f>
        <v>EUR</v>
      </c>
      <c r="P220" s="14">
        <f>ROUND(K220*IFERROR(VLOOKUP(J220,Справочники!$G$6:$I$8,3,0),1),2)</f>
        <v>7500</v>
      </c>
      <c r="Q220" s="13" t="str">
        <f>IFERROR(VLOOKUP(H220,Справочники!$D$6:$E$14,2,0),"НЕИЗВЕСТНО")</f>
        <v>Возврат</v>
      </c>
      <c r="R220" s="20">
        <f>IFERROR(INDEX(Товары_очищенные!$Q$3:$Q$503,MATCH(M220,Товары_очищенные!$L$3:$L$503,0)),"нет в каталоге")</f>
        <v>9800</v>
      </c>
      <c r="S220" s="21" t="str">
        <f>IFERROR(INDEX(Товары_очищенные!$N$3:$N$503,MATCH(M220,Товары_очищенные!$L$3:$L$503,0)),"нет в каталоге")</f>
        <v>Наушники</v>
      </c>
      <c r="T220" s="21" t="str">
        <f t="shared" si="178"/>
        <v>OK</v>
      </c>
      <c r="U220" s="12" t="str">
        <f t="shared" si="179"/>
        <v>03/05/2025|АРТ-474|C0218</v>
      </c>
      <c r="V220" s="12" t="str">
        <f t="shared" si="180"/>
        <v>оригинал</v>
      </c>
    </row>
    <row r="221" ht="15" customHeight="1">
      <c r="A221" s="10">
        <v>219</v>
      </c>
      <c r="B221" s="11" t="str">
        <f>RAW_Продажи!A220</f>
        <v>05/04/2025</v>
      </c>
      <c r="C221" s="11" t="str">
        <f>RAW_Продажи!B220</f>
        <v>357/24</v>
      </c>
      <c r="D221" s="11" t="str">
        <f>RAW_Продажи!C220</f>
        <v xml:space="preserve">3 шт.</v>
      </c>
      <c r="E221" s="11" t="str">
        <f>RAW_Продажи!D220</f>
        <v xml:space="preserve">7000 ₽</v>
      </c>
      <c r="F221" s="11" t="str">
        <f>RAW_Продажи!E220</f>
        <v>C0219</v>
      </c>
      <c r="G221" s="11" t="str">
        <f>RAW_Продажи!F220</f>
        <v>P024</v>
      </c>
      <c r="H221" s="11" t="str">
        <f>RAW_Продажи!G220</f>
        <v>Завершен</v>
      </c>
      <c r="I221" s="12" t="str">
        <f t="shared" si="172"/>
        <v>357/24</v>
      </c>
      <c r="J221" s="12" t="str">
        <f t="shared" si="173"/>
        <v>₽</v>
      </c>
      <c r="K221" s="12">
        <f t="shared" si="174"/>
        <v>7000</v>
      </c>
      <c r="L221" s="19">
        <f t="shared" si="175"/>
        <v>45781</v>
      </c>
      <c r="M221" s="13" t="str">
        <f t="shared" si="176"/>
        <v>АРТ-357</v>
      </c>
      <c r="N221" s="13">
        <f t="shared" si="177"/>
        <v>3</v>
      </c>
      <c r="O221" s="13" t="str">
        <f>IFERROR(VLOOKUP(J221,Справочники!$G$6:$H$8,2,0),"RUB")</f>
        <v>RUB</v>
      </c>
      <c r="P221" s="14">
        <f>ROUND(K221*IFERROR(VLOOKUP(J221,Справочники!$G$6:$I$8,3,0),1),2)</f>
        <v>7000</v>
      </c>
      <c r="Q221" s="13" t="str">
        <f>IFERROR(VLOOKUP(H221,Справочники!$D$6:$E$14,2,0),"НЕИЗВЕСТНО")</f>
        <v>Завершен</v>
      </c>
      <c r="R221" s="20">
        <f>IFERROR(INDEX(Товары_очищенные!$Q$3:$Q$503,MATCH(M221,Товары_очищенные!$L$3:$L$503,0)),"нет в каталоге")</f>
        <v>88000</v>
      </c>
      <c r="S221" s="21" t="str">
        <f>IFERROR(INDEX(Товары_очищенные!$N$3:$N$503,MATCH(M221,Товары_очищенные!$L$3:$L$503,0)),"нет в каталоге")</f>
        <v>Смартфоны</v>
      </c>
      <c r="T221" s="21" t="str">
        <f t="shared" si="178"/>
        <v>OK</v>
      </c>
      <c r="U221" s="12" t="str">
        <f t="shared" si="179"/>
        <v>04/05/2025|АРТ-357|C0219</v>
      </c>
      <c r="V221" s="12" t="str">
        <f t="shared" si="180"/>
        <v>оригинал</v>
      </c>
    </row>
    <row r="222" ht="15" customHeight="1">
      <c r="A222" s="10">
        <v>220</v>
      </c>
      <c r="B222" s="11" t="str">
        <f>RAW_Продажи!A221</f>
        <v>05/04/2025</v>
      </c>
      <c r="C222" s="11" t="str">
        <f>RAW_Продажи!B221</f>
        <v>№АРТ-312</v>
      </c>
      <c r="D222" s="11" t="str">
        <f>RAW_Продажи!C221</f>
        <v>-2</v>
      </c>
      <c r="E222" s="11" t="str">
        <f>RAW_Продажи!D221</f>
        <v>$115</v>
      </c>
      <c r="F222" s="11" t="str">
        <f>RAW_Продажи!E221</f>
        <v>C0220</v>
      </c>
      <c r="G222" s="11" t="str">
        <f>RAW_Продажи!F221</f>
        <v>P015</v>
      </c>
      <c r="H222" s="11" t="str">
        <f>RAW_Продажи!G221</f>
        <v>завершен</v>
      </c>
      <c r="I222" s="12" t="str">
        <f t="shared" si="172"/>
        <v>312</v>
      </c>
      <c r="J222" s="12" t="str">
        <f t="shared" si="173"/>
        <v>$</v>
      </c>
      <c r="K222" s="12">
        <f t="shared" si="174"/>
        <v>115</v>
      </c>
      <c r="L222" s="19">
        <f t="shared" si="175"/>
        <v>45781</v>
      </c>
      <c r="M222" s="13" t="str">
        <f t="shared" si="176"/>
        <v>АРТ-312</v>
      </c>
      <c r="N222" s="13">
        <f t="shared" si="177"/>
        <v>-2</v>
      </c>
      <c r="O222" s="13" t="str">
        <f>IFERROR(VLOOKUP(J222,Справочники!$G$6:$H$8,2,0),"RUB")</f>
        <v>USD</v>
      </c>
      <c r="P222" s="14">
        <f>ROUND(K222*IFERROR(VLOOKUP(J222,Справочники!$G$6:$I$8,3,0),1),2)</f>
        <v>10925</v>
      </c>
      <c r="Q222" s="13" t="str">
        <f>IFERROR(VLOOKUP(H222,Справочники!$D$6:$E$14,2,0),"НЕИЗВЕСТНО")</f>
        <v>Завершен</v>
      </c>
      <c r="R222" s="20">
        <f>IFERROR(INDEX(Товары_очищенные!$Q$3:$Q$503,MATCH(M222,Товары_очищенные!$L$3:$L$503,0)),"нет в каталоге")</f>
        <v>67000</v>
      </c>
      <c r="S222" s="21" t="str">
        <f>IFERROR(INDEX(Товары_очищенные!$N$3:$N$503,MATCH(M222,Товары_очищенные!$L$3:$L$503,0)),"нет в каталоге")</f>
        <v>Планшеты</v>
      </c>
      <c r="T222" s="21" t="str">
        <f t="shared" si="178"/>
        <v>OK</v>
      </c>
      <c r="U222" s="12" t="str">
        <f t="shared" si="179"/>
        <v>04/05/2025|АРТ-312|C0220</v>
      </c>
      <c r="V222" s="12" t="str">
        <f t="shared" si="180"/>
        <v>оригинал</v>
      </c>
    </row>
    <row r="223" ht="15" customHeight="1">
      <c r="A223" s="10">
        <v>221</v>
      </c>
      <c r="B223" s="11" t="str">
        <f>RAW_Продажи!A222</f>
        <v>05/05/2025</v>
      </c>
      <c r="C223" s="11" t="str">
        <f>RAW_Продажи!B222</f>
        <v>АРТ_202</v>
      </c>
      <c r="D223" s="11" t="str">
        <f>RAW_Продажи!C222</f>
        <v>1</v>
      </c>
      <c r="E223" s="11" t="str">
        <f>RAW_Продажи!D222</f>
        <v>€95</v>
      </c>
      <c r="F223" s="11" t="str">
        <f>RAW_Продажи!E222</f>
        <v>C0221</v>
      </c>
      <c r="G223" s="11" t="str">
        <f>RAW_Продажи!F222</f>
        <v>P037</v>
      </c>
      <c r="H223" s="11" t="str">
        <f>RAW_Продажи!G222</f>
        <v>completed</v>
      </c>
      <c r="I223" s="12" t="str">
        <f t="shared" si="172"/>
        <v>202</v>
      </c>
      <c r="J223" s="12" t="str">
        <f t="shared" si="173"/>
        <v>€</v>
      </c>
      <c r="K223" s="12">
        <f t="shared" si="174"/>
        <v>95</v>
      </c>
      <c r="L223" s="19">
        <f t="shared" si="175"/>
        <v>45782</v>
      </c>
      <c r="M223" s="13" t="str">
        <f t="shared" si="176"/>
        <v>АРТ-202</v>
      </c>
      <c r="N223" s="13">
        <f t="shared" si="177"/>
        <v>1</v>
      </c>
      <c r="O223" s="13" t="str">
        <f>IFERROR(VLOOKUP(J223,Справочники!$G$6:$H$8,2,0),"RUB")</f>
        <v>EUR</v>
      </c>
      <c r="P223" s="14">
        <f>ROUND(K223*IFERROR(VLOOKUP(J223,Справочники!$G$6:$I$8,3,0),1),2)</f>
        <v>9500</v>
      </c>
      <c r="Q223" s="13" t="str">
        <f>IFERROR(VLOOKUP(H223,Справочники!$D$6:$E$14,2,0),"НЕИЗВЕСТНО")</f>
        <v>Завершен</v>
      </c>
      <c r="R223" s="20">
        <f>IFERROR(INDEX(Товары_очищенные!$Q$3:$Q$503,MATCH(M223,Товары_очищенные!$L$3:$L$503,0)),"нет в каталоге")</f>
        <v>9990</v>
      </c>
      <c r="S223" s="21" t="str">
        <f>IFERROR(INDEX(Товары_очищенные!$N$3:$N$503,MATCH(M223,Товары_очищенные!$L$3:$L$503,0)),"нет в каталоге")</f>
        <v>Наушники</v>
      </c>
      <c r="T223" s="21" t="str">
        <f t="shared" si="178"/>
        <v>OK</v>
      </c>
      <c r="U223" s="12" t="str">
        <f t="shared" si="179"/>
        <v>05/05/2025|АРТ-202|C0221</v>
      </c>
      <c r="V223" s="12" t="str">
        <f t="shared" si="180"/>
        <v>оригинал</v>
      </c>
    </row>
    <row r="224" ht="15" customHeight="1">
      <c r="A224" s="10">
        <v>222</v>
      </c>
      <c r="B224" s="11" t="str">
        <f>RAW_Продажи!A223</f>
        <v>05/05/2025</v>
      </c>
      <c r="C224" s="11" t="str">
        <f>RAW_Продажи!B223</f>
        <v>133-24</v>
      </c>
      <c r="D224" s="11" t="str">
        <f>RAW_Продажи!C223</f>
        <v>2</v>
      </c>
      <c r="E224" s="11" t="str">
        <f>RAW_Продажи!D223</f>
        <v xml:space="preserve">8500 ₽</v>
      </c>
      <c r="F224" s="11" t="str">
        <f>RAW_Продажи!E223</f>
        <v>C0222</v>
      </c>
      <c r="G224" s="11" t="str">
        <f>RAW_Продажи!F223</f>
        <v>P048</v>
      </c>
      <c r="H224" s="11" t="str">
        <f>RAW_Продажи!G223</f>
        <v>отменен</v>
      </c>
      <c r="I224" s="12" t="str">
        <f t="shared" si="172"/>
        <v>133-24</v>
      </c>
      <c r="J224" s="12" t="str">
        <f t="shared" si="173"/>
        <v>₽</v>
      </c>
      <c r="K224" s="12">
        <f t="shared" si="174"/>
        <v>8500</v>
      </c>
      <c r="L224" s="19">
        <f t="shared" si="175"/>
        <v>45782</v>
      </c>
      <c r="M224" s="13" t="str">
        <f t="shared" si="176"/>
        <v>АРТ-133</v>
      </c>
      <c r="N224" s="13">
        <f t="shared" si="177"/>
        <v>2</v>
      </c>
      <c r="O224" s="13" t="str">
        <f>IFERROR(VLOOKUP(J224,Справочники!$G$6:$H$8,2,0),"RUB")</f>
        <v>RUB</v>
      </c>
      <c r="P224" s="14">
        <f>ROUND(K224*IFERROR(VLOOKUP(J224,Справочники!$G$6:$I$8,3,0),1),2)</f>
        <v>8500</v>
      </c>
      <c r="Q224" s="13" t="str">
        <f>IFERROR(VLOOKUP(H224,Справочники!$D$6:$E$14,2,0),"НЕИЗВЕСТНО")</f>
        <v>Отменен</v>
      </c>
      <c r="R224" s="20">
        <f>IFERROR(INDEX(Товары_очищенные!$Q$3:$Q$503,MATCH(M224,Товары_очищенные!$L$3:$L$503,0)),"нет в каталоге")</f>
        <v>126990</v>
      </c>
      <c r="S224" s="21" t="str">
        <f>IFERROR(INDEX(Товары_очищенные!$N$3:$N$503,MATCH(M224,Товары_очищенные!$L$3:$L$503,0)),"нет в каталоге")</f>
        <v>Телевизоры</v>
      </c>
      <c r="T224" s="21" t="str">
        <f t="shared" si="178"/>
        <v>OK</v>
      </c>
      <c r="U224" s="12" t="str">
        <f t="shared" si="179"/>
        <v>05/05/2025|АРТ-133|C0222</v>
      </c>
      <c r="V224" s="12" t="str">
        <f t="shared" si="180"/>
        <v>оригинал</v>
      </c>
    </row>
    <row r="225" ht="15" customHeight="1">
      <c r="A225" s="10">
        <v>223</v>
      </c>
      <c r="B225" s="11" t="str">
        <f>RAW_Продажи!A224</f>
        <v>05/06/2025</v>
      </c>
      <c r="C225" s="11" t="str">
        <f>RAW_Продажи!B224</f>
        <v>№АРТ-081</v>
      </c>
      <c r="D225" s="11" t="str">
        <f>RAW_Продажи!C224</f>
        <v>3</v>
      </c>
      <c r="E225" s="11" t="str">
        <f>RAW_Продажи!D224</f>
        <v>$105</v>
      </c>
      <c r="F225" s="11" t="str">
        <f>RAW_Продажи!E224</f>
        <v>C0223</v>
      </c>
      <c r="G225" s="11" t="str">
        <f>RAW_Продажи!F224</f>
        <v>P004</v>
      </c>
      <c r="H225" s="11" t="str">
        <f>RAW_Продажи!G224</f>
        <v>canceled</v>
      </c>
      <c r="I225" s="12" t="str">
        <f t="shared" si="172"/>
        <v>081</v>
      </c>
      <c r="J225" s="12" t="str">
        <f t="shared" si="173"/>
        <v>$</v>
      </c>
      <c r="K225" s="12">
        <f t="shared" si="174"/>
        <v>105</v>
      </c>
      <c r="L225" s="19">
        <f t="shared" si="175"/>
        <v>45783</v>
      </c>
      <c r="M225" s="13" t="str">
        <f t="shared" si="176"/>
        <v>АРТ-081</v>
      </c>
      <c r="N225" s="13">
        <f t="shared" si="177"/>
        <v>3</v>
      </c>
      <c r="O225" s="13" t="str">
        <f>IFERROR(VLOOKUP(J225,Справочники!$G$6:$H$8,2,0),"RUB")</f>
        <v>USD</v>
      </c>
      <c r="P225" s="14">
        <f>ROUND(K225*IFERROR(VLOOKUP(J225,Справочники!$G$6:$I$8,3,0),1),2)</f>
        <v>9975</v>
      </c>
      <c r="Q225" s="13" t="str">
        <f>IFERROR(VLOOKUP(H225,Справочники!$D$6:$E$14,2,0),"НЕИЗВЕСТНО")</f>
        <v>Отменен</v>
      </c>
      <c r="R225" s="20">
        <f>IFERROR(INDEX(Товары_очищенные!$Q$3:$Q$503,MATCH(M225,Товары_очищенные!$L$3:$L$503,0)),"нет в каталоге")</f>
        <v>47500</v>
      </c>
      <c r="S225" s="21" t="str">
        <f>IFERROR(INDEX(Товары_очищенные!$N$3:$N$503,MATCH(M225,Товары_очищенные!$L$3:$L$503,0)),"нет в каталоге")</f>
        <v>Планшеты</v>
      </c>
      <c r="T225" s="21" t="str">
        <f t="shared" si="178"/>
        <v>OK</v>
      </c>
      <c r="U225" s="12" t="str">
        <f t="shared" si="179"/>
        <v>06/05/2025|АРТ-081|C0223</v>
      </c>
      <c r="V225" s="12" t="str">
        <f t="shared" si="180"/>
        <v>оригинал</v>
      </c>
    </row>
    <row r="226" ht="15" customHeight="1">
      <c r="A226" s="10">
        <v>224</v>
      </c>
      <c r="B226" s="11" t="str">
        <f>RAW_Продажи!A225</f>
        <v>05/06/2025</v>
      </c>
      <c r="C226" s="11" t="str">
        <f>RAW_Продажи!B225</f>
        <v>АРТ_418</v>
      </c>
      <c r="D226" s="11" t="str">
        <f>RAW_Продажи!C225</f>
        <v>2</v>
      </c>
      <c r="E226" s="11" t="str">
        <f>RAW_Продажи!D225</f>
        <v>€85</v>
      </c>
      <c r="F226" s="11" t="str">
        <f>RAW_Продажи!E225</f>
        <v>C0224</v>
      </c>
      <c r="G226" s="11" t="str">
        <f>RAW_Продажи!F225</f>
        <v>P026</v>
      </c>
      <c r="H226" s="11" t="str">
        <f>RAW_Продажи!G225</f>
        <v>Завершен</v>
      </c>
      <c r="I226" s="12" t="str">
        <f t="shared" si="172"/>
        <v>418</v>
      </c>
      <c r="J226" s="12" t="str">
        <f t="shared" si="173"/>
        <v>€</v>
      </c>
      <c r="K226" s="12">
        <f t="shared" si="174"/>
        <v>85</v>
      </c>
      <c r="L226" s="19">
        <f t="shared" si="175"/>
        <v>45783</v>
      </c>
      <c r="M226" s="13" t="str">
        <f t="shared" si="176"/>
        <v>АРТ-418</v>
      </c>
      <c r="N226" s="13">
        <f t="shared" si="177"/>
        <v>2</v>
      </c>
      <c r="O226" s="13" t="str">
        <f>IFERROR(VLOOKUP(J226,Справочники!$G$6:$H$8,2,0),"RUB")</f>
        <v>EUR</v>
      </c>
      <c r="P226" s="14">
        <f>ROUND(K226*IFERROR(VLOOKUP(J226,Справочники!$G$6:$I$8,3,0),1),2)</f>
        <v>8500</v>
      </c>
      <c r="Q226" s="13" t="str">
        <f>IFERROR(VLOOKUP(H226,Справочники!$D$6:$E$14,2,0),"НЕИЗВЕСТНО")</f>
        <v>Завершен</v>
      </c>
      <c r="R226" s="20">
        <f>IFERROR(INDEX(Товары_очищенные!$Q$3:$Q$503,MATCH(M226,Товары_очищенные!$L$3:$L$503,0)),"нет в каталоге")</f>
        <v>29990</v>
      </c>
      <c r="S226" s="21" t="str">
        <f>IFERROR(INDEX(Товары_очищенные!$N$3:$N$503,MATCH(M226,Товары_очищенные!$L$3:$L$503,0)),"нет в каталоге")</f>
        <v>Часы</v>
      </c>
      <c r="T226" s="21" t="str">
        <f t="shared" si="178"/>
        <v>OK</v>
      </c>
      <c r="U226" s="12" t="str">
        <f t="shared" si="179"/>
        <v>06/05/2025|АРТ-418|C0224</v>
      </c>
      <c r="V226" s="12" t="str">
        <f t="shared" si="180"/>
        <v>оригинал</v>
      </c>
    </row>
    <row r="227" ht="15" customHeight="1">
      <c r="A227" s="10">
        <v>225</v>
      </c>
      <c r="B227" s="11" t="str">
        <f>RAW_Продажи!A226</f>
        <v>05/07/2025</v>
      </c>
      <c r="C227" s="11" t="str">
        <f>RAW_Продажи!B226</f>
        <v>272/24</v>
      </c>
      <c r="D227" s="11" t="str">
        <f>RAW_Продажи!C226</f>
        <v xml:space="preserve">1 шт.</v>
      </c>
      <c r="E227" s="11" t="str">
        <f>RAW_Продажи!D226</f>
        <v xml:space="preserve">7800 ₽</v>
      </c>
      <c r="F227" s="11" t="str">
        <f>RAW_Продажи!E226</f>
        <v>C0225</v>
      </c>
      <c r="G227" s="11" t="str">
        <f>RAW_Продажи!F226</f>
        <v>P013</v>
      </c>
      <c r="H227" s="11" t="str">
        <f>RAW_Продажи!G226</f>
        <v>возврат</v>
      </c>
      <c r="I227" s="12" t="str">
        <f t="shared" si="172"/>
        <v>272/24</v>
      </c>
      <c r="J227" s="12" t="str">
        <f t="shared" si="173"/>
        <v>₽</v>
      </c>
      <c r="K227" s="12">
        <f t="shared" si="174"/>
        <v>7800</v>
      </c>
      <c r="L227" s="19">
        <f t="shared" si="175"/>
        <v>45784</v>
      </c>
      <c r="M227" s="13" t="str">
        <f t="shared" si="176"/>
        <v>АРТ-272</v>
      </c>
      <c r="N227" s="13">
        <f t="shared" si="177"/>
        <v>1</v>
      </c>
      <c r="O227" s="13" t="str">
        <f>IFERROR(VLOOKUP(J227,Справочники!$G$6:$H$8,2,0),"RUB")</f>
        <v>RUB</v>
      </c>
      <c r="P227" s="14">
        <f>ROUND(K227*IFERROR(VLOOKUP(J227,Справочники!$G$6:$I$8,3,0),1),2)</f>
        <v>7800</v>
      </c>
      <c r="Q227" s="13" t="str">
        <f>IFERROR(VLOOKUP(H227,Справочники!$D$6:$E$14,2,0),"НЕИЗВЕСТНО")</f>
        <v>Возврат</v>
      </c>
      <c r="R227" s="20">
        <f>IFERROR(INDEX(Товары_очищенные!$Q$3:$Q$503,MATCH(M227,Товары_очищенные!$L$3:$L$503,0)),"нет в каталоге")</f>
        <v>43500</v>
      </c>
      <c r="S227" s="21" t="str">
        <f>IFERROR(INDEX(Товары_очищенные!$N$3:$N$503,MATCH(M227,Товары_очищенные!$L$3:$L$503,0)),"нет в каталоге")</f>
        <v>Смартфоны</v>
      </c>
      <c r="T227" s="21" t="str">
        <f t="shared" si="178"/>
        <v>OK</v>
      </c>
      <c r="U227" s="12" t="str">
        <f t="shared" si="179"/>
        <v>07/05/2025|АРТ-272|C0225</v>
      </c>
      <c r="V227" s="12" t="str">
        <f t="shared" si="180"/>
        <v>оригинал</v>
      </c>
    </row>
    <row r="228" ht="15" customHeight="1">
      <c r="A228" s="10">
        <v>226</v>
      </c>
      <c r="B228" s="11" t="str">
        <f>RAW_Продажи!A227</f>
        <v>05/07/2025</v>
      </c>
      <c r="C228" s="11" t="str">
        <f>RAW_Продажи!B227</f>
        <v>№АРТ-407</v>
      </c>
      <c r="D228" s="11" t="str">
        <f>RAW_Продажи!C227</f>
        <v>-3</v>
      </c>
      <c r="E228" s="11" t="str">
        <f>RAW_Продажи!D227</f>
        <v>$120</v>
      </c>
      <c r="F228" s="11" t="str">
        <f>RAW_Продажи!E227</f>
        <v>C0226</v>
      </c>
      <c r="G228" s="11" t="str">
        <f>RAW_Продажи!F227</f>
        <v>P034</v>
      </c>
      <c r="H228" s="11" t="str">
        <f>RAW_Продажи!G227</f>
        <v>завершен</v>
      </c>
      <c r="I228" s="12" t="str">
        <f t="shared" ref="I228:I291" si="181">SUBSTITUTE(SUBSTITUTE(C228,"№АРТ-",""),"АРТ_","")</f>
        <v>407</v>
      </c>
      <c r="J228" s="12" t="str">
        <f t="shared" ref="J228:J291" si="182">IF(LEFT(TRIM(E228),1)="$","$",IF(LEFT(TRIM(E228),1)="€","€","₽"))</f>
        <v>$</v>
      </c>
      <c r="K228" s="12">
        <f t="shared" ref="K228:K291" si="183">VALUE(SUBSTITUTE(SUBSTITUTE(SUBSTITUTE(SUBSTITUTE(TRIM(E228),"$",""),"€",""),"₽","")," ",""))</f>
        <v>120</v>
      </c>
      <c r="L228" s="19">
        <f t="shared" ref="L228:L291" si="184">DATE(VALUE(MID(B228,7,4)),VALUE(LEFT(B228,2)),VALUE(MID(B228,4,2)))</f>
        <v>45784</v>
      </c>
      <c r="M228" s="13" t="str">
        <f t="shared" ref="M228:M291" si="185">"АРТ-"&amp;LEFT(I228,3)</f>
        <v>АРТ-407</v>
      </c>
      <c r="N228" s="13">
        <f t="shared" ref="N228:N291" si="186">VALUE(LEFT(TRIM(D228),FIND(" ",TRIM(D228)&amp;" ")-1))</f>
        <v>-3</v>
      </c>
      <c r="O228" s="13" t="str">
        <f>IFERROR(VLOOKUP(J228,Справочники!$G$6:$H$8,2,0),"RUB")</f>
        <v>USD</v>
      </c>
      <c r="P228" s="14">
        <f>ROUND(K228*IFERROR(VLOOKUP(J228,Справочники!$G$6:$I$8,3,0),1),2)</f>
        <v>11400</v>
      </c>
      <c r="Q228" s="13" t="str">
        <f>IFERROR(VLOOKUP(H228,Справочники!$D$6:$E$14,2,0),"НЕИЗВЕСТНО")</f>
        <v>Завершен</v>
      </c>
      <c r="R228" s="20">
        <f>IFERROR(INDEX(Товары_очищенные!$Q$3:$Q$503,MATCH(M228,Товары_очищенные!$L$3:$L$503,0)),"нет в каталоге")</f>
        <v>102000</v>
      </c>
      <c r="S228" s="21" t="str">
        <f>IFERROR(INDEX(Товары_очищенные!$N$3:$N$503,MATCH(M228,Товары_очищенные!$L$3:$L$503,0)),"нет в каталоге")</f>
        <v>Телевизоры</v>
      </c>
      <c r="T228" s="21" t="str">
        <f t="shared" ref="T228:T291" si="187">IF(ISNUMBER(R228),IF(P228&lt;=R228*1.5,"OK","Цена выше розницы"),"—")</f>
        <v>OK</v>
      </c>
      <c r="U228" s="12" t="str">
        <f t="shared" ref="U228:U291" si="188">TEXT(L228,"DD.MM.YYYY")&amp;"|"&amp;M228&amp;"|"&amp;F228</f>
        <v>07/05/2025|АРТ-407|C0226</v>
      </c>
      <c r="V228" s="12" t="str">
        <f t="shared" ref="V228:V291" si="189">IF(COUNTIF($U$3:U228,U228)&gt;1,"ДУБЛЬ","оригинал")</f>
        <v>оригинал</v>
      </c>
    </row>
    <row r="229" ht="15" customHeight="1">
      <c r="A229" s="10">
        <v>227</v>
      </c>
      <c r="B229" s="11" t="str">
        <f>RAW_Продажи!A228</f>
        <v>05/08/2025</v>
      </c>
      <c r="C229" s="11" t="str">
        <f>RAW_Продажи!B228</f>
        <v>АРТ_251</v>
      </c>
      <c r="D229" s="11" t="str">
        <f>RAW_Продажи!C228</f>
        <v>2</v>
      </c>
      <c r="E229" s="11" t="str">
        <f>RAW_Продажи!D228</f>
        <v>€100</v>
      </c>
      <c r="F229" s="11" t="str">
        <f>RAW_Продажи!E228</f>
        <v>C0227</v>
      </c>
      <c r="G229" s="11" t="str">
        <f>RAW_Продажи!F228</f>
        <v>P044</v>
      </c>
      <c r="H229" s="11" t="str">
        <f>RAW_Продажи!G228</f>
        <v>completed</v>
      </c>
      <c r="I229" s="12" t="str">
        <f t="shared" si="181"/>
        <v>251</v>
      </c>
      <c r="J229" s="12" t="str">
        <f t="shared" si="182"/>
        <v>€</v>
      </c>
      <c r="K229" s="12">
        <f t="shared" si="183"/>
        <v>100</v>
      </c>
      <c r="L229" s="19">
        <f t="shared" si="184"/>
        <v>45785</v>
      </c>
      <c r="M229" s="13" t="str">
        <f t="shared" si="185"/>
        <v>АРТ-251</v>
      </c>
      <c r="N229" s="13">
        <f t="shared" si="186"/>
        <v>2</v>
      </c>
      <c r="O229" s="13" t="str">
        <f>IFERROR(VLOOKUP(J229,Справочники!$G$6:$H$8,2,0),"RUB")</f>
        <v>EUR</v>
      </c>
      <c r="P229" s="14">
        <f>ROUND(K229*IFERROR(VLOOKUP(J229,Справочники!$G$6:$I$8,3,0),1),2)</f>
        <v>10000</v>
      </c>
      <c r="Q229" s="13" t="str">
        <f>IFERROR(VLOOKUP(H229,Справочники!$D$6:$E$14,2,0),"НЕИЗВЕСТНО")</f>
        <v>Завершен</v>
      </c>
      <c r="R229" s="20">
        <f>IFERROR(INDEX(Товары_очищенные!$Q$3:$Q$503,MATCH(M229,Товары_очищенные!$L$3:$L$503,0)),"нет в каталоге")</f>
        <v>53500</v>
      </c>
      <c r="S229" s="21" t="str">
        <f>IFERROR(INDEX(Товары_очищенные!$N$3:$N$503,MATCH(M229,Товары_очищенные!$L$3:$L$503,0)),"нет в каталоге")</f>
        <v>Часы</v>
      </c>
      <c r="T229" s="21" t="str">
        <f t="shared" si="187"/>
        <v>OK</v>
      </c>
      <c r="U229" s="12" t="str">
        <f t="shared" si="188"/>
        <v>08/05/2025|АРТ-251|C0227</v>
      </c>
      <c r="V229" s="12" t="str">
        <f t="shared" si="189"/>
        <v>оригинал</v>
      </c>
    </row>
    <row r="230" ht="15" customHeight="1">
      <c r="A230" s="10">
        <v>228</v>
      </c>
      <c r="B230" s="11" t="str">
        <f>RAW_Продажи!A229</f>
        <v>05/08/2025</v>
      </c>
      <c r="C230" s="11" t="str">
        <f>RAW_Продажи!B229</f>
        <v>057-24</v>
      </c>
      <c r="D230" s="11" t="str">
        <f>RAW_Продажи!C229</f>
        <v>1</v>
      </c>
      <c r="E230" s="11" t="str">
        <f>RAW_Продажи!D229</f>
        <v xml:space="preserve">9200 ₽</v>
      </c>
      <c r="F230" s="11" t="str">
        <f>RAW_Продажи!E229</f>
        <v>C0228</v>
      </c>
      <c r="G230" s="11" t="str">
        <f>RAW_Продажи!F229</f>
        <v>P001</v>
      </c>
      <c r="H230" s="11" t="str">
        <f>RAW_Продажи!G229</f>
        <v>Завершен</v>
      </c>
      <c r="I230" s="12" t="str">
        <f t="shared" si="181"/>
        <v>057-24</v>
      </c>
      <c r="J230" s="12" t="str">
        <f t="shared" si="182"/>
        <v>₽</v>
      </c>
      <c r="K230" s="12">
        <f t="shared" si="183"/>
        <v>9200</v>
      </c>
      <c r="L230" s="19">
        <f t="shared" si="184"/>
        <v>45785</v>
      </c>
      <c r="M230" s="13" t="str">
        <f t="shared" si="185"/>
        <v>АРТ-057</v>
      </c>
      <c r="N230" s="13">
        <f t="shared" si="186"/>
        <v>1</v>
      </c>
      <c r="O230" s="13" t="str">
        <f>IFERROR(VLOOKUP(J230,Справочники!$G$6:$H$8,2,0),"RUB")</f>
        <v>RUB</v>
      </c>
      <c r="P230" s="14">
        <f>ROUND(K230*IFERROR(VLOOKUP(J230,Справочники!$G$6:$I$8,3,0),1),2)</f>
        <v>9200</v>
      </c>
      <c r="Q230" s="13" t="str">
        <f>IFERROR(VLOOKUP(H230,Справочники!$D$6:$E$14,2,0),"НЕИЗВЕСТНО")</f>
        <v>Завершен</v>
      </c>
      <c r="R230" s="20">
        <f>IFERROR(INDEX(Товары_очищенные!$Q$3:$Q$503,MATCH(M230,Товары_очищенные!$L$3:$L$503,0)),"нет в каталоге")</f>
        <v>11200</v>
      </c>
      <c r="S230" s="21" t="str">
        <f>IFERROR(INDEX(Товары_очищенные!$N$3:$N$503,MATCH(M230,Товары_очищенные!$L$3:$L$503,0)),"нет в каталоге")</f>
        <v>Аксессуары</v>
      </c>
      <c r="T230" s="21" t="str">
        <f t="shared" si="187"/>
        <v>OK</v>
      </c>
      <c r="U230" s="12" t="str">
        <f t="shared" si="188"/>
        <v>08/05/2025|АРТ-057|C0228</v>
      </c>
      <c r="V230" s="12" t="str">
        <f t="shared" si="189"/>
        <v>оригинал</v>
      </c>
    </row>
    <row r="231" ht="15" customHeight="1">
      <c r="A231" s="10">
        <v>229</v>
      </c>
      <c r="B231" s="11" t="str">
        <f>RAW_Продажи!A230</f>
        <v>05/09/2025</v>
      </c>
      <c r="C231" s="11" t="str">
        <f>RAW_Продажи!B230</f>
        <v>№АРТ-183</v>
      </c>
      <c r="D231" s="11" t="str">
        <f>RAW_Продажи!C230</f>
        <v>3</v>
      </c>
      <c r="E231" s="11" t="str">
        <f>RAW_Продажи!D230</f>
        <v>$90</v>
      </c>
      <c r="F231" s="11" t="str">
        <f>RAW_Продажи!E230</f>
        <v>C0229</v>
      </c>
      <c r="G231" s="11" t="str">
        <f>RAW_Продажи!F230</f>
        <v>P021</v>
      </c>
      <c r="H231" s="11" t="str">
        <f>RAW_Продажи!G230</f>
        <v>canceled</v>
      </c>
      <c r="I231" s="12" t="str">
        <f t="shared" si="181"/>
        <v>183</v>
      </c>
      <c r="J231" s="12" t="str">
        <f t="shared" si="182"/>
        <v>$</v>
      </c>
      <c r="K231" s="12">
        <f t="shared" si="183"/>
        <v>90</v>
      </c>
      <c r="L231" s="19">
        <f t="shared" si="184"/>
        <v>45786</v>
      </c>
      <c r="M231" s="13" t="str">
        <f t="shared" si="185"/>
        <v>АРТ-183</v>
      </c>
      <c r="N231" s="13">
        <f t="shared" si="186"/>
        <v>3</v>
      </c>
      <c r="O231" s="13" t="str">
        <f>IFERROR(VLOOKUP(J231,Справочники!$G$6:$H$8,2,0),"RUB")</f>
        <v>USD</v>
      </c>
      <c r="P231" s="14">
        <f>ROUND(K231*IFERROR(VLOOKUP(J231,Справочники!$G$6:$I$8,3,0),1),2)</f>
        <v>8550</v>
      </c>
      <c r="Q231" s="13" t="str">
        <f>IFERROR(VLOOKUP(H231,Справочники!$D$6:$E$14,2,0),"НЕИЗВЕСТНО")</f>
        <v>Отменен</v>
      </c>
      <c r="R231" s="20">
        <f>IFERROR(INDEX(Товары_очищенные!$Q$3:$Q$503,MATCH(M231,Товары_очищенные!$L$3:$L$503,0)),"нет в каталоге")</f>
        <v>173000</v>
      </c>
      <c r="S231" s="21" t="str">
        <f>IFERROR(INDEX(Товары_очищенные!$N$3:$N$503,MATCH(M231,Товары_очищенные!$L$3:$L$503,0)),"нет в каталоге")</f>
        <v>Мониторы</v>
      </c>
      <c r="T231" s="21" t="str">
        <f t="shared" si="187"/>
        <v>OK</v>
      </c>
      <c r="U231" s="12" t="str">
        <f t="shared" si="188"/>
        <v>09/05/2025|АРТ-183|C0229</v>
      </c>
      <c r="V231" s="12" t="str">
        <f t="shared" si="189"/>
        <v>оригинал</v>
      </c>
    </row>
    <row r="232" ht="15" customHeight="1">
      <c r="A232" s="10">
        <v>230</v>
      </c>
      <c r="B232" s="11" t="str">
        <f>RAW_Продажи!A231</f>
        <v>05/09/2025</v>
      </c>
      <c r="C232" s="11" t="str">
        <f>RAW_Продажи!B231</f>
        <v>АРТ_481</v>
      </c>
      <c r="D232" s="11" t="str">
        <f>RAW_Продажи!C231</f>
        <v>2</v>
      </c>
      <c r="E232" s="11" t="str">
        <f>RAW_Продажи!D231</f>
        <v>€70</v>
      </c>
      <c r="F232" s="11" t="str">
        <f>RAW_Продажи!E231</f>
        <v>C0230</v>
      </c>
      <c r="G232" s="11" t="str">
        <f>RAW_Продажи!F231</f>
        <v>P039</v>
      </c>
      <c r="H232" s="11" t="str">
        <f>RAW_Продажи!G231</f>
        <v>отменен</v>
      </c>
      <c r="I232" s="12" t="str">
        <f t="shared" si="181"/>
        <v>481</v>
      </c>
      <c r="J232" s="12" t="str">
        <f t="shared" si="182"/>
        <v>€</v>
      </c>
      <c r="K232" s="12">
        <f t="shared" si="183"/>
        <v>70</v>
      </c>
      <c r="L232" s="19">
        <f t="shared" si="184"/>
        <v>45786</v>
      </c>
      <c r="M232" s="13" t="str">
        <f t="shared" si="185"/>
        <v>АРТ-481</v>
      </c>
      <c r="N232" s="13">
        <f t="shared" si="186"/>
        <v>2</v>
      </c>
      <c r="O232" s="13" t="str">
        <f>IFERROR(VLOOKUP(J232,Справочники!$G$6:$H$8,2,0),"RUB")</f>
        <v>EUR</v>
      </c>
      <c r="P232" s="14">
        <f>ROUND(K232*IFERROR(VLOOKUP(J232,Справочники!$G$6:$I$8,3,0),1),2)</f>
        <v>7000</v>
      </c>
      <c r="Q232" s="13" t="str">
        <f>IFERROR(VLOOKUP(H232,Справочники!$D$6:$E$14,2,0),"НЕИЗВЕСТНО")</f>
        <v>Отменен</v>
      </c>
      <c r="R232" s="20">
        <f>IFERROR(INDEX(Товары_очищенные!$Q$3:$Q$503,MATCH(M232,Товары_очищенные!$L$3:$L$503,0)),"нет в каталоге")</f>
        <v>39990</v>
      </c>
      <c r="S232" s="21" t="str">
        <f>IFERROR(INDEX(Товары_очищенные!$N$3:$N$503,MATCH(M232,Товары_очищенные!$L$3:$L$503,0)),"нет в каталоге")</f>
        <v>Планшеты</v>
      </c>
      <c r="T232" s="21" t="str">
        <f t="shared" si="187"/>
        <v>OK</v>
      </c>
      <c r="U232" s="12" t="str">
        <f t="shared" si="188"/>
        <v>09/05/2025|АРТ-481|C0230</v>
      </c>
      <c r="V232" s="12" t="str">
        <f t="shared" si="189"/>
        <v>оригинал</v>
      </c>
    </row>
    <row r="233" ht="15" customHeight="1">
      <c r="A233" s="10">
        <v>231</v>
      </c>
      <c r="B233" s="11" t="str">
        <f>RAW_Продажи!A232</f>
        <v>05/10/2025</v>
      </c>
      <c r="C233" s="11" t="str">
        <f>RAW_Продажи!B232</f>
        <v>335/24</v>
      </c>
      <c r="D233" s="11" t="str">
        <f>RAW_Продажи!C232</f>
        <v xml:space="preserve">1 шт.</v>
      </c>
      <c r="E233" s="11" t="str">
        <f>RAW_Продажи!D232</f>
        <v xml:space="preserve">6500 ₽</v>
      </c>
      <c r="F233" s="11" t="str">
        <f>RAW_Продажи!E232</f>
        <v>C0231</v>
      </c>
      <c r="G233" s="11" t="str">
        <f>RAW_Продажи!F232</f>
        <v>P050</v>
      </c>
      <c r="H233" s="11" t="str">
        <f>RAW_Продажи!G232</f>
        <v>возврат</v>
      </c>
      <c r="I233" s="12" t="str">
        <f t="shared" si="181"/>
        <v>335/24</v>
      </c>
      <c r="J233" s="12" t="str">
        <f t="shared" si="182"/>
        <v>₽</v>
      </c>
      <c r="K233" s="12">
        <f t="shared" si="183"/>
        <v>6500</v>
      </c>
      <c r="L233" s="19">
        <f t="shared" si="184"/>
        <v>45787</v>
      </c>
      <c r="M233" s="13" t="str">
        <f t="shared" si="185"/>
        <v>АРТ-335</v>
      </c>
      <c r="N233" s="13">
        <f t="shared" si="186"/>
        <v>1</v>
      </c>
      <c r="O233" s="13" t="str">
        <f>IFERROR(VLOOKUP(J233,Справочники!$G$6:$H$8,2,0),"RUB")</f>
        <v>RUB</v>
      </c>
      <c r="P233" s="14">
        <f>ROUND(K233*IFERROR(VLOOKUP(J233,Справочники!$G$6:$I$8,3,0),1),2)</f>
        <v>6500</v>
      </c>
      <c r="Q233" s="13" t="str">
        <f>IFERROR(VLOOKUP(H233,Справочники!$D$6:$E$14,2,0),"НЕИЗВЕСТНО")</f>
        <v>Возврат</v>
      </c>
      <c r="R233" s="20">
        <f>IFERROR(INDEX(Товары_очищенные!$Q$3:$Q$503,MATCH(M233,Товары_очищенные!$L$3:$L$503,0)),"нет в каталоге")</f>
        <v>47000</v>
      </c>
      <c r="S233" s="21" t="str">
        <f>IFERROR(INDEX(Товары_очищенные!$N$3:$N$503,MATCH(M233,Товары_очищенные!$L$3:$L$503,0)),"нет в каталоге")</f>
        <v>Планшеты</v>
      </c>
      <c r="T233" s="21" t="str">
        <f t="shared" si="187"/>
        <v>OK</v>
      </c>
      <c r="U233" s="12" t="str">
        <f t="shared" si="188"/>
        <v>10/05/2025|АРТ-335|C0231</v>
      </c>
      <c r="V233" s="12" t="str">
        <f t="shared" si="189"/>
        <v>оригинал</v>
      </c>
    </row>
    <row r="234" ht="15" customHeight="1">
      <c r="A234" s="10">
        <v>232</v>
      </c>
      <c r="B234" s="11" t="str">
        <f>RAW_Продажи!A233</f>
        <v>05/10/2025</v>
      </c>
      <c r="C234" s="11" t="str">
        <f>RAW_Продажи!B233</f>
        <v>№АРТ-021</v>
      </c>
      <c r="D234" s="11" t="str">
        <f>RAW_Продажи!C233</f>
        <v>-1</v>
      </c>
      <c r="E234" s="11" t="str">
        <f>RAW_Продажи!D233</f>
        <v>$110</v>
      </c>
      <c r="F234" s="11" t="str">
        <f>RAW_Продажи!E233</f>
        <v>C0232</v>
      </c>
      <c r="G234" s="11" t="str">
        <f>RAW_Продажи!F233</f>
        <v>P011</v>
      </c>
      <c r="H234" s="11" t="str">
        <f>RAW_Продажи!G233</f>
        <v>Завершен</v>
      </c>
      <c r="I234" s="12" t="str">
        <f t="shared" si="181"/>
        <v>021</v>
      </c>
      <c r="J234" s="12" t="str">
        <f t="shared" si="182"/>
        <v>$</v>
      </c>
      <c r="K234" s="12">
        <f t="shared" si="183"/>
        <v>110</v>
      </c>
      <c r="L234" s="19">
        <f t="shared" si="184"/>
        <v>45787</v>
      </c>
      <c r="M234" s="13" t="str">
        <f t="shared" si="185"/>
        <v>АРТ-021</v>
      </c>
      <c r="N234" s="13">
        <f t="shared" si="186"/>
        <v>-1</v>
      </c>
      <c r="O234" s="13" t="str">
        <f>IFERROR(VLOOKUP(J234,Справочники!$G$6:$H$8,2,0),"RUB")</f>
        <v>USD</v>
      </c>
      <c r="P234" s="14">
        <f>ROUND(K234*IFERROR(VLOOKUP(J234,Справочники!$G$6:$I$8,3,0),1),2)</f>
        <v>10450</v>
      </c>
      <c r="Q234" s="13" t="str">
        <f>IFERROR(VLOOKUP(H234,Справочники!$D$6:$E$14,2,0),"НЕИЗВЕСТНО")</f>
        <v>Завершен</v>
      </c>
      <c r="R234" s="20">
        <f>IFERROR(INDEX(Товары_очищенные!$Q$3:$Q$503,MATCH(M234,Товары_очищенные!$L$3:$L$503,0)),"нет в каталоге")</f>
        <v>137000</v>
      </c>
      <c r="S234" s="21" t="str">
        <f>IFERROR(INDEX(Товары_очищенные!$N$3:$N$503,MATCH(M234,Товары_очищенные!$L$3:$L$503,0)),"нет в каталоге")</f>
        <v>Ноутбуки</v>
      </c>
      <c r="T234" s="21" t="str">
        <f t="shared" si="187"/>
        <v>OK</v>
      </c>
      <c r="U234" s="12" t="str">
        <f t="shared" si="188"/>
        <v>10/05/2025|АРТ-021|C0232</v>
      </c>
      <c r="V234" s="12" t="str">
        <f t="shared" si="189"/>
        <v>оригинал</v>
      </c>
    </row>
    <row r="235" ht="15" customHeight="1">
      <c r="A235" s="10">
        <v>233</v>
      </c>
      <c r="B235" s="11" t="str">
        <f>RAW_Продажи!A234</f>
        <v>05/11/2025</v>
      </c>
      <c r="C235" s="11" t="str">
        <f>RAW_Продажи!B234</f>
        <v>АРТ_390</v>
      </c>
      <c r="D235" s="11" t="str">
        <f>RAW_Продажи!C234</f>
        <v>3</v>
      </c>
      <c r="E235" s="11" t="str">
        <f>RAW_Продажи!D234</f>
        <v>€90</v>
      </c>
      <c r="F235" s="11" t="str">
        <f>RAW_Продажи!E234</f>
        <v>C0233</v>
      </c>
      <c r="G235" s="11" t="str">
        <f>RAW_Продажи!F234</f>
        <v>P027</v>
      </c>
      <c r="H235" s="11" t="str">
        <f>RAW_Продажи!G234</f>
        <v>завершен</v>
      </c>
      <c r="I235" s="12" t="str">
        <f t="shared" si="181"/>
        <v>390</v>
      </c>
      <c r="J235" s="12" t="str">
        <f t="shared" si="182"/>
        <v>€</v>
      </c>
      <c r="K235" s="12">
        <f t="shared" si="183"/>
        <v>90</v>
      </c>
      <c r="L235" s="19">
        <f t="shared" si="184"/>
        <v>45788</v>
      </c>
      <c r="M235" s="13" t="str">
        <f t="shared" si="185"/>
        <v>АРТ-390</v>
      </c>
      <c r="N235" s="13">
        <f t="shared" si="186"/>
        <v>3</v>
      </c>
      <c r="O235" s="13" t="str">
        <f>IFERROR(VLOOKUP(J235,Справочники!$G$6:$H$8,2,0),"RUB")</f>
        <v>EUR</v>
      </c>
      <c r="P235" s="14">
        <f>ROUND(K235*IFERROR(VLOOKUP(J235,Справочники!$G$6:$I$8,3,0),1),2)</f>
        <v>9000</v>
      </c>
      <c r="Q235" s="13" t="str">
        <f>IFERROR(VLOOKUP(H235,Справочники!$D$6:$E$14,2,0),"НЕИЗВЕСТНО")</f>
        <v>Завершен</v>
      </c>
      <c r="R235" s="20">
        <f>IFERROR(INDEX(Товары_очищенные!$Q$3:$Q$503,MATCH(M235,Товары_очищенные!$L$3:$L$503,0)),"нет в каталоге")</f>
        <v>80000</v>
      </c>
      <c r="S235" s="21" t="str">
        <f>IFERROR(INDEX(Товары_очищенные!$N$3:$N$503,MATCH(M235,Товары_очищенные!$L$3:$L$503,0)),"нет в каталоге")</f>
        <v>Телевизоры</v>
      </c>
      <c r="T235" s="21" t="str">
        <f t="shared" si="187"/>
        <v>OK</v>
      </c>
      <c r="U235" s="12" t="str">
        <f t="shared" si="188"/>
        <v>11/05/2025|АРТ-390|C0233</v>
      </c>
      <c r="V235" s="12" t="str">
        <f t="shared" si="189"/>
        <v>оригинал</v>
      </c>
    </row>
    <row r="236" ht="15" customHeight="1">
      <c r="A236" s="10">
        <v>234</v>
      </c>
      <c r="B236" s="11" t="str">
        <f>RAW_Продажи!A235</f>
        <v>05/11/2025</v>
      </c>
      <c r="C236" s="11" t="str">
        <f>RAW_Продажи!B235</f>
        <v>098-24</v>
      </c>
      <c r="D236" s="11" t="str">
        <f>RAW_Продажи!C235</f>
        <v>2</v>
      </c>
      <c r="E236" s="11" t="str">
        <f>RAW_Продажи!D235</f>
        <v xml:space="preserve">8000 ₽</v>
      </c>
      <c r="F236" s="11" t="str">
        <f>RAW_Продажи!E235</f>
        <v>C0234</v>
      </c>
      <c r="G236" s="11" t="str">
        <f>RAW_Продажи!F235</f>
        <v>P018</v>
      </c>
      <c r="H236" s="11" t="str">
        <f>RAW_Продажи!G235</f>
        <v>completed</v>
      </c>
      <c r="I236" s="12" t="str">
        <f t="shared" si="181"/>
        <v>098-24</v>
      </c>
      <c r="J236" s="12" t="str">
        <f t="shared" si="182"/>
        <v>₽</v>
      </c>
      <c r="K236" s="12">
        <f t="shared" si="183"/>
        <v>8000</v>
      </c>
      <c r="L236" s="19">
        <f t="shared" si="184"/>
        <v>45788</v>
      </c>
      <c r="M236" s="13" t="str">
        <f t="shared" si="185"/>
        <v>АРТ-098</v>
      </c>
      <c r="N236" s="13">
        <f t="shared" si="186"/>
        <v>2</v>
      </c>
      <c r="O236" s="13" t="str">
        <f>IFERROR(VLOOKUP(J236,Справочники!$G$6:$H$8,2,0),"RUB")</f>
        <v>RUB</v>
      </c>
      <c r="P236" s="14">
        <f>ROUND(K236*IFERROR(VLOOKUP(J236,Справочники!$G$6:$I$8,3,0),1),2)</f>
        <v>8000</v>
      </c>
      <c r="Q236" s="13" t="str">
        <f>IFERROR(VLOOKUP(H236,Справочники!$D$6:$E$14,2,0),"НЕИЗВЕСТНО")</f>
        <v>Завершен</v>
      </c>
      <c r="R236" s="20">
        <f>IFERROR(INDEX(Товары_очищенные!$Q$3:$Q$503,MATCH(M236,Товары_очищенные!$L$3:$L$503,0)),"нет в каталоге")</f>
        <v>6500</v>
      </c>
      <c r="S236" s="21" t="str">
        <f>IFERROR(INDEX(Товары_очищенные!$N$3:$N$503,MATCH(M236,Товары_очищенные!$L$3:$L$503,0)),"нет в каталоге")</f>
        <v>Аксессуары</v>
      </c>
      <c r="T236" s="21" t="str">
        <f t="shared" si="187"/>
        <v>OK</v>
      </c>
      <c r="U236" s="12" t="str">
        <f t="shared" si="188"/>
        <v>11/05/2025|АРТ-098|C0234</v>
      </c>
      <c r="V236" s="12" t="str">
        <f t="shared" si="189"/>
        <v>оригинал</v>
      </c>
    </row>
    <row r="237" ht="15" customHeight="1">
      <c r="A237" s="10">
        <v>235</v>
      </c>
      <c r="B237" s="11" t="str">
        <f>RAW_Продажи!A236</f>
        <v>05/12/2025</v>
      </c>
      <c r="C237" s="11" t="str">
        <f>RAW_Продажи!B236</f>
        <v>№АРТ-154</v>
      </c>
      <c r="D237" s="11" t="str">
        <f>RAW_Продажи!C236</f>
        <v>1</v>
      </c>
      <c r="E237" s="11" t="str">
        <f>RAW_Продажи!D236</f>
        <v>$95</v>
      </c>
      <c r="F237" s="11" t="str">
        <f>RAW_Продажи!E236</f>
        <v>C0235</v>
      </c>
      <c r="G237" s="11" t="str">
        <f>RAW_Продажи!F236</f>
        <v>P040</v>
      </c>
      <c r="H237" s="11" t="str">
        <f>RAW_Продажи!G236</f>
        <v>отменен</v>
      </c>
      <c r="I237" s="12" t="str">
        <f t="shared" si="181"/>
        <v>154</v>
      </c>
      <c r="J237" s="12" t="str">
        <f t="shared" si="182"/>
        <v>$</v>
      </c>
      <c r="K237" s="12">
        <f t="shared" si="183"/>
        <v>95</v>
      </c>
      <c r="L237" s="19">
        <f t="shared" si="184"/>
        <v>45789</v>
      </c>
      <c r="M237" s="13" t="str">
        <f t="shared" si="185"/>
        <v>АРТ-154</v>
      </c>
      <c r="N237" s="13">
        <f t="shared" si="186"/>
        <v>1</v>
      </c>
      <c r="O237" s="13" t="str">
        <f>IFERROR(VLOOKUP(J237,Справочники!$G$6:$H$8,2,0),"RUB")</f>
        <v>USD</v>
      </c>
      <c r="P237" s="14">
        <f>ROUND(K237*IFERROR(VLOOKUP(J237,Справочники!$G$6:$I$8,3,0),1),2)</f>
        <v>9025</v>
      </c>
      <c r="Q237" s="13" t="str">
        <f>IFERROR(VLOOKUP(H237,Справочники!$D$6:$E$14,2,0),"НЕИЗВЕСТНО")</f>
        <v>Отменен</v>
      </c>
      <c r="R237" s="20">
        <f>IFERROR(INDEX(Товары_очищенные!$Q$3:$Q$503,MATCH(M237,Товары_очищенные!$L$3:$L$503,0)),"нет в каталоге")</f>
        <v>16990</v>
      </c>
      <c r="S237" s="21" t="str">
        <f>IFERROR(INDEX(Товары_очищенные!$N$3:$N$503,MATCH(M237,Товары_очищенные!$L$3:$L$503,0)),"нет в каталоге")</f>
        <v>Наушники</v>
      </c>
      <c r="T237" s="21" t="str">
        <f t="shared" si="187"/>
        <v>OK</v>
      </c>
      <c r="U237" s="12" t="str">
        <f t="shared" si="188"/>
        <v>12/05/2025|АРТ-154|C0235</v>
      </c>
      <c r="V237" s="12" t="str">
        <f t="shared" si="189"/>
        <v>оригинал</v>
      </c>
    </row>
    <row r="238" ht="15" customHeight="1">
      <c r="A238" s="10">
        <v>236</v>
      </c>
      <c r="B238" s="11" t="str">
        <f>RAW_Продажи!A237</f>
        <v>05/12/2025</v>
      </c>
      <c r="C238" s="11" t="str">
        <f>RAW_Продажи!B237</f>
        <v>АРТ_296</v>
      </c>
      <c r="D238" s="11" t="str">
        <f>RAW_Продажи!C237</f>
        <v>2</v>
      </c>
      <c r="E238" s="11" t="str">
        <f>RAW_Продажи!D237</f>
        <v>€75</v>
      </c>
      <c r="F238" s="11" t="str">
        <f>RAW_Продажи!E237</f>
        <v>C0236</v>
      </c>
      <c r="G238" s="11" t="str">
        <f>RAW_Продажи!F237</f>
        <v>P003</v>
      </c>
      <c r="H238" s="11" t="str">
        <f>RAW_Продажи!G237</f>
        <v>canceled</v>
      </c>
      <c r="I238" s="12" t="str">
        <f t="shared" si="181"/>
        <v>296</v>
      </c>
      <c r="J238" s="12" t="str">
        <f t="shared" si="182"/>
        <v>€</v>
      </c>
      <c r="K238" s="12">
        <f t="shared" si="183"/>
        <v>75</v>
      </c>
      <c r="L238" s="19">
        <f t="shared" si="184"/>
        <v>45789</v>
      </c>
      <c r="M238" s="13" t="str">
        <f t="shared" si="185"/>
        <v>АРТ-296</v>
      </c>
      <c r="N238" s="13">
        <f t="shared" si="186"/>
        <v>2</v>
      </c>
      <c r="O238" s="13" t="str">
        <f>IFERROR(VLOOKUP(J238,Справочники!$G$6:$H$8,2,0),"RUB")</f>
        <v>EUR</v>
      </c>
      <c r="P238" s="14">
        <f>ROUND(K238*IFERROR(VLOOKUP(J238,Справочники!$G$6:$I$8,3,0),1),2)</f>
        <v>7500</v>
      </c>
      <c r="Q238" s="13" t="str">
        <f>IFERROR(VLOOKUP(H238,Справочники!$D$6:$E$14,2,0),"НЕИЗВЕСТНО")</f>
        <v>Отменен</v>
      </c>
      <c r="R238" s="20">
        <f>IFERROR(INDEX(Товары_очищенные!$Q$3:$Q$503,MATCH(M238,Товары_очищенные!$L$3:$L$503,0)),"нет в каталоге")</f>
        <v>33500</v>
      </c>
      <c r="S238" s="21" t="str">
        <f>IFERROR(INDEX(Товары_очищенные!$N$3:$N$503,MATCH(M238,Товары_очищенные!$L$3:$L$503,0)),"нет в каталоге")</f>
        <v>Смартфоны</v>
      </c>
      <c r="T238" s="21" t="str">
        <f t="shared" si="187"/>
        <v>OK</v>
      </c>
      <c r="U238" s="12" t="str">
        <f t="shared" si="188"/>
        <v>12/05/2025|АРТ-296|C0236</v>
      </c>
      <c r="V238" s="12" t="str">
        <f t="shared" si="189"/>
        <v>оригинал</v>
      </c>
    </row>
    <row r="239" ht="15" customHeight="1">
      <c r="A239" s="10">
        <v>237</v>
      </c>
      <c r="B239" s="11" t="str">
        <f>RAW_Продажи!A238</f>
        <v>05/13/2025</v>
      </c>
      <c r="C239" s="11" t="str">
        <f>RAW_Продажи!B238</f>
        <v>381/24</v>
      </c>
      <c r="D239" s="11" t="str">
        <f>RAW_Продажи!C238</f>
        <v xml:space="preserve">3 шт.</v>
      </c>
      <c r="E239" s="11" t="str">
        <f>RAW_Продажи!D238</f>
        <v xml:space="preserve">7000 ₽</v>
      </c>
      <c r="F239" s="11" t="str">
        <f>RAW_Продажи!E238</f>
        <v>C0237</v>
      </c>
      <c r="G239" s="11" t="str">
        <f>RAW_Продажи!F238</f>
        <v>P025</v>
      </c>
      <c r="H239" s="11" t="str">
        <f>RAW_Продажи!G238</f>
        <v>Завершен</v>
      </c>
      <c r="I239" s="12" t="str">
        <f t="shared" si="181"/>
        <v>381/24</v>
      </c>
      <c r="J239" s="12" t="str">
        <f t="shared" si="182"/>
        <v>₽</v>
      </c>
      <c r="K239" s="12">
        <f t="shared" si="183"/>
        <v>7000</v>
      </c>
      <c r="L239" s="19">
        <f t="shared" si="184"/>
        <v>45790</v>
      </c>
      <c r="M239" s="13" t="str">
        <f t="shared" si="185"/>
        <v>АРТ-381</v>
      </c>
      <c r="N239" s="13">
        <f t="shared" si="186"/>
        <v>3</v>
      </c>
      <c r="O239" s="13" t="str">
        <f>IFERROR(VLOOKUP(J239,Справочники!$G$6:$H$8,2,0),"RUB")</f>
        <v>RUB</v>
      </c>
      <c r="P239" s="14">
        <f>ROUND(K239*IFERROR(VLOOKUP(J239,Справочники!$G$6:$I$8,3,0),1),2)</f>
        <v>7000</v>
      </c>
      <c r="Q239" s="13" t="str">
        <f>IFERROR(VLOOKUP(H239,Справочники!$D$6:$E$14,2,0),"НЕИЗВЕСТНО")</f>
        <v>Завершен</v>
      </c>
      <c r="R239" s="20">
        <f>IFERROR(INDEX(Товары_очищенные!$Q$3:$Q$503,MATCH(M239,Товары_очищенные!$L$3:$L$503,0)),"нет в каталоге")</f>
        <v>38500</v>
      </c>
      <c r="S239" s="21" t="str">
        <f>IFERROR(INDEX(Товары_очищенные!$N$3:$N$503,MATCH(M239,Товары_очищенные!$L$3:$L$503,0)),"нет в каталоге")</f>
        <v>Планшеты</v>
      </c>
      <c r="T239" s="21" t="str">
        <f t="shared" si="187"/>
        <v>OK</v>
      </c>
      <c r="U239" s="12" t="str">
        <f t="shared" si="188"/>
        <v>13/05/2025|АРТ-381|C0237</v>
      </c>
      <c r="V239" s="12" t="str">
        <f t="shared" si="189"/>
        <v>оригинал</v>
      </c>
    </row>
    <row r="240" ht="15" customHeight="1">
      <c r="A240" s="10">
        <v>238</v>
      </c>
      <c r="B240" s="11" t="str">
        <f>RAW_Продажи!A239</f>
        <v>05/13/2025</v>
      </c>
      <c r="C240" s="11" t="str">
        <f>RAW_Продажи!B239</f>
        <v>№АРТ-338</v>
      </c>
      <c r="D240" s="11" t="str">
        <f>RAW_Продажи!C239</f>
        <v>-2</v>
      </c>
      <c r="E240" s="11" t="str">
        <f>RAW_Продажи!D239</f>
        <v>$115</v>
      </c>
      <c r="F240" s="11" t="str">
        <f>RAW_Продажи!E239</f>
        <v>C0238</v>
      </c>
      <c r="G240" s="11" t="str">
        <f>RAW_Продажи!F239</f>
        <v>P010</v>
      </c>
      <c r="H240" s="11" t="str">
        <f>RAW_Продажи!G239</f>
        <v>возврат</v>
      </c>
      <c r="I240" s="12" t="str">
        <f t="shared" si="181"/>
        <v>338</v>
      </c>
      <c r="J240" s="12" t="str">
        <f t="shared" si="182"/>
        <v>$</v>
      </c>
      <c r="K240" s="12">
        <f t="shared" si="183"/>
        <v>115</v>
      </c>
      <c r="L240" s="19">
        <f t="shared" si="184"/>
        <v>45790</v>
      </c>
      <c r="M240" s="13" t="str">
        <f t="shared" si="185"/>
        <v>АРТ-338</v>
      </c>
      <c r="N240" s="13">
        <f t="shared" si="186"/>
        <v>-2</v>
      </c>
      <c r="O240" s="13" t="str">
        <f>IFERROR(VLOOKUP(J240,Справочники!$G$6:$H$8,2,0),"RUB")</f>
        <v>USD</v>
      </c>
      <c r="P240" s="14">
        <f>ROUND(K240*IFERROR(VLOOKUP(J240,Справочники!$G$6:$I$8,3,0),1),2)</f>
        <v>10925</v>
      </c>
      <c r="Q240" s="13" t="str">
        <f>IFERROR(VLOOKUP(H240,Справочники!$D$6:$E$14,2,0),"НЕИЗВЕСТНО")</f>
        <v>Возврат</v>
      </c>
      <c r="R240" s="20">
        <f>IFERROR(INDEX(Товары_очищенные!$Q$3:$Q$503,MATCH(M240,Товары_очищенные!$L$3:$L$503,0)),"нет в каталоге")</f>
        <v>62500</v>
      </c>
      <c r="S240" s="21" t="str">
        <f>IFERROR(INDEX(Товары_очищенные!$N$3:$N$503,MATCH(M240,Товары_очищенные!$L$3:$L$503,0)),"нет в каталоге")</f>
        <v>Смартфоны</v>
      </c>
      <c r="T240" s="21" t="str">
        <f t="shared" si="187"/>
        <v>OK</v>
      </c>
      <c r="U240" s="12" t="str">
        <f t="shared" si="188"/>
        <v>13/05/2025|АРТ-338|C0238</v>
      </c>
      <c r="V240" s="12" t="str">
        <f t="shared" si="189"/>
        <v>оригинал</v>
      </c>
    </row>
    <row r="241" ht="15" customHeight="1">
      <c r="A241" s="10">
        <v>239</v>
      </c>
      <c r="B241" s="11" t="str">
        <f>RAW_Продажи!A240</f>
        <v>05/14/2025</v>
      </c>
      <c r="C241" s="11" t="str">
        <f>RAW_Продажи!B240</f>
        <v>АРТ_214</v>
      </c>
      <c r="D241" s="11" t="str">
        <f>RAW_Продажи!C240</f>
        <v>1</v>
      </c>
      <c r="E241" s="11" t="str">
        <f>RAW_Продажи!D240</f>
        <v>€95</v>
      </c>
      <c r="F241" s="11" t="str">
        <f>RAW_Продажи!E240</f>
        <v>C0239</v>
      </c>
      <c r="G241" s="11" t="str">
        <f>RAW_Продажи!F240</f>
        <v>P033</v>
      </c>
      <c r="H241" s="11" t="str">
        <f>RAW_Продажи!G240</f>
        <v>завершен</v>
      </c>
      <c r="I241" s="12" t="str">
        <f t="shared" si="181"/>
        <v>214</v>
      </c>
      <c r="J241" s="12" t="str">
        <f t="shared" si="182"/>
        <v>€</v>
      </c>
      <c r="K241" s="12">
        <f t="shared" si="183"/>
        <v>95</v>
      </c>
      <c r="L241" s="19">
        <f t="shared" si="184"/>
        <v>45791</v>
      </c>
      <c r="M241" s="13" t="str">
        <f t="shared" si="185"/>
        <v>АРТ-214</v>
      </c>
      <c r="N241" s="13">
        <f t="shared" si="186"/>
        <v>1</v>
      </c>
      <c r="O241" s="13" t="str">
        <f>IFERROR(VLOOKUP(J241,Справочники!$G$6:$H$8,2,0),"RUB")</f>
        <v>EUR</v>
      </c>
      <c r="P241" s="14">
        <f>ROUND(K241*IFERROR(VLOOKUP(J241,Справочники!$G$6:$I$8,3,0),1),2)</f>
        <v>9500</v>
      </c>
      <c r="Q241" s="13" t="str">
        <f>IFERROR(VLOOKUP(H241,Справочники!$D$6:$E$14,2,0),"НЕИЗВЕСТНО")</f>
        <v>Завершен</v>
      </c>
      <c r="R241" s="20">
        <f>IFERROR(INDEX(Товары_очищенные!$Q$3:$Q$503,MATCH(M241,Товары_очищенные!$L$3:$L$503,0)),"нет в каталоге")</f>
        <v>26990</v>
      </c>
      <c r="S241" s="21" t="str">
        <f>IFERROR(INDEX(Товары_очищенные!$N$3:$N$503,MATCH(M241,Товары_очищенные!$L$3:$L$503,0)),"нет в каталоге")</f>
        <v>Планшеты</v>
      </c>
      <c r="T241" s="21" t="str">
        <f t="shared" si="187"/>
        <v>OK</v>
      </c>
      <c r="U241" s="12" t="str">
        <f t="shared" si="188"/>
        <v>14/05/2025|АРТ-214|C0239</v>
      </c>
      <c r="V241" s="12" t="str">
        <f t="shared" si="189"/>
        <v>оригинал</v>
      </c>
    </row>
    <row r="242" ht="15" customHeight="1">
      <c r="A242" s="10">
        <v>240</v>
      </c>
      <c r="B242" s="11" t="str">
        <f>RAW_Продажи!A241</f>
        <v>05/14/2025</v>
      </c>
      <c r="C242" s="11" t="str">
        <f>RAW_Продажи!B241</f>
        <v>178-24</v>
      </c>
      <c r="D242" s="11" t="str">
        <f>RAW_Продажи!C241</f>
        <v>2</v>
      </c>
      <c r="E242" s="11" t="str">
        <f>RAW_Продажи!D241</f>
        <v xml:space="preserve">8500 ₽</v>
      </c>
      <c r="F242" s="11" t="str">
        <f>RAW_Продажи!E241</f>
        <v>C0240</v>
      </c>
      <c r="G242" s="11" t="str">
        <f>RAW_Продажи!F241</f>
        <v>P047</v>
      </c>
      <c r="H242" s="11" t="str">
        <f>RAW_Продажи!G241</f>
        <v>completed</v>
      </c>
      <c r="I242" s="12" t="str">
        <f t="shared" si="181"/>
        <v>178-24</v>
      </c>
      <c r="J242" s="12" t="str">
        <f t="shared" si="182"/>
        <v>₽</v>
      </c>
      <c r="K242" s="12">
        <f t="shared" si="183"/>
        <v>8500</v>
      </c>
      <c r="L242" s="19">
        <f t="shared" si="184"/>
        <v>45791</v>
      </c>
      <c r="M242" s="13" t="str">
        <f t="shared" si="185"/>
        <v>АРТ-178</v>
      </c>
      <c r="N242" s="13">
        <f t="shared" si="186"/>
        <v>2</v>
      </c>
      <c r="O242" s="13" t="str">
        <f>IFERROR(VLOOKUP(J242,Справочники!$G$6:$H$8,2,0),"RUB")</f>
        <v>RUB</v>
      </c>
      <c r="P242" s="14">
        <f>ROUND(K242*IFERROR(VLOOKUP(J242,Справочники!$G$6:$I$8,3,0),1),2)</f>
        <v>8500</v>
      </c>
      <c r="Q242" s="13" t="str">
        <f>IFERROR(VLOOKUP(H242,Справочники!$D$6:$E$14,2,0),"НЕИЗВЕСТНО")</f>
        <v>Завершен</v>
      </c>
      <c r="R242" s="20">
        <f>IFERROR(INDEX(Товары_очищенные!$Q$3:$Q$503,MATCH(M242,Товары_очищенные!$L$3:$L$503,0)),"нет в каталоге")</f>
        <v>13990</v>
      </c>
      <c r="S242" s="21" t="str">
        <f>IFERROR(INDEX(Товары_очищенные!$N$3:$N$503,MATCH(M242,Товары_очищенные!$L$3:$L$503,0)),"нет в каталоге")</f>
        <v>Наушники</v>
      </c>
      <c r="T242" s="21" t="str">
        <f t="shared" si="187"/>
        <v>OK</v>
      </c>
      <c r="U242" s="12" t="str">
        <f t="shared" si="188"/>
        <v>14/05/2025|АРТ-178|C0240</v>
      </c>
      <c r="V242" s="12" t="str">
        <f t="shared" si="189"/>
        <v>оригинал</v>
      </c>
    </row>
    <row r="243" ht="15" customHeight="1">
      <c r="A243" s="10">
        <v>241</v>
      </c>
      <c r="B243" s="11" t="str">
        <f>RAW_Продажи!A242</f>
        <v>05/15/2025</v>
      </c>
      <c r="C243" s="11" t="str">
        <f>RAW_Продажи!B242</f>
        <v>№АРТ-071</v>
      </c>
      <c r="D243" s="11" t="str">
        <f>RAW_Продажи!C242</f>
        <v>3</v>
      </c>
      <c r="E243" s="11" t="str">
        <f>RAW_Продажи!D242</f>
        <v>$105</v>
      </c>
      <c r="F243" s="11" t="str">
        <f>RAW_Продажи!E242</f>
        <v>C0241</v>
      </c>
      <c r="G243" s="11" t="str">
        <f>RAW_Продажи!F242</f>
        <v>P020</v>
      </c>
      <c r="H243" s="11" t="str">
        <f>RAW_Продажи!G242</f>
        <v>Завершен</v>
      </c>
      <c r="I243" s="12" t="str">
        <f t="shared" si="181"/>
        <v>071</v>
      </c>
      <c r="J243" s="12" t="str">
        <f t="shared" si="182"/>
        <v>$</v>
      </c>
      <c r="K243" s="12">
        <f t="shared" si="183"/>
        <v>105</v>
      </c>
      <c r="L243" s="19">
        <f t="shared" si="184"/>
        <v>45792</v>
      </c>
      <c r="M243" s="13" t="str">
        <f t="shared" si="185"/>
        <v>АРТ-071</v>
      </c>
      <c r="N243" s="13">
        <f t="shared" si="186"/>
        <v>3</v>
      </c>
      <c r="O243" s="13" t="str">
        <f>IFERROR(VLOOKUP(J243,Справочники!$G$6:$H$8,2,0),"RUB")</f>
        <v>USD</v>
      </c>
      <c r="P243" s="14">
        <f>ROUND(K243*IFERROR(VLOOKUP(J243,Справочники!$G$6:$I$8,3,0),1),2)</f>
        <v>9975</v>
      </c>
      <c r="Q243" s="13" t="str">
        <f>IFERROR(VLOOKUP(H243,Справочники!$D$6:$E$14,2,0),"НЕИЗВЕСТНО")</f>
        <v>Завершен</v>
      </c>
      <c r="R243" s="20">
        <f>IFERROR(INDEX(Товары_очищенные!$Q$3:$Q$503,MATCH(M243,Товары_очищенные!$L$3:$L$503,0)),"нет в каталоге")</f>
        <v>19000</v>
      </c>
      <c r="S243" s="21" t="str">
        <f>IFERROR(INDEX(Товары_очищенные!$N$3:$N$503,MATCH(M243,Товары_очищенные!$L$3:$L$503,0)),"нет в каталоге")</f>
        <v>Наушники</v>
      </c>
      <c r="T243" s="21" t="str">
        <f t="shared" si="187"/>
        <v>OK</v>
      </c>
      <c r="U243" s="12" t="str">
        <f t="shared" si="188"/>
        <v>15/05/2025|АРТ-071|C0241</v>
      </c>
      <c r="V243" s="12" t="str">
        <f t="shared" si="189"/>
        <v>оригинал</v>
      </c>
    </row>
    <row r="244" ht="15" customHeight="1">
      <c r="A244" s="10">
        <v>242</v>
      </c>
      <c r="B244" s="11" t="str">
        <f>RAW_Продажи!A243</f>
        <v>05/15/2025</v>
      </c>
      <c r="C244" s="11" t="str">
        <f>RAW_Продажи!B243</f>
        <v>АРТ_439</v>
      </c>
      <c r="D244" s="11" t="str">
        <f>RAW_Продажи!C243</f>
        <v>2</v>
      </c>
      <c r="E244" s="11" t="str">
        <f>RAW_Продажи!D243</f>
        <v>€85</v>
      </c>
      <c r="F244" s="11" t="str">
        <f>RAW_Продажи!E243</f>
        <v>C0242</v>
      </c>
      <c r="G244" s="11" t="str">
        <f>RAW_Продажи!F243</f>
        <v>P002</v>
      </c>
      <c r="H244" s="11" t="str">
        <f>RAW_Продажи!G243</f>
        <v>canceled</v>
      </c>
      <c r="I244" s="12" t="str">
        <f t="shared" si="181"/>
        <v>439</v>
      </c>
      <c r="J244" s="12" t="str">
        <f t="shared" si="182"/>
        <v>€</v>
      </c>
      <c r="K244" s="12">
        <f t="shared" si="183"/>
        <v>85</v>
      </c>
      <c r="L244" s="19">
        <f t="shared" si="184"/>
        <v>45792</v>
      </c>
      <c r="M244" s="13" t="str">
        <f t="shared" si="185"/>
        <v>АРТ-439</v>
      </c>
      <c r="N244" s="13">
        <f t="shared" si="186"/>
        <v>2</v>
      </c>
      <c r="O244" s="13" t="str">
        <f>IFERROR(VLOOKUP(J244,Справочники!$G$6:$H$8,2,0),"RUB")</f>
        <v>EUR</v>
      </c>
      <c r="P244" s="14">
        <f>ROUND(K244*IFERROR(VLOOKUP(J244,Справочники!$G$6:$I$8,3,0),1),2)</f>
        <v>8500</v>
      </c>
      <c r="Q244" s="13" t="str">
        <f>IFERROR(VLOOKUP(H244,Справочники!$D$6:$E$14,2,0),"НЕИЗВЕСТНО")</f>
        <v>Отменен</v>
      </c>
      <c r="R244" s="20">
        <f>IFERROR(INDEX(Товары_очищенные!$Q$3:$Q$503,MATCH(M244,Товары_очищенные!$L$3:$L$503,0)),"нет в каталоге")</f>
        <v>29990</v>
      </c>
      <c r="S244" s="21" t="str">
        <f>IFERROR(INDEX(Товары_очищенные!$N$3:$N$503,MATCH(M244,Товары_очищенные!$L$3:$L$503,0)),"нет в каталоге")</f>
        <v>Планшеты</v>
      </c>
      <c r="T244" s="21" t="str">
        <f t="shared" si="187"/>
        <v>OK</v>
      </c>
      <c r="U244" s="12" t="str">
        <f t="shared" si="188"/>
        <v>15/05/2025|АРТ-439|C0242</v>
      </c>
      <c r="V244" s="12" t="str">
        <f t="shared" si="189"/>
        <v>оригинал</v>
      </c>
    </row>
    <row r="245" ht="15" customHeight="1">
      <c r="A245" s="10">
        <v>243</v>
      </c>
      <c r="B245" s="11" t="str">
        <f>RAW_Продажи!A244</f>
        <v>05/16/2025</v>
      </c>
      <c r="C245" s="11" t="str">
        <f>RAW_Продажи!B244</f>
        <v>309/24</v>
      </c>
      <c r="D245" s="11" t="str">
        <f>RAW_Продажи!C244</f>
        <v xml:space="preserve">1 шт.</v>
      </c>
      <c r="E245" s="11" t="str">
        <f>RAW_Продажи!D244</f>
        <v xml:space="preserve">7800 ₽</v>
      </c>
      <c r="F245" s="11" t="str">
        <f>RAW_Продажи!E244</f>
        <v>C0243</v>
      </c>
      <c r="G245" s="11" t="str">
        <f>RAW_Продажи!F244</f>
        <v>P038</v>
      </c>
      <c r="H245" s="11" t="str">
        <f>RAW_Продажи!G244</f>
        <v>отменен</v>
      </c>
      <c r="I245" s="12" t="str">
        <f t="shared" si="181"/>
        <v>309/24</v>
      </c>
      <c r="J245" s="12" t="str">
        <f t="shared" si="182"/>
        <v>₽</v>
      </c>
      <c r="K245" s="12">
        <f t="shared" si="183"/>
        <v>7800</v>
      </c>
      <c r="L245" s="19">
        <f t="shared" si="184"/>
        <v>45793</v>
      </c>
      <c r="M245" s="13" t="str">
        <f t="shared" si="185"/>
        <v>АРТ-309</v>
      </c>
      <c r="N245" s="13">
        <f t="shared" si="186"/>
        <v>1</v>
      </c>
      <c r="O245" s="13" t="str">
        <f>IFERROR(VLOOKUP(J245,Справочники!$G$6:$H$8,2,0),"RUB")</f>
        <v>RUB</v>
      </c>
      <c r="P245" s="14">
        <f>ROUND(K245*IFERROR(VLOOKUP(J245,Справочники!$G$6:$I$8,3,0),1),2)</f>
        <v>7800</v>
      </c>
      <c r="Q245" s="13" t="str">
        <f>IFERROR(VLOOKUP(H245,Справочники!$D$6:$E$14,2,0),"НЕИЗВЕСТНО")</f>
        <v>Отменен</v>
      </c>
      <c r="R245" s="20">
        <f>IFERROR(INDEX(Товары_очищенные!$Q$3:$Q$503,MATCH(M245,Товары_очищенные!$L$3:$L$503,0)),"нет в каталоге")</f>
        <v>9800</v>
      </c>
      <c r="S245" s="21" t="str">
        <f>IFERROR(INDEX(Товары_очищенные!$N$3:$N$503,MATCH(M245,Товары_очищенные!$L$3:$L$503,0)),"нет в каталоге")</f>
        <v>Аксессуары</v>
      </c>
      <c r="T245" s="21" t="str">
        <f t="shared" si="187"/>
        <v>OK</v>
      </c>
      <c r="U245" s="12" t="str">
        <f t="shared" si="188"/>
        <v>16/05/2025|АРТ-309|C0243</v>
      </c>
      <c r="V245" s="12" t="str">
        <f t="shared" si="189"/>
        <v>оригинал</v>
      </c>
    </row>
    <row r="246" ht="15" customHeight="1">
      <c r="A246" s="10">
        <v>244</v>
      </c>
      <c r="B246" s="11" t="str">
        <f>RAW_Продажи!A245</f>
        <v>05/16/2025</v>
      </c>
      <c r="C246" s="11" t="str">
        <f>RAW_Продажи!B245</f>
        <v>№АРТ-423</v>
      </c>
      <c r="D246" s="11" t="str">
        <f>RAW_Продажи!C245</f>
        <v>-3</v>
      </c>
      <c r="E246" s="11" t="str">
        <f>RAW_Продажи!D245</f>
        <v>$120</v>
      </c>
      <c r="F246" s="11" t="str">
        <f>RAW_Продажи!E245</f>
        <v>C0244</v>
      </c>
      <c r="G246" s="11" t="str">
        <f>RAW_Продажи!F245</f>
        <v>P016</v>
      </c>
      <c r="H246" s="11" t="str">
        <f>RAW_Продажи!G245</f>
        <v>возврат</v>
      </c>
      <c r="I246" s="12" t="str">
        <f t="shared" si="181"/>
        <v>423</v>
      </c>
      <c r="J246" s="12" t="str">
        <f t="shared" si="182"/>
        <v>$</v>
      </c>
      <c r="K246" s="12">
        <f t="shared" si="183"/>
        <v>120</v>
      </c>
      <c r="L246" s="19">
        <f t="shared" si="184"/>
        <v>45793</v>
      </c>
      <c r="M246" s="13" t="str">
        <f t="shared" si="185"/>
        <v>АРТ-423</v>
      </c>
      <c r="N246" s="13">
        <f t="shared" si="186"/>
        <v>-3</v>
      </c>
      <c r="O246" s="13" t="str">
        <f>IFERROR(VLOOKUP(J246,Справочники!$G$6:$H$8,2,0),"RUB")</f>
        <v>USD</v>
      </c>
      <c r="P246" s="14">
        <f>ROUND(K246*IFERROR(VLOOKUP(J246,Справочники!$G$6:$I$8,3,0),1),2)</f>
        <v>11400</v>
      </c>
      <c r="Q246" s="13" t="str">
        <f>IFERROR(VLOOKUP(H246,Справочники!$D$6:$E$14,2,0),"НЕИЗВЕСТНО")</f>
        <v>Возврат</v>
      </c>
      <c r="R246" s="20">
        <f>IFERROR(INDEX(Товары_очищенные!$Q$3:$Q$503,MATCH(M246,Товары_очищенные!$L$3:$L$503,0)),"нет в каталоге")</f>
        <v>129500</v>
      </c>
      <c r="S246" s="21" t="str">
        <f>IFERROR(INDEX(Товары_очищенные!$N$3:$N$503,MATCH(M246,Товары_очищенные!$L$3:$L$503,0)),"нет в каталоге")</f>
        <v>Ноутбуки</v>
      </c>
      <c r="T246" s="21" t="str">
        <f t="shared" si="187"/>
        <v>OK</v>
      </c>
      <c r="U246" s="12" t="str">
        <f t="shared" si="188"/>
        <v>16/05/2025|АРТ-423|C0244</v>
      </c>
      <c r="V246" s="12" t="str">
        <f t="shared" si="189"/>
        <v>оригинал</v>
      </c>
    </row>
    <row r="247" ht="15" customHeight="1">
      <c r="A247" s="10">
        <v>245</v>
      </c>
      <c r="B247" s="11" t="str">
        <f>RAW_Продажи!A246</f>
        <v>05/17/2025</v>
      </c>
      <c r="C247" s="11" t="str">
        <f>RAW_Продажи!B246</f>
        <v>АРТ_276</v>
      </c>
      <c r="D247" s="11" t="str">
        <f>RAW_Продажи!C246</f>
        <v>2</v>
      </c>
      <c r="E247" s="11" t="str">
        <f>RAW_Продажи!D246</f>
        <v>€100</v>
      </c>
      <c r="F247" s="11" t="str">
        <f>RAW_Продажи!E246</f>
        <v>C0245</v>
      </c>
      <c r="G247" s="11" t="str">
        <f>RAW_Продажи!F246</f>
        <v>P029</v>
      </c>
      <c r="H247" s="11" t="str">
        <f>RAW_Продажи!G246</f>
        <v>Завершен</v>
      </c>
      <c r="I247" s="12" t="str">
        <f t="shared" si="181"/>
        <v>276</v>
      </c>
      <c r="J247" s="12" t="str">
        <f t="shared" si="182"/>
        <v>€</v>
      </c>
      <c r="K247" s="12">
        <f t="shared" si="183"/>
        <v>100</v>
      </c>
      <c r="L247" s="19">
        <f t="shared" si="184"/>
        <v>45794</v>
      </c>
      <c r="M247" s="13" t="str">
        <f t="shared" si="185"/>
        <v>АРТ-276</v>
      </c>
      <c r="N247" s="13">
        <f t="shared" si="186"/>
        <v>2</v>
      </c>
      <c r="O247" s="13" t="str">
        <f>IFERROR(VLOOKUP(J247,Справочники!$G$6:$H$8,2,0),"RUB")</f>
        <v>EUR</v>
      </c>
      <c r="P247" s="14">
        <f>ROUND(K247*IFERROR(VLOOKUP(J247,Справочники!$G$6:$I$8,3,0),1),2)</f>
        <v>10000</v>
      </c>
      <c r="Q247" s="13" t="str">
        <f>IFERROR(VLOOKUP(H247,Справочники!$D$6:$E$14,2,0),"НЕИЗВЕСТНО")</f>
        <v>Завершен</v>
      </c>
      <c r="R247" s="20">
        <f>IFERROR(INDEX(Товары_очищенные!$Q$3:$Q$503,MATCH(M247,Товары_очищенные!$L$3:$L$503,0)),"нет в каталоге")</f>
        <v>50500</v>
      </c>
      <c r="S247" s="21" t="str">
        <f>IFERROR(INDEX(Товары_очищенные!$N$3:$N$503,MATCH(M247,Товары_очищенные!$L$3:$L$503,0)),"нет в каталоге")</f>
        <v>Планшеты</v>
      </c>
      <c r="T247" s="21" t="str">
        <f t="shared" si="187"/>
        <v>OK</v>
      </c>
      <c r="U247" s="12" t="str">
        <f t="shared" si="188"/>
        <v>17/05/2025|АРТ-276|C0245</v>
      </c>
      <c r="V247" s="12" t="str">
        <f t="shared" si="189"/>
        <v>оригинал</v>
      </c>
    </row>
    <row r="248" ht="15" customHeight="1">
      <c r="A248" s="10">
        <v>246</v>
      </c>
      <c r="B248" s="11" t="str">
        <f>RAW_Продажи!A247</f>
        <v>05/17/2025</v>
      </c>
      <c r="C248" s="11" t="str">
        <f>RAW_Продажи!B247</f>
        <v>113-24</v>
      </c>
      <c r="D248" s="11" t="str">
        <f>RAW_Продажи!C247</f>
        <v>1</v>
      </c>
      <c r="E248" s="11" t="str">
        <f>RAW_Продажи!D247</f>
        <v xml:space="preserve">9200 ₽</v>
      </c>
      <c r="F248" s="11" t="str">
        <f>RAW_Продажи!E247</f>
        <v>C0246</v>
      </c>
      <c r="G248" s="11" t="str">
        <f>RAW_Продажи!F247</f>
        <v>P035</v>
      </c>
      <c r="H248" s="11" t="str">
        <f>RAW_Продажи!G247</f>
        <v>завершен</v>
      </c>
      <c r="I248" s="12" t="str">
        <f t="shared" si="181"/>
        <v>113-24</v>
      </c>
      <c r="J248" s="12" t="str">
        <f t="shared" si="182"/>
        <v>₽</v>
      </c>
      <c r="K248" s="12">
        <f t="shared" si="183"/>
        <v>9200</v>
      </c>
      <c r="L248" s="19">
        <f t="shared" si="184"/>
        <v>45794</v>
      </c>
      <c r="M248" s="13" t="str">
        <f t="shared" si="185"/>
        <v>АРТ-113</v>
      </c>
      <c r="N248" s="13">
        <f t="shared" si="186"/>
        <v>1</v>
      </c>
      <c r="O248" s="13" t="str">
        <f>IFERROR(VLOOKUP(J248,Справочники!$G$6:$H$8,2,0),"RUB")</f>
        <v>RUB</v>
      </c>
      <c r="P248" s="14">
        <f>ROUND(K248*IFERROR(VLOOKUP(J248,Справочники!$G$6:$I$8,3,0),1),2)</f>
        <v>9200</v>
      </c>
      <c r="Q248" s="13" t="str">
        <f>IFERROR(VLOOKUP(H248,Справочники!$D$6:$E$14,2,0),"НЕИЗВЕСТНО")</f>
        <v>Завершен</v>
      </c>
      <c r="R248" s="20">
        <f>IFERROR(INDEX(Товары_очищенные!$Q$3:$Q$503,MATCH(M248,Товары_очищенные!$L$3:$L$503,0)),"нет в каталоге")</f>
        <v>33500</v>
      </c>
      <c r="S248" s="21" t="str">
        <f>IFERROR(INDEX(Товары_очищенные!$N$3:$N$503,MATCH(M248,Товары_очищенные!$L$3:$L$503,0)),"нет в каталоге")</f>
        <v>Наушники</v>
      </c>
      <c r="T248" s="21" t="str">
        <f t="shared" si="187"/>
        <v>OK</v>
      </c>
      <c r="U248" s="12" t="str">
        <f t="shared" si="188"/>
        <v>17/05/2025|АРТ-113|C0246</v>
      </c>
      <c r="V248" s="12" t="str">
        <f t="shared" si="189"/>
        <v>оригинал</v>
      </c>
    </row>
    <row r="249" ht="15" customHeight="1">
      <c r="A249" s="10">
        <v>247</v>
      </c>
      <c r="B249" s="11" t="str">
        <f>RAW_Продажи!A248</f>
        <v>05/18/2025</v>
      </c>
      <c r="C249" s="11" t="str">
        <f>RAW_Продажи!B248</f>
        <v>№АРТ-162</v>
      </c>
      <c r="D249" s="11" t="str">
        <f>RAW_Продажи!C248</f>
        <v>3</v>
      </c>
      <c r="E249" s="11" t="str">
        <f>RAW_Продажи!D248</f>
        <v>$90</v>
      </c>
      <c r="F249" s="11" t="str">
        <f>RAW_Продажи!E248</f>
        <v>C0247</v>
      </c>
      <c r="G249" s="11" t="str">
        <f>RAW_Продажи!F248</f>
        <v>P046</v>
      </c>
      <c r="H249" s="11" t="str">
        <f>RAW_Продажи!G248</f>
        <v>completed</v>
      </c>
      <c r="I249" s="12" t="str">
        <f t="shared" si="181"/>
        <v>162</v>
      </c>
      <c r="J249" s="12" t="str">
        <f t="shared" si="182"/>
        <v>$</v>
      </c>
      <c r="K249" s="12">
        <f t="shared" si="183"/>
        <v>90</v>
      </c>
      <c r="L249" s="19">
        <f t="shared" si="184"/>
        <v>45795</v>
      </c>
      <c r="M249" s="13" t="str">
        <f t="shared" si="185"/>
        <v>АРТ-162</v>
      </c>
      <c r="N249" s="13">
        <f t="shared" si="186"/>
        <v>3</v>
      </c>
      <c r="O249" s="13" t="str">
        <f>IFERROR(VLOOKUP(J249,Справочники!$G$6:$H$8,2,0),"RUB")</f>
        <v>USD</v>
      </c>
      <c r="P249" s="14">
        <f>ROUND(K249*IFERROR(VLOOKUP(J249,Справочники!$G$6:$I$8,3,0),1),2)</f>
        <v>8550</v>
      </c>
      <c r="Q249" s="13" t="str">
        <f>IFERROR(VLOOKUP(H249,Справочники!$D$6:$E$14,2,0),"НЕИЗВЕСТНО")</f>
        <v>Завершен</v>
      </c>
      <c r="R249" s="20">
        <f>IFERROR(INDEX(Товары_очищенные!$Q$3:$Q$503,MATCH(M249,Товары_очищенные!$L$3:$L$503,0)),"нет в каталоге")</f>
        <v>9500</v>
      </c>
      <c r="S249" s="21" t="str">
        <f>IFERROR(INDEX(Товары_очищенные!$N$3:$N$503,MATCH(M249,Товары_очищенные!$L$3:$L$503,0)),"нет в каталоге")</f>
        <v>Аксессуары</v>
      </c>
      <c r="T249" s="21" t="str">
        <f t="shared" si="187"/>
        <v>OK</v>
      </c>
      <c r="U249" s="12" t="str">
        <f t="shared" si="188"/>
        <v>18/05/2025|АРТ-162|C0247</v>
      </c>
      <c r="V249" s="12" t="str">
        <f t="shared" si="189"/>
        <v>оригинал</v>
      </c>
    </row>
    <row r="250" ht="15" customHeight="1">
      <c r="A250" s="10">
        <v>248</v>
      </c>
      <c r="B250" s="11" t="str">
        <f>RAW_Продажи!A249</f>
        <v>05/18/2025</v>
      </c>
      <c r="C250" s="11" t="str">
        <f>RAW_Продажи!B249</f>
        <v>АРТ_502</v>
      </c>
      <c r="D250" s="11" t="str">
        <f>RAW_Продажи!C249</f>
        <v>2</v>
      </c>
      <c r="E250" s="11" t="str">
        <f>RAW_Продажи!D249</f>
        <v>€70</v>
      </c>
      <c r="F250" s="11" t="str">
        <f>RAW_Продажи!E249</f>
        <v>C0248</v>
      </c>
      <c r="G250" s="11" t="str">
        <f>RAW_Продажи!F249</f>
        <v>P022</v>
      </c>
      <c r="H250" s="11" t="str">
        <f>RAW_Продажи!G249</f>
        <v>отменен</v>
      </c>
      <c r="I250" s="12" t="str">
        <f t="shared" si="181"/>
        <v>502</v>
      </c>
      <c r="J250" s="12" t="str">
        <f t="shared" si="182"/>
        <v>€</v>
      </c>
      <c r="K250" s="12">
        <f t="shared" si="183"/>
        <v>70</v>
      </c>
      <c r="L250" s="19">
        <f t="shared" si="184"/>
        <v>45795</v>
      </c>
      <c r="M250" s="13" t="str">
        <f t="shared" si="185"/>
        <v>АРТ-502</v>
      </c>
      <c r="N250" s="13">
        <f t="shared" si="186"/>
        <v>2</v>
      </c>
      <c r="O250" s="13" t="str">
        <f>IFERROR(VLOOKUP(J250,Справочники!$G$6:$H$8,2,0),"RUB")</f>
        <v>EUR</v>
      </c>
      <c r="P250" s="14">
        <f>ROUND(K250*IFERROR(VLOOKUP(J250,Справочники!$G$6:$I$8,3,0),1),2)</f>
        <v>7000</v>
      </c>
      <c r="Q250" s="13" t="str">
        <f>IFERROR(VLOOKUP(H250,Справочники!$D$6:$E$14,2,0),"НЕИЗВЕСТНО")</f>
        <v>Отменен</v>
      </c>
      <c r="R250" s="20" t="str">
        <f>IFERROR(INDEX(Товары_очищенные!$Q$3:$Q$503,MATCH(M250,Товары_очищенные!$L$3:$L$503,0)),"нет в каталоге")</f>
        <v xml:space="preserve">нет в каталоге</v>
      </c>
      <c r="S250" s="21" t="str">
        <f>IFERROR(INDEX(Товары_очищенные!$N$3:$N$503,MATCH(M250,Товары_очищенные!$L$3:$L$503,0)),"нет в каталоге")</f>
        <v xml:space="preserve">нет в каталоге</v>
      </c>
      <c r="T250" s="21" t="str">
        <f t="shared" si="187"/>
        <v>—</v>
      </c>
      <c r="U250" s="12" t="str">
        <f t="shared" si="188"/>
        <v>18/05/2025|АРТ-502|C0248</v>
      </c>
      <c r="V250" s="12" t="str">
        <f t="shared" si="189"/>
        <v>оригинал</v>
      </c>
    </row>
    <row r="251" ht="15" customHeight="1">
      <c r="A251" s="10">
        <v>249</v>
      </c>
      <c r="B251" s="11" t="str">
        <f>RAW_Продажи!A250</f>
        <v>05/19/2025</v>
      </c>
      <c r="C251" s="11" t="str">
        <f>RAW_Продажи!B250</f>
        <v>285/24</v>
      </c>
      <c r="D251" s="11" t="str">
        <f>RAW_Продажи!C250</f>
        <v xml:space="preserve">1 шт.</v>
      </c>
      <c r="E251" s="11" t="str">
        <f>RAW_Продажи!D250</f>
        <v xml:space="preserve">6500 ₽</v>
      </c>
      <c r="F251" s="11" t="str">
        <f>RAW_Продажи!E250</f>
        <v>C0249</v>
      </c>
      <c r="G251" s="11" t="str">
        <f>RAW_Продажи!F250</f>
        <v>P043</v>
      </c>
      <c r="H251" s="11" t="str">
        <f>RAW_Продажи!G250</f>
        <v>canceled</v>
      </c>
      <c r="I251" s="12" t="str">
        <f t="shared" si="181"/>
        <v>285/24</v>
      </c>
      <c r="J251" s="12" t="str">
        <f t="shared" si="182"/>
        <v>₽</v>
      </c>
      <c r="K251" s="12">
        <f t="shared" si="183"/>
        <v>6500</v>
      </c>
      <c r="L251" s="19">
        <f t="shared" si="184"/>
        <v>45796</v>
      </c>
      <c r="M251" s="13" t="str">
        <f t="shared" si="185"/>
        <v>АРТ-285</v>
      </c>
      <c r="N251" s="13">
        <f t="shared" si="186"/>
        <v>1</v>
      </c>
      <c r="O251" s="13" t="str">
        <f>IFERROR(VLOOKUP(J251,Справочники!$G$6:$H$8,2,0),"RUB")</f>
        <v>RUB</v>
      </c>
      <c r="P251" s="14">
        <f>ROUND(K251*IFERROR(VLOOKUP(J251,Справочники!$G$6:$I$8,3,0),1),2)</f>
        <v>6500</v>
      </c>
      <c r="Q251" s="13" t="str">
        <f>IFERROR(VLOOKUP(H251,Справочники!$D$6:$E$14,2,0),"НЕИЗВЕСТНО")</f>
        <v>Отменен</v>
      </c>
      <c r="R251" s="20">
        <f>IFERROR(INDEX(Товары_очищенные!$Q$3:$Q$503,MATCH(M251,Товары_очищенные!$L$3:$L$503,0)),"нет в каталоге")</f>
        <v>87500</v>
      </c>
      <c r="S251" s="21" t="str">
        <f>IFERROR(INDEX(Товары_очищенные!$N$3:$N$503,MATCH(M251,Товары_очищенные!$L$3:$L$503,0)),"нет в каталоге")</f>
        <v>Мониторы</v>
      </c>
      <c r="T251" s="21" t="str">
        <f t="shared" si="187"/>
        <v>OK</v>
      </c>
      <c r="U251" s="12" t="str">
        <f t="shared" si="188"/>
        <v>19/05/2025|АРТ-285|C0249</v>
      </c>
      <c r="V251" s="12" t="str">
        <f t="shared" si="189"/>
        <v>оригинал</v>
      </c>
    </row>
    <row r="252" ht="15" customHeight="1">
      <c r="A252" s="10">
        <v>250</v>
      </c>
      <c r="B252" s="11" t="str">
        <f>RAW_Продажи!A251</f>
        <v>05/19/2025</v>
      </c>
      <c r="C252" s="11" t="str">
        <f>RAW_Продажи!B251</f>
        <v>№АРТ-241</v>
      </c>
      <c r="D252" s="11" t="str">
        <f>RAW_Продажи!C251</f>
        <v>-1</v>
      </c>
      <c r="E252" s="11" t="str">
        <f>RAW_Продажи!D251</f>
        <v>$110</v>
      </c>
      <c r="F252" s="11" t="str">
        <f>RAW_Продажи!E251</f>
        <v>C0250</v>
      </c>
      <c r="G252" s="11" t="str">
        <f>RAW_Продажи!F251</f>
        <v>P030</v>
      </c>
      <c r="H252" s="11" t="str">
        <f>RAW_Продажи!G251</f>
        <v>Завершен</v>
      </c>
      <c r="I252" s="12" t="str">
        <f t="shared" si="181"/>
        <v>241</v>
      </c>
      <c r="J252" s="12" t="str">
        <f t="shared" si="182"/>
        <v>$</v>
      </c>
      <c r="K252" s="12">
        <f t="shared" si="183"/>
        <v>110</v>
      </c>
      <c r="L252" s="19">
        <f t="shared" si="184"/>
        <v>45796</v>
      </c>
      <c r="M252" s="13" t="str">
        <f t="shared" si="185"/>
        <v>АРТ-241</v>
      </c>
      <c r="N252" s="13">
        <f t="shared" si="186"/>
        <v>-1</v>
      </c>
      <c r="O252" s="13" t="str">
        <f>IFERROR(VLOOKUP(J252,Справочники!$G$6:$H$8,2,0),"RUB")</f>
        <v>USD</v>
      </c>
      <c r="P252" s="14">
        <f>ROUND(K252*IFERROR(VLOOKUP(J252,Справочники!$G$6:$I$8,3,0),1),2)</f>
        <v>10450</v>
      </c>
      <c r="Q252" s="13" t="str">
        <f>IFERROR(VLOOKUP(H252,Справочники!$D$6:$E$14,2,0),"НЕИЗВЕСТНО")</f>
        <v>Завершен</v>
      </c>
      <c r="R252" s="20">
        <f>IFERROR(INDEX(Товары_очищенные!$Q$3:$Q$503,MATCH(M252,Товары_очищенные!$L$3:$L$503,0)),"нет в каталоге")</f>
        <v>59990</v>
      </c>
      <c r="S252" s="21" t="str">
        <f>IFERROR(INDEX(Товары_очищенные!$N$3:$N$503,MATCH(M252,Товары_очищенные!$L$3:$L$503,0)),"нет в каталоге")</f>
        <v>Наушники</v>
      </c>
      <c r="T252" s="21" t="str">
        <f t="shared" si="187"/>
        <v>OK</v>
      </c>
      <c r="U252" s="12" t="str">
        <f t="shared" si="188"/>
        <v>19/05/2025|АРТ-241|C0250</v>
      </c>
      <c r="V252" s="12" t="str">
        <f t="shared" si="189"/>
        <v>оригинал</v>
      </c>
    </row>
    <row r="253" ht="15" customHeight="1">
      <c r="A253" s="10">
        <v>251</v>
      </c>
      <c r="B253" s="11" t="str">
        <f>RAW_Продажи!A252</f>
        <v>05/20/2025</v>
      </c>
      <c r="C253" s="11" t="str">
        <f>RAW_Продажи!B252</f>
        <v>АРТ_361</v>
      </c>
      <c r="D253" s="11" t="str">
        <f>RAW_Продажи!C252</f>
        <v>3</v>
      </c>
      <c r="E253" s="11" t="str">
        <f>RAW_Продажи!D252</f>
        <v>€90</v>
      </c>
      <c r="F253" s="11" t="str">
        <f>RAW_Продажи!E252</f>
        <v>C0251</v>
      </c>
      <c r="G253" s="11" t="str">
        <f>RAW_Продажи!F252</f>
        <v>P012</v>
      </c>
      <c r="H253" s="11" t="str">
        <f>RAW_Продажи!G252</f>
        <v>возврат</v>
      </c>
      <c r="I253" s="12" t="str">
        <f t="shared" si="181"/>
        <v>361</v>
      </c>
      <c r="J253" s="12" t="str">
        <f t="shared" si="182"/>
        <v>€</v>
      </c>
      <c r="K253" s="12">
        <f t="shared" si="183"/>
        <v>90</v>
      </c>
      <c r="L253" s="19">
        <f t="shared" si="184"/>
        <v>45797</v>
      </c>
      <c r="M253" s="13" t="str">
        <f t="shared" si="185"/>
        <v>АРТ-361</v>
      </c>
      <c r="N253" s="13">
        <f t="shared" si="186"/>
        <v>3</v>
      </c>
      <c r="O253" s="13" t="str">
        <f>IFERROR(VLOOKUP(J253,Справочники!$G$6:$H$8,2,0),"RUB")</f>
        <v>EUR</v>
      </c>
      <c r="P253" s="14">
        <f>ROUND(K253*IFERROR(VLOOKUP(J253,Справочники!$G$6:$I$8,3,0),1),2)</f>
        <v>9000</v>
      </c>
      <c r="Q253" s="13" t="str">
        <f>IFERROR(VLOOKUP(H253,Справочники!$D$6:$E$14,2,0),"НЕИЗВЕСТНО")</f>
        <v>Возврат</v>
      </c>
      <c r="R253" s="20">
        <f>IFERROR(INDEX(Товары_очищенные!$Q$3:$Q$503,MATCH(M253,Товары_очищенные!$L$3:$L$503,0)),"нет в каталоге")</f>
        <v>145990</v>
      </c>
      <c r="S253" s="21" t="str">
        <f>IFERROR(INDEX(Товары_очищенные!$N$3:$N$503,MATCH(M253,Товары_очищенные!$L$3:$L$503,0)),"нет в каталоге")</f>
        <v>Ноутбуки</v>
      </c>
      <c r="T253" s="21" t="str">
        <f t="shared" si="187"/>
        <v>OK</v>
      </c>
      <c r="U253" s="12" t="str">
        <f t="shared" si="188"/>
        <v>20/05/2025|АРТ-361|C0251</v>
      </c>
      <c r="V253" s="12" t="str">
        <f t="shared" si="189"/>
        <v>оригинал</v>
      </c>
    </row>
    <row r="254" ht="15" customHeight="1">
      <c r="A254" s="10">
        <v>252</v>
      </c>
      <c r="B254" s="11" t="str">
        <f>RAW_Продажи!A253</f>
        <v>05/20/2025</v>
      </c>
      <c r="C254" s="11" t="str">
        <f>RAW_Продажи!B253</f>
        <v>075-24</v>
      </c>
      <c r="D254" s="11" t="str">
        <f>RAW_Продажи!C253</f>
        <v>2</v>
      </c>
      <c r="E254" s="11" t="str">
        <f>RAW_Продажи!D253</f>
        <v xml:space="preserve">8000 ₽</v>
      </c>
      <c r="F254" s="11" t="str">
        <f>RAW_Продажи!E253</f>
        <v>C0252</v>
      </c>
      <c r="G254" s="11" t="str">
        <f>RAW_Продажи!F253</f>
        <v>P007</v>
      </c>
      <c r="H254" s="11" t="str">
        <f>RAW_Продажи!G253</f>
        <v>завершен</v>
      </c>
      <c r="I254" s="12" t="str">
        <f t="shared" si="181"/>
        <v>075-24</v>
      </c>
      <c r="J254" s="12" t="str">
        <f t="shared" si="182"/>
        <v>₽</v>
      </c>
      <c r="K254" s="12">
        <f t="shared" si="183"/>
        <v>8000</v>
      </c>
      <c r="L254" s="19">
        <f t="shared" si="184"/>
        <v>45797</v>
      </c>
      <c r="M254" s="13" t="str">
        <f t="shared" si="185"/>
        <v>АРТ-075</v>
      </c>
      <c r="N254" s="13">
        <f t="shared" si="186"/>
        <v>2</v>
      </c>
      <c r="O254" s="13" t="str">
        <f>IFERROR(VLOOKUP(J254,Справочники!$G$6:$H$8,2,0),"RUB")</f>
        <v>RUB</v>
      </c>
      <c r="P254" s="14">
        <f>ROUND(K254*IFERROR(VLOOKUP(J254,Справочники!$G$6:$I$8,3,0),1),2)</f>
        <v>8000</v>
      </c>
      <c r="Q254" s="13" t="str">
        <f>IFERROR(VLOOKUP(H254,Справочники!$D$6:$E$14,2,0),"НЕИЗВЕСТНО")</f>
        <v>Завершен</v>
      </c>
      <c r="R254" s="20">
        <f>IFERROR(INDEX(Товары_очищенные!$Q$3:$Q$503,MATCH(M254,Товары_очищенные!$L$3:$L$503,0)),"нет в каталоге")</f>
        <v>82000</v>
      </c>
      <c r="S254" s="21" t="str">
        <f>IFERROR(INDEX(Товары_очищенные!$N$3:$N$503,MATCH(M254,Товары_очищенные!$L$3:$L$503,0)),"нет в каталоге")</f>
        <v>Мониторы</v>
      </c>
      <c r="T254" s="21" t="str">
        <f t="shared" si="187"/>
        <v>OK</v>
      </c>
      <c r="U254" s="12" t="str">
        <f t="shared" si="188"/>
        <v>20/05/2025|АРТ-075|C0252</v>
      </c>
      <c r="V254" s="12" t="str">
        <f t="shared" si="189"/>
        <v>оригинал</v>
      </c>
    </row>
    <row r="255" ht="15" customHeight="1">
      <c r="A255" s="10">
        <v>253</v>
      </c>
      <c r="B255" s="11" t="str">
        <f>RAW_Продажи!A254</f>
        <v>05/21/2025</v>
      </c>
      <c r="C255" s="11" t="str">
        <f>RAW_Продажи!B254</f>
        <v>№АРТ-004</v>
      </c>
      <c r="D255" s="11" t="str">
        <f>RAW_Продажи!C254</f>
        <v>1</v>
      </c>
      <c r="E255" s="11" t="str">
        <f>RAW_Продажи!D254</f>
        <v>$95</v>
      </c>
      <c r="F255" s="11" t="str">
        <f>RAW_Продажи!E254</f>
        <v>C0253</v>
      </c>
      <c r="G255" s="11" t="str">
        <f>RAW_Продажи!F254</f>
        <v>P023</v>
      </c>
      <c r="H255" s="11" t="str">
        <f>RAW_Продажи!G254</f>
        <v>completed</v>
      </c>
      <c r="I255" s="12" t="str">
        <f t="shared" si="181"/>
        <v>004</v>
      </c>
      <c r="J255" s="12" t="str">
        <f t="shared" si="182"/>
        <v>$</v>
      </c>
      <c r="K255" s="12">
        <f t="shared" si="183"/>
        <v>95</v>
      </c>
      <c r="L255" s="19">
        <f t="shared" si="184"/>
        <v>45798</v>
      </c>
      <c r="M255" s="13" t="str">
        <f t="shared" si="185"/>
        <v>АРТ-004</v>
      </c>
      <c r="N255" s="13">
        <f t="shared" si="186"/>
        <v>1</v>
      </c>
      <c r="O255" s="13" t="str">
        <f>IFERROR(VLOOKUP(J255,Справочники!$G$6:$H$8,2,0),"RUB")</f>
        <v>USD</v>
      </c>
      <c r="P255" s="14">
        <f>ROUND(K255*IFERROR(VLOOKUP(J255,Справочники!$G$6:$I$8,3,0),1),2)</f>
        <v>9025</v>
      </c>
      <c r="Q255" s="13" t="str">
        <f>IFERROR(VLOOKUP(H255,Справочники!$D$6:$E$14,2,0),"НЕИЗВЕСТНО")</f>
        <v>Завершен</v>
      </c>
      <c r="R255" s="20">
        <f>IFERROR(INDEX(Товары_очищенные!$Q$3:$Q$503,MATCH(M255,Товары_очищенные!$L$3:$L$503,0)),"нет в каталоге")</f>
        <v>129999.99000000001</v>
      </c>
      <c r="S255" s="21" t="str">
        <f>IFERROR(INDEX(Товары_очищенные!$N$3:$N$503,MATCH(M255,Товары_очищенные!$L$3:$L$503,0)),"нет в каталоге")</f>
        <v>Ноутбуки</v>
      </c>
      <c r="T255" s="21" t="str">
        <f t="shared" si="187"/>
        <v>OK</v>
      </c>
      <c r="U255" s="12" t="str">
        <f t="shared" si="188"/>
        <v>21/05/2025|АРТ-004|C0253</v>
      </c>
      <c r="V255" s="12" t="str">
        <f t="shared" si="189"/>
        <v>оригинал</v>
      </c>
    </row>
    <row r="256" ht="15" customHeight="1">
      <c r="A256" s="10">
        <v>254</v>
      </c>
      <c r="B256" s="11" t="str">
        <f>RAW_Продажи!A255</f>
        <v>05/21/2025</v>
      </c>
      <c r="C256" s="11" t="str">
        <f>RAW_Продажи!B255</f>
        <v>АРТ_483</v>
      </c>
      <c r="D256" s="11" t="str">
        <f>RAW_Продажи!C255</f>
        <v>2</v>
      </c>
      <c r="E256" s="11" t="str">
        <f>RAW_Продажи!D255</f>
        <v>€75</v>
      </c>
      <c r="F256" s="11" t="str">
        <f>RAW_Продажи!E255</f>
        <v>C0254</v>
      </c>
      <c r="G256" s="11" t="str">
        <f>RAW_Продажи!F255</f>
        <v>P045</v>
      </c>
      <c r="H256" s="11" t="str">
        <f>RAW_Продажи!G255</f>
        <v>Завершен</v>
      </c>
      <c r="I256" s="12" t="str">
        <f t="shared" si="181"/>
        <v>483</v>
      </c>
      <c r="J256" s="12" t="str">
        <f t="shared" si="182"/>
        <v>€</v>
      </c>
      <c r="K256" s="12">
        <f t="shared" si="183"/>
        <v>75</v>
      </c>
      <c r="L256" s="19">
        <f t="shared" si="184"/>
        <v>45798</v>
      </c>
      <c r="M256" s="13" t="str">
        <f t="shared" si="185"/>
        <v>АРТ-483</v>
      </c>
      <c r="N256" s="13">
        <f t="shared" si="186"/>
        <v>2</v>
      </c>
      <c r="O256" s="13" t="str">
        <f>IFERROR(VLOOKUP(J256,Справочники!$G$6:$H$8,2,0),"RUB")</f>
        <v>EUR</v>
      </c>
      <c r="P256" s="14">
        <f>ROUND(K256*IFERROR(VLOOKUP(J256,Справочники!$G$6:$I$8,3,0),1),2)</f>
        <v>7500</v>
      </c>
      <c r="Q256" s="13" t="str">
        <f>IFERROR(VLOOKUP(H256,Справочники!$D$6:$E$14,2,0),"НЕИЗВЕСТНО")</f>
        <v>Завершен</v>
      </c>
      <c r="R256" s="20">
        <f>IFERROR(INDEX(Товары_очищенные!$Q$3:$Q$503,MATCH(M256,Товары_очищенные!$L$3:$L$503,0)),"нет в каталоге")</f>
        <v>41500</v>
      </c>
      <c r="S256" s="21" t="str">
        <f>IFERROR(INDEX(Товары_очищенные!$N$3:$N$503,MATCH(M256,Товары_очищенные!$L$3:$L$503,0)),"нет в каталоге")</f>
        <v>Планшеты</v>
      </c>
      <c r="T256" s="21" t="str">
        <f t="shared" si="187"/>
        <v>OK</v>
      </c>
      <c r="U256" s="12" t="str">
        <f t="shared" si="188"/>
        <v>21/05/2025|АРТ-483|C0254</v>
      </c>
      <c r="V256" s="12" t="str">
        <f t="shared" si="189"/>
        <v>оригинал</v>
      </c>
    </row>
    <row r="257" ht="15" customHeight="1">
      <c r="A257" s="10">
        <v>255</v>
      </c>
      <c r="B257" s="11" t="str">
        <f>RAW_Продажи!A256</f>
        <v>05/22/2025</v>
      </c>
      <c r="C257" s="11" t="str">
        <f>RAW_Продажи!B256</f>
        <v>346/24</v>
      </c>
      <c r="D257" s="11" t="str">
        <f>RAW_Продажи!C256</f>
        <v xml:space="preserve">3 шт.</v>
      </c>
      <c r="E257" s="11" t="str">
        <f>RAW_Продажи!D256</f>
        <v xml:space="preserve">7000 ₽</v>
      </c>
      <c r="F257" s="11" t="str">
        <f>RAW_Продажи!E256</f>
        <v>C0255</v>
      </c>
      <c r="G257" s="11" t="str">
        <f>RAW_Продажи!F256</f>
        <v>P008</v>
      </c>
      <c r="H257" s="11" t="str">
        <f>RAW_Продажи!G256</f>
        <v>canceled</v>
      </c>
      <c r="I257" s="12" t="str">
        <f t="shared" si="181"/>
        <v>346/24</v>
      </c>
      <c r="J257" s="12" t="str">
        <f t="shared" si="182"/>
        <v>₽</v>
      </c>
      <c r="K257" s="12">
        <f t="shared" si="183"/>
        <v>7000</v>
      </c>
      <c r="L257" s="19">
        <f t="shared" si="184"/>
        <v>45799</v>
      </c>
      <c r="M257" s="13" t="str">
        <f t="shared" si="185"/>
        <v>АРТ-346</v>
      </c>
      <c r="N257" s="13">
        <f t="shared" si="186"/>
        <v>3</v>
      </c>
      <c r="O257" s="13" t="str">
        <f>IFERROR(VLOOKUP(J257,Справочники!$G$6:$H$8,2,0),"RUB")</f>
        <v>RUB</v>
      </c>
      <c r="P257" s="14">
        <f>ROUND(K257*IFERROR(VLOOKUP(J257,Справочники!$G$6:$I$8,3,0),1),2)</f>
        <v>7000</v>
      </c>
      <c r="Q257" s="13" t="str">
        <f>IFERROR(VLOOKUP(H257,Справочники!$D$6:$E$14,2,0),"НЕИЗВЕСТНО")</f>
        <v>Отменен</v>
      </c>
      <c r="R257" s="20">
        <f>IFERROR(INDEX(Товары_очищенные!$Q$3:$Q$503,MATCH(M257,Товары_очищенные!$L$3:$L$503,0)),"нет в каталоге")</f>
        <v>19990</v>
      </c>
      <c r="S257" s="21" t="str">
        <f>IFERROR(INDEX(Товары_очищенные!$N$3:$N$503,MATCH(M257,Товары_очищенные!$L$3:$L$503,0)),"нет в каталоге")</f>
        <v>Наушники</v>
      </c>
      <c r="T257" s="21" t="str">
        <f t="shared" si="187"/>
        <v>OK</v>
      </c>
      <c r="U257" s="12" t="str">
        <f t="shared" si="188"/>
        <v>22/05/2025|АРТ-346|C0255</v>
      </c>
      <c r="V257" s="12" t="str">
        <f t="shared" si="189"/>
        <v>оригинал</v>
      </c>
    </row>
    <row r="258" ht="15" customHeight="1">
      <c r="A258" s="10">
        <v>256</v>
      </c>
      <c r="B258" s="11" t="str">
        <f>RAW_Продажи!A257</f>
        <v>05/22/2025</v>
      </c>
      <c r="C258" s="11" t="str">
        <f>RAW_Продажи!B257</f>
        <v>№АРТ-374</v>
      </c>
      <c r="D258" s="11" t="str">
        <f>RAW_Продажи!C257</f>
        <v>-2</v>
      </c>
      <c r="E258" s="11" t="str">
        <f>RAW_Продажи!D257</f>
        <v>$115</v>
      </c>
      <c r="F258" s="11" t="str">
        <f>RAW_Продажи!E257</f>
        <v>C0256</v>
      </c>
      <c r="G258" s="11" t="str">
        <f>RAW_Продажи!F257</f>
        <v>P031</v>
      </c>
      <c r="H258" s="11" t="str">
        <f>RAW_Продажи!G257</f>
        <v>отменен</v>
      </c>
      <c r="I258" s="12" t="str">
        <f t="shared" si="181"/>
        <v>374</v>
      </c>
      <c r="J258" s="12" t="str">
        <f t="shared" si="182"/>
        <v>$</v>
      </c>
      <c r="K258" s="12">
        <f t="shared" si="183"/>
        <v>115</v>
      </c>
      <c r="L258" s="19">
        <f t="shared" si="184"/>
        <v>45799</v>
      </c>
      <c r="M258" s="13" t="str">
        <f t="shared" si="185"/>
        <v>АРТ-374</v>
      </c>
      <c r="N258" s="13">
        <f t="shared" si="186"/>
        <v>-2</v>
      </c>
      <c r="O258" s="13" t="str">
        <f>IFERROR(VLOOKUP(J258,Справочники!$G$6:$H$8,2,0),"RUB")</f>
        <v>USD</v>
      </c>
      <c r="P258" s="14">
        <f>ROUND(K258*IFERROR(VLOOKUP(J258,Справочники!$G$6:$I$8,3,0),1),2)</f>
        <v>10925</v>
      </c>
      <c r="Q258" s="13" t="str">
        <f>IFERROR(VLOOKUP(H258,Справочники!$D$6:$E$14,2,0),"НЕИЗВЕСТНО")</f>
        <v>Отменен</v>
      </c>
      <c r="R258" s="20">
        <f>IFERROR(INDEX(Товары_очищенные!$Q$3:$Q$503,MATCH(M258,Товары_очищенные!$L$3:$L$503,0)),"нет в каталоге")</f>
        <v>13500</v>
      </c>
      <c r="S258" s="21" t="str">
        <f>IFERROR(INDEX(Товары_очищенные!$N$3:$N$503,MATCH(M258,Товары_очищенные!$L$3:$L$503,0)),"нет в каталоге")</f>
        <v>Аксессуары</v>
      </c>
      <c r="T258" s="21" t="str">
        <f t="shared" si="187"/>
        <v>OK</v>
      </c>
      <c r="U258" s="12" t="str">
        <f t="shared" si="188"/>
        <v>22/05/2025|АРТ-374|C0256</v>
      </c>
      <c r="V258" s="12" t="str">
        <f t="shared" si="189"/>
        <v>оригинал</v>
      </c>
    </row>
    <row r="259" ht="15" customHeight="1">
      <c r="A259" s="10">
        <v>257</v>
      </c>
      <c r="B259" s="11" t="str">
        <f>RAW_Продажи!A258</f>
        <v>05/23/2025</v>
      </c>
      <c r="C259" s="11" t="str">
        <f>RAW_Продажи!B258</f>
        <v>АРТ_236</v>
      </c>
      <c r="D259" s="11" t="str">
        <f>RAW_Продажи!C258</f>
        <v>1</v>
      </c>
      <c r="E259" s="11" t="str">
        <f>RAW_Продажи!D258</f>
        <v>€95</v>
      </c>
      <c r="F259" s="11" t="str">
        <f>RAW_Продажи!E258</f>
        <v>C0257</v>
      </c>
      <c r="G259" s="11" t="str">
        <f>RAW_Продажи!F258</f>
        <v>P019</v>
      </c>
      <c r="H259" s="11" t="str">
        <f>RAW_Продажи!G258</f>
        <v>возврат</v>
      </c>
      <c r="I259" s="12" t="str">
        <f t="shared" si="181"/>
        <v>236</v>
      </c>
      <c r="J259" s="12" t="str">
        <f t="shared" si="182"/>
        <v>€</v>
      </c>
      <c r="K259" s="12">
        <f t="shared" si="183"/>
        <v>95</v>
      </c>
      <c r="L259" s="19">
        <f t="shared" si="184"/>
        <v>45800</v>
      </c>
      <c r="M259" s="13" t="str">
        <f t="shared" si="185"/>
        <v>АРТ-236</v>
      </c>
      <c r="N259" s="13">
        <f t="shared" si="186"/>
        <v>1</v>
      </c>
      <c r="O259" s="13" t="str">
        <f>IFERROR(VLOOKUP(J259,Справочники!$G$6:$H$8,2,0),"RUB")</f>
        <v>EUR</v>
      </c>
      <c r="P259" s="14">
        <f>ROUND(K259*IFERROR(VLOOKUP(J259,Справочники!$G$6:$I$8,3,0),1),2)</f>
        <v>9500</v>
      </c>
      <c r="Q259" s="13" t="str">
        <f>IFERROR(VLOOKUP(H259,Справочники!$D$6:$E$14,2,0),"НЕИЗВЕСТНО")</f>
        <v>Возврат</v>
      </c>
      <c r="R259" s="20">
        <f>IFERROR(INDEX(Товары_очищенные!$Q$3:$Q$503,MATCH(M259,Товары_очищенные!$L$3:$L$503,0)),"нет в каталоге")</f>
        <v>58000</v>
      </c>
      <c r="S259" s="21" t="str">
        <f>IFERROR(INDEX(Товары_очищенные!$N$3:$N$503,MATCH(M259,Товары_очищенные!$L$3:$L$503,0)),"нет в каталоге")</f>
        <v>Планшеты</v>
      </c>
      <c r="T259" s="21" t="str">
        <f t="shared" si="187"/>
        <v>OK</v>
      </c>
      <c r="U259" s="12" t="str">
        <f t="shared" si="188"/>
        <v>23/05/2025|АРТ-236|C0257</v>
      </c>
      <c r="V259" s="12" t="str">
        <f t="shared" si="189"/>
        <v>оригинал</v>
      </c>
    </row>
    <row r="260" ht="15" customHeight="1">
      <c r="A260" s="10">
        <v>258</v>
      </c>
      <c r="B260" s="11" t="str">
        <f>RAW_Продажи!A259</f>
        <v>05/23/2025</v>
      </c>
      <c r="C260" s="11" t="str">
        <f>RAW_Продажи!B259</f>
        <v>189-24</v>
      </c>
      <c r="D260" s="11" t="str">
        <f>RAW_Продажи!C259</f>
        <v>2</v>
      </c>
      <c r="E260" s="11" t="str">
        <f>RAW_Продажи!D259</f>
        <v xml:space="preserve">8500 ₽</v>
      </c>
      <c r="F260" s="11" t="str">
        <f>RAW_Продажи!E259</f>
        <v>C0258</v>
      </c>
      <c r="G260" s="11" t="str">
        <f>RAW_Продажи!F259</f>
        <v>P042</v>
      </c>
      <c r="H260" s="11" t="str">
        <f>RAW_Продажи!G259</f>
        <v>Завершен</v>
      </c>
      <c r="I260" s="12" t="str">
        <f t="shared" si="181"/>
        <v>189-24</v>
      </c>
      <c r="J260" s="12" t="str">
        <f t="shared" si="182"/>
        <v>₽</v>
      </c>
      <c r="K260" s="12">
        <f t="shared" si="183"/>
        <v>8500</v>
      </c>
      <c r="L260" s="19">
        <f t="shared" si="184"/>
        <v>45800</v>
      </c>
      <c r="M260" s="13" t="str">
        <f t="shared" si="185"/>
        <v>АРТ-189</v>
      </c>
      <c r="N260" s="13">
        <f t="shared" si="186"/>
        <v>2</v>
      </c>
      <c r="O260" s="13" t="str">
        <f>IFERROR(VLOOKUP(J260,Справочники!$G$6:$H$8,2,0),"RUB")</f>
        <v>RUB</v>
      </c>
      <c r="P260" s="14">
        <f>ROUND(K260*IFERROR(VLOOKUP(J260,Справочники!$G$6:$I$8,3,0),1),2)</f>
        <v>8500</v>
      </c>
      <c r="Q260" s="13" t="str">
        <f>IFERROR(VLOOKUP(H260,Справочники!$D$6:$E$14,2,0),"НЕИЗВЕСТНО")</f>
        <v>Завершен</v>
      </c>
      <c r="R260" s="20">
        <f>IFERROR(INDEX(Товары_очищенные!$Q$3:$Q$503,MATCH(M260,Товары_очищенные!$L$3:$L$503,0)),"нет в каталоге")</f>
        <v>51500</v>
      </c>
      <c r="S260" s="21" t="str">
        <f>IFERROR(INDEX(Товары_очищенные!$N$3:$N$503,MATCH(M260,Товары_очищенные!$L$3:$L$503,0)),"нет в каталоге")</f>
        <v>Часы</v>
      </c>
      <c r="T260" s="21" t="str">
        <f t="shared" si="187"/>
        <v>OK</v>
      </c>
      <c r="U260" s="12" t="str">
        <f t="shared" si="188"/>
        <v>23/05/2025|АРТ-189|C0258</v>
      </c>
      <c r="V260" s="12" t="str">
        <f t="shared" si="189"/>
        <v>оригинал</v>
      </c>
    </row>
    <row r="261" ht="15" customHeight="1">
      <c r="A261" s="10">
        <v>259</v>
      </c>
      <c r="B261" s="11" t="str">
        <f>RAW_Продажи!A260</f>
        <v>05/24/2025</v>
      </c>
      <c r="C261" s="11" t="str">
        <f>RAW_Продажи!B260</f>
        <v>№АРТ-102</v>
      </c>
      <c r="D261" s="11" t="str">
        <f>RAW_Продажи!C260</f>
        <v>3</v>
      </c>
      <c r="E261" s="11" t="str">
        <f>RAW_Продажи!D260</f>
        <v>$105</v>
      </c>
      <c r="F261" s="11" t="str">
        <f>RAW_Продажи!E260</f>
        <v>C0259</v>
      </c>
      <c r="G261" s="11" t="str">
        <f>RAW_Продажи!F260</f>
        <v>P005</v>
      </c>
      <c r="H261" s="11" t="str">
        <f>RAW_Продажи!G260</f>
        <v>завершен</v>
      </c>
      <c r="I261" s="12" t="str">
        <f t="shared" si="181"/>
        <v>102</v>
      </c>
      <c r="J261" s="12" t="str">
        <f t="shared" si="182"/>
        <v>$</v>
      </c>
      <c r="K261" s="12">
        <f t="shared" si="183"/>
        <v>105</v>
      </c>
      <c r="L261" s="19">
        <f t="shared" si="184"/>
        <v>45801</v>
      </c>
      <c r="M261" s="13" t="str">
        <f t="shared" si="185"/>
        <v>АРТ-102</v>
      </c>
      <c r="N261" s="13">
        <f t="shared" si="186"/>
        <v>3</v>
      </c>
      <c r="O261" s="13" t="str">
        <f>IFERROR(VLOOKUP(J261,Справочники!$G$6:$H$8,2,0),"RUB")</f>
        <v>USD</v>
      </c>
      <c r="P261" s="14">
        <f>ROUND(K261*IFERROR(VLOOKUP(J261,Справочники!$G$6:$I$8,3,0),1),2)</f>
        <v>9975</v>
      </c>
      <c r="Q261" s="13" t="str">
        <f>IFERROR(VLOOKUP(H261,Справочники!$D$6:$E$14,2,0),"НЕИЗВЕСТНО")</f>
        <v>Завершен</v>
      </c>
      <c r="R261" s="20">
        <f>IFERROR(INDEX(Товары_очищенные!$Q$3:$Q$503,MATCH(M261,Товары_очищенные!$L$3:$L$503,0)),"нет в каталоге")</f>
        <v>58500</v>
      </c>
      <c r="S261" s="21" t="str">
        <f>IFERROR(INDEX(Товары_очищенные!$N$3:$N$503,MATCH(M261,Товары_очищенные!$L$3:$L$503,0)),"нет в каталоге")</f>
        <v>Планшеты</v>
      </c>
      <c r="T261" s="21" t="str">
        <f t="shared" si="187"/>
        <v>OK</v>
      </c>
      <c r="U261" s="12" t="str">
        <f t="shared" si="188"/>
        <v>24/05/2025|АРТ-102|C0259</v>
      </c>
      <c r="V261" s="12" t="str">
        <f t="shared" si="189"/>
        <v>оригинал</v>
      </c>
    </row>
    <row r="262" ht="15" customHeight="1">
      <c r="A262" s="10">
        <v>260</v>
      </c>
      <c r="B262" s="11" t="str">
        <f>RAW_Продажи!A261</f>
        <v>05/24/2025</v>
      </c>
      <c r="C262" s="11" t="str">
        <f>RAW_Продажи!B261</f>
        <v>АРТ_451</v>
      </c>
      <c r="D262" s="11" t="str">
        <f>RAW_Продажи!C261</f>
        <v>2</v>
      </c>
      <c r="E262" s="11" t="str">
        <f>RAW_Продажи!D261</f>
        <v>€85</v>
      </c>
      <c r="F262" s="11" t="str">
        <f>RAW_Продажи!E261</f>
        <v>C0260</v>
      </c>
      <c r="G262" s="11" t="str">
        <f>RAW_Продажи!F261</f>
        <v>P036</v>
      </c>
      <c r="H262" s="11" t="str">
        <f>RAW_Продажи!G261</f>
        <v>completed</v>
      </c>
      <c r="I262" s="12" t="str">
        <f t="shared" si="181"/>
        <v>451</v>
      </c>
      <c r="J262" s="12" t="str">
        <f t="shared" si="182"/>
        <v>€</v>
      </c>
      <c r="K262" s="12">
        <f t="shared" si="183"/>
        <v>85</v>
      </c>
      <c r="L262" s="19">
        <f t="shared" si="184"/>
        <v>45801</v>
      </c>
      <c r="M262" s="13" t="str">
        <f t="shared" si="185"/>
        <v>АРТ-451</v>
      </c>
      <c r="N262" s="13">
        <f t="shared" si="186"/>
        <v>2</v>
      </c>
      <c r="O262" s="13" t="str">
        <f>IFERROR(VLOOKUP(J262,Справочники!$G$6:$H$8,2,0),"RUB")</f>
        <v>EUR</v>
      </c>
      <c r="P262" s="14">
        <f>ROUND(K262*IFERROR(VLOOKUP(J262,Справочники!$G$6:$I$8,3,0),1),2)</f>
        <v>8500</v>
      </c>
      <c r="Q262" s="13" t="str">
        <f>IFERROR(VLOOKUP(H262,Справочники!$D$6:$E$14,2,0),"НЕИЗВЕСТНО")</f>
        <v>Завершен</v>
      </c>
      <c r="R262" s="20">
        <f>IFERROR(INDEX(Товары_очищенные!$Q$3:$Q$503,MATCH(M262,Товары_очищенные!$L$3:$L$503,0)),"нет в каталоге")</f>
        <v>39990</v>
      </c>
      <c r="S262" s="21" t="str">
        <f>IFERROR(INDEX(Товары_очищенные!$N$3:$N$503,MATCH(M262,Товары_очищенные!$L$3:$L$503,0)),"нет в каталоге")</f>
        <v>Наушники</v>
      </c>
      <c r="T262" s="21" t="str">
        <f t="shared" si="187"/>
        <v>OK</v>
      </c>
      <c r="U262" s="12" t="str">
        <f t="shared" si="188"/>
        <v>24/05/2025|АРТ-451|C0260</v>
      </c>
      <c r="V262" s="12" t="str">
        <f t="shared" si="189"/>
        <v>оригинал</v>
      </c>
    </row>
    <row r="263" ht="15" customHeight="1">
      <c r="A263" s="10">
        <v>261</v>
      </c>
      <c r="B263" s="11" t="str">
        <f>RAW_Продажи!A262</f>
        <v>05/25/2025</v>
      </c>
      <c r="C263" s="11" t="str">
        <f>RAW_Продажи!B262</f>
        <v>312/24</v>
      </c>
      <c r="D263" s="11" t="str">
        <f>RAW_Продажи!C262</f>
        <v xml:space="preserve">1 шт.</v>
      </c>
      <c r="E263" s="11" t="str">
        <f>RAW_Продажи!D262</f>
        <v xml:space="preserve">7800 ₽</v>
      </c>
      <c r="F263" s="11" t="str">
        <f>RAW_Продажи!E262</f>
        <v>C0261</v>
      </c>
      <c r="G263" s="11" t="str">
        <f>RAW_Продажи!F262</f>
        <v>P014</v>
      </c>
      <c r="H263" s="11" t="str">
        <f>RAW_Продажи!G262</f>
        <v>отменен</v>
      </c>
      <c r="I263" s="12" t="str">
        <f t="shared" si="181"/>
        <v>312/24</v>
      </c>
      <c r="J263" s="12" t="str">
        <f t="shared" si="182"/>
        <v>₽</v>
      </c>
      <c r="K263" s="12">
        <f t="shared" si="183"/>
        <v>7800</v>
      </c>
      <c r="L263" s="19">
        <f t="shared" si="184"/>
        <v>45802</v>
      </c>
      <c r="M263" s="13" t="str">
        <f t="shared" si="185"/>
        <v>АРТ-312</v>
      </c>
      <c r="N263" s="13">
        <f t="shared" si="186"/>
        <v>1</v>
      </c>
      <c r="O263" s="13" t="str">
        <f>IFERROR(VLOOKUP(J263,Справочники!$G$6:$H$8,2,0),"RUB")</f>
        <v>RUB</v>
      </c>
      <c r="P263" s="14">
        <f>ROUND(K263*IFERROR(VLOOKUP(J263,Справочники!$G$6:$I$8,3,0),1),2)</f>
        <v>7800</v>
      </c>
      <c r="Q263" s="13" t="str">
        <f>IFERROR(VLOOKUP(H263,Справочники!$D$6:$E$14,2,0),"НЕИЗВЕСТНО")</f>
        <v>Отменен</v>
      </c>
      <c r="R263" s="20">
        <f>IFERROR(INDEX(Товары_очищенные!$Q$3:$Q$503,MATCH(M263,Товары_очищенные!$L$3:$L$503,0)),"нет в каталоге")</f>
        <v>67000</v>
      </c>
      <c r="S263" s="21" t="str">
        <f>IFERROR(INDEX(Товары_очищенные!$N$3:$N$503,MATCH(M263,Товары_очищенные!$L$3:$L$503,0)),"нет в каталоге")</f>
        <v>Планшеты</v>
      </c>
      <c r="T263" s="21" t="str">
        <f t="shared" si="187"/>
        <v>OK</v>
      </c>
      <c r="U263" s="12" t="str">
        <f t="shared" si="188"/>
        <v>25/05/2025|АРТ-312|C0261</v>
      </c>
      <c r="V263" s="12" t="str">
        <f t="shared" si="189"/>
        <v>оригинал</v>
      </c>
    </row>
    <row r="264" ht="15" customHeight="1">
      <c r="A264" s="10">
        <v>262</v>
      </c>
      <c r="B264" s="11" t="str">
        <f>RAW_Продажи!A263</f>
        <v>05/25/2025</v>
      </c>
      <c r="C264" s="11" t="str">
        <f>RAW_Продажи!B263</f>
        <v>№АРТ-352</v>
      </c>
      <c r="D264" s="11" t="str">
        <f>RAW_Продажи!C263</f>
        <v>-3</v>
      </c>
      <c r="E264" s="11" t="str">
        <f>RAW_Продажи!D263</f>
        <v>$120</v>
      </c>
      <c r="F264" s="11" t="str">
        <f>RAW_Продажи!E263</f>
        <v>C0262</v>
      </c>
      <c r="G264" s="11" t="str">
        <f>RAW_Продажи!F263</f>
        <v>P028</v>
      </c>
      <c r="H264" s="11" t="str">
        <f>RAW_Продажи!G263</f>
        <v>canceled</v>
      </c>
      <c r="I264" s="12" t="str">
        <f t="shared" si="181"/>
        <v>352</v>
      </c>
      <c r="J264" s="12" t="str">
        <f t="shared" si="182"/>
        <v>$</v>
      </c>
      <c r="K264" s="12">
        <f t="shared" si="183"/>
        <v>120</v>
      </c>
      <c r="L264" s="19">
        <f t="shared" si="184"/>
        <v>45802</v>
      </c>
      <c r="M264" s="13" t="str">
        <f t="shared" si="185"/>
        <v>АРТ-352</v>
      </c>
      <c r="N264" s="13">
        <f t="shared" si="186"/>
        <v>-3</v>
      </c>
      <c r="O264" s="13" t="str">
        <f>IFERROR(VLOOKUP(J264,Справочники!$G$6:$H$8,2,0),"RUB")</f>
        <v>USD</v>
      </c>
      <c r="P264" s="14">
        <f>ROUND(K264*IFERROR(VLOOKUP(J264,Справочники!$G$6:$I$8,3,0),1),2)</f>
        <v>11400</v>
      </c>
      <c r="Q264" s="13" t="str">
        <f>IFERROR(VLOOKUP(H264,Справочники!$D$6:$E$14,2,0),"НЕИЗВЕСТНО")</f>
        <v>Отменен</v>
      </c>
      <c r="R264" s="20">
        <f>IFERROR(INDEX(Товары_очищенные!$Q$3:$Q$503,MATCH(M264,Товары_очищенные!$L$3:$L$503,0)),"нет в каталоге")</f>
        <v>6990</v>
      </c>
      <c r="S264" s="21" t="str">
        <f>IFERROR(INDEX(Товары_очищенные!$N$3:$N$503,MATCH(M264,Товары_очищенные!$L$3:$L$503,0)),"нет в каталоге")</f>
        <v>Аксессуары</v>
      </c>
      <c r="T264" s="21" t="str">
        <f t="shared" si="187"/>
        <v xml:space="preserve">Цена выше розницы</v>
      </c>
      <c r="U264" s="12" t="str">
        <f t="shared" si="188"/>
        <v>25/05/2025|АРТ-352|C0262</v>
      </c>
      <c r="V264" s="12" t="str">
        <f t="shared" si="189"/>
        <v>оригинал</v>
      </c>
    </row>
    <row r="265" ht="15" customHeight="1">
      <c r="A265" s="10">
        <v>263</v>
      </c>
      <c r="B265" s="11" t="str">
        <f>RAW_Продажи!A264</f>
        <v>05/26/2025</v>
      </c>
      <c r="C265" s="11" t="str">
        <f>RAW_Продажи!B264</f>
        <v>АРТ_283</v>
      </c>
      <c r="D265" s="11" t="str">
        <f>RAW_Продажи!C264</f>
        <v>2</v>
      </c>
      <c r="E265" s="11" t="str">
        <f>RAW_Продажи!D264</f>
        <v>€100</v>
      </c>
      <c r="F265" s="11" t="str">
        <f>RAW_Продажи!E264</f>
        <v>C0263</v>
      </c>
      <c r="G265" s="11" t="str">
        <f>RAW_Продажи!F264</f>
        <v>P009</v>
      </c>
      <c r="H265" s="11" t="str">
        <f>RAW_Продажи!G264</f>
        <v>Завершен</v>
      </c>
      <c r="I265" s="12" t="str">
        <f t="shared" si="181"/>
        <v>283</v>
      </c>
      <c r="J265" s="12" t="str">
        <f t="shared" si="182"/>
        <v>€</v>
      </c>
      <c r="K265" s="12">
        <f t="shared" si="183"/>
        <v>100</v>
      </c>
      <c r="L265" s="19">
        <f t="shared" si="184"/>
        <v>45803</v>
      </c>
      <c r="M265" s="13" t="str">
        <f t="shared" si="185"/>
        <v>АРТ-283</v>
      </c>
      <c r="N265" s="13">
        <f t="shared" si="186"/>
        <v>2</v>
      </c>
      <c r="O265" s="13" t="str">
        <f>IFERROR(VLOOKUP(J265,Справочники!$G$6:$H$8,2,0),"RUB")</f>
        <v>EUR</v>
      </c>
      <c r="P265" s="14">
        <f>ROUND(K265*IFERROR(VLOOKUP(J265,Справочники!$G$6:$I$8,3,0),1),2)</f>
        <v>10000</v>
      </c>
      <c r="Q265" s="13" t="str">
        <f>IFERROR(VLOOKUP(H265,Справочники!$D$6:$E$14,2,0),"НЕИЗВЕСТНО")</f>
        <v>Завершен</v>
      </c>
      <c r="R265" s="20">
        <f>IFERROR(INDEX(Товары_очищенные!$Q$3:$Q$503,MATCH(M265,Товары_очищенные!$L$3:$L$503,0)),"нет в каталоге")</f>
        <v>84990</v>
      </c>
      <c r="S265" s="21" t="str">
        <f>IFERROR(INDEX(Товары_очищенные!$N$3:$N$503,MATCH(M265,Товары_очищенные!$L$3:$L$503,0)),"нет в каталоге")</f>
        <v>Мониторы</v>
      </c>
      <c r="T265" s="21" t="str">
        <f t="shared" si="187"/>
        <v>OK</v>
      </c>
      <c r="U265" s="12" t="str">
        <f t="shared" si="188"/>
        <v>26/05/2025|АРТ-283|C0263</v>
      </c>
      <c r="V265" s="12" t="str">
        <f t="shared" si="189"/>
        <v>оригинал</v>
      </c>
    </row>
    <row r="266" ht="15" customHeight="1">
      <c r="A266" s="10">
        <v>264</v>
      </c>
      <c r="B266" s="11" t="str">
        <f>RAW_Продажи!A265</f>
        <v>05/26/2025</v>
      </c>
      <c r="C266" s="11" t="str">
        <f>RAW_Продажи!B265</f>
        <v>112-24</v>
      </c>
      <c r="D266" s="11" t="str">
        <f>RAW_Продажи!C265</f>
        <v>1</v>
      </c>
      <c r="E266" s="11" t="str">
        <f>RAW_Продажи!D265</f>
        <v xml:space="preserve">9200 ₽</v>
      </c>
      <c r="F266" s="11" t="str">
        <f>RAW_Продажи!E265</f>
        <v>C0264</v>
      </c>
      <c r="G266" s="11" t="str">
        <f>RAW_Продажи!F265</f>
        <v>P041</v>
      </c>
      <c r="H266" s="11" t="str">
        <f>RAW_Продажи!G265</f>
        <v>возврат</v>
      </c>
      <c r="I266" s="12" t="str">
        <f t="shared" si="181"/>
        <v>112-24</v>
      </c>
      <c r="J266" s="12" t="str">
        <f t="shared" si="182"/>
        <v>₽</v>
      </c>
      <c r="K266" s="12">
        <f t="shared" si="183"/>
        <v>9200</v>
      </c>
      <c r="L266" s="19">
        <f t="shared" si="184"/>
        <v>45803</v>
      </c>
      <c r="M266" s="13" t="str">
        <f t="shared" si="185"/>
        <v>АРТ-112</v>
      </c>
      <c r="N266" s="13">
        <f t="shared" si="186"/>
        <v>1</v>
      </c>
      <c r="O266" s="13" t="str">
        <f>IFERROR(VLOOKUP(J266,Справочники!$G$6:$H$8,2,0),"RUB")</f>
        <v>RUB</v>
      </c>
      <c r="P266" s="14">
        <f>ROUND(K266*IFERROR(VLOOKUP(J266,Справочники!$G$6:$I$8,3,0),1),2)</f>
        <v>9200</v>
      </c>
      <c r="Q266" s="13" t="str">
        <f>IFERROR(VLOOKUP(H266,Справочники!$D$6:$E$14,2,0),"НЕИЗВЕСТНО")</f>
        <v>Возврат</v>
      </c>
      <c r="R266" s="20">
        <f>IFERROR(INDEX(Товары_очищенные!$Q$3:$Q$503,MATCH(M266,Товары_очищенные!$L$3:$L$503,0)),"нет в каталоге")</f>
        <v>34990</v>
      </c>
      <c r="S266" s="21" t="str">
        <f>IFERROR(INDEX(Товары_очищенные!$N$3:$N$503,MATCH(M266,Товары_очищенные!$L$3:$L$503,0)),"нет в каталоге")</f>
        <v>Наушники</v>
      </c>
      <c r="T266" s="21" t="str">
        <f t="shared" si="187"/>
        <v>OK</v>
      </c>
      <c r="U266" s="12" t="str">
        <f t="shared" si="188"/>
        <v>26/05/2025|АРТ-112|C0264</v>
      </c>
      <c r="V266" s="12" t="str">
        <f t="shared" si="189"/>
        <v>оригинал</v>
      </c>
    </row>
    <row r="267" ht="15" customHeight="1">
      <c r="A267" s="10">
        <v>265</v>
      </c>
      <c r="B267" s="11" t="str">
        <f>RAW_Продажи!A266</f>
        <v>05/27/2025</v>
      </c>
      <c r="C267" s="11" t="str">
        <f>RAW_Продажи!B266</f>
        <v>№АРТ-169</v>
      </c>
      <c r="D267" s="11" t="str">
        <f>RAW_Продажи!C266</f>
        <v>3</v>
      </c>
      <c r="E267" s="11" t="str">
        <f>RAW_Продажи!D266</f>
        <v>$90</v>
      </c>
      <c r="F267" s="11" t="str">
        <f>RAW_Продажи!E266</f>
        <v>C0265</v>
      </c>
      <c r="G267" s="11" t="str">
        <f>RAW_Продажи!F266</f>
        <v>P017</v>
      </c>
      <c r="H267" s="11" t="str">
        <f>RAW_Продажи!G266</f>
        <v>завершен</v>
      </c>
      <c r="I267" s="12" t="str">
        <f t="shared" si="181"/>
        <v>169</v>
      </c>
      <c r="J267" s="12" t="str">
        <f t="shared" si="182"/>
        <v>$</v>
      </c>
      <c r="K267" s="12">
        <f t="shared" si="183"/>
        <v>90</v>
      </c>
      <c r="L267" s="19">
        <f t="shared" si="184"/>
        <v>45804</v>
      </c>
      <c r="M267" s="13" t="str">
        <f t="shared" si="185"/>
        <v>АРТ-169</v>
      </c>
      <c r="N267" s="13">
        <f t="shared" si="186"/>
        <v>3</v>
      </c>
      <c r="O267" s="13" t="str">
        <f>IFERROR(VLOOKUP(J267,Справочники!$G$6:$H$8,2,0),"RUB")</f>
        <v>USD</v>
      </c>
      <c r="P267" s="14">
        <f>ROUND(K267*IFERROR(VLOOKUP(J267,Справочники!$G$6:$I$8,3,0),1),2)</f>
        <v>8550</v>
      </c>
      <c r="Q267" s="13" t="str">
        <f>IFERROR(VLOOKUP(H267,Справочники!$D$6:$E$14,2,0),"НЕИЗВЕСТНО")</f>
        <v>Завершен</v>
      </c>
      <c r="R267" s="20">
        <f>IFERROR(INDEX(Товары_очищенные!$Q$3:$Q$503,MATCH(M267,Товары_очищенные!$L$3:$L$503,0)),"нет в каталоге")</f>
        <v>57990</v>
      </c>
      <c r="S267" s="21" t="str">
        <f>IFERROR(INDEX(Товары_очищенные!$N$3:$N$503,MATCH(M267,Товары_очищенные!$L$3:$L$503,0)),"нет в каталоге")</f>
        <v>Смартфоны</v>
      </c>
      <c r="T267" s="21" t="str">
        <f t="shared" si="187"/>
        <v>OK</v>
      </c>
      <c r="U267" s="12" t="str">
        <f t="shared" si="188"/>
        <v>27/05/2025|АРТ-169|C0265</v>
      </c>
      <c r="V267" s="12" t="str">
        <f t="shared" si="189"/>
        <v>оригинал</v>
      </c>
    </row>
    <row r="268" ht="15" customHeight="1">
      <c r="A268" s="10">
        <v>266</v>
      </c>
      <c r="B268" s="11" t="str">
        <f>RAW_Продажи!A267</f>
        <v>05/27/2025</v>
      </c>
      <c r="C268" s="11" t="str">
        <f>RAW_Продажи!B267</f>
        <v>АРТ_492</v>
      </c>
      <c r="D268" s="11" t="str">
        <f>RAW_Продажи!C267</f>
        <v>2</v>
      </c>
      <c r="E268" s="11" t="str">
        <f>RAW_Продажи!D267</f>
        <v>€70</v>
      </c>
      <c r="F268" s="11" t="str">
        <f>RAW_Продажи!E267</f>
        <v>C0266</v>
      </c>
      <c r="G268" s="11" t="str">
        <f>RAW_Продажи!F267</f>
        <v>P032</v>
      </c>
      <c r="H268" s="11" t="str">
        <f>RAW_Продажи!G267</f>
        <v>completed</v>
      </c>
      <c r="I268" s="12" t="str">
        <f t="shared" si="181"/>
        <v>492</v>
      </c>
      <c r="J268" s="12" t="str">
        <f t="shared" si="182"/>
        <v>€</v>
      </c>
      <c r="K268" s="12">
        <f t="shared" si="183"/>
        <v>70</v>
      </c>
      <c r="L268" s="19">
        <f t="shared" si="184"/>
        <v>45804</v>
      </c>
      <c r="M268" s="13" t="str">
        <f t="shared" si="185"/>
        <v>АРТ-492</v>
      </c>
      <c r="N268" s="13">
        <f t="shared" si="186"/>
        <v>2</v>
      </c>
      <c r="O268" s="13" t="str">
        <f>IFERROR(VLOOKUP(J268,Справочники!$G$6:$H$8,2,0),"RUB")</f>
        <v>EUR</v>
      </c>
      <c r="P268" s="14">
        <f>ROUND(K268*IFERROR(VLOOKUP(J268,Справочники!$G$6:$I$8,3,0),1),2)</f>
        <v>7000</v>
      </c>
      <c r="Q268" s="13" t="str">
        <f>IFERROR(VLOOKUP(H268,Справочники!$D$6:$E$14,2,0),"НЕИЗВЕСТНО")</f>
        <v>Завершен</v>
      </c>
      <c r="R268" s="20">
        <f>IFERROR(INDEX(Товары_очищенные!$Q$3:$Q$503,MATCH(M268,Товары_очищенные!$L$3:$L$503,0)),"нет в каталоге")</f>
        <v>64000</v>
      </c>
      <c r="S268" s="21" t="str">
        <f>IFERROR(INDEX(Товары_очищенные!$N$3:$N$503,MATCH(M268,Товары_очищенные!$L$3:$L$503,0)),"нет в каталоге")</f>
        <v>Телевизоры</v>
      </c>
      <c r="T268" s="21" t="str">
        <f t="shared" si="187"/>
        <v>OK</v>
      </c>
      <c r="U268" s="12" t="str">
        <f t="shared" si="188"/>
        <v>27/05/2025|АРТ-492|C0266</v>
      </c>
      <c r="V268" s="12" t="str">
        <f t="shared" si="189"/>
        <v>оригинал</v>
      </c>
    </row>
    <row r="269" ht="15" customHeight="1">
      <c r="A269" s="10">
        <v>267</v>
      </c>
      <c r="B269" s="11" t="str">
        <f>RAW_Продажи!A268</f>
        <v>05/28/2025</v>
      </c>
      <c r="C269" s="11" t="str">
        <f>RAW_Продажи!B268</f>
        <v>311/24</v>
      </c>
      <c r="D269" s="11" t="str">
        <f>RAW_Продажи!C268</f>
        <v xml:space="preserve">1 шт.</v>
      </c>
      <c r="E269" s="11" t="str">
        <f>RAW_Продажи!D268</f>
        <v xml:space="preserve">6500 ₽</v>
      </c>
      <c r="F269" s="11" t="str">
        <f>RAW_Продажи!E268</f>
        <v>C0267</v>
      </c>
      <c r="G269" s="11" t="str">
        <f>RAW_Продажи!F268</f>
        <v>P049</v>
      </c>
      <c r="H269" s="11" t="str">
        <f>RAW_Продажи!G268</f>
        <v>Завершен</v>
      </c>
      <c r="I269" s="12" t="str">
        <f t="shared" si="181"/>
        <v>311/24</v>
      </c>
      <c r="J269" s="12" t="str">
        <f t="shared" si="182"/>
        <v>₽</v>
      </c>
      <c r="K269" s="12">
        <f t="shared" si="183"/>
        <v>6500</v>
      </c>
      <c r="L269" s="19">
        <f t="shared" si="184"/>
        <v>45805</v>
      </c>
      <c r="M269" s="13" t="str">
        <f t="shared" si="185"/>
        <v>АРТ-311</v>
      </c>
      <c r="N269" s="13">
        <f t="shared" si="186"/>
        <v>1</v>
      </c>
      <c r="O269" s="13" t="str">
        <f>IFERROR(VLOOKUP(J269,Справочники!$G$6:$H$8,2,0),"RUB")</f>
        <v>RUB</v>
      </c>
      <c r="P269" s="14">
        <f>ROUND(K269*IFERROR(VLOOKUP(J269,Справочники!$G$6:$I$8,3,0),1),2)</f>
        <v>6500</v>
      </c>
      <c r="Q269" s="13" t="str">
        <f>IFERROR(VLOOKUP(H269,Справочники!$D$6:$E$14,2,0),"НЕИЗВЕСТНО")</f>
        <v>Завершен</v>
      </c>
      <c r="R269" s="20">
        <f>IFERROR(INDEX(Товары_очищенные!$Q$3:$Q$503,MATCH(M269,Товары_очищенные!$L$3:$L$503,0)),"нет в каталоге")</f>
        <v>62500</v>
      </c>
      <c r="S269" s="21" t="str">
        <f>IFERROR(INDEX(Товары_очищенные!$N$3:$N$503,MATCH(M269,Товары_очищенные!$L$3:$L$503,0)),"нет в каталоге")</f>
        <v>Планшеты</v>
      </c>
      <c r="T269" s="21" t="str">
        <f t="shared" si="187"/>
        <v>OK</v>
      </c>
      <c r="U269" s="12" t="str">
        <f t="shared" si="188"/>
        <v>28/05/2025|АРТ-311|C0267</v>
      </c>
      <c r="V269" s="12" t="str">
        <f t="shared" si="189"/>
        <v>оригинал</v>
      </c>
    </row>
    <row r="270" ht="15" customHeight="1">
      <c r="A270" s="10">
        <v>268</v>
      </c>
      <c r="B270" s="11" t="str">
        <f>RAW_Продажи!A269</f>
        <v>05/28/2025</v>
      </c>
      <c r="C270" s="11" t="str">
        <f>RAW_Продажи!B269</f>
        <v>№АРТ-409</v>
      </c>
      <c r="D270" s="11" t="str">
        <f>RAW_Продажи!C269</f>
        <v>-1</v>
      </c>
      <c r="E270" s="11" t="str">
        <f>RAW_Продажи!D269</f>
        <v>$110</v>
      </c>
      <c r="F270" s="11" t="str">
        <f>RAW_Продажи!E269</f>
        <v>C0268</v>
      </c>
      <c r="G270" s="11" t="str">
        <f>RAW_Продажи!F269</f>
        <v>P006</v>
      </c>
      <c r="H270" s="11" t="str">
        <f>RAW_Продажи!G269</f>
        <v>canceled</v>
      </c>
      <c r="I270" s="12" t="str">
        <f t="shared" si="181"/>
        <v>409</v>
      </c>
      <c r="J270" s="12" t="str">
        <f t="shared" si="182"/>
        <v>$</v>
      </c>
      <c r="K270" s="12">
        <f t="shared" si="183"/>
        <v>110</v>
      </c>
      <c r="L270" s="19">
        <f t="shared" si="184"/>
        <v>45805</v>
      </c>
      <c r="M270" s="13" t="str">
        <f t="shared" si="185"/>
        <v>АРТ-409</v>
      </c>
      <c r="N270" s="13">
        <f t="shared" si="186"/>
        <v>-1</v>
      </c>
      <c r="O270" s="13" t="str">
        <f>IFERROR(VLOOKUP(J270,Справочники!$G$6:$H$8,2,0),"RUB")</f>
        <v>USD</v>
      </c>
      <c r="P270" s="14">
        <f>ROUND(K270*IFERROR(VLOOKUP(J270,Справочники!$G$6:$I$8,3,0),1),2)</f>
        <v>10450</v>
      </c>
      <c r="Q270" s="13" t="str">
        <f>IFERROR(VLOOKUP(H270,Справочники!$D$6:$E$14,2,0),"НЕИЗВЕСТНО")</f>
        <v>Отменен</v>
      </c>
      <c r="R270" s="20">
        <f>IFERROR(INDEX(Товары_очищенные!$Q$3:$Q$503,MATCH(M270,Товары_очищенные!$L$3:$L$503,0)),"нет в каталоге")</f>
        <v>39990</v>
      </c>
      <c r="S270" s="21" t="str">
        <f>IFERROR(INDEX(Товары_очищенные!$N$3:$N$503,MATCH(M270,Товары_очищенные!$L$3:$L$503,0)),"нет в каталоге")</f>
        <v>Наушники</v>
      </c>
      <c r="T270" s="21" t="str">
        <f t="shared" si="187"/>
        <v>OK</v>
      </c>
      <c r="U270" s="12" t="str">
        <f t="shared" si="188"/>
        <v>28/05/2025|АРТ-409|C0268</v>
      </c>
      <c r="V270" s="12" t="str">
        <f t="shared" si="189"/>
        <v>оригинал</v>
      </c>
    </row>
    <row r="271" ht="15" customHeight="1">
      <c r="A271" s="10">
        <v>269</v>
      </c>
      <c r="B271" s="11" t="str">
        <f>RAW_Продажи!A270</f>
        <v>05/29/2025</v>
      </c>
      <c r="C271" s="11" t="str">
        <f>RAW_Продажи!B270</f>
        <v>АРТ_330</v>
      </c>
      <c r="D271" s="11" t="str">
        <f>RAW_Продажи!C270</f>
        <v>3</v>
      </c>
      <c r="E271" s="11" t="str">
        <f>RAW_Продажи!D270</f>
        <v>€90</v>
      </c>
      <c r="F271" s="11" t="str">
        <f>RAW_Продажи!E270</f>
        <v>C0269</v>
      </c>
      <c r="G271" s="11" t="str">
        <f>RAW_Продажи!F270</f>
        <v>P024</v>
      </c>
      <c r="H271" s="11" t="str">
        <f>RAW_Продажи!G270</f>
        <v>отменен</v>
      </c>
      <c r="I271" s="12" t="str">
        <f t="shared" si="181"/>
        <v>330</v>
      </c>
      <c r="J271" s="12" t="str">
        <f t="shared" si="182"/>
        <v>€</v>
      </c>
      <c r="K271" s="12">
        <f t="shared" si="183"/>
        <v>90</v>
      </c>
      <c r="L271" s="19">
        <f t="shared" si="184"/>
        <v>45806</v>
      </c>
      <c r="M271" s="13" t="str">
        <f t="shared" si="185"/>
        <v>АРТ-330</v>
      </c>
      <c r="N271" s="13">
        <f t="shared" si="186"/>
        <v>3</v>
      </c>
      <c r="O271" s="13" t="str">
        <f>IFERROR(VLOOKUP(J271,Справочники!$G$6:$H$8,2,0),"RUB")</f>
        <v>EUR</v>
      </c>
      <c r="P271" s="14">
        <f>ROUND(K271*IFERROR(VLOOKUP(J271,Справочники!$G$6:$I$8,3,0),1),2)</f>
        <v>9000</v>
      </c>
      <c r="Q271" s="13" t="str">
        <f>IFERROR(VLOOKUP(H271,Справочники!$D$6:$E$14,2,0),"НЕИЗВЕСТНО")</f>
        <v>Отменен</v>
      </c>
      <c r="R271" s="20">
        <f>IFERROR(INDEX(Товары_очищенные!$Q$3:$Q$503,MATCH(M271,Товары_очищенные!$L$3:$L$503,0)),"нет в каталоге")</f>
        <v>12800</v>
      </c>
      <c r="S271" s="21" t="str">
        <f>IFERROR(INDEX(Товары_очищенные!$N$3:$N$503,MATCH(M271,Товары_очищенные!$L$3:$L$503,0)),"нет в каталоге")</f>
        <v>Аксессуары</v>
      </c>
      <c r="T271" s="21" t="str">
        <f t="shared" si="187"/>
        <v>OK</v>
      </c>
      <c r="U271" s="12" t="str">
        <f t="shared" si="188"/>
        <v>29/05/2025|АРТ-330|C0269</v>
      </c>
      <c r="V271" s="12" t="str">
        <f t="shared" si="189"/>
        <v>оригинал</v>
      </c>
    </row>
    <row r="272" ht="15" customHeight="1">
      <c r="A272" s="10">
        <v>270</v>
      </c>
      <c r="B272" s="11" t="str">
        <f>RAW_Продажи!A271</f>
        <v>05/29/2025</v>
      </c>
      <c r="C272" s="11" t="str">
        <f>RAW_Продажи!B271</f>
        <v>053-24</v>
      </c>
      <c r="D272" s="11" t="str">
        <f>RAW_Продажи!C271</f>
        <v>2</v>
      </c>
      <c r="E272" s="11" t="str">
        <f>RAW_Продажи!D271</f>
        <v xml:space="preserve">8000 ₽</v>
      </c>
      <c r="F272" s="11" t="str">
        <f>RAW_Продажи!E271</f>
        <v>C0270</v>
      </c>
      <c r="G272" s="11" t="str">
        <f>RAW_Продажи!F271</f>
        <v>P015</v>
      </c>
      <c r="H272" s="11" t="str">
        <f>RAW_Продажи!G271</f>
        <v>возврат</v>
      </c>
      <c r="I272" s="12" t="str">
        <f t="shared" si="181"/>
        <v>053-24</v>
      </c>
      <c r="J272" s="12" t="str">
        <f t="shared" si="182"/>
        <v>₽</v>
      </c>
      <c r="K272" s="12">
        <f t="shared" si="183"/>
        <v>8000</v>
      </c>
      <c r="L272" s="19">
        <f t="shared" si="184"/>
        <v>45806</v>
      </c>
      <c r="M272" s="13" t="str">
        <f t="shared" si="185"/>
        <v>АРТ-053</v>
      </c>
      <c r="N272" s="13">
        <f t="shared" si="186"/>
        <v>2</v>
      </c>
      <c r="O272" s="13" t="str">
        <f>IFERROR(VLOOKUP(J272,Справочники!$G$6:$H$8,2,0),"RUB")</f>
        <v>RUB</v>
      </c>
      <c r="P272" s="14">
        <f>ROUND(K272*IFERROR(VLOOKUP(J272,Справочники!$G$6:$I$8,3,0),1),2)</f>
        <v>8000</v>
      </c>
      <c r="Q272" s="13" t="str">
        <f>IFERROR(VLOOKUP(H272,Справочники!$D$6:$E$14,2,0),"НЕИЗВЕСТНО")</f>
        <v>Возврат</v>
      </c>
      <c r="R272" s="20">
        <f>IFERROR(INDEX(Товары_очищенные!$Q$3:$Q$503,MATCH(M272,Товары_очищенные!$L$3:$L$503,0)),"нет в каталоге")</f>
        <v>68000</v>
      </c>
      <c r="S272" s="21" t="str">
        <f>IFERROR(INDEX(Товары_очищенные!$N$3:$N$503,MATCH(M272,Товары_очищенные!$L$3:$L$503,0)),"нет в каталоге")</f>
        <v>Мониторы</v>
      </c>
      <c r="T272" s="21" t="str">
        <f t="shared" si="187"/>
        <v>OK</v>
      </c>
      <c r="U272" s="12" t="str">
        <f t="shared" si="188"/>
        <v>29/05/2025|АРТ-053|C0270</v>
      </c>
      <c r="V272" s="12" t="str">
        <f t="shared" si="189"/>
        <v>оригинал</v>
      </c>
    </row>
    <row r="273" ht="15" customHeight="1">
      <c r="A273" s="10">
        <v>271</v>
      </c>
      <c r="B273" s="11" t="str">
        <f>RAW_Продажи!A272</f>
        <v>05/30/2025</v>
      </c>
      <c r="C273" s="11" t="str">
        <f>RAW_Продажи!B272</f>
        <v>№АРТ-130</v>
      </c>
      <c r="D273" s="11" t="str">
        <f>RAW_Продажи!C272</f>
        <v>1</v>
      </c>
      <c r="E273" s="11" t="str">
        <f>RAW_Продажи!D272</f>
        <v>$95</v>
      </c>
      <c r="F273" s="11" t="str">
        <f>RAW_Продажи!E272</f>
        <v>C0271</v>
      </c>
      <c r="G273" s="11" t="str">
        <f>RAW_Продажи!F272</f>
        <v>P037</v>
      </c>
      <c r="H273" s="11" t="str">
        <f>RAW_Продажи!G272</f>
        <v>Завершен</v>
      </c>
      <c r="I273" s="12" t="str">
        <f t="shared" si="181"/>
        <v>130</v>
      </c>
      <c r="J273" s="12" t="str">
        <f t="shared" si="182"/>
        <v>$</v>
      </c>
      <c r="K273" s="12">
        <f t="shared" si="183"/>
        <v>95</v>
      </c>
      <c r="L273" s="19">
        <f t="shared" si="184"/>
        <v>45807</v>
      </c>
      <c r="M273" s="13" t="str">
        <f t="shared" si="185"/>
        <v>АРТ-130</v>
      </c>
      <c r="N273" s="13">
        <f t="shared" si="186"/>
        <v>1</v>
      </c>
      <c r="O273" s="13" t="str">
        <f>IFERROR(VLOOKUP(J273,Справочники!$G$6:$H$8,2,0),"RUB")</f>
        <v>USD</v>
      </c>
      <c r="P273" s="14">
        <f>ROUND(K273*IFERROR(VLOOKUP(J273,Справочники!$G$6:$I$8,3,0),1),2)</f>
        <v>9025</v>
      </c>
      <c r="Q273" s="13" t="str">
        <f>IFERROR(VLOOKUP(H273,Справочники!$D$6:$E$14,2,0),"НЕИЗВЕСТНО")</f>
        <v>Завершен</v>
      </c>
      <c r="R273" s="20">
        <f>IFERROR(INDEX(Товары_очищенные!$Q$3:$Q$503,MATCH(M273,Товары_очищенные!$L$3:$L$503,0)),"нет в каталоге")</f>
        <v>42990</v>
      </c>
      <c r="S273" s="21" t="str">
        <f>IFERROR(INDEX(Товары_очищенные!$N$3:$N$503,MATCH(M273,Товары_очищенные!$L$3:$L$503,0)),"нет в каталоге")</f>
        <v>Планшеты</v>
      </c>
      <c r="T273" s="21" t="str">
        <f t="shared" si="187"/>
        <v>OK</v>
      </c>
      <c r="U273" s="12" t="str">
        <f t="shared" si="188"/>
        <v>30/05/2025|АРТ-130|C0271</v>
      </c>
      <c r="V273" s="12" t="str">
        <f t="shared" si="189"/>
        <v>оригинал</v>
      </c>
    </row>
    <row r="274" ht="15" customHeight="1">
      <c r="A274" s="10">
        <v>272</v>
      </c>
      <c r="B274" s="11" t="str">
        <f>RAW_Продажи!A273</f>
        <v>05/30/2025</v>
      </c>
      <c r="C274" s="11" t="str">
        <f>RAW_Продажи!B273</f>
        <v>АРТ_462</v>
      </c>
      <c r="D274" s="11" t="str">
        <f>RAW_Продажи!C273</f>
        <v>2</v>
      </c>
      <c r="E274" s="11" t="str">
        <f>RAW_Продажи!D273</f>
        <v>€75</v>
      </c>
      <c r="F274" s="11" t="str">
        <f>RAW_Продажи!E273</f>
        <v>C0272</v>
      </c>
      <c r="G274" s="11" t="str">
        <f>RAW_Продажи!F273</f>
        <v>P048</v>
      </c>
      <c r="H274" s="11" t="str">
        <f>RAW_Продажи!G273</f>
        <v>завершен</v>
      </c>
      <c r="I274" s="12" t="str">
        <f t="shared" si="181"/>
        <v>462</v>
      </c>
      <c r="J274" s="12" t="str">
        <f t="shared" si="182"/>
        <v>€</v>
      </c>
      <c r="K274" s="12">
        <f t="shared" si="183"/>
        <v>75</v>
      </c>
      <c r="L274" s="19">
        <f t="shared" si="184"/>
        <v>45807</v>
      </c>
      <c r="M274" s="13" t="str">
        <f t="shared" si="185"/>
        <v>АРТ-462</v>
      </c>
      <c r="N274" s="13">
        <f t="shared" si="186"/>
        <v>2</v>
      </c>
      <c r="O274" s="13" t="str">
        <f>IFERROR(VLOOKUP(J274,Справочники!$G$6:$H$8,2,0),"RUB")</f>
        <v>EUR</v>
      </c>
      <c r="P274" s="14">
        <f>ROUND(K274*IFERROR(VLOOKUP(J274,Справочники!$G$6:$I$8,3,0),1),2)</f>
        <v>7500</v>
      </c>
      <c r="Q274" s="13" t="str">
        <f>IFERROR(VLOOKUP(H274,Справочники!$D$6:$E$14,2,0),"НЕИЗВЕСТНО")</f>
        <v>Завершен</v>
      </c>
      <c r="R274" s="20">
        <f>IFERROR(INDEX(Товары_очищенные!$Q$3:$Q$503,MATCH(M274,Товары_очищенные!$L$3:$L$503,0)),"нет в каталоге")</f>
        <v>49500</v>
      </c>
      <c r="S274" s="21" t="str">
        <f>IFERROR(INDEX(Товары_очищенные!$N$3:$N$503,MATCH(M274,Товары_очищенные!$L$3:$L$503,0)),"нет в каталоге")</f>
        <v>Часы</v>
      </c>
      <c r="T274" s="21" t="str">
        <f t="shared" si="187"/>
        <v>OK</v>
      </c>
      <c r="U274" s="12" t="str">
        <f t="shared" si="188"/>
        <v>30/05/2025|АРТ-462|C0272</v>
      </c>
      <c r="V274" s="12" t="str">
        <f t="shared" si="189"/>
        <v>оригинал</v>
      </c>
    </row>
    <row r="275" ht="15" customHeight="1">
      <c r="A275" s="10">
        <v>273</v>
      </c>
      <c r="B275" s="11" t="str">
        <f>RAW_Продажи!A274</f>
        <v>05/31/2025</v>
      </c>
      <c r="C275" s="11" t="str">
        <f>RAW_Продажи!B274</f>
        <v>388/24</v>
      </c>
      <c r="D275" s="11" t="str">
        <f>RAW_Продажи!C274</f>
        <v xml:space="preserve">3 шт.</v>
      </c>
      <c r="E275" s="11" t="str">
        <f>RAW_Продажи!D274</f>
        <v xml:space="preserve">7000 ₽</v>
      </c>
      <c r="F275" s="11" t="str">
        <f>RAW_Продажи!E274</f>
        <v>C0273</v>
      </c>
      <c r="G275" s="11" t="str">
        <f>RAW_Продажи!F274</f>
        <v>P004</v>
      </c>
      <c r="H275" s="11" t="str">
        <f>RAW_Продажи!G274</f>
        <v>completed</v>
      </c>
      <c r="I275" s="12" t="str">
        <f t="shared" si="181"/>
        <v>388/24</v>
      </c>
      <c r="J275" s="12" t="str">
        <f t="shared" si="182"/>
        <v>₽</v>
      </c>
      <c r="K275" s="12">
        <f t="shared" si="183"/>
        <v>7000</v>
      </c>
      <c r="L275" s="19">
        <f t="shared" si="184"/>
        <v>45808</v>
      </c>
      <c r="M275" s="13" t="str">
        <f t="shared" si="185"/>
        <v>АРТ-388</v>
      </c>
      <c r="N275" s="13">
        <f t="shared" si="186"/>
        <v>3</v>
      </c>
      <c r="O275" s="13" t="str">
        <f>IFERROR(VLOOKUP(J275,Справочники!$G$6:$H$8,2,0),"RUB")</f>
        <v>RUB</v>
      </c>
      <c r="P275" s="14">
        <f>ROUND(K275*IFERROR(VLOOKUP(J275,Справочники!$G$6:$I$8,3,0),1),2)</f>
        <v>7000</v>
      </c>
      <c r="Q275" s="13" t="str">
        <f>IFERROR(VLOOKUP(H275,Справочники!$D$6:$E$14,2,0),"НЕИЗВЕСТНО")</f>
        <v>Завершен</v>
      </c>
      <c r="R275" s="20">
        <f>IFERROR(INDEX(Товары_очищенные!$Q$3:$Q$503,MATCH(M275,Товары_очищенные!$L$3:$L$503,0)),"нет в каталоге")</f>
        <v>77990</v>
      </c>
      <c r="S275" s="21" t="str">
        <f>IFERROR(INDEX(Товары_очищенные!$N$3:$N$503,MATCH(M275,Товары_очищенные!$L$3:$L$503,0)),"нет в каталоге")</f>
        <v>Телевизоры</v>
      </c>
      <c r="T275" s="21" t="str">
        <f t="shared" si="187"/>
        <v>OK</v>
      </c>
      <c r="U275" s="12" t="str">
        <f t="shared" si="188"/>
        <v>31/05/2025|АРТ-388|C0273</v>
      </c>
      <c r="V275" s="12" t="str">
        <f t="shared" si="189"/>
        <v>оригинал</v>
      </c>
    </row>
    <row r="276" ht="15" customHeight="1">
      <c r="A276" s="10">
        <v>274</v>
      </c>
      <c r="B276" s="11" t="str">
        <f>RAW_Продажи!A275</f>
        <v>05/31/2025</v>
      </c>
      <c r="C276" s="11" t="str">
        <f>RAW_Продажи!B275</f>
        <v>№АРТ-206</v>
      </c>
      <c r="D276" s="11" t="str">
        <f>RAW_Продажи!C275</f>
        <v>-2</v>
      </c>
      <c r="E276" s="11" t="str">
        <f>RAW_Продажи!D275</f>
        <v>$115</v>
      </c>
      <c r="F276" s="11" t="str">
        <f>RAW_Продажи!E275</f>
        <v>C0274</v>
      </c>
      <c r="G276" s="11" t="str">
        <f>RAW_Продажи!F275</f>
        <v>P026</v>
      </c>
      <c r="H276" s="11" t="str">
        <f>RAW_Продажи!G275</f>
        <v>отменен</v>
      </c>
      <c r="I276" s="12" t="str">
        <f t="shared" si="181"/>
        <v>206</v>
      </c>
      <c r="J276" s="12" t="str">
        <f t="shared" si="182"/>
        <v>$</v>
      </c>
      <c r="K276" s="12">
        <f t="shared" si="183"/>
        <v>115</v>
      </c>
      <c r="L276" s="19">
        <f t="shared" si="184"/>
        <v>45808</v>
      </c>
      <c r="M276" s="13" t="str">
        <f t="shared" si="185"/>
        <v>АРТ-206</v>
      </c>
      <c r="N276" s="13">
        <f t="shared" si="186"/>
        <v>-2</v>
      </c>
      <c r="O276" s="13" t="str">
        <f>IFERROR(VLOOKUP(J276,Справочники!$G$6:$H$8,2,0),"RUB")</f>
        <v>USD</v>
      </c>
      <c r="P276" s="14">
        <f>ROUND(K276*IFERROR(VLOOKUP(J276,Справочники!$G$6:$I$8,3,0),1),2)</f>
        <v>10925</v>
      </c>
      <c r="Q276" s="13" t="str">
        <f>IFERROR(VLOOKUP(H276,Справочники!$D$6:$E$14,2,0),"НЕИЗВЕСТНО")</f>
        <v>Отменен</v>
      </c>
      <c r="R276" s="20">
        <f>IFERROR(INDEX(Товары_очищенные!$Q$3:$Q$503,MATCH(M276,Товары_очищенные!$L$3:$L$503,0)),"нет в каталоге")</f>
        <v>62500</v>
      </c>
      <c r="S276" s="21" t="str">
        <f>IFERROR(INDEX(Товары_очищенные!$N$3:$N$503,MATCH(M276,Товары_очищенные!$L$3:$L$503,0)),"нет в каталоге")</f>
        <v>Мониторы</v>
      </c>
      <c r="T276" s="21" t="str">
        <f t="shared" si="187"/>
        <v>OK</v>
      </c>
      <c r="U276" s="12" t="str">
        <f t="shared" si="188"/>
        <v>31/05/2025|АРТ-206|C0274</v>
      </c>
      <c r="V276" s="12" t="str">
        <f t="shared" si="189"/>
        <v>оригинал</v>
      </c>
    </row>
    <row r="277" ht="15" customHeight="1">
      <c r="A277" s="10">
        <v>275</v>
      </c>
      <c r="B277" s="11" t="str">
        <f>RAW_Продажи!A276</f>
        <v>06/01/2025</v>
      </c>
      <c r="C277" s="11" t="str">
        <f>RAW_Продажи!B276</f>
        <v>АРТ_274</v>
      </c>
      <c r="D277" s="11" t="str">
        <f>RAW_Продажи!C276</f>
        <v>1</v>
      </c>
      <c r="E277" s="11" t="str">
        <f>RAW_Продажи!D276</f>
        <v>€95</v>
      </c>
      <c r="F277" s="11" t="str">
        <f>RAW_Продажи!E276</f>
        <v>C0275</v>
      </c>
      <c r="G277" s="11" t="str">
        <f>RAW_Продажи!F276</f>
        <v>P013</v>
      </c>
      <c r="H277" s="11" t="str">
        <f>RAW_Продажи!G276</f>
        <v>canceled</v>
      </c>
      <c r="I277" s="12" t="str">
        <f t="shared" si="181"/>
        <v>274</v>
      </c>
      <c r="J277" s="12" t="str">
        <f t="shared" si="182"/>
        <v>€</v>
      </c>
      <c r="K277" s="12">
        <f t="shared" si="183"/>
        <v>95</v>
      </c>
      <c r="L277" s="19">
        <f t="shared" si="184"/>
        <v>45809</v>
      </c>
      <c r="M277" s="13" t="str">
        <f t="shared" si="185"/>
        <v>АРТ-274</v>
      </c>
      <c r="N277" s="13">
        <f t="shared" si="186"/>
        <v>1</v>
      </c>
      <c r="O277" s="13" t="str">
        <f>IFERROR(VLOOKUP(J277,Справочники!$G$6:$H$8,2,0),"RUB")</f>
        <v>EUR</v>
      </c>
      <c r="P277" s="14">
        <f>ROUND(K277*IFERROR(VLOOKUP(J277,Справочники!$G$6:$I$8,3,0),1),2)</f>
        <v>9500</v>
      </c>
      <c r="Q277" s="13" t="str">
        <f>IFERROR(VLOOKUP(H277,Справочники!$D$6:$E$14,2,0),"НЕИЗВЕСТНО")</f>
        <v>Отменен</v>
      </c>
      <c r="R277" s="20">
        <f>IFERROR(INDEX(Товары_очищенные!$Q$3:$Q$503,MATCH(M277,Товары_очищенные!$L$3:$L$503,0)),"нет в каталоге")</f>
        <v>48990</v>
      </c>
      <c r="S277" s="21" t="str">
        <f>IFERROR(INDEX(Товары_очищенные!$N$3:$N$503,MATCH(M277,Товары_очищенные!$L$3:$L$503,0)),"нет в каталоге")</f>
        <v>Планшеты</v>
      </c>
      <c r="T277" s="21" t="str">
        <f t="shared" si="187"/>
        <v>OK</v>
      </c>
      <c r="U277" s="12" t="str">
        <f t="shared" si="188"/>
        <v>01/06/2025|АРТ-274|C0275</v>
      </c>
      <c r="V277" s="12" t="str">
        <f t="shared" si="189"/>
        <v>оригинал</v>
      </c>
    </row>
    <row r="278" ht="15" customHeight="1">
      <c r="A278" s="10">
        <v>276</v>
      </c>
      <c r="B278" s="11" t="str">
        <f>RAW_Продажи!A277</f>
        <v>06/01/2025</v>
      </c>
      <c r="C278" s="11" t="str">
        <f>RAW_Продажи!B277</f>
        <v>189-24</v>
      </c>
      <c r="D278" s="11" t="str">
        <f>RAW_Продажи!C277</f>
        <v>2</v>
      </c>
      <c r="E278" s="11" t="str">
        <f>RAW_Продажи!D277</f>
        <v xml:space="preserve">8500 ₽</v>
      </c>
      <c r="F278" s="11" t="str">
        <f>RAW_Продажи!E277</f>
        <v>C0276</v>
      </c>
      <c r="G278" s="11" t="str">
        <f>RAW_Продажи!F277</f>
        <v>P034</v>
      </c>
      <c r="H278" s="11" t="str">
        <f>RAW_Продажи!G277</f>
        <v>Завершен</v>
      </c>
      <c r="I278" s="12" t="str">
        <f t="shared" si="181"/>
        <v>189-24</v>
      </c>
      <c r="J278" s="12" t="str">
        <f t="shared" si="182"/>
        <v>₽</v>
      </c>
      <c r="K278" s="12">
        <f t="shared" si="183"/>
        <v>8500</v>
      </c>
      <c r="L278" s="19">
        <f t="shared" si="184"/>
        <v>45809</v>
      </c>
      <c r="M278" s="13" t="str">
        <f t="shared" si="185"/>
        <v>АРТ-189</v>
      </c>
      <c r="N278" s="13">
        <f t="shared" si="186"/>
        <v>2</v>
      </c>
      <c r="O278" s="13" t="str">
        <f>IFERROR(VLOOKUP(J278,Справочники!$G$6:$H$8,2,0),"RUB")</f>
        <v>RUB</v>
      </c>
      <c r="P278" s="14">
        <f>ROUND(K278*IFERROR(VLOOKUP(J278,Справочники!$G$6:$I$8,3,0),1),2)</f>
        <v>8500</v>
      </c>
      <c r="Q278" s="13" t="str">
        <f>IFERROR(VLOOKUP(H278,Справочники!$D$6:$E$14,2,0),"НЕИЗВЕСТНО")</f>
        <v>Завершен</v>
      </c>
      <c r="R278" s="20">
        <f>IFERROR(INDEX(Товары_очищенные!$Q$3:$Q$503,MATCH(M278,Товары_очищенные!$L$3:$L$503,0)),"нет в каталоге")</f>
        <v>51500</v>
      </c>
      <c r="S278" s="21" t="str">
        <f>IFERROR(INDEX(Товары_очищенные!$N$3:$N$503,MATCH(M278,Товары_очищенные!$L$3:$L$503,0)),"нет в каталоге")</f>
        <v>Часы</v>
      </c>
      <c r="T278" s="21" t="str">
        <f t="shared" si="187"/>
        <v>OK</v>
      </c>
      <c r="U278" s="12" t="str">
        <f t="shared" si="188"/>
        <v>01/06/2025|АРТ-189|C0276</v>
      </c>
      <c r="V278" s="12" t="str">
        <f t="shared" si="189"/>
        <v>оригинал</v>
      </c>
    </row>
    <row r="279" ht="15" customHeight="1">
      <c r="A279" s="10">
        <v>277</v>
      </c>
      <c r="B279" s="11" t="str">
        <f>RAW_Продажи!A278</f>
        <v>06/02/2025</v>
      </c>
      <c r="C279" s="11" t="str">
        <f>RAW_Продажи!B278</f>
        <v>№АРТ-062</v>
      </c>
      <c r="D279" s="11" t="str">
        <f>RAW_Продажи!C278</f>
        <v>3</v>
      </c>
      <c r="E279" s="11" t="str">
        <f>RAW_Продажи!D278</f>
        <v>$105</v>
      </c>
      <c r="F279" s="11" t="str">
        <f>RAW_Продажи!E278</f>
        <v>C0277</v>
      </c>
      <c r="G279" s="11" t="str">
        <f>RAW_Продажи!F278</f>
        <v>P044</v>
      </c>
      <c r="H279" s="11" t="str">
        <f>RAW_Продажи!G278</f>
        <v>возврат</v>
      </c>
      <c r="I279" s="12" t="str">
        <f t="shared" si="181"/>
        <v>062</v>
      </c>
      <c r="J279" s="12" t="str">
        <f t="shared" si="182"/>
        <v>$</v>
      </c>
      <c r="K279" s="12">
        <f t="shared" si="183"/>
        <v>105</v>
      </c>
      <c r="L279" s="19">
        <f t="shared" si="184"/>
        <v>45810</v>
      </c>
      <c r="M279" s="13" t="str">
        <f t="shared" si="185"/>
        <v>АРТ-062</v>
      </c>
      <c r="N279" s="13">
        <f t="shared" si="186"/>
        <v>3</v>
      </c>
      <c r="O279" s="13" t="str">
        <f>IFERROR(VLOOKUP(J279,Справочники!$G$6:$H$8,2,0),"RUB")</f>
        <v>USD</v>
      </c>
      <c r="P279" s="14">
        <f>ROUND(K279*IFERROR(VLOOKUP(J279,Справочники!$G$6:$I$8,3,0),1),2)</f>
        <v>9975</v>
      </c>
      <c r="Q279" s="13" t="str">
        <f>IFERROR(VLOOKUP(H279,Справочники!$D$6:$E$14,2,0),"НЕИЗВЕСТНО")</f>
        <v>Возврат</v>
      </c>
      <c r="R279" s="20">
        <f>IFERROR(INDEX(Товары_очищенные!$Q$3:$Q$503,MATCH(M279,Товары_очищенные!$L$3:$L$503,0)),"нет в каталоге")</f>
        <v>122500</v>
      </c>
      <c r="S279" s="21" t="str">
        <f>IFERROR(INDEX(Товары_очищенные!$N$3:$N$503,MATCH(M279,Товары_очищенные!$L$3:$L$503,0)),"нет в каталоге")</f>
        <v>Ноутбуки</v>
      </c>
      <c r="T279" s="21" t="str">
        <f t="shared" si="187"/>
        <v>OK</v>
      </c>
      <c r="U279" s="12" t="str">
        <f t="shared" si="188"/>
        <v>02/06/2025|АРТ-062|C0277</v>
      </c>
      <c r="V279" s="12" t="str">
        <f t="shared" si="189"/>
        <v>оригинал</v>
      </c>
    </row>
    <row r="280" ht="15" customHeight="1">
      <c r="A280" s="10">
        <v>278</v>
      </c>
      <c r="B280" s="11" t="str">
        <f>RAW_Продажи!A279</f>
        <v>06/02/2025</v>
      </c>
      <c r="C280" s="11" t="str">
        <f>RAW_Продажи!B279</f>
        <v>АРТ_424</v>
      </c>
      <c r="D280" s="11" t="str">
        <f>RAW_Продажи!C279</f>
        <v>2</v>
      </c>
      <c r="E280" s="11" t="str">
        <f>RAW_Продажи!D279</f>
        <v>€85</v>
      </c>
      <c r="F280" s="11" t="str">
        <f>RAW_Продажи!E279</f>
        <v>C0278</v>
      </c>
      <c r="G280" s="11" t="str">
        <f>RAW_Продажи!F279</f>
        <v>P001</v>
      </c>
      <c r="H280" s="11" t="str">
        <f>RAW_Продажи!G279</f>
        <v>завершен</v>
      </c>
      <c r="I280" s="12" t="str">
        <f t="shared" si="181"/>
        <v>424</v>
      </c>
      <c r="J280" s="12" t="str">
        <f t="shared" si="182"/>
        <v>€</v>
      </c>
      <c r="K280" s="12">
        <f t="shared" si="183"/>
        <v>85</v>
      </c>
      <c r="L280" s="19">
        <f t="shared" si="184"/>
        <v>45810</v>
      </c>
      <c r="M280" s="13" t="str">
        <f t="shared" si="185"/>
        <v>АРТ-424</v>
      </c>
      <c r="N280" s="13">
        <f t="shared" si="186"/>
        <v>2</v>
      </c>
      <c r="O280" s="13" t="str">
        <f>IFERROR(VLOOKUP(J280,Справочники!$G$6:$H$8,2,0),"RUB")</f>
        <v>EUR</v>
      </c>
      <c r="P280" s="14">
        <f>ROUND(K280*IFERROR(VLOOKUP(J280,Справочники!$G$6:$I$8,3,0),1),2)</f>
        <v>8500</v>
      </c>
      <c r="Q280" s="13" t="str">
        <f>IFERROR(VLOOKUP(H280,Справочники!$D$6:$E$14,2,0),"НЕИЗВЕСТНО")</f>
        <v>Завершен</v>
      </c>
      <c r="R280" s="20">
        <f>IFERROR(INDEX(Товары_очищенные!$Q$3:$Q$503,MATCH(M280,Товары_очищенные!$L$3:$L$503,0)),"нет в каталоге")</f>
        <v>48990</v>
      </c>
      <c r="S280" s="21" t="str">
        <f>IFERROR(INDEX(Товары_очищенные!$N$3:$N$503,MATCH(M280,Товары_очищенные!$L$3:$L$503,0)),"нет в каталоге")</f>
        <v>Смартфоны</v>
      </c>
      <c r="T280" s="21" t="str">
        <f t="shared" si="187"/>
        <v>OK</v>
      </c>
      <c r="U280" s="12" t="str">
        <f t="shared" si="188"/>
        <v>02/06/2025|АРТ-424|C0278</v>
      </c>
      <c r="V280" s="12" t="str">
        <f t="shared" si="189"/>
        <v>оригинал</v>
      </c>
    </row>
    <row r="281" ht="15" customHeight="1">
      <c r="A281" s="10">
        <v>279</v>
      </c>
      <c r="B281" s="11" t="str">
        <f>RAW_Продажи!A280</f>
        <v>06/03/2025</v>
      </c>
      <c r="C281" s="11" t="str">
        <f>RAW_Продажи!B280</f>
        <v>258/24</v>
      </c>
      <c r="D281" s="11" t="str">
        <f>RAW_Продажи!C280</f>
        <v xml:space="preserve">1 шт.</v>
      </c>
      <c r="E281" s="11" t="str">
        <f>RAW_Продажи!D280</f>
        <v xml:space="preserve">7800 ₽</v>
      </c>
      <c r="F281" s="11" t="str">
        <f>RAW_Продажи!E280</f>
        <v>C0279</v>
      </c>
      <c r="G281" s="11" t="str">
        <f>RAW_Продажи!F280</f>
        <v>P021</v>
      </c>
      <c r="H281" s="11" t="str">
        <f>RAW_Продажи!G280</f>
        <v>completed</v>
      </c>
      <c r="I281" s="12" t="str">
        <f t="shared" si="181"/>
        <v>258/24</v>
      </c>
      <c r="J281" s="12" t="str">
        <f t="shared" si="182"/>
        <v>₽</v>
      </c>
      <c r="K281" s="12">
        <f t="shared" si="183"/>
        <v>7800</v>
      </c>
      <c r="L281" s="19">
        <f t="shared" si="184"/>
        <v>45811</v>
      </c>
      <c r="M281" s="13" t="str">
        <f t="shared" si="185"/>
        <v>АРТ-258</v>
      </c>
      <c r="N281" s="13">
        <f t="shared" si="186"/>
        <v>1</v>
      </c>
      <c r="O281" s="13" t="str">
        <f>IFERROR(VLOOKUP(J281,Справочники!$G$6:$H$8,2,0),"RUB")</f>
        <v>RUB</v>
      </c>
      <c r="P281" s="14">
        <f>ROUND(K281*IFERROR(VLOOKUP(J281,Справочники!$G$6:$I$8,3,0),1),2)</f>
        <v>7800</v>
      </c>
      <c r="Q281" s="13" t="str">
        <f>IFERROR(VLOOKUP(H281,Справочники!$D$6:$E$14,2,0),"НЕИЗВЕСТНО")</f>
        <v>Завершен</v>
      </c>
      <c r="R281" s="20">
        <f>IFERROR(INDEX(Товары_очищенные!$Q$3:$Q$503,MATCH(M281,Товары_очищенные!$L$3:$L$503,0)),"нет в каталоге")</f>
        <v>39500</v>
      </c>
      <c r="S281" s="21" t="str">
        <f>IFERROR(INDEX(Товары_очищенные!$N$3:$N$503,MATCH(M281,Товары_очищенные!$L$3:$L$503,0)),"нет в каталоге")</f>
        <v>Смартфоны</v>
      </c>
      <c r="T281" s="21" t="str">
        <f t="shared" si="187"/>
        <v>OK</v>
      </c>
      <c r="U281" s="12" t="str">
        <f t="shared" si="188"/>
        <v>03/06/2025|АРТ-258|C0279</v>
      </c>
      <c r="V281" s="12" t="str">
        <f t="shared" si="189"/>
        <v>оригинал</v>
      </c>
    </row>
    <row r="282" ht="15" customHeight="1">
      <c r="A282" s="10">
        <v>280</v>
      </c>
      <c r="B282" s="11" t="str">
        <f>RAW_Продажи!A281</f>
        <v>06/03/2025</v>
      </c>
      <c r="C282" s="11" t="str">
        <f>RAW_Продажи!B281</f>
        <v>№АРТ-386</v>
      </c>
      <c r="D282" s="11" t="str">
        <f>RAW_Продажи!C281</f>
        <v>-3</v>
      </c>
      <c r="E282" s="11" t="str">
        <f>RAW_Продажи!D281</f>
        <v>$120</v>
      </c>
      <c r="F282" s="11" t="str">
        <f>RAW_Продажи!E281</f>
        <v>C0280</v>
      </c>
      <c r="G282" s="11" t="str">
        <f>RAW_Продажи!F281</f>
        <v>P039</v>
      </c>
      <c r="H282" s="11" t="str">
        <f>RAW_Продажи!G281</f>
        <v>Завершен</v>
      </c>
      <c r="I282" s="12" t="str">
        <f t="shared" si="181"/>
        <v>386</v>
      </c>
      <c r="J282" s="12" t="str">
        <f t="shared" si="182"/>
        <v>$</v>
      </c>
      <c r="K282" s="12">
        <f t="shared" si="183"/>
        <v>120</v>
      </c>
      <c r="L282" s="19">
        <f t="shared" si="184"/>
        <v>45811</v>
      </c>
      <c r="M282" s="13" t="str">
        <f t="shared" si="185"/>
        <v>АРТ-386</v>
      </c>
      <c r="N282" s="13">
        <f t="shared" si="186"/>
        <v>-3</v>
      </c>
      <c r="O282" s="13" t="str">
        <f>IFERROR(VLOOKUP(J282,Справочники!$G$6:$H$8,2,0),"RUB")</f>
        <v>USD</v>
      </c>
      <c r="P282" s="14">
        <f>ROUND(K282*IFERROR(VLOOKUP(J282,Справочники!$G$6:$I$8,3,0),1),2)</f>
        <v>11400</v>
      </c>
      <c r="Q282" s="13" t="str">
        <f>IFERROR(VLOOKUP(H282,Справочники!$D$6:$E$14,2,0),"НЕИЗВЕСТНО")</f>
        <v>Завершен</v>
      </c>
      <c r="R282" s="20">
        <f>IFERROR(INDEX(Товары_очищенные!$Q$3:$Q$503,MATCH(M282,Товары_очищенные!$L$3:$L$503,0)),"нет в каталоге")</f>
        <v>114000</v>
      </c>
      <c r="S282" s="21" t="str">
        <f>IFERROR(INDEX(Товары_очищенные!$N$3:$N$503,MATCH(M282,Товары_очищенные!$L$3:$L$503,0)),"нет в каталоге")</f>
        <v>Ноутбуки</v>
      </c>
      <c r="T282" s="21" t="str">
        <f t="shared" si="187"/>
        <v>OK</v>
      </c>
      <c r="U282" s="12" t="str">
        <f t="shared" si="188"/>
        <v>03/06/2025|АРТ-386|C0280</v>
      </c>
      <c r="V282" s="12" t="str">
        <f t="shared" si="189"/>
        <v>оригинал</v>
      </c>
    </row>
    <row r="283" ht="15" customHeight="1">
      <c r="A283" s="10">
        <v>281</v>
      </c>
      <c r="B283" s="11" t="str">
        <f>RAW_Продажи!A282</f>
        <v>06/04/2025</v>
      </c>
      <c r="C283" s="11" t="str">
        <f>RAW_Продажи!B282</f>
        <v>АРТ_212</v>
      </c>
      <c r="D283" s="11" t="str">
        <f>RAW_Продажи!C282</f>
        <v>2</v>
      </c>
      <c r="E283" s="11" t="str">
        <f>RAW_Продажи!D282</f>
        <v>€100</v>
      </c>
      <c r="F283" s="11" t="str">
        <f>RAW_Продажи!E282</f>
        <v>C0281</v>
      </c>
      <c r="G283" s="11" t="str">
        <f>RAW_Продажи!F282</f>
        <v>P050</v>
      </c>
      <c r="H283" s="11" t="str">
        <f>RAW_Продажи!G282</f>
        <v>canceled</v>
      </c>
      <c r="I283" s="12" t="str">
        <f t="shared" si="181"/>
        <v>212</v>
      </c>
      <c r="J283" s="12" t="str">
        <f t="shared" si="182"/>
        <v>€</v>
      </c>
      <c r="K283" s="12">
        <f t="shared" si="183"/>
        <v>100</v>
      </c>
      <c r="L283" s="19">
        <f t="shared" si="184"/>
        <v>45812</v>
      </c>
      <c r="M283" s="13" t="str">
        <f t="shared" si="185"/>
        <v>АРТ-212</v>
      </c>
      <c r="N283" s="13">
        <f t="shared" si="186"/>
        <v>2</v>
      </c>
      <c r="O283" s="13" t="str">
        <f>IFERROR(VLOOKUP(J283,Справочники!$G$6:$H$8,2,0),"RUB")</f>
        <v>EUR</v>
      </c>
      <c r="P283" s="14">
        <f>ROUND(K283*IFERROR(VLOOKUP(J283,Справочники!$G$6:$I$8,3,0),1),2)</f>
        <v>10000</v>
      </c>
      <c r="Q283" s="13" t="str">
        <f>IFERROR(VLOOKUP(H283,Справочники!$D$6:$E$14,2,0),"НЕИЗВЕСТНО")</f>
        <v>Отменен</v>
      </c>
      <c r="R283" s="20">
        <f>IFERROR(INDEX(Товары_очищенные!$Q$3:$Q$503,MATCH(M283,Товары_очищенные!$L$3:$L$503,0)),"нет в каталоге")</f>
        <v>58500</v>
      </c>
      <c r="S283" s="21" t="str">
        <f>IFERROR(INDEX(Товары_очищенные!$N$3:$N$503,MATCH(M283,Товары_очищенные!$L$3:$L$503,0)),"нет в каталоге")</f>
        <v>Смартфоны</v>
      </c>
      <c r="T283" s="21" t="str">
        <f t="shared" si="187"/>
        <v>OK</v>
      </c>
      <c r="U283" s="12" t="str">
        <f t="shared" si="188"/>
        <v>04/06/2025|АРТ-212|C0281</v>
      </c>
      <c r="V283" s="12" t="str">
        <f t="shared" si="189"/>
        <v>оригинал</v>
      </c>
    </row>
    <row r="284" ht="15" customHeight="1">
      <c r="A284" s="10">
        <v>282</v>
      </c>
      <c r="B284" s="11" t="str">
        <f>RAW_Продажи!A283</f>
        <v>06/04/2025</v>
      </c>
      <c r="C284" s="11" t="str">
        <f>RAW_Продажи!B283</f>
        <v>073-24</v>
      </c>
      <c r="D284" s="11" t="str">
        <f>RAW_Продажи!C283</f>
        <v>1</v>
      </c>
      <c r="E284" s="11" t="str">
        <f>RAW_Продажи!D283</f>
        <v xml:space="preserve">9200 ₽</v>
      </c>
      <c r="F284" s="11" t="str">
        <f>RAW_Продажи!E283</f>
        <v>C0282</v>
      </c>
      <c r="G284" s="11" t="str">
        <f>RAW_Продажи!F283</f>
        <v>P011</v>
      </c>
      <c r="H284" s="11" t="str">
        <f>RAW_Продажи!G283</f>
        <v>отменен</v>
      </c>
      <c r="I284" s="12" t="str">
        <f t="shared" si="181"/>
        <v>073-24</v>
      </c>
      <c r="J284" s="12" t="str">
        <f t="shared" si="182"/>
        <v>₽</v>
      </c>
      <c r="K284" s="12">
        <f t="shared" si="183"/>
        <v>9200</v>
      </c>
      <c r="L284" s="19">
        <f t="shared" si="184"/>
        <v>45812</v>
      </c>
      <c r="M284" s="13" t="str">
        <f t="shared" si="185"/>
        <v>АРТ-073</v>
      </c>
      <c r="N284" s="13">
        <f t="shared" si="186"/>
        <v>1</v>
      </c>
      <c r="O284" s="13" t="str">
        <f>IFERROR(VLOOKUP(J284,Справочники!$G$6:$H$8,2,0),"RUB")</f>
        <v>RUB</v>
      </c>
      <c r="P284" s="14">
        <f>ROUND(K284*IFERROR(VLOOKUP(J284,Справочники!$G$6:$I$8,3,0),1),2)</f>
        <v>9200</v>
      </c>
      <c r="Q284" s="13" t="str">
        <f>IFERROR(VLOOKUP(H284,Справочники!$D$6:$E$14,2,0),"НЕИЗВЕСТНО")</f>
        <v>Отменен</v>
      </c>
      <c r="R284" s="20">
        <f>IFERROR(INDEX(Товары_очищенные!$Q$3:$Q$503,MATCH(M284,Товары_очищенные!$L$3:$L$503,0)),"нет в каталоге")</f>
        <v>79900</v>
      </c>
      <c r="S284" s="21" t="str">
        <f>IFERROR(INDEX(Товары_очищенные!$N$3:$N$503,MATCH(M284,Товары_очищенные!$L$3:$L$503,0)),"нет в каталоге")</f>
        <v>Мониторы</v>
      </c>
      <c r="T284" s="21" t="str">
        <f t="shared" si="187"/>
        <v>OK</v>
      </c>
      <c r="U284" s="12" t="str">
        <f t="shared" si="188"/>
        <v>04/06/2025|АРТ-073|C0282</v>
      </c>
      <c r="V284" s="12" t="str">
        <f t="shared" si="189"/>
        <v>оригинал</v>
      </c>
    </row>
    <row r="285" ht="15" customHeight="1">
      <c r="A285" s="10">
        <v>283</v>
      </c>
      <c r="B285" s="11" t="str">
        <f>RAW_Продажи!A284</f>
        <v>06/05/2025</v>
      </c>
      <c r="C285" s="11" t="str">
        <f>RAW_Продажи!B284</f>
        <v>№АРТ-331</v>
      </c>
      <c r="D285" s="11" t="str">
        <f>RAW_Продажи!C284</f>
        <v>3</v>
      </c>
      <c r="E285" s="11" t="str">
        <f>RAW_Продажи!D284</f>
        <v>$90</v>
      </c>
      <c r="F285" s="11" t="str">
        <f>RAW_Продажи!E284</f>
        <v>C0283</v>
      </c>
      <c r="G285" s="11" t="str">
        <f>RAW_Продажи!F284</f>
        <v>P027</v>
      </c>
      <c r="H285" s="11" t="str">
        <f>RAW_Продажи!G284</f>
        <v>возврат</v>
      </c>
      <c r="I285" s="12" t="str">
        <f t="shared" si="181"/>
        <v>331</v>
      </c>
      <c r="J285" s="12" t="str">
        <f t="shared" si="182"/>
        <v>$</v>
      </c>
      <c r="K285" s="12">
        <f t="shared" si="183"/>
        <v>90</v>
      </c>
      <c r="L285" s="19">
        <f t="shared" si="184"/>
        <v>45813</v>
      </c>
      <c r="M285" s="13" t="str">
        <f t="shared" si="185"/>
        <v>АРТ-331</v>
      </c>
      <c r="N285" s="13">
        <f t="shared" si="186"/>
        <v>3</v>
      </c>
      <c r="O285" s="13" t="str">
        <f>IFERROR(VLOOKUP(J285,Справочники!$G$6:$H$8,2,0),"RUB")</f>
        <v>USD</v>
      </c>
      <c r="P285" s="14">
        <f>ROUND(K285*IFERROR(VLOOKUP(J285,Справочники!$G$6:$I$8,3,0),1),2)</f>
        <v>8550</v>
      </c>
      <c r="Q285" s="13" t="str">
        <f>IFERROR(VLOOKUP(H285,Справочники!$D$6:$E$14,2,0),"НЕИЗВЕСТНО")</f>
        <v>Возврат</v>
      </c>
      <c r="R285" s="20">
        <f>IFERROR(INDEX(Товары_очищенные!$Q$3:$Q$503,MATCH(M285,Товары_очищенные!$L$3:$L$503,0)),"нет в каталоге")</f>
        <v>69990</v>
      </c>
      <c r="S285" s="21" t="str">
        <f>IFERROR(INDEX(Товары_очищенные!$N$3:$N$503,MATCH(M285,Товары_очищенные!$L$3:$L$503,0)),"нет в каталоге")</f>
        <v>Часы</v>
      </c>
      <c r="T285" s="21" t="str">
        <f t="shared" si="187"/>
        <v>OK</v>
      </c>
      <c r="U285" s="12" t="str">
        <f t="shared" si="188"/>
        <v>05/06/2025|АРТ-331|C0283</v>
      </c>
      <c r="V285" s="12" t="str">
        <f t="shared" si="189"/>
        <v>оригинал</v>
      </c>
    </row>
    <row r="286" ht="15" customHeight="1">
      <c r="A286" s="10">
        <v>284</v>
      </c>
      <c r="B286" s="11" t="str">
        <f>RAW_Продажи!A285</f>
        <v>06/05/2025</v>
      </c>
      <c r="C286" s="11" t="str">
        <f>RAW_Продажи!B285</f>
        <v>АРТ_457</v>
      </c>
      <c r="D286" s="11" t="str">
        <f>RAW_Продажи!C285</f>
        <v>2</v>
      </c>
      <c r="E286" s="11" t="str">
        <f>RAW_Продажи!D285</f>
        <v>€70</v>
      </c>
      <c r="F286" s="11" t="str">
        <f>RAW_Продажи!E285</f>
        <v>C0284</v>
      </c>
      <c r="G286" s="11" t="str">
        <f>RAW_Продажи!F285</f>
        <v>P018</v>
      </c>
      <c r="H286" s="11" t="str">
        <f>RAW_Продажи!G285</f>
        <v>Завершен</v>
      </c>
      <c r="I286" s="12" t="str">
        <f t="shared" si="181"/>
        <v>457</v>
      </c>
      <c r="J286" s="12" t="str">
        <f t="shared" si="182"/>
        <v>€</v>
      </c>
      <c r="K286" s="12">
        <f t="shared" si="183"/>
        <v>70</v>
      </c>
      <c r="L286" s="19">
        <f t="shared" si="184"/>
        <v>45813</v>
      </c>
      <c r="M286" s="13" t="str">
        <f t="shared" si="185"/>
        <v>АРТ-457</v>
      </c>
      <c r="N286" s="13">
        <f t="shared" si="186"/>
        <v>2</v>
      </c>
      <c r="O286" s="13" t="str">
        <f>IFERROR(VLOOKUP(J286,Справочники!$G$6:$H$8,2,0),"RUB")</f>
        <v>EUR</v>
      </c>
      <c r="P286" s="14">
        <f>ROUND(K286*IFERROR(VLOOKUP(J286,Справочники!$G$6:$I$8,3,0),1),2)</f>
        <v>7000</v>
      </c>
      <c r="Q286" s="13" t="str">
        <f>IFERROR(VLOOKUP(H286,Справочники!$D$6:$E$14,2,0),"НЕИЗВЕСТНО")</f>
        <v>Завершен</v>
      </c>
      <c r="R286" s="20">
        <f>IFERROR(INDEX(Товары_очищенные!$Q$3:$Q$503,MATCH(M286,Товары_очищенные!$L$3:$L$503,0)),"нет в каталоге")</f>
        <v>6990</v>
      </c>
      <c r="S286" s="21" t="str">
        <f>IFERROR(INDEX(Товары_очищенные!$N$3:$N$503,MATCH(M286,Товары_очищенные!$L$3:$L$503,0)),"нет в каталоге")</f>
        <v>Аксессуары</v>
      </c>
      <c r="T286" s="21" t="str">
        <f t="shared" si="187"/>
        <v>OK</v>
      </c>
      <c r="U286" s="12" t="str">
        <f t="shared" si="188"/>
        <v>05/06/2025|АРТ-457|C0284</v>
      </c>
      <c r="V286" s="12" t="str">
        <f t="shared" si="189"/>
        <v>оригинал</v>
      </c>
    </row>
    <row r="287" ht="15" customHeight="1">
      <c r="A287" s="10">
        <v>285</v>
      </c>
      <c r="B287" s="11" t="str">
        <f>RAW_Продажи!A286</f>
        <v>06/06/2025</v>
      </c>
      <c r="C287" s="11" t="str">
        <f>RAW_Продажи!B286</f>
        <v>359/24</v>
      </c>
      <c r="D287" s="11" t="str">
        <f>RAW_Продажи!C286</f>
        <v xml:space="preserve">1 шт.</v>
      </c>
      <c r="E287" s="11" t="str">
        <f>RAW_Продажи!D286</f>
        <v xml:space="preserve">6500 ₽</v>
      </c>
      <c r="F287" s="11" t="str">
        <f>RAW_Продажи!E286</f>
        <v>C0285</v>
      </c>
      <c r="G287" s="11" t="str">
        <f>RAW_Продажи!F286</f>
        <v>P040</v>
      </c>
      <c r="H287" s="11" t="str">
        <f>RAW_Продажи!G286</f>
        <v>завершен</v>
      </c>
      <c r="I287" s="12" t="str">
        <f t="shared" si="181"/>
        <v>359/24</v>
      </c>
      <c r="J287" s="12" t="str">
        <f t="shared" si="182"/>
        <v>₽</v>
      </c>
      <c r="K287" s="12">
        <f t="shared" si="183"/>
        <v>6500</v>
      </c>
      <c r="L287" s="19">
        <f t="shared" si="184"/>
        <v>45814</v>
      </c>
      <c r="M287" s="13" t="str">
        <f t="shared" si="185"/>
        <v>АРТ-359</v>
      </c>
      <c r="N287" s="13">
        <f t="shared" si="186"/>
        <v>1</v>
      </c>
      <c r="O287" s="13" t="str">
        <f>IFERROR(VLOOKUP(J287,Справочники!$G$6:$H$8,2,0),"RUB")</f>
        <v>RUB</v>
      </c>
      <c r="P287" s="14">
        <f>ROUND(K287*IFERROR(VLOOKUP(J287,Справочники!$G$6:$I$8,3,0),1),2)</f>
        <v>6500</v>
      </c>
      <c r="Q287" s="13" t="str">
        <f>IFERROR(VLOOKUP(H287,Справочники!$D$6:$E$14,2,0),"НЕИЗВЕСТНО")</f>
        <v>Завершен</v>
      </c>
      <c r="R287" s="20">
        <f>IFERROR(INDEX(Товары_очищенные!$Q$3:$Q$503,MATCH(M287,Товары_очищенные!$L$3:$L$503,0)),"нет в каталоге")</f>
        <v>58000</v>
      </c>
      <c r="S287" s="21" t="str">
        <f>IFERROR(INDEX(Товары_очищенные!$N$3:$N$503,MATCH(M287,Товары_очищенные!$L$3:$L$503,0)),"нет в каталоге")</f>
        <v>Планшеты</v>
      </c>
      <c r="T287" s="21" t="str">
        <f t="shared" si="187"/>
        <v>OK</v>
      </c>
      <c r="U287" s="12" t="str">
        <f t="shared" si="188"/>
        <v>06/06/2025|АРТ-359|C0285</v>
      </c>
      <c r="V287" s="12" t="str">
        <f t="shared" si="189"/>
        <v>оригинал</v>
      </c>
    </row>
    <row r="288" ht="15" customHeight="1">
      <c r="A288" s="10">
        <v>286</v>
      </c>
      <c r="B288" s="11" t="str">
        <f>RAW_Продажи!A287</f>
        <v>06/06/2025</v>
      </c>
      <c r="C288" s="11" t="str">
        <f>RAW_Продажи!B287</f>
        <v>№АРТ-053</v>
      </c>
      <c r="D288" s="11" t="str">
        <f>RAW_Продажи!C287</f>
        <v>-1</v>
      </c>
      <c r="E288" s="11" t="str">
        <f>RAW_Продажи!D287</f>
        <v>$110</v>
      </c>
      <c r="F288" s="11" t="str">
        <f>RAW_Продажи!E287</f>
        <v>C0286</v>
      </c>
      <c r="G288" s="11" t="str">
        <f>RAW_Продажи!F287</f>
        <v>P003</v>
      </c>
      <c r="H288" s="11" t="str">
        <f>RAW_Продажи!G287</f>
        <v>completed</v>
      </c>
      <c r="I288" s="12" t="str">
        <f t="shared" si="181"/>
        <v>053</v>
      </c>
      <c r="J288" s="12" t="str">
        <f t="shared" si="182"/>
        <v>$</v>
      </c>
      <c r="K288" s="12">
        <f t="shared" si="183"/>
        <v>110</v>
      </c>
      <c r="L288" s="19">
        <f t="shared" si="184"/>
        <v>45814</v>
      </c>
      <c r="M288" s="13" t="str">
        <f t="shared" si="185"/>
        <v>АРТ-053</v>
      </c>
      <c r="N288" s="13">
        <f t="shared" si="186"/>
        <v>-1</v>
      </c>
      <c r="O288" s="13" t="str">
        <f>IFERROR(VLOOKUP(J288,Справочники!$G$6:$H$8,2,0),"RUB")</f>
        <v>USD</v>
      </c>
      <c r="P288" s="14">
        <f>ROUND(K288*IFERROR(VLOOKUP(J288,Справочники!$G$6:$I$8,3,0),1),2)</f>
        <v>10450</v>
      </c>
      <c r="Q288" s="13" t="str">
        <f>IFERROR(VLOOKUP(H288,Справочники!$D$6:$E$14,2,0),"НЕИЗВЕСТНО")</f>
        <v>Завершен</v>
      </c>
      <c r="R288" s="20">
        <f>IFERROR(INDEX(Товары_очищенные!$Q$3:$Q$503,MATCH(M288,Товары_очищенные!$L$3:$L$503,0)),"нет в каталоге")</f>
        <v>68000</v>
      </c>
      <c r="S288" s="21" t="str">
        <f>IFERROR(INDEX(Товары_очищенные!$N$3:$N$503,MATCH(M288,Товары_очищенные!$L$3:$L$503,0)),"нет в каталоге")</f>
        <v>Мониторы</v>
      </c>
      <c r="T288" s="21" t="str">
        <f t="shared" si="187"/>
        <v>OK</v>
      </c>
      <c r="U288" s="12" t="str">
        <f t="shared" si="188"/>
        <v>06/06/2025|АРТ-053|C0286</v>
      </c>
      <c r="V288" s="12" t="str">
        <f t="shared" si="189"/>
        <v>оригинал</v>
      </c>
    </row>
    <row r="289" ht="15" customHeight="1">
      <c r="A289" s="10">
        <v>287</v>
      </c>
      <c r="B289" s="11" t="str">
        <f>RAW_Продажи!A288</f>
        <v>06/07/2025</v>
      </c>
      <c r="C289" s="11" t="str">
        <f>RAW_Продажи!B288</f>
        <v>АРТ_395</v>
      </c>
      <c r="D289" s="11" t="str">
        <f>RAW_Продажи!C288</f>
        <v>3</v>
      </c>
      <c r="E289" s="11" t="str">
        <f>RAW_Продажи!D288</f>
        <v>€90</v>
      </c>
      <c r="F289" s="11" t="str">
        <f>RAW_Продажи!E288</f>
        <v>C0287</v>
      </c>
      <c r="G289" s="11" t="str">
        <f>RAW_Продажи!F288</f>
        <v>P025</v>
      </c>
      <c r="H289" s="11" t="str">
        <f>RAW_Продажи!G288</f>
        <v>отменен</v>
      </c>
      <c r="I289" s="12" t="str">
        <f t="shared" si="181"/>
        <v>395</v>
      </c>
      <c r="J289" s="12" t="str">
        <f t="shared" si="182"/>
        <v>€</v>
      </c>
      <c r="K289" s="12">
        <f t="shared" si="183"/>
        <v>90</v>
      </c>
      <c r="L289" s="19">
        <f t="shared" si="184"/>
        <v>45815</v>
      </c>
      <c r="M289" s="13" t="str">
        <f t="shared" si="185"/>
        <v>АРТ-395</v>
      </c>
      <c r="N289" s="13">
        <f t="shared" si="186"/>
        <v>3</v>
      </c>
      <c r="O289" s="13" t="str">
        <f>IFERROR(VLOOKUP(J289,Справочники!$G$6:$H$8,2,0),"RUB")</f>
        <v>EUR</v>
      </c>
      <c r="P289" s="14">
        <f>ROUND(K289*IFERROR(VLOOKUP(J289,Справочники!$G$6:$I$8,3,0),1),2)</f>
        <v>9000</v>
      </c>
      <c r="Q289" s="13" t="str">
        <f>IFERROR(VLOOKUP(H289,Справочники!$D$6:$E$14,2,0),"НЕИЗВЕСТНО")</f>
        <v>Отменен</v>
      </c>
      <c r="R289" s="20">
        <f>IFERROR(INDEX(Товары_очищенные!$Q$3:$Q$503,MATCH(M289,Товары_очищенные!$L$3:$L$503,0)),"нет в каталоге")</f>
        <v>62500</v>
      </c>
      <c r="S289" s="21" t="str">
        <f>IFERROR(INDEX(Товары_очищенные!$N$3:$N$503,MATCH(M289,Товары_очищенные!$L$3:$L$503,0)),"нет в каталоге")</f>
        <v>Мониторы</v>
      </c>
      <c r="T289" s="21" t="str">
        <f t="shared" si="187"/>
        <v>OK</v>
      </c>
      <c r="U289" s="12" t="str">
        <f t="shared" si="188"/>
        <v>07/06/2025|АРТ-395|C0287</v>
      </c>
      <c r="V289" s="12" t="str">
        <f t="shared" si="189"/>
        <v>оригинал</v>
      </c>
    </row>
    <row r="290" ht="15" customHeight="1">
      <c r="A290" s="10">
        <v>288</v>
      </c>
      <c r="B290" s="11" t="str">
        <f>RAW_Продажи!A289</f>
        <v>06/07/2025</v>
      </c>
      <c r="C290" s="11" t="str">
        <f>RAW_Продажи!B289</f>
        <v>104-24</v>
      </c>
      <c r="D290" s="11" t="str">
        <f>RAW_Продажи!C289</f>
        <v>2</v>
      </c>
      <c r="E290" s="11" t="str">
        <f>RAW_Продажи!D289</f>
        <v xml:space="preserve">8000 ₽</v>
      </c>
      <c r="F290" s="11" t="str">
        <f>RAW_Продажи!E289</f>
        <v>C0288</v>
      </c>
      <c r="G290" s="11" t="str">
        <f>RAW_Продажи!F289</f>
        <v>P010</v>
      </c>
      <c r="H290" s="11" t="str">
        <f>RAW_Продажи!G289</f>
        <v>canceled</v>
      </c>
      <c r="I290" s="12" t="str">
        <f t="shared" si="181"/>
        <v>104-24</v>
      </c>
      <c r="J290" s="12" t="str">
        <f t="shared" si="182"/>
        <v>₽</v>
      </c>
      <c r="K290" s="12">
        <f t="shared" si="183"/>
        <v>8000</v>
      </c>
      <c r="L290" s="19">
        <f t="shared" si="184"/>
        <v>45815</v>
      </c>
      <c r="M290" s="13" t="str">
        <f t="shared" si="185"/>
        <v>АРТ-104</v>
      </c>
      <c r="N290" s="13">
        <f t="shared" si="186"/>
        <v>2</v>
      </c>
      <c r="O290" s="13" t="str">
        <f>IFERROR(VLOOKUP(J290,Справочники!$G$6:$H$8,2,0),"RUB")</f>
        <v>RUB</v>
      </c>
      <c r="P290" s="14">
        <f>ROUND(K290*IFERROR(VLOOKUP(J290,Справочники!$G$6:$I$8,3,0),1),2)</f>
        <v>8000</v>
      </c>
      <c r="Q290" s="13" t="str">
        <f>IFERROR(VLOOKUP(H290,Справочники!$D$6:$E$14,2,0),"НЕИЗВЕСТНО")</f>
        <v>Отменен</v>
      </c>
      <c r="R290" s="20">
        <f>IFERROR(INDEX(Товары_очищенные!$Q$3:$Q$503,MATCH(M290,Товары_очищенные!$L$3:$L$503,0)),"нет в каталоге")</f>
        <v>147000</v>
      </c>
      <c r="S290" s="21" t="str">
        <f>IFERROR(INDEX(Товары_очищенные!$N$3:$N$503,MATCH(M290,Товары_очищенные!$L$3:$L$503,0)),"нет в каталоге")</f>
        <v>Ноутбуки</v>
      </c>
      <c r="T290" s="21" t="str">
        <f t="shared" si="187"/>
        <v>OK</v>
      </c>
      <c r="U290" s="12" t="str">
        <f t="shared" si="188"/>
        <v>07/06/2025|АРТ-104|C0288</v>
      </c>
      <c r="V290" s="12" t="str">
        <f t="shared" si="189"/>
        <v>оригинал</v>
      </c>
    </row>
    <row r="291" ht="15" customHeight="1">
      <c r="A291" s="10">
        <v>289</v>
      </c>
      <c r="B291" s="11" t="str">
        <f>RAW_Продажи!A290</f>
        <v>06/08/2025</v>
      </c>
      <c r="C291" s="11" t="str">
        <f>RAW_Продажи!B290</f>
        <v>№АРТ-203</v>
      </c>
      <c r="D291" s="11" t="str">
        <f>RAW_Продажи!C290</f>
        <v>1</v>
      </c>
      <c r="E291" s="11" t="str">
        <f>RAW_Продажи!D290</f>
        <v>$95</v>
      </c>
      <c r="F291" s="11" t="str">
        <f>RAW_Продажи!E290</f>
        <v>C0289</v>
      </c>
      <c r="G291" s="11" t="str">
        <f>RAW_Продажи!F290</f>
        <v>P033</v>
      </c>
      <c r="H291" s="11" t="str">
        <f>RAW_Продажи!G290</f>
        <v>Завершен</v>
      </c>
      <c r="I291" s="12" t="str">
        <f t="shared" si="181"/>
        <v>203</v>
      </c>
      <c r="J291" s="12" t="str">
        <f t="shared" si="182"/>
        <v>$</v>
      </c>
      <c r="K291" s="12">
        <f t="shared" si="183"/>
        <v>95</v>
      </c>
      <c r="L291" s="19">
        <f t="shared" si="184"/>
        <v>45816</v>
      </c>
      <c r="M291" s="13" t="str">
        <f t="shared" si="185"/>
        <v>АРТ-203</v>
      </c>
      <c r="N291" s="13">
        <f t="shared" si="186"/>
        <v>1</v>
      </c>
      <c r="O291" s="13" t="str">
        <f>IFERROR(VLOOKUP(J291,Справочники!$G$6:$H$8,2,0),"RUB")</f>
        <v>USD</v>
      </c>
      <c r="P291" s="14">
        <f>ROUND(K291*IFERROR(VLOOKUP(J291,Справочники!$G$6:$I$8,3,0),1),2)</f>
        <v>9025</v>
      </c>
      <c r="Q291" s="13" t="str">
        <f>IFERROR(VLOOKUP(H291,Справочники!$D$6:$E$14,2,0),"НЕИЗВЕСТНО")</f>
        <v>Завершен</v>
      </c>
      <c r="R291" s="20">
        <f>IFERROR(INDEX(Товары_очищенные!$Q$3:$Q$503,MATCH(M291,Товары_очищенные!$L$3:$L$503,0)),"нет в каталоге")</f>
        <v>9200</v>
      </c>
      <c r="S291" s="21" t="str">
        <f>IFERROR(INDEX(Товары_очищенные!$N$3:$N$503,MATCH(M291,Товары_очищенные!$L$3:$L$503,0)),"нет в каталоге")</f>
        <v>Наушники</v>
      </c>
      <c r="T291" s="21" t="str">
        <f t="shared" si="187"/>
        <v>OK</v>
      </c>
      <c r="U291" s="12" t="str">
        <f t="shared" si="188"/>
        <v>08/06/2025|АРТ-203|C0289</v>
      </c>
      <c r="V291" s="12" t="str">
        <f t="shared" si="189"/>
        <v>оригинал</v>
      </c>
    </row>
    <row r="292" ht="15" customHeight="1">
      <c r="A292" s="10">
        <v>290</v>
      </c>
      <c r="B292" s="11" t="str">
        <f>RAW_Продажи!A291</f>
        <v>06/08/2025</v>
      </c>
      <c r="C292" s="11" t="str">
        <f>RAW_Продажи!B291</f>
        <v>АРТ_303</v>
      </c>
      <c r="D292" s="11" t="str">
        <f>RAW_Продажи!C291</f>
        <v>2</v>
      </c>
      <c r="E292" s="11" t="str">
        <f>RAW_Продажи!D291</f>
        <v>€75</v>
      </c>
      <c r="F292" s="11" t="str">
        <f>RAW_Продажи!E291</f>
        <v>C0290</v>
      </c>
      <c r="G292" s="11" t="str">
        <f>RAW_Продажи!F291</f>
        <v>P047</v>
      </c>
      <c r="H292" s="11" t="str">
        <f>RAW_Продажи!G291</f>
        <v>возврат</v>
      </c>
      <c r="I292" s="12" t="str">
        <f t="shared" ref="I292:I355" si="190">SUBSTITUTE(SUBSTITUTE(C292,"№АРТ-",""),"АРТ_","")</f>
        <v>303</v>
      </c>
      <c r="J292" s="12" t="str">
        <f t="shared" ref="J292:J355" si="191">IF(LEFT(TRIM(E292),1)="$","$",IF(LEFT(TRIM(E292),1)="€","€","₽"))</f>
        <v>€</v>
      </c>
      <c r="K292" s="12">
        <f t="shared" ref="K292:K355" si="192">VALUE(SUBSTITUTE(SUBSTITUTE(SUBSTITUTE(SUBSTITUTE(TRIM(E292),"$",""),"€",""),"₽","")," ",""))</f>
        <v>75</v>
      </c>
      <c r="L292" s="19">
        <f t="shared" ref="L292:L355" si="193">DATE(VALUE(MID(B292,7,4)),VALUE(LEFT(B292,2)),VALUE(MID(B292,4,2)))</f>
        <v>45816</v>
      </c>
      <c r="M292" s="13" t="str">
        <f t="shared" ref="M292:M355" si="194">"АРТ-"&amp;LEFT(I292,3)</f>
        <v>АРТ-303</v>
      </c>
      <c r="N292" s="13">
        <f t="shared" ref="N292:N355" si="195">VALUE(LEFT(TRIM(D292),FIND(" ",TRIM(D292)&amp;" ")-1))</f>
        <v>2</v>
      </c>
      <c r="O292" s="13" t="str">
        <f>IFERROR(VLOOKUP(J292,Справочники!$G$6:$H$8,2,0),"RUB")</f>
        <v>EUR</v>
      </c>
      <c r="P292" s="14">
        <f>ROUND(K292*IFERROR(VLOOKUP(J292,Справочники!$G$6:$I$8,3,0),1),2)</f>
        <v>7500</v>
      </c>
      <c r="Q292" s="13" t="str">
        <f>IFERROR(VLOOKUP(H292,Справочники!$D$6:$E$14,2,0),"НЕИЗВЕСТНО")</f>
        <v>Возврат</v>
      </c>
      <c r="R292" s="20">
        <f>IFERROR(INDEX(Товары_очищенные!$Q$3:$Q$503,MATCH(M292,Товары_очищенные!$L$3:$L$503,0)),"нет в каталоге")</f>
        <v>8800</v>
      </c>
      <c r="S292" s="21" t="str">
        <f>IFERROR(INDEX(Товары_очищенные!$N$3:$N$503,MATCH(M292,Товары_очищенные!$L$3:$L$503,0)),"нет в каталоге")</f>
        <v>Наушники</v>
      </c>
      <c r="T292" s="21" t="str">
        <f t="shared" ref="T292:T355" si="196">IF(ISNUMBER(R292),IF(P292&lt;=R292*1.5,"OK","Цена выше розницы"),"—")</f>
        <v>OK</v>
      </c>
      <c r="U292" s="12" t="str">
        <f t="shared" ref="U292:U355" si="197">TEXT(L292,"DD.MM.YYYY")&amp;"|"&amp;M292&amp;"|"&amp;F292</f>
        <v>08/06/2025|АРТ-303|C0290</v>
      </c>
      <c r="V292" s="12" t="str">
        <f t="shared" ref="V292:V355" si="198">IF(COUNTIF($U$3:U292,U292)&gt;1,"ДУБЛЬ","оригинал")</f>
        <v>оригинал</v>
      </c>
    </row>
    <row r="293" ht="15" customHeight="1">
      <c r="A293" s="10">
        <v>291</v>
      </c>
      <c r="B293" s="11" t="str">
        <f>RAW_Продажи!A292</f>
        <v>06/09/2025</v>
      </c>
      <c r="C293" s="11" t="str">
        <f>RAW_Продажи!B292</f>
        <v>259/24</v>
      </c>
      <c r="D293" s="11" t="str">
        <f>RAW_Продажи!C292</f>
        <v xml:space="preserve">3 шт.</v>
      </c>
      <c r="E293" s="11" t="str">
        <f>RAW_Продажи!D292</f>
        <v xml:space="preserve">7000 ₽</v>
      </c>
      <c r="F293" s="11" t="str">
        <f>RAW_Продажи!E292</f>
        <v>C0291</v>
      </c>
      <c r="G293" s="11" t="str">
        <f>RAW_Продажи!F292</f>
        <v>P020</v>
      </c>
      <c r="H293" s="11" t="str">
        <f>RAW_Продажи!G292</f>
        <v>завершен</v>
      </c>
      <c r="I293" s="12" t="str">
        <f t="shared" si="190"/>
        <v>259/24</v>
      </c>
      <c r="J293" s="12" t="str">
        <f t="shared" si="191"/>
        <v>₽</v>
      </c>
      <c r="K293" s="12">
        <f t="shared" si="192"/>
        <v>7000</v>
      </c>
      <c r="L293" s="19">
        <f t="shared" si="193"/>
        <v>45817</v>
      </c>
      <c r="M293" s="13" t="str">
        <f t="shared" si="194"/>
        <v>АРТ-259</v>
      </c>
      <c r="N293" s="13">
        <f t="shared" si="195"/>
        <v>3</v>
      </c>
      <c r="O293" s="13" t="str">
        <f>IFERROR(VLOOKUP(J293,Справочники!$G$6:$H$8,2,0),"RUB")</f>
        <v>RUB</v>
      </c>
      <c r="P293" s="14">
        <f>ROUND(K293*IFERROR(VLOOKUP(J293,Справочники!$G$6:$I$8,3,0),1),2)</f>
        <v>7000</v>
      </c>
      <c r="Q293" s="13" t="str">
        <f>IFERROR(VLOOKUP(H293,Справочники!$D$6:$E$14,2,0),"НЕИЗВЕСТНО")</f>
        <v>Завершен</v>
      </c>
      <c r="R293" s="20">
        <f>IFERROR(INDEX(Товары_очищенные!$Q$3:$Q$503,MATCH(M293,Товары_очищенные!$L$3:$L$503,0)),"нет в каталоге")</f>
        <v>92990</v>
      </c>
      <c r="S293" s="21" t="str">
        <f>IFERROR(INDEX(Товары_очищенные!$N$3:$N$503,MATCH(M293,Товары_очищенные!$L$3:$L$503,0)),"нет в каталоге")</f>
        <v>Телевизоры</v>
      </c>
      <c r="T293" s="21" t="str">
        <f t="shared" si="196"/>
        <v>OK</v>
      </c>
      <c r="U293" s="12" t="str">
        <f t="shared" si="197"/>
        <v>09/06/2025|АРТ-259|C0291</v>
      </c>
      <c r="V293" s="12" t="str">
        <f t="shared" si="198"/>
        <v>оригинал</v>
      </c>
    </row>
    <row r="294" ht="15" customHeight="1">
      <c r="A294" s="10">
        <v>292</v>
      </c>
      <c r="B294" s="11" t="str">
        <f>RAW_Продажи!A293</f>
        <v>06/09/2025</v>
      </c>
      <c r="C294" s="11" t="str">
        <f>RAW_Продажи!B293</f>
        <v>№АРТ-344</v>
      </c>
      <c r="D294" s="11" t="str">
        <f>RAW_Продажи!C293</f>
        <v>-2</v>
      </c>
      <c r="E294" s="11" t="str">
        <f>RAW_Продажи!D293</f>
        <v>$115</v>
      </c>
      <c r="F294" s="11" t="str">
        <f>RAW_Продажи!E293</f>
        <v>C0292</v>
      </c>
      <c r="G294" s="11" t="str">
        <f>RAW_Продажи!F293</f>
        <v>P002</v>
      </c>
      <c r="H294" s="11" t="str">
        <f>RAW_Продажи!G293</f>
        <v>completed</v>
      </c>
      <c r="I294" s="12" t="str">
        <f t="shared" si="190"/>
        <v>344</v>
      </c>
      <c r="J294" s="12" t="str">
        <f t="shared" si="191"/>
        <v>$</v>
      </c>
      <c r="K294" s="12">
        <f t="shared" si="192"/>
        <v>115</v>
      </c>
      <c r="L294" s="19">
        <f t="shared" si="193"/>
        <v>45817</v>
      </c>
      <c r="M294" s="13" t="str">
        <f t="shared" si="194"/>
        <v>АРТ-344</v>
      </c>
      <c r="N294" s="13">
        <f t="shared" si="195"/>
        <v>-2</v>
      </c>
      <c r="O294" s="13" t="str">
        <f>IFERROR(VLOOKUP(J294,Справочники!$G$6:$H$8,2,0),"RUB")</f>
        <v>USD</v>
      </c>
      <c r="P294" s="14">
        <f>ROUND(K294*IFERROR(VLOOKUP(J294,Справочники!$G$6:$I$8,3,0),1),2)</f>
        <v>10925</v>
      </c>
      <c r="Q294" s="13" t="str">
        <f>IFERROR(VLOOKUP(H294,Справочники!$D$6:$E$14,2,0),"НЕИЗВЕСТНО")</f>
        <v>Завершен</v>
      </c>
      <c r="R294" s="20">
        <f>IFERROR(INDEX(Товары_очищенные!$Q$3:$Q$503,MATCH(M294,Товары_очищенные!$L$3:$L$503,0)),"нет в каталоге")</f>
        <v>82000</v>
      </c>
      <c r="S294" s="21" t="str">
        <f>IFERROR(INDEX(Товары_очищенные!$N$3:$N$503,MATCH(M294,Товары_очищенные!$L$3:$L$503,0)),"нет в каталоге")</f>
        <v>Телевизоры</v>
      </c>
      <c r="T294" s="21" t="str">
        <f t="shared" si="196"/>
        <v>OK</v>
      </c>
      <c r="U294" s="12" t="str">
        <f t="shared" si="197"/>
        <v>09/06/2025|АРТ-344|C0292</v>
      </c>
      <c r="V294" s="12" t="str">
        <f t="shared" si="198"/>
        <v>оригинал</v>
      </c>
    </row>
    <row r="295" ht="15" customHeight="1">
      <c r="A295" s="10">
        <v>293</v>
      </c>
      <c r="B295" s="11" t="str">
        <f>RAW_Продажи!A294</f>
        <v>06/10/2025</v>
      </c>
      <c r="C295" s="11" t="str">
        <f>RAW_Продажи!B294</f>
        <v>АРТ_179</v>
      </c>
      <c r="D295" s="11" t="str">
        <f>RAW_Продажи!C294</f>
        <v>1</v>
      </c>
      <c r="E295" s="11" t="str">
        <f>RAW_Продажи!D294</f>
        <v>€95</v>
      </c>
      <c r="F295" s="11" t="str">
        <f>RAW_Продажи!E294</f>
        <v>C0293</v>
      </c>
      <c r="G295" s="11" t="str">
        <f>RAW_Продажи!F294</f>
        <v>P038</v>
      </c>
      <c r="H295" s="11" t="str">
        <f>RAW_Продажи!G294</f>
        <v>Завершен</v>
      </c>
      <c r="I295" s="12" t="str">
        <f t="shared" si="190"/>
        <v>179</v>
      </c>
      <c r="J295" s="12" t="str">
        <f t="shared" si="191"/>
        <v>€</v>
      </c>
      <c r="K295" s="12">
        <f t="shared" si="192"/>
        <v>95</v>
      </c>
      <c r="L295" s="19">
        <f t="shared" si="193"/>
        <v>45818</v>
      </c>
      <c r="M295" s="13" t="str">
        <f t="shared" si="194"/>
        <v>АРТ-179</v>
      </c>
      <c r="N295" s="13">
        <f t="shared" si="195"/>
        <v>1</v>
      </c>
      <c r="O295" s="13" t="str">
        <f>IFERROR(VLOOKUP(J295,Справочники!$G$6:$H$8,2,0),"RUB")</f>
        <v>EUR</v>
      </c>
      <c r="P295" s="14">
        <f>ROUND(K295*IFERROR(VLOOKUP(J295,Справочники!$G$6:$I$8,3,0),1),2)</f>
        <v>9500</v>
      </c>
      <c r="Q295" s="13" t="str">
        <f>IFERROR(VLOOKUP(H295,Справочники!$D$6:$E$14,2,0),"НЕИЗВЕСТНО")</f>
        <v>Завершен</v>
      </c>
      <c r="R295" s="20">
        <f>IFERROR(INDEX(Товары_очищенные!$Q$3:$Q$503,MATCH(M295,Товары_очищенные!$L$3:$L$503,0)),"нет в каталоге")</f>
        <v>13000</v>
      </c>
      <c r="S295" s="21" t="str">
        <f>IFERROR(INDEX(Товары_очищенные!$N$3:$N$503,MATCH(M295,Товары_очищенные!$L$3:$L$503,0)),"нет в каталоге")</f>
        <v>Наушники</v>
      </c>
      <c r="T295" s="21" t="str">
        <f t="shared" si="196"/>
        <v>OK</v>
      </c>
      <c r="U295" s="12" t="str">
        <f t="shared" si="197"/>
        <v>10/06/2025|АРТ-179|C0293</v>
      </c>
      <c r="V295" s="12" t="str">
        <f t="shared" si="198"/>
        <v>оригинал</v>
      </c>
    </row>
    <row r="296" ht="15" customHeight="1">
      <c r="A296" s="10">
        <v>294</v>
      </c>
      <c r="B296" s="11" t="str">
        <f>RAW_Продажи!A295</f>
        <v>06/10/2025</v>
      </c>
      <c r="C296" s="11" t="str">
        <f>RAW_Продажи!B295</f>
        <v>168-24</v>
      </c>
      <c r="D296" s="11" t="str">
        <f>RAW_Продажи!C295</f>
        <v>2</v>
      </c>
      <c r="E296" s="11" t="str">
        <f>RAW_Продажи!D295</f>
        <v xml:space="preserve">8500 ₽</v>
      </c>
      <c r="F296" s="11" t="str">
        <f>RAW_Продажи!E295</f>
        <v>C0294</v>
      </c>
      <c r="G296" s="11" t="str">
        <f>RAW_Продажи!F295</f>
        <v>P016</v>
      </c>
      <c r="H296" s="11" t="str">
        <f>RAW_Продажи!G295</f>
        <v>canceled</v>
      </c>
      <c r="I296" s="12" t="str">
        <f t="shared" si="190"/>
        <v>168-24</v>
      </c>
      <c r="J296" s="12" t="str">
        <f t="shared" si="191"/>
        <v>₽</v>
      </c>
      <c r="K296" s="12">
        <f t="shared" si="192"/>
        <v>8500</v>
      </c>
      <c r="L296" s="19">
        <f t="shared" si="193"/>
        <v>45818</v>
      </c>
      <c r="M296" s="13" t="str">
        <f t="shared" si="194"/>
        <v>АРТ-168</v>
      </c>
      <c r="N296" s="13">
        <f t="shared" si="195"/>
        <v>2</v>
      </c>
      <c r="O296" s="13" t="str">
        <f>IFERROR(VLOOKUP(J296,Справочники!$G$6:$H$8,2,0),"RUB")</f>
        <v>RUB</v>
      </c>
      <c r="P296" s="14">
        <f>ROUND(K296*IFERROR(VLOOKUP(J296,Справочники!$G$6:$I$8,3,0),1),2)</f>
        <v>8500</v>
      </c>
      <c r="Q296" s="13" t="str">
        <f>IFERROR(VLOOKUP(H296,Справочники!$D$6:$E$14,2,0),"НЕИЗВЕСТНО")</f>
        <v>Отменен</v>
      </c>
      <c r="R296" s="20">
        <f>IFERROR(INDEX(Товары_очищенные!$Q$3:$Q$503,MATCH(M296,Товары_очищенные!$L$3:$L$503,0)),"нет в каталоге")</f>
        <v>85000</v>
      </c>
      <c r="S296" s="21" t="str">
        <f>IFERROR(INDEX(Товары_очищенные!$N$3:$N$503,MATCH(M296,Товары_очищенные!$L$3:$L$503,0)),"нет в каталоге")</f>
        <v>Планшеты</v>
      </c>
      <c r="T296" s="21" t="str">
        <f t="shared" si="196"/>
        <v>OK</v>
      </c>
      <c r="U296" s="12" t="str">
        <f t="shared" si="197"/>
        <v>10/06/2025|АРТ-168|C0294</v>
      </c>
      <c r="V296" s="12" t="str">
        <f t="shared" si="198"/>
        <v>оригинал</v>
      </c>
    </row>
    <row r="297" ht="15" customHeight="1">
      <c r="A297" s="10">
        <v>295</v>
      </c>
      <c r="B297" s="11" t="str">
        <f>RAW_Продажи!A296</f>
        <v>06/11/2025</v>
      </c>
      <c r="C297" s="11" t="str">
        <f>RAW_Продажи!B296</f>
        <v>№АРТ-049</v>
      </c>
      <c r="D297" s="11" t="str">
        <f>RAW_Продажи!C296</f>
        <v>3</v>
      </c>
      <c r="E297" s="11" t="str">
        <f>RAW_Продажи!D296</f>
        <v>$105</v>
      </c>
      <c r="F297" s="11" t="str">
        <f>RAW_Продажи!E296</f>
        <v>C0295</v>
      </c>
      <c r="G297" s="11" t="str">
        <f>RAW_Продажи!F296</f>
        <v>P029</v>
      </c>
      <c r="H297" s="11" t="str">
        <f>RAW_Продажи!G296</f>
        <v>отменен</v>
      </c>
      <c r="I297" s="12" t="str">
        <f t="shared" si="190"/>
        <v>049</v>
      </c>
      <c r="J297" s="12" t="str">
        <f t="shared" si="191"/>
        <v>$</v>
      </c>
      <c r="K297" s="12">
        <f t="shared" si="192"/>
        <v>105</v>
      </c>
      <c r="L297" s="19">
        <f t="shared" si="193"/>
        <v>45819</v>
      </c>
      <c r="M297" s="13" t="str">
        <f t="shared" si="194"/>
        <v>АРТ-049</v>
      </c>
      <c r="N297" s="13">
        <f t="shared" si="195"/>
        <v>3</v>
      </c>
      <c r="O297" s="13" t="str">
        <f>IFERROR(VLOOKUP(J297,Справочники!$G$6:$H$8,2,0),"RUB")</f>
        <v>USD</v>
      </c>
      <c r="P297" s="14">
        <f>ROUND(K297*IFERROR(VLOOKUP(J297,Справочники!$G$6:$I$8,3,0),1),2)</f>
        <v>9975</v>
      </c>
      <c r="Q297" s="13" t="str">
        <f>IFERROR(VLOOKUP(H297,Справочники!$D$6:$E$14,2,0),"НЕИЗВЕСТНО")</f>
        <v>Отменен</v>
      </c>
      <c r="R297" s="20">
        <f>IFERROR(INDEX(Товары_очищенные!$Q$3:$Q$503,MATCH(M297,Товары_очищенные!$L$3:$L$503,0)),"нет в каталоге")</f>
        <v>54999</v>
      </c>
      <c r="S297" s="21" t="str">
        <f>IFERROR(INDEX(Товары_очищенные!$N$3:$N$503,MATCH(M297,Товары_очищенные!$L$3:$L$503,0)),"нет в каталоге")</f>
        <v>Смартфоны</v>
      </c>
      <c r="T297" s="21" t="str">
        <f t="shared" si="196"/>
        <v>OK</v>
      </c>
      <c r="U297" s="12" t="str">
        <f t="shared" si="197"/>
        <v>11/06/2025|АРТ-049|C0295</v>
      </c>
      <c r="V297" s="12" t="str">
        <f t="shared" si="198"/>
        <v>оригинал</v>
      </c>
    </row>
    <row r="298" ht="15" customHeight="1">
      <c r="A298" s="10">
        <v>296</v>
      </c>
      <c r="B298" s="11" t="str">
        <f>RAW_Продажи!A297</f>
        <v>06/11/2025</v>
      </c>
      <c r="C298" s="11" t="str">
        <f>RAW_Продажи!B297</f>
        <v>АРТ_431</v>
      </c>
      <c r="D298" s="11" t="str">
        <f>RAW_Продажи!C297</f>
        <v>2</v>
      </c>
      <c r="E298" s="11" t="str">
        <f>RAW_Продажи!D297</f>
        <v>€85</v>
      </c>
      <c r="F298" s="11" t="str">
        <f>RAW_Продажи!E297</f>
        <v>C0296</v>
      </c>
      <c r="G298" s="11" t="str">
        <f>RAW_Продажи!F297</f>
        <v>P035</v>
      </c>
      <c r="H298" s="11" t="str">
        <f>RAW_Продажи!G297</f>
        <v>возврат</v>
      </c>
      <c r="I298" s="12" t="str">
        <f t="shared" si="190"/>
        <v>431</v>
      </c>
      <c r="J298" s="12" t="str">
        <f t="shared" si="191"/>
        <v>€</v>
      </c>
      <c r="K298" s="12">
        <f t="shared" si="192"/>
        <v>85</v>
      </c>
      <c r="L298" s="19">
        <f t="shared" si="193"/>
        <v>45819</v>
      </c>
      <c r="M298" s="13" t="str">
        <f t="shared" si="194"/>
        <v>АРТ-431</v>
      </c>
      <c r="N298" s="13">
        <f t="shared" si="195"/>
        <v>2</v>
      </c>
      <c r="O298" s="13" t="str">
        <f>IFERROR(VLOOKUP(J298,Справочники!$G$6:$H$8,2,0),"RUB")</f>
        <v>EUR</v>
      </c>
      <c r="P298" s="14">
        <f>ROUND(K298*IFERROR(VLOOKUP(J298,Справочники!$G$6:$I$8,3,0),1),2)</f>
        <v>8500</v>
      </c>
      <c r="Q298" s="13" t="str">
        <f>IFERROR(VLOOKUP(H298,Справочники!$D$6:$E$14,2,0),"НЕИЗВЕСТНО")</f>
        <v>Возврат</v>
      </c>
      <c r="R298" s="20">
        <f>IFERROR(INDEX(Товары_очищенные!$Q$3:$Q$503,MATCH(M298,Товары_очищенные!$L$3:$L$503,0)),"нет в каталоге")</f>
        <v>14000</v>
      </c>
      <c r="S298" s="21" t="str">
        <f>IFERROR(INDEX(Товары_очищенные!$N$3:$N$503,MATCH(M298,Товары_очищенные!$L$3:$L$503,0)),"нет в каталоге")</f>
        <v>Наушники</v>
      </c>
      <c r="T298" s="21" t="str">
        <f t="shared" si="196"/>
        <v>OK</v>
      </c>
      <c r="U298" s="12" t="str">
        <f t="shared" si="197"/>
        <v>11/06/2025|АРТ-431|C0296</v>
      </c>
      <c r="V298" s="12" t="str">
        <f t="shared" si="198"/>
        <v>оригинал</v>
      </c>
    </row>
    <row r="299" ht="15" customHeight="1">
      <c r="A299" s="10">
        <v>297</v>
      </c>
      <c r="B299" s="11" t="str">
        <f>RAW_Продажи!A298</f>
        <v>06/12/2025</v>
      </c>
      <c r="C299" s="11" t="str">
        <f>RAW_Продажи!B298</f>
        <v>325/24</v>
      </c>
      <c r="D299" s="11" t="str">
        <f>RAW_Продажи!C298</f>
        <v xml:space="preserve">1 шт.</v>
      </c>
      <c r="E299" s="11" t="str">
        <f>RAW_Продажи!D298</f>
        <v xml:space="preserve">7800 ₽</v>
      </c>
      <c r="F299" s="11" t="str">
        <f>RAW_Продажи!E298</f>
        <v>C0297</v>
      </c>
      <c r="G299" s="11" t="str">
        <f>RAW_Продажи!F298</f>
        <v>P046</v>
      </c>
      <c r="H299" s="11" t="str">
        <f>RAW_Продажи!G298</f>
        <v>Завершен</v>
      </c>
      <c r="I299" s="12" t="str">
        <f t="shared" si="190"/>
        <v>325/24</v>
      </c>
      <c r="J299" s="12" t="str">
        <f t="shared" si="191"/>
        <v>₽</v>
      </c>
      <c r="K299" s="12">
        <f t="shared" si="192"/>
        <v>7800</v>
      </c>
      <c r="L299" s="19">
        <f t="shared" si="193"/>
        <v>45820</v>
      </c>
      <c r="M299" s="13" t="str">
        <f t="shared" si="194"/>
        <v>АРТ-325</v>
      </c>
      <c r="N299" s="13">
        <f t="shared" si="195"/>
        <v>1</v>
      </c>
      <c r="O299" s="13" t="str">
        <f>IFERROR(VLOOKUP(J299,Справочники!$G$6:$H$8,2,0),"RUB")</f>
        <v>RUB</v>
      </c>
      <c r="P299" s="14">
        <f>ROUND(K299*IFERROR(VLOOKUP(J299,Справочники!$G$6:$I$8,3,0),1),2)</f>
        <v>7800</v>
      </c>
      <c r="Q299" s="13" t="str">
        <f>IFERROR(VLOOKUP(H299,Справочники!$D$6:$E$14,2,0),"НЕИЗВЕСТНО")</f>
        <v>Завершен</v>
      </c>
      <c r="R299" s="20">
        <f>IFERROR(INDEX(Товары_очищенные!$Q$3:$Q$503,MATCH(M299,Товары_очищенные!$L$3:$L$503,0)),"нет в каталоге")</f>
        <v>66990</v>
      </c>
      <c r="S299" s="21" t="str">
        <f>IFERROR(INDEX(Товары_очищенные!$N$3:$N$503,MATCH(M299,Товары_очищенные!$L$3:$L$503,0)),"нет в каталоге")</f>
        <v>Мониторы</v>
      </c>
      <c r="T299" s="21" t="str">
        <f t="shared" si="196"/>
        <v>OK</v>
      </c>
      <c r="U299" s="12" t="str">
        <f t="shared" si="197"/>
        <v>12/06/2025|АРТ-325|C0297</v>
      </c>
      <c r="V299" s="12" t="str">
        <f t="shared" si="198"/>
        <v>оригинал</v>
      </c>
    </row>
    <row r="300" ht="15" customHeight="1">
      <c r="A300" s="10">
        <v>298</v>
      </c>
      <c r="B300" s="11" t="str">
        <f>RAW_Продажи!A299</f>
        <v>06/12/2025</v>
      </c>
      <c r="C300" s="11" t="str">
        <f>RAW_Продажи!B299</f>
        <v>№АРТ-291</v>
      </c>
      <c r="D300" s="11" t="str">
        <f>RAW_Продажи!C299</f>
        <v>-3</v>
      </c>
      <c r="E300" s="11" t="str">
        <f>RAW_Продажи!D299</f>
        <v>$120</v>
      </c>
      <c r="F300" s="11" t="str">
        <f>RAW_Продажи!E299</f>
        <v>C0298</v>
      </c>
      <c r="G300" s="11" t="str">
        <f>RAW_Продажи!F299</f>
        <v>P022</v>
      </c>
      <c r="H300" s="11" t="str">
        <f>RAW_Продажи!G299</f>
        <v>завершен</v>
      </c>
      <c r="I300" s="12" t="str">
        <f t="shared" si="190"/>
        <v>291</v>
      </c>
      <c r="J300" s="12" t="str">
        <f t="shared" si="191"/>
        <v>$</v>
      </c>
      <c r="K300" s="12">
        <f t="shared" si="192"/>
        <v>120</v>
      </c>
      <c r="L300" s="19">
        <f t="shared" si="193"/>
        <v>45820</v>
      </c>
      <c r="M300" s="13" t="str">
        <f t="shared" si="194"/>
        <v>АРТ-291</v>
      </c>
      <c r="N300" s="13">
        <f t="shared" si="195"/>
        <v>-3</v>
      </c>
      <c r="O300" s="13" t="str">
        <f>IFERROR(VLOOKUP(J300,Справочники!$G$6:$H$8,2,0),"RUB")</f>
        <v>USD</v>
      </c>
      <c r="P300" s="14">
        <f>ROUND(K300*IFERROR(VLOOKUP(J300,Справочники!$G$6:$I$8,3,0),1),2)</f>
        <v>11400</v>
      </c>
      <c r="Q300" s="13" t="str">
        <f>IFERROR(VLOOKUP(H300,Справочники!$D$6:$E$14,2,0),"НЕИЗВЕСТНО")</f>
        <v>Завершен</v>
      </c>
      <c r="R300" s="20">
        <f>IFERROR(INDEX(Товары_очищенные!$Q$3:$Q$503,MATCH(M300,Товары_очищенные!$L$3:$L$503,0)),"нет в каталоге")</f>
        <v>65000</v>
      </c>
      <c r="S300" s="21" t="str">
        <f>IFERROR(INDEX(Товары_очищенные!$N$3:$N$503,MATCH(M300,Товары_очищенные!$L$3:$L$503,0)),"нет в каталоге")</f>
        <v>Часы</v>
      </c>
      <c r="T300" s="21" t="str">
        <f t="shared" si="196"/>
        <v>OK</v>
      </c>
      <c r="U300" s="12" t="str">
        <f t="shared" si="197"/>
        <v>12/06/2025|АРТ-291|C0298</v>
      </c>
      <c r="V300" s="12" t="str">
        <f t="shared" si="198"/>
        <v>оригинал</v>
      </c>
    </row>
    <row r="301" ht="15" customHeight="1">
      <c r="A301" s="10">
        <v>299</v>
      </c>
      <c r="B301" s="11" t="str">
        <f>RAW_Продажи!A300</f>
        <v>06/13/2025</v>
      </c>
      <c r="C301" s="11" t="str">
        <f>RAW_Продажи!B300</f>
        <v>АРТ_268</v>
      </c>
      <c r="D301" s="11" t="str">
        <f>RAW_Продажи!C300</f>
        <v>2</v>
      </c>
      <c r="E301" s="11" t="str">
        <f>RAW_Продажи!D300</f>
        <v>€100</v>
      </c>
      <c r="F301" s="11" t="str">
        <f>RAW_Продажи!E300</f>
        <v>C0299</v>
      </c>
      <c r="G301" s="11" t="str">
        <f>RAW_Продажи!F300</f>
        <v>P043</v>
      </c>
      <c r="H301" s="11" t="str">
        <f>RAW_Продажи!G300</f>
        <v>completed</v>
      </c>
      <c r="I301" s="12" t="str">
        <f t="shared" si="190"/>
        <v>268</v>
      </c>
      <c r="J301" s="12" t="str">
        <f t="shared" si="191"/>
        <v>€</v>
      </c>
      <c r="K301" s="12">
        <f t="shared" si="192"/>
        <v>100</v>
      </c>
      <c r="L301" s="19">
        <f t="shared" si="193"/>
        <v>45821</v>
      </c>
      <c r="M301" s="13" t="str">
        <f t="shared" si="194"/>
        <v>АРТ-268</v>
      </c>
      <c r="N301" s="13">
        <f t="shared" si="195"/>
        <v>2</v>
      </c>
      <c r="O301" s="13" t="str">
        <f>IFERROR(VLOOKUP(J301,Справочники!$G$6:$H$8,2,0),"RUB")</f>
        <v>EUR</v>
      </c>
      <c r="P301" s="14">
        <f>ROUND(K301*IFERROR(VLOOKUP(J301,Справочники!$G$6:$I$8,3,0),1),2)</f>
        <v>10000</v>
      </c>
      <c r="Q301" s="13" t="str">
        <f>IFERROR(VLOOKUP(H301,Справочники!$D$6:$E$14,2,0),"НЕИЗВЕСТНО")</f>
        <v>Завершен</v>
      </c>
      <c r="R301" s="20">
        <f>IFERROR(INDEX(Товары_очищенные!$Q$3:$Q$503,MATCH(M301,Товары_очищенные!$L$3:$L$503,0)),"нет в каталоге")</f>
        <v>22990</v>
      </c>
      <c r="S301" s="21" t="str">
        <f>IFERROR(INDEX(Товары_очищенные!$N$3:$N$503,MATCH(M301,Товары_очищенные!$L$3:$L$503,0)),"нет в каталоге")</f>
        <v>Аксессуары</v>
      </c>
      <c r="T301" s="21" t="str">
        <f t="shared" si="196"/>
        <v>OK</v>
      </c>
      <c r="U301" s="12" t="str">
        <f t="shared" si="197"/>
        <v>13/06/2025|АРТ-268|C0299</v>
      </c>
      <c r="V301" s="12" t="str">
        <f t="shared" si="198"/>
        <v>оригинал</v>
      </c>
    </row>
    <row r="302" ht="15" customHeight="1">
      <c r="A302" s="10">
        <v>300</v>
      </c>
      <c r="B302" s="11" t="str">
        <f>RAW_Продажи!A301</f>
        <v>06/13/2025</v>
      </c>
      <c r="C302" s="11" t="str">
        <f>RAW_Продажи!B301</f>
        <v>187-24</v>
      </c>
      <c r="D302" s="11" t="str">
        <f>RAW_Продажи!C301</f>
        <v>1</v>
      </c>
      <c r="E302" s="11" t="str">
        <f>RAW_Продажи!D301</f>
        <v xml:space="preserve">9200 ₽</v>
      </c>
      <c r="F302" s="11" t="str">
        <f>RAW_Продажи!E301</f>
        <v>C0300</v>
      </c>
      <c r="G302" s="11" t="str">
        <f>RAW_Продажи!F301</f>
        <v>P030</v>
      </c>
      <c r="H302" s="11" t="str">
        <f>RAW_Продажи!G301</f>
        <v>отменен</v>
      </c>
      <c r="I302" s="12" t="str">
        <f t="shared" si="190"/>
        <v>187-24</v>
      </c>
      <c r="J302" s="12" t="str">
        <f t="shared" si="191"/>
        <v>₽</v>
      </c>
      <c r="K302" s="12">
        <f t="shared" si="192"/>
        <v>9200</v>
      </c>
      <c r="L302" s="19">
        <f t="shared" si="193"/>
        <v>45821</v>
      </c>
      <c r="M302" s="13" t="str">
        <f t="shared" si="194"/>
        <v>АРТ-187</v>
      </c>
      <c r="N302" s="13">
        <f t="shared" si="195"/>
        <v>1</v>
      </c>
      <c r="O302" s="13" t="str">
        <f>IFERROR(VLOOKUP(J302,Справочники!$G$6:$H$8,2,0),"RUB")</f>
        <v>RUB</v>
      </c>
      <c r="P302" s="14">
        <f>ROUND(K302*IFERROR(VLOOKUP(J302,Справочники!$G$6:$I$8,3,0),1),2)</f>
        <v>9200</v>
      </c>
      <c r="Q302" s="13" t="str">
        <f>IFERROR(VLOOKUP(H302,Справочники!$D$6:$E$14,2,0),"НЕИЗВЕСТНО")</f>
        <v>Отменен</v>
      </c>
      <c r="R302" s="20">
        <f>IFERROR(INDEX(Товары_очищенные!$Q$3:$Q$503,MATCH(M302,Товары_очищенные!$L$3:$L$503,0)),"нет в каталоге")</f>
        <v>49990</v>
      </c>
      <c r="S302" s="21" t="str">
        <f>IFERROR(INDEX(Товары_очищенные!$N$3:$N$503,MATCH(M302,Товары_очищенные!$L$3:$L$503,0)),"нет в каталоге")</f>
        <v>Часы</v>
      </c>
      <c r="T302" s="21" t="str">
        <f t="shared" si="196"/>
        <v>OK</v>
      </c>
      <c r="U302" s="12" t="str">
        <f t="shared" si="197"/>
        <v>13/06/2025|АРТ-187|C0300</v>
      </c>
      <c r="V302" s="12" t="str">
        <f t="shared" si="198"/>
        <v>оригинал</v>
      </c>
    </row>
    <row r="303" ht="15" customHeight="1">
      <c r="A303" s="10">
        <v>301</v>
      </c>
      <c r="B303" s="11" t="str">
        <f>RAW_Продажи!A302</f>
        <v>06/14/2025</v>
      </c>
      <c r="C303" s="11" t="str">
        <f>RAW_Продажи!B302</f>
        <v>№АРТ-138</v>
      </c>
      <c r="D303" s="11" t="str">
        <f>RAW_Продажи!C302</f>
        <v>3</v>
      </c>
      <c r="E303" s="11" t="str">
        <f>RAW_Продажи!D302</f>
        <v>$90</v>
      </c>
      <c r="F303" s="11" t="str">
        <f>RAW_Продажи!E302</f>
        <v>C0301</v>
      </c>
      <c r="G303" s="11" t="str">
        <f>RAW_Продажи!F302</f>
        <v>P012</v>
      </c>
      <c r="H303" s="11" t="str">
        <f>RAW_Продажи!G302</f>
        <v>canceled</v>
      </c>
      <c r="I303" s="12" t="str">
        <f t="shared" si="190"/>
        <v>138</v>
      </c>
      <c r="J303" s="12" t="str">
        <f t="shared" si="191"/>
        <v>$</v>
      </c>
      <c r="K303" s="12">
        <f t="shared" si="192"/>
        <v>90</v>
      </c>
      <c r="L303" s="19">
        <f t="shared" si="193"/>
        <v>45822</v>
      </c>
      <c r="M303" s="13" t="str">
        <f t="shared" si="194"/>
        <v>АРТ-138</v>
      </c>
      <c r="N303" s="13">
        <f t="shared" si="195"/>
        <v>3</v>
      </c>
      <c r="O303" s="13" t="str">
        <f>IFERROR(VLOOKUP(J303,Справочники!$G$6:$H$8,2,0),"RUB")</f>
        <v>USD</v>
      </c>
      <c r="P303" s="14">
        <f>ROUND(K303*IFERROR(VLOOKUP(J303,Справочники!$G$6:$I$8,3,0),1),2)</f>
        <v>8550</v>
      </c>
      <c r="Q303" s="13" t="str">
        <f>IFERROR(VLOOKUP(H303,Справочники!$D$6:$E$14,2,0),"НЕИЗВЕСТНО")</f>
        <v>Отменен</v>
      </c>
      <c r="R303" s="20">
        <f>IFERROR(INDEX(Товары_очищенные!$Q$3:$Q$503,MATCH(M303,Товары_очищенные!$L$3:$L$503,0)),"нет в каталоге")</f>
        <v>24000</v>
      </c>
      <c r="S303" s="21" t="str">
        <f>IFERROR(INDEX(Товары_очищенные!$N$3:$N$503,MATCH(M303,Товары_очищенные!$L$3:$L$503,0)),"нет в каталоге")</f>
        <v>Наушники</v>
      </c>
      <c r="T303" s="21" t="str">
        <f t="shared" si="196"/>
        <v>OK</v>
      </c>
      <c r="U303" s="12" t="str">
        <f t="shared" si="197"/>
        <v>14/06/2025|АРТ-138|C0301</v>
      </c>
      <c r="V303" s="12" t="str">
        <f t="shared" si="198"/>
        <v>оригинал</v>
      </c>
    </row>
    <row r="304" ht="15" customHeight="1">
      <c r="A304" s="10">
        <v>302</v>
      </c>
      <c r="B304" s="11" t="str">
        <f>RAW_Продажи!A303</f>
        <v>06/14/2025</v>
      </c>
      <c r="C304" s="11" t="str">
        <f>RAW_Продажи!B303</f>
        <v>АРТ_486</v>
      </c>
      <c r="D304" s="11" t="str">
        <f>RAW_Продажи!C303</f>
        <v>2</v>
      </c>
      <c r="E304" s="11" t="str">
        <f>RAW_Продажи!D303</f>
        <v>€70</v>
      </c>
      <c r="F304" s="11" t="str">
        <f>RAW_Продажи!E303</f>
        <v>C0302</v>
      </c>
      <c r="G304" s="11" t="str">
        <f>RAW_Продажи!F303</f>
        <v>P007</v>
      </c>
      <c r="H304" s="11" t="str">
        <f>RAW_Продажи!G303</f>
        <v>Завершен</v>
      </c>
      <c r="I304" s="12" t="str">
        <f t="shared" si="190"/>
        <v>486</v>
      </c>
      <c r="J304" s="12" t="str">
        <f t="shared" si="191"/>
        <v>€</v>
      </c>
      <c r="K304" s="12">
        <f t="shared" si="192"/>
        <v>70</v>
      </c>
      <c r="L304" s="19">
        <f t="shared" si="193"/>
        <v>45822</v>
      </c>
      <c r="M304" s="13" t="str">
        <f t="shared" si="194"/>
        <v>АРТ-486</v>
      </c>
      <c r="N304" s="13">
        <f t="shared" si="195"/>
        <v>2</v>
      </c>
      <c r="O304" s="13" t="str">
        <f>IFERROR(VLOOKUP(J304,Справочники!$G$6:$H$8,2,0),"RUB")</f>
        <v>EUR</v>
      </c>
      <c r="P304" s="14">
        <f>ROUND(K304*IFERROR(VLOOKUP(J304,Справочники!$G$6:$I$8,3,0),1),2)</f>
        <v>7000</v>
      </c>
      <c r="Q304" s="13" t="str">
        <f>IFERROR(VLOOKUP(H304,Справочники!$D$6:$E$14,2,0),"НЕИЗВЕСТНО")</f>
        <v>Завершен</v>
      </c>
      <c r="R304" s="20">
        <f>IFERROR(INDEX(Товары_очищенные!$Q$3:$Q$503,MATCH(M304,Товары_очищенные!$L$3:$L$503,0)),"нет в каталоге")</f>
        <v>35500</v>
      </c>
      <c r="S304" s="21" t="str">
        <f>IFERROR(INDEX(Товары_очищенные!$N$3:$N$503,MATCH(M304,Товары_очищенные!$L$3:$L$503,0)),"нет в каталоге")</f>
        <v>Смартфоны</v>
      </c>
      <c r="T304" s="21" t="str">
        <f t="shared" si="196"/>
        <v>OK</v>
      </c>
      <c r="U304" s="12" t="str">
        <f t="shared" si="197"/>
        <v>14/06/2025|АРТ-486|C0302</v>
      </c>
      <c r="V304" s="12" t="str">
        <f t="shared" si="198"/>
        <v>оригинал</v>
      </c>
    </row>
    <row r="305" ht="15" customHeight="1">
      <c r="A305" s="10">
        <v>303</v>
      </c>
      <c r="B305" s="11" t="str">
        <f>RAW_Продажи!A304</f>
        <v>06/15/2025</v>
      </c>
      <c r="C305" s="11" t="str">
        <f>RAW_Продажи!B304</f>
        <v>347/24</v>
      </c>
      <c r="D305" s="11" t="str">
        <f>RAW_Продажи!C304</f>
        <v xml:space="preserve">1 шт.</v>
      </c>
      <c r="E305" s="11" t="str">
        <f>RAW_Продажи!D304</f>
        <v xml:space="preserve">6500 ₽</v>
      </c>
      <c r="F305" s="11" t="str">
        <f>RAW_Продажи!E304</f>
        <v>C0303</v>
      </c>
      <c r="G305" s="11" t="str">
        <f>RAW_Продажи!F304</f>
        <v>P023</v>
      </c>
      <c r="H305" s="11" t="str">
        <f>RAW_Продажи!G304</f>
        <v>возврат</v>
      </c>
      <c r="I305" s="12" t="str">
        <f t="shared" si="190"/>
        <v>347/24</v>
      </c>
      <c r="J305" s="12" t="str">
        <f t="shared" si="191"/>
        <v>₽</v>
      </c>
      <c r="K305" s="12">
        <f t="shared" si="192"/>
        <v>6500</v>
      </c>
      <c r="L305" s="19">
        <f t="shared" si="193"/>
        <v>45823</v>
      </c>
      <c r="M305" s="13" t="str">
        <f t="shared" si="194"/>
        <v>АРТ-347</v>
      </c>
      <c r="N305" s="13">
        <f t="shared" si="195"/>
        <v>1</v>
      </c>
      <c r="O305" s="13" t="str">
        <f>IFERROR(VLOOKUP(J305,Справочники!$G$6:$H$8,2,0),"RUB")</f>
        <v>RUB</v>
      </c>
      <c r="P305" s="14">
        <f>ROUND(K305*IFERROR(VLOOKUP(J305,Справочники!$G$6:$I$8,3,0),1),2)</f>
        <v>6500</v>
      </c>
      <c r="Q305" s="13" t="str">
        <f>IFERROR(VLOOKUP(H305,Справочники!$D$6:$E$14,2,0),"НЕИЗВЕСТНО")</f>
        <v>Возврат</v>
      </c>
      <c r="R305" s="20">
        <f>IFERROR(INDEX(Товары_очищенные!$Q$3:$Q$503,MATCH(M305,Товары_очищенные!$L$3:$L$503,0)),"нет в каталоге")</f>
        <v>19000</v>
      </c>
      <c r="S305" s="21" t="str">
        <f>IFERROR(INDEX(Товары_очищенные!$N$3:$N$503,MATCH(M305,Товары_очищенные!$L$3:$L$503,0)),"нет в каталоге")</f>
        <v>Наушники</v>
      </c>
      <c r="T305" s="21" t="str">
        <f t="shared" si="196"/>
        <v>OK</v>
      </c>
      <c r="U305" s="12" t="str">
        <f t="shared" si="197"/>
        <v>15/06/2025|АРТ-347|C0303</v>
      </c>
      <c r="V305" s="12" t="str">
        <f t="shared" si="198"/>
        <v>оригинал</v>
      </c>
    </row>
    <row r="306" ht="15" customHeight="1">
      <c r="A306" s="10">
        <v>304</v>
      </c>
      <c r="B306" s="11" t="str">
        <f>RAW_Продажи!A305</f>
        <v>06/15/2025</v>
      </c>
      <c r="C306" s="11" t="str">
        <f>RAW_Продажи!B305</f>
        <v>№АРТ-381</v>
      </c>
      <c r="D306" s="11" t="str">
        <f>RAW_Продажи!C305</f>
        <v>-1</v>
      </c>
      <c r="E306" s="11" t="str">
        <f>RAW_Продажи!D305</f>
        <v>$110</v>
      </c>
      <c r="F306" s="11" t="str">
        <f>RAW_Продажи!E305</f>
        <v>C0304</v>
      </c>
      <c r="G306" s="11" t="str">
        <f>RAW_Продажи!F305</f>
        <v>P045</v>
      </c>
      <c r="H306" s="11" t="str">
        <f>RAW_Продажи!G305</f>
        <v>завершен</v>
      </c>
      <c r="I306" s="12" t="str">
        <f t="shared" si="190"/>
        <v>381</v>
      </c>
      <c r="J306" s="12" t="str">
        <f t="shared" si="191"/>
        <v>$</v>
      </c>
      <c r="K306" s="12">
        <f t="shared" si="192"/>
        <v>110</v>
      </c>
      <c r="L306" s="19">
        <f t="shared" si="193"/>
        <v>45823</v>
      </c>
      <c r="M306" s="13" t="str">
        <f t="shared" si="194"/>
        <v>АРТ-381</v>
      </c>
      <c r="N306" s="13">
        <f t="shared" si="195"/>
        <v>-1</v>
      </c>
      <c r="O306" s="13" t="str">
        <f>IFERROR(VLOOKUP(J306,Справочники!$G$6:$H$8,2,0),"RUB")</f>
        <v>USD</v>
      </c>
      <c r="P306" s="14">
        <f>ROUND(K306*IFERROR(VLOOKUP(J306,Справочники!$G$6:$I$8,3,0),1),2)</f>
        <v>10450</v>
      </c>
      <c r="Q306" s="13" t="str">
        <f>IFERROR(VLOOKUP(H306,Справочники!$D$6:$E$14,2,0),"НЕИЗВЕСТНО")</f>
        <v>Завершен</v>
      </c>
      <c r="R306" s="20">
        <f>IFERROR(INDEX(Товары_очищенные!$Q$3:$Q$503,MATCH(M306,Товары_очищенные!$L$3:$L$503,0)),"нет в каталоге")</f>
        <v>38500</v>
      </c>
      <c r="S306" s="21" t="str">
        <f>IFERROR(INDEX(Товары_очищенные!$N$3:$N$503,MATCH(M306,Товары_очищенные!$L$3:$L$503,0)),"нет в каталоге")</f>
        <v>Планшеты</v>
      </c>
      <c r="T306" s="21" t="str">
        <f t="shared" si="196"/>
        <v>OK</v>
      </c>
      <c r="U306" s="12" t="str">
        <f t="shared" si="197"/>
        <v>15/06/2025|АРТ-381|C0304</v>
      </c>
      <c r="V306" s="12" t="str">
        <f t="shared" si="198"/>
        <v>оригинал</v>
      </c>
    </row>
    <row r="307" ht="15" customHeight="1">
      <c r="A307" s="10">
        <v>305</v>
      </c>
      <c r="B307" s="11" t="str">
        <f>RAW_Продажи!A306</f>
        <v>06/16/2025</v>
      </c>
      <c r="C307" s="11" t="str">
        <f>RAW_Продажи!B306</f>
        <v>АРТ_219</v>
      </c>
      <c r="D307" s="11" t="str">
        <f>RAW_Продажи!C306</f>
        <v>3</v>
      </c>
      <c r="E307" s="11" t="str">
        <f>RAW_Продажи!D306</f>
        <v>€90</v>
      </c>
      <c r="F307" s="11" t="str">
        <f>RAW_Продажи!E306</f>
        <v>C0305</v>
      </c>
      <c r="G307" s="11" t="str">
        <f>RAW_Продажи!F306</f>
        <v>P008</v>
      </c>
      <c r="H307" s="11" t="str">
        <f>RAW_Продажи!G306</f>
        <v>completed</v>
      </c>
      <c r="I307" s="12" t="str">
        <f t="shared" si="190"/>
        <v>219</v>
      </c>
      <c r="J307" s="12" t="str">
        <f t="shared" si="191"/>
        <v>€</v>
      </c>
      <c r="K307" s="12">
        <f t="shared" si="192"/>
        <v>90</v>
      </c>
      <c r="L307" s="19">
        <f t="shared" si="193"/>
        <v>45824</v>
      </c>
      <c r="M307" s="13" t="str">
        <f t="shared" si="194"/>
        <v>АРТ-219</v>
      </c>
      <c r="N307" s="13">
        <f t="shared" si="195"/>
        <v>3</v>
      </c>
      <c r="O307" s="13" t="str">
        <f>IFERROR(VLOOKUP(J307,Справочники!$G$6:$H$8,2,0),"RUB")</f>
        <v>EUR</v>
      </c>
      <c r="P307" s="14">
        <f>ROUND(K307*IFERROR(VLOOKUP(J307,Справочники!$G$6:$I$8,3,0),1),2)</f>
        <v>9000</v>
      </c>
      <c r="Q307" s="13" t="str">
        <f>IFERROR(VLOOKUP(H307,Справочники!$D$6:$E$14,2,0),"НЕИЗВЕСТНО")</f>
        <v>Завершен</v>
      </c>
      <c r="R307" s="20">
        <f>IFERROR(INDEX(Товары_очищенные!$Q$3:$Q$503,MATCH(M307,Товары_очищенные!$L$3:$L$503,0)),"нет в каталоге")</f>
        <v>72000</v>
      </c>
      <c r="S307" s="21" t="str">
        <f>IFERROR(INDEX(Товары_очищенные!$N$3:$N$503,MATCH(M307,Товары_очищенные!$L$3:$L$503,0)),"нет в каталоге")</f>
        <v>Телевизоры</v>
      </c>
      <c r="T307" s="21" t="str">
        <f t="shared" si="196"/>
        <v>OK</v>
      </c>
      <c r="U307" s="12" t="str">
        <f t="shared" si="197"/>
        <v>16/06/2025|АРТ-219|C0305</v>
      </c>
      <c r="V307" s="12" t="str">
        <f t="shared" si="198"/>
        <v>оригинал</v>
      </c>
    </row>
    <row r="308" ht="15" customHeight="1">
      <c r="A308" s="10">
        <v>306</v>
      </c>
      <c r="B308" s="11" t="str">
        <f>RAW_Продажи!A307</f>
        <v>06/16/2025</v>
      </c>
      <c r="C308" s="11" t="str">
        <f>RAW_Продажи!B307</f>
        <v>263-24</v>
      </c>
      <c r="D308" s="11" t="str">
        <f>RAW_Продажи!C307</f>
        <v>2</v>
      </c>
      <c r="E308" s="11" t="str">
        <f>RAW_Продажи!D307</f>
        <v xml:space="preserve">8000 ₽</v>
      </c>
      <c r="F308" s="11" t="str">
        <f>RAW_Продажи!E307</f>
        <v>C0306</v>
      </c>
      <c r="G308" s="11" t="str">
        <f>RAW_Продажи!F307</f>
        <v>P031</v>
      </c>
      <c r="H308" s="11" t="str">
        <f>RAW_Продажи!G307</f>
        <v>Завершен</v>
      </c>
      <c r="I308" s="12" t="str">
        <f t="shared" si="190"/>
        <v>263-24</v>
      </c>
      <c r="J308" s="12" t="str">
        <f t="shared" si="191"/>
        <v>₽</v>
      </c>
      <c r="K308" s="12">
        <f t="shared" si="192"/>
        <v>8000</v>
      </c>
      <c r="L308" s="19">
        <f t="shared" si="193"/>
        <v>45824</v>
      </c>
      <c r="M308" s="13" t="str">
        <f t="shared" si="194"/>
        <v>АРТ-263</v>
      </c>
      <c r="N308" s="13">
        <f t="shared" si="195"/>
        <v>2</v>
      </c>
      <c r="O308" s="13" t="str">
        <f>IFERROR(VLOOKUP(J308,Справочники!$G$6:$H$8,2,0),"RUB")</f>
        <v>RUB</v>
      </c>
      <c r="P308" s="14">
        <f>ROUND(K308*IFERROR(VLOOKUP(J308,Справочники!$G$6:$I$8,3,0),1),2)</f>
        <v>8000</v>
      </c>
      <c r="Q308" s="13" t="str">
        <f>IFERROR(VLOOKUP(H308,Справочники!$D$6:$E$14,2,0),"НЕИЗВЕСТНО")</f>
        <v>Завершен</v>
      </c>
      <c r="R308" s="20">
        <f>IFERROR(INDEX(Товары_очищенные!$Q$3:$Q$503,MATCH(M308,Товары_очищенные!$L$3:$L$503,0)),"нет в каталоге")</f>
        <v>11000</v>
      </c>
      <c r="S308" s="21" t="str">
        <f>IFERROR(INDEX(Товары_очищенные!$N$3:$N$503,MATCH(M308,Товары_очищенные!$L$3:$L$503,0)),"нет в каталоге")</f>
        <v>Наушники</v>
      </c>
      <c r="T308" s="21" t="str">
        <f t="shared" si="196"/>
        <v>OK</v>
      </c>
      <c r="U308" s="12" t="str">
        <f t="shared" si="197"/>
        <v>16/06/2025|АРТ-263|C0306</v>
      </c>
      <c r="V308" s="12" t="str">
        <f t="shared" si="198"/>
        <v>оригинал</v>
      </c>
    </row>
    <row r="309" ht="15" customHeight="1">
      <c r="A309" s="10">
        <v>307</v>
      </c>
      <c r="B309" s="11" t="str">
        <f>RAW_Продажи!A308</f>
        <v>06/17/2025</v>
      </c>
      <c r="C309" s="11" t="str">
        <f>RAW_Продажи!B308</f>
        <v>№АРТ-101</v>
      </c>
      <c r="D309" s="11" t="str">
        <f>RAW_Продажи!C308</f>
        <v>1</v>
      </c>
      <c r="E309" s="11" t="str">
        <f>RAW_Продажи!D308</f>
        <v>$95</v>
      </c>
      <c r="F309" s="11" t="str">
        <f>RAW_Продажи!E308</f>
        <v>C0307</v>
      </c>
      <c r="G309" s="11" t="str">
        <f>RAW_Продажи!F308</f>
        <v>P019</v>
      </c>
      <c r="H309" s="11" t="str">
        <f>RAW_Продажи!G308</f>
        <v>canceled</v>
      </c>
      <c r="I309" s="12" t="str">
        <f t="shared" si="190"/>
        <v>101</v>
      </c>
      <c r="J309" s="12" t="str">
        <f t="shared" si="191"/>
        <v>$</v>
      </c>
      <c r="K309" s="12">
        <f t="shared" si="192"/>
        <v>95</v>
      </c>
      <c r="L309" s="19">
        <f t="shared" si="193"/>
        <v>45825</v>
      </c>
      <c r="M309" s="13" t="str">
        <f t="shared" si="194"/>
        <v>АРТ-101</v>
      </c>
      <c r="N309" s="13">
        <f t="shared" si="195"/>
        <v>1</v>
      </c>
      <c r="O309" s="13" t="str">
        <f>IFERROR(VLOOKUP(J309,Справочники!$G$6:$H$8,2,0),"RUB")</f>
        <v>USD</v>
      </c>
      <c r="P309" s="14">
        <f>ROUND(K309*IFERROR(VLOOKUP(J309,Справочники!$G$6:$I$8,3,0),1),2)</f>
        <v>9025</v>
      </c>
      <c r="Q309" s="13" t="str">
        <f>IFERROR(VLOOKUP(H309,Справочники!$D$6:$E$14,2,0),"НЕИЗВЕСТНО")</f>
        <v>Отменен</v>
      </c>
      <c r="R309" s="20">
        <f>IFERROR(INDEX(Товары_очищенные!$Q$3:$Q$503,MATCH(M309,Товары_очищенные!$L$3:$L$503,0)),"нет в каталоге")</f>
        <v>55500</v>
      </c>
      <c r="S309" s="21" t="str">
        <f>IFERROR(INDEX(Товары_очищенные!$N$3:$N$503,MATCH(M309,Товары_очищенные!$L$3:$L$503,0)),"нет в каталоге")</f>
        <v>Планшеты</v>
      </c>
      <c r="T309" s="21" t="str">
        <f t="shared" si="196"/>
        <v>OK</v>
      </c>
      <c r="U309" s="12" t="str">
        <f t="shared" si="197"/>
        <v>17/06/2025|АРТ-101|C0307</v>
      </c>
      <c r="V309" s="12" t="str">
        <f t="shared" si="198"/>
        <v>оригинал</v>
      </c>
    </row>
    <row r="310" ht="15" customHeight="1">
      <c r="A310" s="10">
        <v>308</v>
      </c>
      <c r="B310" s="11" t="str">
        <f>RAW_Продажи!A309</f>
        <v>06/17/2025</v>
      </c>
      <c r="C310" s="11" t="str">
        <f>RAW_Продажи!B309</f>
        <v>АРТ_457</v>
      </c>
      <c r="D310" s="11" t="str">
        <f>RAW_Продажи!C309</f>
        <v>2</v>
      </c>
      <c r="E310" s="11" t="str">
        <f>RAW_Продажи!D309</f>
        <v>€75</v>
      </c>
      <c r="F310" s="11" t="str">
        <f>RAW_Продажи!E309</f>
        <v>C0308</v>
      </c>
      <c r="G310" s="11" t="str">
        <f>RAW_Продажи!F309</f>
        <v>P042</v>
      </c>
      <c r="H310" s="11" t="str">
        <f>RAW_Продажи!G309</f>
        <v>отменен</v>
      </c>
      <c r="I310" s="12" t="str">
        <f t="shared" si="190"/>
        <v>457</v>
      </c>
      <c r="J310" s="12" t="str">
        <f t="shared" si="191"/>
        <v>€</v>
      </c>
      <c r="K310" s="12">
        <f t="shared" si="192"/>
        <v>75</v>
      </c>
      <c r="L310" s="19">
        <f t="shared" si="193"/>
        <v>45825</v>
      </c>
      <c r="M310" s="13" t="str">
        <f t="shared" si="194"/>
        <v>АРТ-457</v>
      </c>
      <c r="N310" s="13">
        <f t="shared" si="195"/>
        <v>2</v>
      </c>
      <c r="O310" s="13" t="str">
        <f>IFERROR(VLOOKUP(J310,Справочники!$G$6:$H$8,2,0),"RUB")</f>
        <v>EUR</v>
      </c>
      <c r="P310" s="14">
        <f>ROUND(K310*IFERROR(VLOOKUP(J310,Справочники!$G$6:$I$8,3,0),1),2)</f>
        <v>7500</v>
      </c>
      <c r="Q310" s="13" t="str">
        <f>IFERROR(VLOOKUP(H310,Справочники!$D$6:$E$14,2,0),"НЕИЗВЕСТНО")</f>
        <v>Отменен</v>
      </c>
      <c r="R310" s="20">
        <f>IFERROR(INDEX(Товары_очищенные!$Q$3:$Q$503,MATCH(M310,Товары_очищенные!$L$3:$L$503,0)),"нет в каталоге")</f>
        <v>6990</v>
      </c>
      <c r="S310" s="21" t="str">
        <f>IFERROR(INDEX(Товары_очищенные!$N$3:$N$503,MATCH(M310,Товары_очищенные!$L$3:$L$503,0)),"нет в каталоге")</f>
        <v>Аксессуары</v>
      </c>
      <c r="T310" s="21" t="str">
        <f t="shared" si="196"/>
        <v>OK</v>
      </c>
      <c r="U310" s="12" t="str">
        <f t="shared" si="197"/>
        <v>17/06/2025|АРТ-457|C0308</v>
      </c>
      <c r="V310" s="12" t="str">
        <f t="shared" si="198"/>
        <v>оригинал</v>
      </c>
    </row>
    <row r="311" ht="15" customHeight="1">
      <c r="A311" s="10">
        <v>309</v>
      </c>
      <c r="B311" s="11" t="str">
        <f>RAW_Продажи!A310</f>
        <v>06/18/2025</v>
      </c>
      <c r="C311" s="11" t="str">
        <f>RAW_Продажи!B310</f>
        <v>380/24</v>
      </c>
      <c r="D311" s="11" t="str">
        <f>RAW_Продажи!C310</f>
        <v xml:space="preserve">3 шт.</v>
      </c>
      <c r="E311" s="11" t="str">
        <f>RAW_Продажи!D310</f>
        <v xml:space="preserve">7000 ₽</v>
      </c>
      <c r="F311" s="11" t="str">
        <f>RAW_Продажи!E310</f>
        <v>C0309</v>
      </c>
      <c r="G311" s="11" t="str">
        <f>RAW_Продажи!F310</f>
        <v>P005</v>
      </c>
      <c r="H311" s="11" t="str">
        <f>RAW_Продажи!G310</f>
        <v>возврат</v>
      </c>
      <c r="I311" s="12" t="str">
        <f t="shared" si="190"/>
        <v>380/24</v>
      </c>
      <c r="J311" s="12" t="str">
        <f t="shared" si="191"/>
        <v>₽</v>
      </c>
      <c r="K311" s="12">
        <f t="shared" si="192"/>
        <v>7000</v>
      </c>
      <c r="L311" s="19">
        <f t="shared" si="193"/>
        <v>45826</v>
      </c>
      <c r="M311" s="13" t="str">
        <f t="shared" si="194"/>
        <v>АРТ-380</v>
      </c>
      <c r="N311" s="13">
        <f t="shared" si="195"/>
        <v>3</v>
      </c>
      <c r="O311" s="13" t="str">
        <f>IFERROR(VLOOKUP(J311,Справочники!$G$6:$H$8,2,0),"RUB")</f>
        <v>RUB</v>
      </c>
      <c r="P311" s="14">
        <f>ROUND(K311*IFERROR(VLOOKUP(J311,Справочники!$G$6:$I$8,3,0),1),2)</f>
        <v>7000</v>
      </c>
      <c r="Q311" s="13" t="str">
        <f>IFERROR(VLOOKUP(H311,Справочники!$D$6:$E$14,2,0),"НЕИЗВЕСТНО")</f>
        <v>Возврат</v>
      </c>
      <c r="R311" s="20">
        <f>IFERROR(INDEX(Товары_очищенные!$Q$3:$Q$503,MATCH(M311,Товары_очищенные!$L$3:$L$503,0)),"нет в каталоге")</f>
        <v>35500</v>
      </c>
      <c r="S311" s="21" t="str">
        <f>IFERROR(INDEX(Товары_очищенные!$N$3:$N$503,MATCH(M311,Товары_очищенные!$L$3:$L$503,0)),"нет в каталоге")</f>
        <v>Планшеты</v>
      </c>
      <c r="T311" s="21" t="str">
        <f t="shared" si="196"/>
        <v>OK</v>
      </c>
      <c r="U311" s="12" t="str">
        <f t="shared" si="197"/>
        <v>18/06/2025|АРТ-380|C0309</v>
      </c>
      <c r="V311" s="12" t="str">
        <f t="shared" si="198"/>
        <v>оригинал</v>
      </c>
    </row>
    <row r="312" ht="15" customHeight="1">
      <c r="A312" s="10">
        <v>310</v>
      </c>
      <c r="B312" s="11" t="str">
        <f>RAW_Продажи!A311</f>
        <v>06/18/2025</v>
      </c>
      <c r="C312" s="11" t="str">
        <f>RAW_Продажи!B311</f>
        <v>№АРТ-234</v>
      </c>
      <c r="D312" s="11" t="str">
        <f>RAW_Продажи!C311</f>
        <v>-2</v>
      </c>
      <c r="E312" s="11" t="str">
        <f>RAW_Продажи!D311</f>
        <v>$115</v>
      </c>
      <c r="F312" s="11" t="str">
        <f>RAW_Продажи!E311</f>
        <v>C0310</v>
      </c>
      <c r="G312" s="11" t="str">
        <f>RAW_Продажи!F311</f>
        <v>P036</v>
      </c>
      <c r="H312" s="11" t="str">
        <f>RAW_Продажи!G311</f>
        <v>Завершен</v>
      </c>
      <c r="I312" s="12" t="str">
        <f t="shared" si="190"/>
        <v>234</v>
      </c>
      <c r="J312" s="12" t="str">
        <f t="shared" si="191"/>
        <v>$</v>
      </c>
      <c r="K312" s="12">
        <f t="shared" si="192"/>
        <v>115</v>
      </c>
      <c r="L312" s="19">
        <f t="shared" si="193"/>
        <v>45826</v>
      </c>
      <c r="M312" s="13" t="str">
        <f t="shared" si="194"/>
        <v>АРТ-234</v>
      </c>
      <c r="N312" s="13">
        <f t="shared" si="195"/>
        <v>-2</v>
      </c>
      <c r="O312" s="13" t="str">
        <f>IFERROR(VLOOKUP(J312,Справочники!$G$6:$H$8,2,0),"RUB")</f>
        <v>USD</v>
      </c>
      <c r="P312" s="14">
        <f>ROUND(K312*IFERROR(VLOOKUP(J312,Справочники!$G$6:$I$8,3,0),1),2)</f>
        <v>10925</v>
      </c>
      <c r="Q312" s="13" t="str">
        <f>IFERROR(VLOOKUP(H312,Справочники!$D$6:$E$14,2,0),"НЕИЗВЕСТНО")</f>
        <v>Завершен</v>
      </c>
      <c r="R312" s="20">
        <f>IFERROR(INDEX(Товары_очищенные!$Q$3:$Q$503,MATCH(M312,Товары_очищенные!$L$3:$L$503,0)),"нет в каталоге")</f>
        <v>44500</v>
      </c>
      <c r="S312" s="21" t="str">
        <f>IFERROR(INDEX(Товары_очищенные!$N$3:$N$503,MATCH(M312,Товары_очищенные!$L$3:$L$503,0)),"нет в каталоге")</f>
        <v>Смартфоны</v>
      </c>
      <c r="T312" s="21" t="str">
        <f t="shared" si="196"/>
        <v>OK</v>
      </c>
      <c r="U312" s="12" t="str">
        <f t="shared" si="197"/>
        <v>18/06/2025|АРТ-234|C0310</v>
      </c>
      <c r="V312" s="12" t="str">
        <f t="shared" si="198"/>
        <v>оригинал</v>
      </c>
    </row>
    <row r="313" ht="15" customHeight="1">
      <c r="A313" s="10">
        <v>311</v>
      </c>
      <c r="B313" s="11" t="str">
        <f>RAW_Продажи!A312</f>
        <v>06/19/2025</v>
      </c>
      <c r="C313" s="11" t="str">
        <f>RAW_Продажи!B312</f>
        <v>АРТ_306</v>
      </c>
      <c r="D313" s="11" t="str">
        <f>RAW_Продажи!C312</f>
        <v>1</v>
      </c>
      <c r="E313" s="11" t="str">
        <f>RAW_Продажи!D312</f>
        <v>€95</v>
      </c>
      <c r="F313" s="11" t="str">
        <f>RAW_Продажи!E312</f>
        <v>C0311</v>
      </c>
      <c r="G313" s="11" t="str">
        <f>RAW_Продажи!F312</f>
        <v>P014</v>
      </c>
      <c r="H313" s="11" t="str">
        <f>RAW_Продажи!G312</f>
        <v>завершен</v>
      </c>
      <c r="I313" s="12" t="str">
        <f t="shared" si="190"/>
        <v>306</v>
      </c>
      <c r="J313" s="12" t="str">
        <f t="shared" si="191"/>
        <v>€</v>
      </c>
      <c r="K313" s="12">
        <f t="shared" si="192"/>
        <v>95</v>
      </c>
      <c r="L313" s="19">
        <f t="shared" si="193"/>
        <v>45827</v>
      </c>
      <c r="M313" s="13" t="str">
        <f t="shared" si="194"/>
        <v>АРТ-306</v>
      </c>
      <c r="N313" s="13">
        <f t="shared" si="195"/>
        <v>1</v>
      </c>
      <c r="O313" s="13" t="str">
        <f>IFERROR(VLOOKUP(J313,Справочники!$G$6:$H$8,2,0),"RUB")</f>
        <v>EUR</v>
      </c>
      <c r="P313" s="14">
        <f>ROUND(K313*IFERROR(VLOOKUP(J313,Справочники!$G$6:$I$8,3,0),1),2)</f>
        <v>9500</v>
      </c>
      <c r="Q313" s="13" t="str">
        <f>IFERROR(VLOOKUP(H313,Справочники!$D$6:$E$14,2,0),"НЕИЗВЕСТНО")</f>
        <v>Завершен</v>
      </c>
      <c r="R313" s="20">
        <f>IFERROR(INDEX(Товары_очищенные!$Q$3:$Q$503,MATCH(M313,Товары_очищенные!$L$3:$L$503,0)),"нет в каталоге")</f>
        <v>62000</v>
      </c>
      <c r="S313" s="21" t="str">
        <f>IFERROR(INDEX(Товары_очищенные!$N$3:$N$503,MATCH(M313,Товары_очищенные!$L$3:$L$503,0)),"нет в каталоге")</f>
        <v>Мониторы</v>
      </c>
      <c r="T313" s="21" t="str">
        <f t="shared" si="196"/>
        <v>OK</v>
      </c>
      <c r="U313" s="12" t="str">
        <f t="shared" si="197"/>
        <v>19/06/2025|АРТ-306|C0311</v>
      </c>
      <c r="V313" s="12" t="str">
        <f t="shared" si="198"/>
        <v>оригинал</v>
      </c>
    </row>
    <row r="314" ht="15" customHeight="1">
      <c r="A314" s="10">
        <v>312</v>
      </c>
      <c r="B314" s="11" t="str">
        <f>RAW_Продажи!A313</f>
        <v>06/19/2025</v>
      </c>
      <c r="C314" s="11" t="str">
        <f>RAW_Продажи!B313</f>
        <v>158-24</v>
      </c>
      <c r="D314" s="11" t="str">
        <f>RAW_Продажи!C313</f>
        <v>2</v>
      </c>
      <c r="E314" s="11" t="str">
        <f>RAW_Продажи!D313</f>
        <v xml:space="preserve">8500 ₽</v>
      </c>
      <c r="F314" s="11" t="str">
        <f>RAW_Продажи!E313</f>
        <v>C0312</v>
      </c>
      <c r="G314" s="11" t="str">
        <f>RAW_Продажи!F313</f>
        <v>P028</v>
      </c>
      <c r="H314" s="11" t="str">
        <f>RAW_Продажи!G313</f>
        <v>completed</v>
      </c>
      <c r="I314" s="12" t="str">
        <f t="shared" si="190"/>
        <v>158-24</v>
      </c>
      <c r="J314" s="12" t="str">
        <f t="shared" si="191"/>
        <v>₽</v>
      </c>
      <c r="K314" s="12">
        <f t="shared" si="192"/>
        <v>8500</v>
      </c>
      <c r="L314" s="19">
        <f t="shared" si="193"/>
        <v>45827</v>
      </c>
      <c r="M314" s="13" t="str">
        <f t="shared" si="194"/>
        <v>АРТ-158</v>
      </c>
      <c r="N314" s="13">
        <f t="shared" si="195"/>
        <v>2</v>
      </c>
      <c r="O314" s="13" t="str">
        <f>IFERROR(VLOOKUP(J314,Справочники!$G$6:$H$8,2,0),"RUB")</f>
        <v>RUB</v>
      </c>
      <c r="P314" s="14">
        <f>ROUND(K314*IFERROR(VLOOKUP(J314,Справочники!$G$6:$I$8,3,0),1),2)</f>
        <v>8500</v>
      </c>
      <c r="Q314" s="13" t="str">
        <f>IFERROR(VLOOKUP(H314,Справочники!$D$6:$E$14,2,0),"НЕИЗВЕСТНО")</f>
        <v>Завершен</v>
      </c>
      <c r="R314" s="20">
        <f>IFERROR(INDEX(Товары_очищенные!$Q$3:$Q$503,MATCH(M314,Товары_очищенные!$L$3:$L$503,0)),"нет в каталоге")</f>
        <v>90000</v>
      </c>
      <c r="S314" s="21" t="str">
        <f>IFERROR(INDEX(Товары_очищенные!$N$3:$N$503,MATCH(M314,Товары_очищенные!$L$3:$L$503,0)),"нет в каталоге")</f>
        <v>Мониторы</v>
      </c>
      <c r="T314" s="21" t="str">
        <f t="shared" si="196"/>
        <v>OK</v>
      </c>
      <c r="U314" s="12" t="str">
        <f t="shared" si="197"/>
        <v>19/06/2025|АРТ-158|C0312</v>
      </c>
      <c r="V314" s="12" t="str">
        <f t="shared" si="198"/>
        <v>оригинал</v>
      </c>
    </row>
    <row r="315" ht="15" customHeight="1">
      <c r="A315" s="10">
        <v>313</v>
      </c>
      <c r="B315" s="11" t="str">
        <f>RAW_Продажи!A314</f>
        <v>06/20/2025</v>
      </c>
      <c r="C315" s="11" t="str">
        <f>RAW_Продажи!B314</f>
        <v>№АРТ-074</v>
      </c>
      <c r="D315" s="11" t="str">
        <f>RAW_Продажи!C314</f>
        <v>3</v>
      </c>
      <c r="E315" s="11" t="str">
        <f>RAW_Продажи!D314</f>
        <v>$105</v>
      </c>
      <c r="F315" s="11" t="str">
        <f>RAW_Продажи!E314</f>
        <v>C0313</v>
      </c>
      <c r="G315" s="11" t="str">
        <f>RAW_Продажи!F314</f>
        <v>P009</v>
      </c>
      <c r="H315" s="11" t="str">
        <f>RAW_Продажи!G314</f>
        <v>отменен</v>
      </c>
      <c r="I315" s="12" t="str">
        <f t="shared" si="190"/>
        <v>074</v>
      </c>
      <c r="J315" s="12" t="str">
        <f t="shared" si="191"/>
        <v>$</v>
      </c>
      <c r="K315" s="12">
        <f t="shared" si="192"/>
        <v>105</v>
      </c>
      <c r="L315" s="19">
        <f t="shared" si="193"/>
        <v>45828</v>
      </c>
      <c r="M315" s="13" t="str">
        <f t="shared" si="194"/>
        <v>АРТ-074</v>
      </c>
      <c r="N315" s="13">
        <f t="shared" si="195"/>
        <v>3</v>
      </c>
      <c r="O315" s="13" t="str">
        <f>IFERROR(VLOOKUP(J315,Справочники!$G$6:$H$8,2,0),"RUB")</f>
        <v>USD</v>
      </c>
      <c r="P315" s="14">
        <f>ROUND(K315*IFERROR(VLOOKUP(J315,Справочники!$G$6:$I$8,3,0),1),2)</f>
        <v>9975</v>
      </c>
      <c r="Q315" s="13" t="str">
        <f>IFERROR(VLOOKUP(H315,Справочники!$D$6:$E$14,2,0),"НЕИЗВЕСТНО")</f>
        <v>Отменен</v>
      </c>
      <c r="R315" s="20">
        <f>IFERROR(INDEX(Товары_очищенные!$Q$3:$Q$503,MATCH(M315,Товары_очищенные!$L$3:$L$503,0)),"нет в каталоге")</f>
        <v>77500</v>
      </c>
      <c r="S315" s="21" t="str">
        <f>IFERROR(INDEX(Товары_очищенные!$N$3:$N$503,MATCH(M315,Товары_очищенные!$L$3:$L$503,0)),"нет в каталоге")</f>
        <v>Мониторы</v>
      </c>
      <c r="T315" s="21" t="str">
        <f t="shared" si="196"/>
        <v>OK</v>
      </c>
      <c r="U315" s="12" t="str">
        <f t="shared" si="197"/>
        <v>20/06/2025|АРТ-074|C0313</v>
      </c>
      <c r="V315" s="12" t="str">
        <f t="shared" si="198"/>
        <v>оригинал</v>
      </c>
    </row>
    <row r="316" ht="15" customHeight="1">
      <c r="A316" s="10">
        <v>314</v>
      </c>
      <c r="B316" s="11" t="str">
        <f>RAW_Продажи!A315</f>
        <v>06/20/2025</v>
      </c>
      <c r="C316" s="11" t="str">
        <f>RAW_Продажи!B315</f>
        <v>АРТ_446</v>
      </c>
      <c r="D316" s="11" t="str">
        <f>RAW_Продажи!C315</f>
        <v>2</v>
      </c>
      <c r="E316" s="11" t="str">
        <f>RAW_Продажи!D315</f>
        <v>€85</v>
      </c>
      <c r="F316" s="11" t="str">
        <f>RAW_Продажи!E315</f>
        <v>C0314</v>
      </c>
      <c r="G316" s="11" t="str">
        <f>RAW_Продажи!F315</f>
        <v>P041</v>
      </c>
      <c r="H316" s="11" t="str">
        <f>RAW_Продажи!G315</f>
        <v>canceled</v>
      </c>
      <c r="I316" s="12" t="str">
        <f t="shared" si="190"/>
        <v>446</v>
      </c>
      <c r="J316" s="12" t="str">
        <f t="shared" si="191"/>
        <v>€</v>
      </c>
      <c r="K316" s="12">
        <f t="shared" si="192"/>
        <v>85</v>
      </c>
      <c r="L316" s="19">
        <f t="shared" si="193"/>
        <v>45828</v>
      </c>
      <c r="M316" s="13" t="str">
        <f t="shared" si="194"/>
        <v>АРТ-446</v>
      </c>
      <c r="N316" s="13">
        <f t="shared" si="195"/>
        <v>2</v>
      </c>
      <c r="O316" s="13" t="str">
        <f>IFERROR(VLOOKUP(J316,Справочники!$G$6:$H$8,2,0),"RUB")</f>
        <v>EUR</v>
      </c>
      <c r="P316" s="14">
        <f>ROUND(K316*IFERROR(VLOOKUP(J316,Справочники!$G$6:$I$8,3,0),1),2)</f>
        <v>8500</v>
      </c>
      <c r="Q316" s="13" t="str">
        <f>IFERROR(VLOOKUP(H316,Справочники!$D$6:$E$14,2,0),"НЕИЗВЕСТНО")</f>
        <v>Отменен</v>
      </c>
      <c r="R316" s="20">
        <f>IFERROR(INDEX(Товары_очищенные!$Q$3:$Q$503,MATCH(M316,Товары_очищенные!$L$3:$L$503,0)),"нет в каталоге")</f>
        <v>139000</v>
      </c>
      <c r="S316" s="21" t="str">
        <f>IFERROR(INDEX(Товары_очищенные!$N$3:$N$503,MATCH(M316,Товары_очищенные!$L$3:$L$503,0)),"нет в каталоге")</f>
        <v>Ноутбуки</v>
      </c>
      <c r="T316" s="21" t="str">
        <f t="shared" si="196"/>
        <v>OK</v>
      </c>
      <c r="U316" s="12" t="str">
        <f t="shared" si="197"/>
        <v>20/06/2025|АРТ-446|C0314</v>
      </c>
      <c r="V316" s="12" t="str">
        <f t="shared" si="198"/>
        <v>оригинал</v>
      </c>
    </row>
    <row r="317" ht="15" customHeight="1">
      <c r="A317" s="10">
        <v>315</v>
      </c>
      <c r="B317" s="11" t="str">
        <f>RAW_Продажи!A316</f>
        <v>06/21/2025</v>
      </c>
      <c r="C317" s="11" t="str">
        <f>RAW_Продажи!B316</f>
        <v>293/24</v>
      </c>
      <c r="D317" s="11" t="str">
        <f>RAW_Продажи!C316</f>
        <v xml:space="preserve">1 шт.</v>
      </c>
      <c r="E317" s="11" t="str">
        <f>RAW_Продажи!D316</f>
        <v xml:space="preserve">7800 ₽</v>
      </c>
      <c r="F317" s="11" t="str">
        <f>RAW_Продажи!E316</f>
        <v>C0315</v>
      </c>
      <c r="G317" s="11" t="str">
        <f>RAW_Продажи!F316</f>
        <v>P017</v>
      </c>
      <c r="H317" s="11" t="str">
        <f>RAW_Продажи!G316</f>
        <v>Завершен</v>
      </c>
      <c r="I317" s="12" t="str">
        <f t="shared" si="190"/>
        <v>293/24</v>
      </c>
      <c r="J317" s="12" t="str">
        <f t="shared" si="191"/>
        <v>₽</v>
      </c>
      <c r="K317" s="12">
        <f t="shared" si="192"/>
        <v>7800</v>
      </c>
      <c r="L317" s="19">
        <f t="shared" si="193"/>
        <v>45829</v>
      </c>
      <c r="M317" s="13" t="str">
        <f t="shared" si="194"/>
        <v>АРТ-293</v>
      </c>
      <c r="N317" s="13">
        <f t="shared" si="195"/>
        <v>1</v>
      </c>
      <c r="O317" s="13" t="str">
        <f>IFERROR(VLOOKUP(J317,Справочники!$G$6:$H$8,2,0),"RUB")</f>
        <v>RUB</v>
      </c>
      <c r="P317" s="14">
        <f>ROUND(K317*IFERROR(VLOOKUP(J317,Справочники!$G$6:$I$8,3,0),1),2)</f>
        <v>7800</v>
      </c>
      <c r="Q317" s="13" t="str">
        <f>IFERROR(VLOOKUP(H317,Справочники!$D$6:$E$14,2,0),"НЕИЗВЕСТНО")</f>
        <v>Завершен</v>
      </c>
      <c r="R317" s="20">
        <f>IFERROR(INDEX(Товары_очищенные!$Q$3:$Q$503,MATCH(M317,Товары_очищенные!$L$3:$L$503,0)),"нет в каталоге")</f>
        <v>132000</v>
      </c>
      <c r="S317" s="21" t="str">
        <f>IFERROR(INDEX(Товары_очищенные!$N$3:$N$503,MATCH(M317,Товары_очищенные!$L$3:$L$503,0)),"нет в каталоге")</f>
        <v>Ноутбуки</v>
      </c>
      <c r="T317" s="21" t="str">
        <f t="shared" si="196"/>
        <v>OK</v>
      </c>
      <c r="U317" s="12" t="str">
        <f t="shared" si="197"/>
        <v>21/06/2025|АРТ-293|C0315</v>
      </c>
      <c r="V317" s="12" t="str">
        <f t="shared" si="198"/>
        <v>оригинал</v>
      </c>
    </row>
    <row r="318" ht="15" customHeight="1">
      <c r="A318" s="10">
        <v>316</v>
      </c>
      <c r="B318" s="11" t="str">
        <f>RAW_Продажи!A317</f>
        <v>06/21/2025</v>
      </c>
      <c r="C318" s="11" t="str">
        <f>RAW_Продажи!B317</f>
        <v>№АРТ-416</v>
      </c>
      <c r="D318" s="11" t="str">
        <f>RAW_Продажи!C317</f>
        <v>-3</v>
      </c>
      <c r="E318" s="11" t="str">
        <f>RAW_Продажи!D317</f>
        <v>$120</v>
      </c>
      <c r="F318" s="11" t="str">
        <f>RAW_Продажи!E317</f>
        <v>C0316</v>
      </c>
      <c r="G318" s="11" t="str">
        <f>RAW_Продажи!F317</f>
        <v>P032</v>
      </c>
      <c r="H318" s="11" t="str">
        <f>RAW_Продажи!G317</f>
        <v>возврат</v>
      </c>
      <c r="I318" s="12" t="str">
        <f t="shared" si="190"/>
        <v>416</v>
      </c>
      <c r="J318" s="12" t="str">
        <f t="shared" si="191"/>
        <v>$</v>
      </c>
      <c r="K318" s="12">
        <f t="shared" si="192"/>
        <v>120</v>
      </c>
      <c r="L318" s="19">
        <f t="shared" si="193"/>
        <v>45829</v>
      </c>
      <c r="M318" s="13" t="str">
        <f t="shared" si="194"/>
        <v>АРТ-416</v>
      </c>
      <c r="N318" s="13">
        <f t="shared" si="195"/>
        <v>-3</v>
      </c>
      <c r="O318" s="13" t="str">
        <f>IFERROR(VLOOKUP(J318,Справочники!$G$6:$H$8,2,0),"RUB")</f>
        <v>USD</v>
      </c>
      <c r="P318" s="14">
        <f>ROUND(K318*IFERROR(VLOOKUP(J318,Справочники!$G$6:$I$8,3,0),1),2)</f>
        <v>11400</v>
      </c>
      <c r="Q318" s="13" t="str">
        <f>IFERROR(VLOOKUP(H318,Справочники!$D$6:$E$14,2,0),"НЕИЗВЕСТНО")</f>
        <v>Возврат</v>
      </c>
      <c r="R318" s="20">
        <f>IFERROR(INDEX(Товары_очищенные!$Q$3:$Q$503,MATCH(M318,Товары_очищенные!$L$3:$L$503,0)),"нет в каталоге")</f>
        <v>14000</v>
      </c>
      <c r="S318" s="21" t="str">
        <f>IFERROR(INDEX(Товары_очищенные!$N$3:$N$503,MATCH(M318,Товары_очищенные!$L$3:$L$503,0)),"нет в каталоге")</f>
        <v>Аксессуары</v>
      </c>
      <c r="T318" s="21" t="str">
        <f t="shared" si="196"/>
        <v>OK</v>
      </c>
      <c r="U318" s="12" t="str">
        <f t="shared" si="197"/>
        <v>21/06/2025|АРТ-416|C0316</v>
      </c>
      <c r="V318" s="12" t="str">
        <f t="shared" si="198"/>
        <v>оригинал</v>
      </c>
    </row>
    <row r="319" ht="15" customHeight="1">
      <c r="A319" s="10">
        <v>317</v>
      </c>
      <c r="B319" s="11" t="str">
        <f>RAW_Продажи!A318</f>
        <v>06/22/2025</v>
      </c>
      <c r="C319" s="11" t="str">
        <f>RAW_Продажи!B318</f>
        <v>АРТ_302</v>
      </c>
      <c r="D319" s="11" t="str">
        <f>RAW_Продажи!C318</f>
        <v>2</v>
      </c>
      <c r="E319" s="11" t="str">
        <f>RAW_Продажи!D318</f>
        <v>€100</v>
      </c>
      <c r="F319" s="11" t="str">
        <f>RAW_Продажи!E318</f>
        <v>C0317</v>
      </c>
      <c r="G319" s="11" t="str">
        <f>RAW_Продажи!F318</f>
        <v>P049</v>
      </c>
      <c r="H319" s="11" t="str">
        <f>RAW_Продажи!G318</f>
        <v>завершен</v>
      </c>
      <c r="I319" s="12" t="str">
        <f t="shared" si="190"/>
        <v>302</v>
      </c>
      <c r="J319" s="12" t="str">
        <f t="shared" si="191"/>
        <v>€</v>
      </c>
      <c r="K319" s="12">
        <f t="shared" si="192"/>
        <v>100</v>
      </c>
      <c r="L319" s="19">
        <f t="shared" si="193"/>
        <v>45830</v>
      </c>
      <c r="M319" s="13" t="str">
        <f t="shared" si="194"/>
        <v>АРТ-302</v>
      </c>
      <c r="N319" s="13">
        <f t="shared" si="195"/>
        <v>2</v>
      </c>
      <c r="O319" s="13" t="str">
        <f>IFERROR(VLOOKUP(J319,Справочники!$G$6:$H$8,2,0),"RUB")</f>
        <v>EUR</v>
      </c>
      <c r="P319" s="14">
        <f>ROUND(K319*IFERROR(VLOOKUP(J319,Справочники!$G$6:$I$8,3,0),1),2)</f>
        <v>10000</v>
      </c>
      <c r="Q319" s="13" t="str">
        <f>IFERROR(VLOOKUP(H319,Справочники!$D$6:$E$14,2,0),"НЕИЗВЕСТНО")</f>
        <v>Завершен</v>
      </c>
      <c r="R319" s="20">
        <f>IFERROR(INDEX(Товары_очищенные!$Q$3:$Q$503,MATCH(M319,Товары_очищенные!$L$3:$L$503,0)),"нет в каталоге")</f>
        <v>7500</v>
      </c>
      <c r="S319" s="21" t="str">
        <f>IFERROR(INDEX(Товары_очищенные!$N$3:$N$503,MATCH(M319,Товары_очищенные!$L$3:$L$503,0)),"нет в каталоге")</f>
        <v>Наушники</v>
      </c>
      <c r="T319" s="21" t="str">
        <f t="shared" si="196"/>
        <v>OK</v>
      </c>
      <c r="U319" s="12" t="str">
        <f t="shared" si="197"/>
        <v>22/06/2025|АРТ-302|C0317</v>
      </c>
      <c r="V319" s="12" t="str">
        <f t="shared" si="198"/>
        <v>оригинал</v>
      </c>
    </row>
    <row r="320" ht="15" customHeight="1">
      <c r="A320" s="10">
        <v>318</v>
      </c>
      <c r="B320" s="11" t="str">
        <f>RAW_Продажи!A319</f>
        <v>06/22/2025</v>
      </c>
      <c r="C320" s="11" t="str">
        <f>RAW_Продажи!B319</f>
        <v>243-24</v>
      </c>
      <c r="D320" s="11" t="str">
        <f>RAW_Продажи!C319</f>
        <v>1</v>
      </c>
      <c r="E320" s="11" t="str">
        <f>RAW_Продажи!D319</f>
        <v xml:space="preserve">9200 ₽</v>
      </c>
      <c r="F320" s="11" t="str">
        <f>RAW_Продажи!E319</f>
        <v>C0318</v>
      </c>
      <c r="G320" s="11" t="str">
        <f>RAW_Продажи!F319</f>
        <v>P006</v>
      </c>
      <c r="H320" s="11" t="str">
        <f>RAW_Продажи!G319</f>
        <v>completed</v>
      </c>
      <c r="I320" s="12" t="str">
        <f t="shared" si="190"/>
        <v>243-24</v>
      </c>
      <c r="J320" s="12" t="str">
        <f t="shared" si="191"/>
        <v>₽</v>
      </c>
      <c r="K320" s="12">
        <f t="shared" si="192"/>
        <v>9200</v>
      </c>
      <c r="L320" s="19">
        <f t="shared" si="193"/>
        <v>45830</v>
      </c>
      <c r="M320" s="13" t="str">
        <f t="shared" si="194"/>
        <v>АРТ-243</v>
      </c>
      <c r="N320" s="13">
        <f t="shared" si="195"/>
        <v>1</v>
      </c>
      <c r="O320" s="13" t="str">
        <f>IFERROR(VLOOKUP(J320,Справочники!$G$6:$H$8,2,0),"RUB")</f>
        <v>RUB</v>
      </c>
      <c r="P320" s="14">
        <f>ROUND(K320*IFERROR(VLOOKUP(J320,Справочники!$G$6:$I$8,3,0),1),2)</f>
        <v>9200</v>
      </c>
      <c r="Q320" s="13" t="str">
        <f>IFERROR(VLOOKUP(H320,Справочники!$D$6:$E$14,2,0),"НЕИЗВЕСТНО")</f>
        <v>Завершен</v>
      </c>
      <c r="R320" s="20">
        <f>IFERROR(INDEX(Товары_очищенные!$Q$3:$Q$503,MATCH(M320,Товары_очищенные!$L$3:$L$503,0)),"нет в каталоге")</f>
        <v>62000</v>
      </c>
      <c r="S320" s="21" t="str">
        <f>IFERROR(INDEX(Товары_очищенные!$N$3:$N$503,MATCH(M320,Товары_очищенные!$L$3:$L$503,0)),"нет в каталоге")</f>
        <v>Наушники</v>
      </c>
      <c r="T320" s="21" t="str">
        <f t="shared" si="196"/>
        <v>OK</v>
      </c>
      <c r="U320" s="12" t="str">
        <f t="shared" si="197"/>
        <v>22/06/2025|АРТ-243|C0318</v>
      </c>
      <c r="V320" s="12" t="str">
        <f t="shared" si="198"/>
        <v>оригинал</v>
      </c>
    </row>
    <row r="321" ht="15" customHeight="1">
      <c r="A321" s="10">
        <v>319</v>
      </c>
      <c r="B321" s="11" t="str">
        <f>RAW_Продажи!A320</f>
        <v>06/23/2025</v>
      </c>
      <c r="C321" s="11" t="str">
        <f>RAW_Продажи!B320</f>
        <v>№АРТ-061</v>
      </c>
      <c r="D321" s="11" t="str">
        <f>RAW_Продажи!C320</f>
        <v>3</v>
      </c>
      <c r="E321" s="11" t="str">
        <f>RAW_Продажи!D320</f>
        <v>$90</v>
      </c>
      <c r="F321" s="11" t="str">
        <f>RAW_Продажи!E320</f>
        <v>C0319</v>
      </c>
      <c r="G321" s="11" t="str">
        <f>RAW_Продажи!F320</f>
        <v>P024</v>
      </c>
      <c r="H321" s="11" t="str">
        <f>RAW_Продажи!G320</f>
        <v>Завершен</v>
      </c>
      <c r="I321" s="12" t="str">
        <f t="shared" si="190"/>
        <v>061</v>
      </c>
      <c r="J321" s="12" t="str">
        <f t="shared" si="191"/>
        <v>$</v>
      </c>
      <c r="K321" s="12">
        <f t="shared" si="192"/>
        <v>90</v>
      </c>
      <c r="L321" s="19">
        <f t="shared" si="193"/>
        <v>45831</v>
      </c>
      <c r="M321" s="13" t="str">
        <f t="shared" si="194"/>
        <v>АРТ-061</v>
      </c>
      <c r="N321" s="13">
        <f t="shared" si="195"/>
        <v>3</v>
      </c>
      <c r="O321" s="13" t="str">
        <f>IFERROR(VLOOKUP(J321,Справочники!$G$6:$H$8,2,0),"RUB")</f>
        <v>USD</v>
      </c>
      <c r="P321" s="14">
        <f>ROUND(K321*IFERROR(VLOOKUP(J321,Справочники!$G$6:$I$8,3,0),1),2)</f>
        <v>8550</v>
      </c>
      <c r="Q321" s="13" t="str">
        <f>IFERROR(VLOOKUP(H321,Справочники!$D$6:$E$14,2,0),"НЕИЗВЕСТНО")</f>
        <v>Завершен</v>
      </c>
      <c r="R321" s="20">
        <f>IFERROR(INDEX(Товары_очищенные!$Q$3:$Q$503,MATCH(M321,Товары_очищенные!$L$3:$L$503,0)),"нет в каталоге")</f>
        <v>124999</v>
      </c>
      <c r="S321" s="21" t="str">
        <f>IFERROR(INDEX(Товары_очищенные!$N$3:$N$503,MATCH(M321,Товары_очищенные!$L$3:$L$503,0)),"нет в каталоге")</f>
        <v>Ноутбуки</v>
      </c>
      <c r="T321" s="21" t="str">
        <f t="shared" si="196"/>
        <v>OK</v>
      </c>
      <c r="U321" s="12" t="str">
        <f t="shared" si="197"/>
        <v>23/06/2025|АРТ-061|C0319</v>
      </c>
      <c r="V321" s="12" t="str">
        <f t="shared" si="198"/>
        <v>оригинал</v>
      </c>
    </row>
    <row r="322" ht="15" customHeight="1">
      <c r="A322" s="10">
        <v>320</v>
      </c>
      <c r="B322" s="11" t="str">
        <f>RAW_Продажи!A321</f>
        <v>06/23/2025</v>
      </c>
      <c r="C322" s="11" t="str">
        <f>RAW_Продажи!B321</f>
        <v>АРТ_424</v>
      </c>
      <c r="D322" s="11" t="str">
        <f>RAW_Продажи!C321</f>
        <v>2</v>
      </c>
      <c r="E322" s="11" t="str">
        <f>RAW_Продажи!D321</f>
        <v>€70</v>
      </c>
      <c r="F322" s="11" t="str">
        <f>RAW_Продажи!E321</f>
        <v>C0320</v>
      </c>
      <c r="G322" s="11" t="str">
        <f>RAW_Продажи!F321</f>
        <v>P015</v>
      </c>
      <c r="H322" s="11" t="str">
        <f>RAW_Продажи!G321</f>
        <v>canceled</v>
      </c>
      <c r="I322" s="12" t="str">
        <f t="shared" si="190"/>
        <v>424</v>
      </c>
      <c r="J322" s="12" t="str">
        <f t="shared" si="191"/>
        <v>€</v>
      </c>
      <c r="K322" s="12">
        <f t="shared" si="192"/>
        <v>70</v>
      </c>
      <c r="L322" s="19">
        <f t="shared" si="193"/>
        <v>45831</v>
      </c>
      <c r="M322" s="13" t="str">
        <f t="shared" si="194"/>
        <v>АРТ-424</v>
      </c>
      <c r="N322" s="13">
        <f t="shared" si="195"/>
        <v>2</v>
      </c>
      <c r="O322" s="13" t="str">
        <f>IFERROR(VLOOKUP(J322,Справочники!$G$6:$H$8,2,0),"RUB")</f>
        <v>EUR</v>
      </c>
      <c r="P322" s="14">
        <f>ROUND(K322*IFERROR(VLOOKUP(J322,Справочники!$G$6:$I$8,3,0),1),2)</f>
        <v>7000</v>
      </c>
      <c r="Q322" s="13" t="str">
        <f>IFERROR(VLOOKUP(H322,Справочники!$D$6:$E$14,2,0),"НЕИЗВЕСТНО")</f>
        <v>Отменен</v>
      </c>
      <c r="R322" s="20">
        <f>IFERROR(INDEX(Товары_очищенные!$Q$3:$Q$503,MATCH(M322,Товары_очищенные!$L$3:$L$503,0)),"нет в каталоге")</f>
        <v>48990</v>
      </c>
      <c r="S322" s="21" t="str">
        <f>IFERROR(INDEX(Товары_очищенные!$N$3:$N$503,MATCH(M322,Товары_очищенные!$L$3:$L$503,0)),"нет в каталоге")</f>
        <v>Смартфоны</v>
      </c>
      <c r="T322" s="21" t="str">
        <f t="shared" si="196"/>
        <v>OK</v>
      </c>
      <c r="U322" s="12" t="str">
        <f t="shared" si="197"/>
        <v>23/06/2025|АРТ-424|C0320</v>
      </c>
      <c r="V322" s="12" t="str">
        <f t="shared" si="198"/>
        <v>оригинал</v>
      </c>
    </row>
    <row r="323" ht="15" customHeight="1">
      <c r="A323" s="10">
        <v>321</v>
      </c>
      <c r="B323" s="11" t="str">
        <f>RAW_Продажи!A322</f>
        <v>06/24/2025</v>
      </c>
      <c r="C323" s="11" t="str">
        <f>RAW_Продажи!B322</f>
        <v>347/24</v>
      </c>
      <c r="D323" s="11" t="str">
        <f>RAW_Продажи!C322</f>
        <v xml:space="preserve">1 шт.</v>
      </c>
      <c r="E323" s="11" t="str">
        <f>RAW_Продажи!D322</f>
        <v xml:space="preserve">6500 ₽</v>
      </c>
      <c r="F323" s="11" t="str">
        <f>RAW_Продажи!E322</f>
        <v>C0321</v>
      </c>
      <c r="G323" s="11" t="str">
        <f>RAW_Продажи!F322</f>
        <v>P037</v>
      </c>
      <c r="H323" s="11" t="str">
        <f>RAW_Продажи!G322</f>
        <v>отменен</v>
      </c>
      <c r="I323" s="12" t="str">
        <f t="shared" si="190"/>
        <v>347/24</v>
      </c>
      <c r="J323" s="12" t="str">
        <f t="shared" si="191"/>
        <v>₽</v>
      </c>
      <c r="K323" s="12">
        <f t="shared" si="192"/>
        <v>6500</v>
      </c>
      <c r="L323" s="19">
        <f t="shared" si="193"/>
        <v>45832</v>
      </c>
      <c r="M323" s="13" t="str">
        <f t="shared" si="194"/>
        <v>АРТ-347</v>
      </c>
      <c r="N323" s="13">
        <f t="shared" si="195"/>
        <v>1</v>
      </c>
      <c r="O323" s="13" t="str">
        <f>IFERROR(VLOOKUP(J323,Справочники!$G$6:$H$8,2,0),"RUB")</f>
        <v>RUB</v>
      </c>
      <c r="P323" s="14">
        <f>ROUND(K323*IFERROR(VLOOKUP(J323,Справочники!$G$6:$I$8,3,0),1),2)</f>
        <v>6500</v>
      </c>
      <c r="Q323" s="13" t="str">
        <f>IFERROR(VLOOKUP(H323,Справочники!$D$6:$E$14,2,0),"НЕИЗВЕСТНО")</f>
        <v>Отменен</v>
      </c>
      <c r="R323" s="20">
        <f>IFERROR(INDEX(Товары_очищенные!$Q$3:$Q$503,MATCH(M323,Товары_очищенные!$L$3:$L$503,0)),"нет в каталоге")</f>
        <v>19000</v>
      </c>
      <c r="S323" s="21" t="str">
        <f>IFERROR(INDEX(Товары_очищенные!$N$3:$N$503,MATCH(M323,Товары_очищенные!$L$3:$L$503,0)),"нет в каталоге")</f>
        <v>Наушники</v>
      </c>
      <c r="T323" s="21" t="str">
        <f t="shared" si="196"/>
        <v>OK</v>
      </c>
      <c r="U323" s="12" t="str">
        <f t="shared" si="197"/>
        <v>24/06/2025|АРТ-347|C0321</v>
      </c>
      <c r="V323" s="12" t="str">
        <f t="shared" si="198"/>
        <v>оригинал</v>
      </c>
    </row>
    <row r="324" ht="15" customHeight="1">
      <c r="A324" s="10">
        <v>322</v>
      </c>
      <c r="B324" s="11" t="str">
        <f>RAW_Продажи!A323</f>
        <v>06/24/2025</v>
      </c>
      <c r="C324" s="11" t="str">
        <f>RAW_Продажи!B323</f>
        <v>№АРТ-305</v>
      </c>
      <c r="D324" s="11" t="str">
        <f>RAW_Продажи!C323</f>
        <v>-1</v>
      </c>
      <c r="E324" s="11" t="str">
        <f>RAW_Продажи!D323</f>
        <v>$110</v>
      </c>
      <c r="F324" s="11" t="str">
        <f>RAW_Продажи!E323</f>
        <v>C0322</v>
      </c>
      <c r="G324" s="11" t="str">
        <f>RAW_Продажи!F323</f>
        <v>P048</v>
      </c>
      <c r="H324" s="11" t="str">
        <f>RAW_Продажи!G323</f>
        <v>возврат</v>
      </c>
      <c r="I324" s="12" t="str">
        <f t="shared" si="190"/>
        <v>305</v>
      </c>
      <c r="J324" s="12" t="str">
        <f t="shared" si="191"/>
        <v>$</v>
      </c>
      <c r="K324" s="12">
        <f t="shared" si="192"/>
        <v>110</v>
      </c>
      <c r="L324" s="19">
        <f t="shared" si="193"/>
        <v>45832</v>
      </c>
      <c r="M324" s="13" t="str">
        <f t="shared" si="194"/>
        <v>АРТ-305</v>
      </c>
      <c r="N324" s="13">
        <f t="shared" si="195"/>
        <v>-1</v>
      </c>
      <c r="O324" s="13" t="str">
        <f>IFERROR(VLOOKUP(J324,Справочники!$G$6:$H$8,2,0),"RUB")</f>
        <v>USD</v>
      </c>
      <c r="P324" s="14">
        <f>ROUND(K324*IFERROR(VLOOKUP(J324,Справочники!$G$6:$I$8,3,0),1),2)</f>
        <v>10450</v>
      </c>
      <c r="Q324" s="13" t="str">
        <f>IFERROR(VLOOKUP(H324,Справочники!$D$6:$E$14,2,0),"НЕИЗВЕСТНО")</f>
        <v>Возврат</v>
      </c>
      <c r="R324" s="20">
        <f>IFERROR(INDEX(Товары_очищенные!$Q$3:$Q$503,MATCH(M324,Товары_очищенные!$L$3:$L$503,0)),"нет в каталоге")</f>
        <v>57500</v>
      </c>
      <c r="S324" s="21" t="str">
        <f>IFERROR(INDEX(Товары_очищенные!$N$3:$N$503,MATCH(M324,Товары_очищенные!$L$3:$L$503,0)),"нет в каталоге")</f>
        <v>Мониторы</v>
      </c>
      <c r="T324" s="21" t="str">
        <f t="shared" si="196"/>
        <v>OK</v>
      </c>
      <c r="U324" s="12" t="str">
        <f t="shared" si="197"/>
        <v>24/06/2025|АРТ-305|C0322</v>
      </c>
      <c r="V324" s="12" t="str">
        <f t="shared" si="198"/>
        <v>оригинал</v>
      </c>
    </row>
    <row r="325" ht="15" customHeight="1">
      <c r="A325" s="10">
        <v>323</v>
      </c>
      <c r="B325" s="11" t="str">
        <f>RAW_Продажи!A324</f>
        <v>06/25/2025</v>
      </c>
      <c r="C325" s="11" t="str">
        <f>RAW_Продажи!B324</f>
        <v>АРТ_288</v>
      </c>
      <c r="D325" s="11" t="str">
        <f>RAW_Продажи!C324</f>
        <v>3</v>
      </c>
      <c r="E325" s="11" t="str">
        <f>RAW_Продажи!D324</f>
        <v>€90</v>
      </c>
      <c r="F325" s="11" t="str">
        <f>RAW_Продажи!E324</f>
        <v>C0323</v>
      </c>
      <c r="G325" s="11" t="str">
        <f>RAW_Продажи!F324</f>
        <v>P004</v>
      </c>
      <c r="H325" s="11" t="str">
        <f>RAW_Продажи!G324</f>
        <v>Завершен</v>
      </c>
      <c r="I325" s="12" t="str">
        <f t="shared" si="190"/>
        <v>288</v>
      </c>
      <c r="J325" s="12" t="str">
        <f t="shared" si="191"/>
        <v>€</v>
      </c>
      <c r="K325" s="12">
        <f t="shared" si="192"/>
        <v>90</v>
      </c>
      <c r="L325" s="19">
        <f t="shared" si="193"/>
        <v>45833</v>
      </c>
      <c r="M325" s="13" t="str">
        <f t="shared" si="194"/>
        <v>АРТ-288</v>
      </c>
      <c r="N325" s="13">
        <f t="shared" si="195"/>
        <v>3</v>
      </c>
      <c r="O325" s="13" t="str">
        <f>IFERROR(VLOOKUP(J325,Справочники!$G$6:$H$8,2,0),"RUB")</f>
        <v>EUR</v>
      </c>
      <c r="P325" s="14">
        <f>ROUND(K325*IFERROR(VLOOKUP(J325,Справочники!$G$6:$I$8,3,0),1),2)</f>
        <v>9000</v>
      </c>
      <c r="Q325" s="13" t="str">
        <f>IFERROR(VLOOKUP(H325,Справочники!$D$6:$E$14,2,0),"НЕИЗВЕСТНО")</f>
        <v>Завершен</v>
      </c>
      <c r="R325" s="20">
        <f>IFERROR(INDEX(Товары_очищенные!$Q$3:$Q$503,MATCH(M325,Товары_очищенные!$L$3:$L$503,0)),"нет в каталоге")</f>
        <v>8000</v>
      </c>
      <c r="S325" s="21" t="str">
        <f>IFERROR(INDEX(Товары_очищенные!$N$3:$N$503,MATCH(M325,Товары_очищенные!$L$3:$L$503,0)),"нет в каталоге")</f>
        <v>Аксессуары</v>
      </c>
      <c r="T325" s="21" t="str">
        <f t="shared" si="196"/>
        <v>OK</v>
      </c>
      <c r="U325" s="12" t="str">
        <f t="shared" si="197"/>
        <v>25/06/2025|АРТ-288|C0323</v>
      </c>
      <c r="V325" s="12" t="str">
        <f t="shared" si="198"/>
        <v>оригинал</v>
      </c>
    </row>
    <row r="326" ht="15" customHeight="1">
      <c r="A326" s="10">
        <v>324</v>
      </c>
      <c r="B326" s="11" t="str">
        <f>RAW_Продажи!A325</f>
        <v>06/25/2025</v>
      </c>
      <c r="C326" s="11" t="str">
        <f>RAW_Продажи!B325</f>
        <v>134-24</v>
      </c>
      <c r="D326" s="11" t="str">
        <f>RAW_Продажи!C325</f>
        <v>2</v>
      </c>
      <c r="E326" s="11" t="str">
        <f>RAW_Продажи!D325</f>
        <v xml:space="preserve">8000 ₽</v>
      </c>
      <c r="F326" s="11" t="str">
        <f>RAW_Продажи!E325</f>
        <v>C0324</v>
      </c>
      <c r="G326" s="11" t="str">
        <f>RAW_Продажи!F325</f>
        <v>P026</v>
      </c>
      <c r="H326" s="11" t="str">
        <f>RAW_Продажи!G325</f>
        <v>завершен</v>
      </c>
      <c r="I326" s="12" t="str">
        <f t="shared" si="190"/>
        <v>134-24</v>
      </c>
      <c r="J326" s="12" t="str">
        <f t="shared" si="191"/>
        <v>₽</v>
      </c>
      <c r="K326" s="12">
        <f t="shared" si="192"/>
        <v>8000</v>
      </c>
      <c r="L326" s="19">
        <f t="shared" si="193"/>
        <v>45833</v>
      </c>
      <c r="M326" s="13" t="str">
        <f t="shared" si="194"/>
        <v>АРТ-134</v>
      </c>
      <c r="N326" s="13">
        <f t="shared" si="195"/>
        <v>2</v>
      </c>
      <c r="O326" s="13" t="str">
        <f>IFERROR(VLOOKUP(J326,Справочники!$G$6:$H$8,2,0),"RUB")</f>
        <v>RUB</v>
      </c>
      <c r="P326" s="14">
        <f>ROUND(K326*IFERROR(VLOOKUP(J326,Справочники!$G$6:$I$8,3,0),1),2)</f>
        <v>8000</v>
      </c>
      <c r="Q326" s="13" t="str">
        <f>IFERROR(VLOOKUP(H326,Справочники!$D$6:$E$14,2,0),"НЕИЗВЕСТНО")</f>
        <v>Завершен</v>
      </c>
      <c r="R326" s="20">
        <f>IFERROR(INDEX(Товары_очищенные!$Q$3:$Q$503,MATCH(M326,Товары_очищенные!$L$3:$L$503,0)),"нет в каталоге")</f>
        <v>124000</v>
      </c>
      <c r="S326" s="21" t="str">
        <f>IFERROR(INDEX(Товары_очищенные!$N$3:$N$503,MATCH(M326,Товары_очищенные!$L$3:$L$503,0)),"нет в каталоге")</f>
        <v>Телевизоры</v>
      </c>
      <c r="T326" s="21" t="str">
        <f t="shared" si="196"/>
        <v>OK</v>
      </c>
      <c r="U326" s="12" t="str">
        <f t="shared" si="197"/>
        <v>25/06/2025|АРТ-134|C0324</v>
      </c>
      <c r="V326" s="12" t="str">
        <f t="shared" si="198"/>
        <v>оригинал</v>
      </c>
    </row>
    <row r="327" ht="15" customHeight="1">
      <c r="A327" s="10">
        <v>325</v>
      </c>
      <c r="B327" s="11" t="str">
        <f>RAW_Продажи!A326</f>
        <v>06/26/2025</v>
      </c>
      <c r="C327" s="11" t="str">
        <f>RAW_Продажи!B326</f>
        <v>№АРТ-110</v>
      </c>
      <c r="D327" s="11" t="str">
        <f>RAW_Продажи!C326</f>
        <v>1</v>
      </c>
      <c r="E327" s="11" t="str">
        <f>RAW_Продажи!D326</f>
        <v>$95</v>
      </c>
      <c r="F327" s="11" t="str">
        <f>RAW_Продажи!E326</f>
        <v>C0325</v>
      </c>
      <c r="G327" s="11" t="str">
        <f>RAW_Продажи!F326</f>
        <v>P013</v>
      </c>
      <c r="H327" s="11" t="str">
        <f>RAW_Продажи!G326</f>
        <v>completed</v>
      </c>
      <c r="I327" s="12" t="str">
        <f t="shared" si="190"/>
        <v>110</v>
      </c>
      <c r="J327" s="12" t="str">
        <f t="shared" si="191"/>
        <v>$</v>
      </c>
      <c r="K327" s="12">
        <f t="shared" si="192"/>
        <v>95</v>
      </c>
      <c r="L327" s="19">
        <f t="shared" si="193"/>
        <v>45834</v>
      </c>
      <c r="M327" s="13" t="str">
        <f t="shared" si="194"/>
        <v>АРТ-110</v>
      </c>
      <c r="N327" s="13">
        <f t="shared" si="195"/>
        <v>1</v>
      </c>
      <c r="O327" s="13" t="str">
        <f>IFERROR(VLOOKUP(J327,Справочники!$G$6:$H$8,2,0),"RUB")</f>
        <v>USD</v>
      </c>
      <c r="P327" s="14">
        <f>ROUND(K327*IFERROR(VLOOKUP(J327,Справочники!$G$6:$I$8,3,0),1),2)</f>
        <v>9025</v>
      </c>
      <c r="Q327" s="13" t="str">
        <f>IFERROR(VLOOKUP(H327,Справочники!$D$6:$E$14,2,0),"НЕИЗВЕСТНО")</f>
        <v>Завершен</v>
      </c>
      <c r="R327" s="20">
        <f>IFERROR(INDEX(Товары_очищенные!$Q$3:$Q$503,MATCH(M327,Товары_очищенные!$L$3:$L$503,0)),"нет в каталоге")</f>
        <v>117000</v>
      </c>
      <c r="S327" s="21" t="str">
        <f>IFERROR(INDEX(Товары_очищенные!$N$3:$N$503,MATCH(M327,Товары_очищенные!$L$3:$L$503,0)),"нет в каталоге")</f>
        <v>Телевизоры</v>
      </c>
      <c r="T327" s="21" t="str">
        <f t="shared" si="196"/>
        <v>OK</v>
      </c>
      <c r="U327" s="12" t="str">
        <f t="shared" si="197"/>
        <v>26/06/2025|АРТ-110|C0325</v>
      </c>
      <c r="V327" s="12" t="str">
        <f t="shared" si="198"/>
        <v>оригинал</v>
      </c>
    </row>
    <row r="328" ht="15" customHeight="1">
      <c r="A328" s="10">
        <v>326</v>
      </c>
      <c r="B328" s="11" t="str">
        <f>RAW_Продажи!A327</f>
        <v>06/26/2025</v>
      </c>
      <c r="C328" s="11" t="str">
        <f>RAW_Продажи!B327</f>
        <v>АРТ_471</v>
      </c>
      <c r="D328" s="11" t="str">
        <f>RAW_Продажи!C327</f>
        <v>2</v>
      </c>
      <c r="E328" s="11" t="str">
        <f>RAW_Продажи!D327</f>
        <v>€75</v>
      </c>
      <c r="F328" s="11" t="str">
        <f>RAW_Продажи!E327</f>
        <v>C0326</v>
      </c>
      <c r="G328" s="11" t="str">
        <f>RAW_Продажи!F327</f>
        <v>P034</v>
      </c>
      <c r="H328" s="11" t="str">
        <f>RAW_Продажи!G327</f>
        <v>отменен</v>
      </c>
      <c r="I328" s="12" t="str">
        <f t="shared" si="190"/>
        <v>471</v>
      </c>
      <c r="J328" s="12" t="str">
        <f t="shared" si="191"/>
        <v>€</v>
      </c>
      <c r="K328" s="12">
        <f t="shared" si="192"/>
        <v>75</v>
      </c>
      <c r="L328" s="19">
        <f t="shared" si="193"/>
        <v>45834</v>
      </c>
      <c r="M328" s="13" t="str">
        <f t="shared" si="194"/>
        <v>АРТ-471</v>
      </c>
      <c r="N328" s="13">
        <f t="shared" si="195"/>
        <v>2</v>
      </c>
      <c r="O328" s="13" t="str">
        <f>IFERROR(VLOOKUP(J328,Справочники!$G$6:$H$8,2,0),"RUB")</f>
        <v>EUR</v>
      </c>
      <c r="P328" s="14">
        <f>ROUND(K328*IFERROR(VLOOKUP(J328,Справочники!$G$6:$I$8,3,0),1),2)</f>
        <v>7500</v>
      </c>
      <c r="Q328" s="13" t="str">
        <f>IFERROR(VLOOKUP(H328,Справочники!$D$6:$E$14,2,0),"НЕИЗВЕСТНО")</f>
        <v>Отменен</v>
      </c>
      <c r="R328" s="20">
        <f>IFERROR(INDEX(Товары_очищенные!$Q$3:$Q$503,MATCH(M328,Товары_очищенные!$L$3:$L$503,0)),"нет в каталоге")</f>
        <v>61000</v>
      </c>
      <c r="S328" s="21" t="str">
        <f>IFERROR(INDEX(Товары_очищенные!$N$3:$N$503,MATCH(M328,Товары_очищенные!$L$3:$L$503,0)),"нет в каталоге")</f>
        <v>Телевизоры</v>
      </c>
      <c r="T328" s="21" t="str">
        <f t="shared" si="196"/>
        <v>OK</v>
      </c>
      <c r="U328" s="12" t="str">
        <f t="shared" si="197"/>
        <v>26/06/2025|АРТ-471|C0326</v>
      </c>
      <c r="V328" s="12" t="str">
        <f t="shared" si="198"/>
        <v>оригинал</v>
      </c>
    </row>
    <row r="329" ht="15" customHeight="1">
      <c r="A329" s="10">
        <v>327</v>
      </c>
      <c r="B329" s="11" t="str">
        <f>RAW_Продажи!A328</f>
        <v>06/27/2025</v>
      </c>
      <c r="C329" s="11" t="str">
        <f>RAW_Продажи!B328</f>
        <v>322/24</v>
      </c>
      <c r="D329" s="11" t="str">
        <f>RAW_Продажи!C328</f>
        <v xml:space="preserve">3 шт.</v>
      </c>
      <c r="E329" s="11" t="str">
        <f>RAW_Продажи!D328</f>
        <v xml:space="preserve">7000 ₽</v>
      </c>
      <c r="F329" s="11" t="str">
        <f>RAW_Продажи!E328</f>
        <v>C0327</v>
      </c>
      <c r="G329" s="11" t="str">
        <f>RAW_Продажи!F328</f>
        <v>P044</v>
      </c>
      <c r="H329" s="11" t="str">
        <f>RAW_Продажи!G328</f>
        <v>canceled</v>
      </c>
      <c r="I329" s="12" t="str">
        <f t="shared" si="190"/>
        <v>322/24</v>
      </c>
      <c r="J329" s="12" t="str">
        <f t="shared" si="191"/>
        <v>₽</v>
      </c>
      <c r="K329" s="12">
        <f t="shared" si="192"/>
        <v>7000</v>
      </c>
      <c r="L329" s="19">
        <f t="shared" si="193"/>
        <v>45835</v>
      </c>
      <c r="M329" s="13" t="str">
        <f t="shared" si="194"/>
        <v>АРТ-322</v>
      </c>
      <c r="N329" s="13">
        <f t="shared" si="195"/>
        <v>3</v>
      </c>
      <c r="O329" s="13" t="str">
        <f>IFERROR(VLOOKUP(J329,Справочники!$G$6:$H$8,2,0),"RUB")</f>
        <v>RUB</v>
      </c>
      <c r="P329" s="14">
        <f>ROUND(K329*IFERROR(VLOOKUP(J329,Справочники!$G$6:$I$8,3,0),1),2)</f>
        <v>7000</v>
      </c>
      <c r="Q329" s="13" t="str">
        <f>IFERROR(VLOOKUP(H329,Справочники!$D$6:$E$14,2,0),"НЕИЗВЕСТНО")</f>
        <v>Отменен</v>
      </c>
      <c r="R329" s="20">
        <f>IFERROR(INDEX(Товары_очищенные!$Q$3:$Q$503,MATCH(M329,Товары_очищенные!$L$3:$L$503,0)),"нет в каталоге")</f>
        <v>12990</v>
      </c>
      <c r="S329" s="21" t="str">
        <f>IFERROR(INDEX(Товары_очищенные!$N$3:$N$503,MATCH(M329,Товары_очищенные!$L$3:$L$503,0)),"нет в каталоге")</f>
        <v>Наушники</v>
      </c>
      <c r="T329" s="21" t="str">
        <f t="shared" si="196"/>
        <v>OK</v>
      </c>
      <c r="U329" s="12" t="str">
        <f t="shared" si="197"/>
        <v>27/06/2025|АРТ-322|C0327</v>
      </c>
      <c r="V329" s="12" t="str">
        <f t="shared" si="198"/>
        <v>оригинал</v>
      </c>
    </row>
    <row r="330" ht="15" customHeight="1">
      <c r="A330" s="10">
        <v>328</v>
      </c>
      <c r="B330" s="11" t="str">
        <f>RAW_Продажи!A329</f>
        <v>06/27/2025</v>
      </c>
      <c r="C330" s="11" t="str">
        <f>RAW_Продажи!B329</f>
        <v>№АРТ-188</v>
      </c>
      <c r="D330" s="11" t="str">
        <f>RAW_Продажи!C329</f>
        <v>-2</v>
      </c>
      <c r="E330" s="11" t="str">
        <f>RAW_Продажи!D329</f>
        <v>$115</v>
      </c>
      <c r="F330" s="11" t="str">
        <f>RAW_Продажи!E329</f>
        <v>C0328</v>
      </c>
      <c r="G330" s="11" t="str">
        <f>RAW_Продажи!F329</f>
        <v>P001</v>
      </c>
      <c r="H330" s="11" t="str">
        <f>RAW_Продажи!G329</f>
        <v>Завершен</v>
      </c>
      <c r="I330" s="12" t="str">
        <f t="shared" si="190"/>
        <v>188</v>
      </c>
      <c r="J330" s="12" t="str">
        <f t="shared" si="191"/>
        <v>$</v>
      </c>
      <c r="K330" s="12">
        <f t="shared" si="192"/>
        <v>115</v>
      </c>
      <c r="L330" s="19">
        <f t="shared" si="193"/>
        <v>45835</v>
      </c>
      <c r="M330" s="13" t="str">
        <f t="shared" si="194"/>
        <v>АРТ-188</v>
      </c>
      <c r="N330" s="13">
        <f t="shared" si="195"/>
        <v>-2</v>
      </c>
      <c r="O330" s="13" t="str">
        <f>IFERROR(VLOOKUP(J330,Справочники!$G$6:$H$8,2,0),"RUB")</f>
        <v>USD</v>
      </c>
      <c r="P330" s="14">
        <f>ROUND(K330*IFERROR(VLOOKUP(J330,Справочники!$G$6:$I$8,3,0),1),2)</f>
        <v>10925</v>
      </c>
      <c r="Q330" s="13" t="str">
        <f>IFERROR(VLOOKUP(H330,Справочники!$D$6:$E$14,2,0),"НЕИЗВЕСТНО")</f>
        <v>Завершен</v>
      </c>
      <c r="R330" s="20">
        <f>IFERROR(INDEX(Товары_очищенные!$Q$3:$Q$503,MATCH(M330,Товары_очищенные!$L$3:$L$503,0)),"нет в каталоге")</f>
        <v>48500</v>
      </c>
      <c r="S330" s="21" t="str">
        <f>IFERROR(INDEX(Товары_очищенные!$N$3:$N$503,MATCH(M330,Товары_очищенные!$L$3:$L$503,0)),"нет в каталоге")</f>
        <v>Часы</v>
      </c>
      <c r="T330" s="21" t="str">
        <f t="shared" si="196"/>
        <v>OK</v>
      </c>
      <c r="U330" s="12" t="str">
        <f t="shared" si="197"/>
        <v>27/06/2025|АРТ-188|C0328</v>
      </c>
      <c r="V330" s="12" t="str">
        <f t="shared" si="198"/>
        <v>оригинал</v>
      </c>
    </row>
    <row r="331" ht="15" customHeight="1">
      <c r="A331" s="10">
        <v>329</v>
      </c>
      <c r="B331" s="11" t="str">
        <f>RAW_Продажи!A330</f>
        <v>06/28/2025</v>
      </c>
      <c r="C331" s="11" t="str">
        <f>RAW_Продажи!B330</f>
        <v>АРТ_335</v>
      </c>
      <c r="D331" s="11" t="str">
        <f>RAW_Продажи!C330</f>
        <v>1</v>
      </c>
      <c r="E331" s="11" t="str">
        <f>RAW_Продажи!D330</f>
        <v>€95</v>
      </c>
      <c r="F331" s="11" t="str">
        <f>RAW_Продажи!E330</f>
        <v>C0329</v>
      </c>
      <c r="G331" s="11" t="str">
        <f>RAW_Продажи!F330</f>
        <v>P021</v>
      </c>
      <c r="H331" s="11" t="str">
        <f>RAW_Продажи!G330</f>
        <v>возврат</v>
      </c>
      <c r="I331" s="12" t="str">
        <f t="shared" si="190"/>
        <v>335</v>
      </c>
      <c r="J331" s="12" t="str">
        <f t="shared" si="191"/>
        <v>€</v>
      </c>
      <c r="K331" s="12">
        <f t="shared" si="192"/>
        <v>95</v>
      </c>
      <c r="L331" s="19">
        <f t="shared" si="193"/>
        <v>45836</v>
      </c>
      <c r="M331" s="13" t="str">
        <f t="shared" si="194"/>
        <v>АРТ-335</v>
      </c>
      <c r="N331" s="13">
        <f t="shared" si="195"/>
        <v>1</v>
      </c>
      <c r="O331" s="13" t="str">
        <f>IFERROR(VLOOKUP(J331,Справочники!$G$6:$H$8,2,0),"RUB")</f>
        <v>EUR</v>
      </c>
      <c r="P331" s="14">
        <f>ROUND(K331*IFERROR(VLOOKUP(J331,Справочники!$G$6:$I$8,3,0),1),2)</f>
        <v>9500</v>
      </c>
      <c r="Q331" s="13" t="str">
        <f>IFERROR(VLOOKUP(H331,Справочники!$D$6:$E$14,2,0),"НЕИЗВЕСТНО")</f>
        <v>Возврат</v>
      </c>
      <c r="R331" s="20">
        <f>IFERROR(INDEX(Товары_очищенные!$Q$3:$Q$503,MATCH(M331,Товары_очищенные!$L$3:$L$503,0)),"нет в каталоге")</f>
        <v>47000</v>
      </c>
      <c r="S331" s="21" t="str">
        <f>IFERROR(INDEX(Товары_очищенные!$N$3:$N$503,MATCH(M331,Товары_очищенные!$L$3:$L$503,0)),"нет в каталоге")</f>
        <v>Планшеты</v>
      </c>
      <c r="T331" s="21" t="str">
        <f t="shared" si="196"/>
        <v>OK</v>
      </c>
      <c r="U331" s="12" t="str">
        <f t="shared" si="197"/>
        <v>28/06/2025|АРТ-335|C0329</v>
      </c>
      <c r="V331" s="12" t="str">
        <f t="shared" si="198"/>
        <v>оригинал</v>
      </c>
    </row>
    <row r="332" ht="15" customHeight="1">
      <c r="A332" s="10">
        <v>330</v>
      </c>
      <c r="B332" s="11" t="str">
        <f>RAW_Продажи!A331</f>
        <v>06/28/2025</v>
      </c>
      <c r="C332" s="11" t="str">
        <f>RAW_Продажи!B331</f>
        <v>063-24</v>
      </c>
      <c r="D332" s="11" t="str">
        <f>RAW_Продажи!C331</f>
        <v>2</v>
      </c>
      <c r="E332" s="11" t="str">
        <f>RAW_Продажи!D331</f>
        <v xml:space="preserve">8500 ₽</v>
      </c>
      <c r="F332" s="11" t="str">
        <f>RAW_Продажи!E331</f>
        <v>C0330</v>
      </c>
      <c r="G332" s="11" t="str">
        <f>RAW_Продажи!F331</f>
        <v>P039</v>
      </c>
      <c r="H332" s="11" t="str">
        <f>RAW_Продажи!G331</f>
        <v>завершен</v>
      </c>
      <c r="I332" s="12" t="str">
        <f t="shared" si="190"/>
        <v>063-24</v>
      </c>
      <c r="J332" s="12" t="str">
        <f t="shared" si="191"/>
        <v>₽</v>
      </c>
      <c r="K332" s="12">
        <f t="shared" si="192"/>
        <v>8500</v>
      </c>
      <c r="L332" s="19">
        <f t="shared" si="193"/>
        <v>45836</v>
      </c>
      <c r="M332" s="13" t="str">
        <f t="shared" si="194"/>
        <v>АРТ-063</v>
      </c>
      <c r="N332" s="13">
        <f t="shared" si="195"/>
        <v>2</v>
      </c>
      <c r="O332" s="13" t="str">
        <f>IFERROR(VLOOKUP(J332,Справочники!$G$6:$H$8,2,0),"RUB")</f>
        <v>RUB</v>
      </c>
      <c r="P332" s="14">
        <f>ROUND(K332*IFERROR(VLOOKUP(J332,Справочники!$G$6:$I$8,3,0),1),2)</f>
        <v>8500</v>
      </c>
      <c r="Q332" s="13" t="str">
        <f>IFERROR(VLOOKUP(H332,Справочники!$D$6:$E$14,2,0),"НЕИЗВЕСТНО")</f>
        <v>Завершен</v>
      </c>
      <c r="R332" s="20">
        <f>IFERROR(INDEX(Товары_очищенные!$Q$3:$Q$503,MATCH(M332,Товары_очищенные!$L$3:$L$503,0)),"нет в каталоге")</f>
        <v>127000</v>
      </c>
      <c r="S332" s="21" t="str">
        <f>IFERROR(INDEX(Товары_очищенные!$N$3:$N$503,MATCH(M332,Товары_очищенные!$L$3:$L$503,0)),"нет в каталоге")</f>
        <v>Ноутбуки</v>
      </c>
      <c r="T332" s="21" t="str">
        <f t="shared" si="196"/>
        <v>OK</v>
      </c>
      <c r="U332" s="12" t="str">
        <f t="shared" si="197"/>
        <v>28/06/2025|АРТ-063|C0330</v>
      </c>
      <c r="V332" s="12" t="str">
        <f t="shared" si="198"/>
        <v>оригинал</v>
      </c>
    </row>
    <row r="333" ht="15" customHeight="1">
      <c r="A333" s="10">
        <v>331</v>
      </c>
      <c r="B333" s="11" t="str">
        <f>RAW_Продажи!A332</f>
        <v>06/29/2025</v>
      </c>
      <c r="C333" s="11" t="str">
        <f>RAW_Продажи!B332</f>
        <v>№АРТ-248</v>
      </c>
      <c r="D333" s="11" t="str">
        <f>RAW_Продажи!C332</f>
        <v>3</v>
      </c>
      <c r="E333" s="11" t="str">
        <f>RAW_Продажи!D332</f>
        <v>$105</v>
      </c>
      <c r="F333" s="11" t="str">
        <f>RAW_Продажи!E332</f>
        <v>C0331</v>
      </c>
      <c r="G333" s="11" t="str">
        <f>RAW_Продажи!F332</f>
        <v>P050</v>
      </c>
      <c r="H333" s="11" t="str">
        <f>RAW_Продажи!G332</f>
        <v>completed</v>
      </c>
      <c r="I333" s="12" t="str">
        <f t="shared" si="190"/>
        <v>248</v>
      </c>
      <c r="J333" s="12" t="str">
        <f t="shared" si="191"/>
        <v>$</v>
      </c>
      <c r="K333" s="12">
        <f t="shared" si="192"/>
        <v>105</v>
      </c>
      <c r="L333" s="19">
        <f t="shared" si="193"/>
        <v>45837</v>
      </c>
      <c r="M333" s="13" t="str">
        <f t="shared" si="194"/>
        <v>АРТ-248</v>
      </c>
      <c r="N333" s="13">
        <f t="shared" si="195"/>
        <v>3</v>
      </c>
      <c r="O333" s="13" t="str">
        <f>IFERROR(VLOOKUP(J333,Справочники!$G$6:$H$8,2,0),"RUB")</f>
        <v>USD</v>
      </c>
      <c r="P333" s="14">
        <f>ROUND(K333*IFERROR(VLOOKUP(J333,Справочники!$G$6:$I$8,3,0),1),2)</f>
        <v>9975</v>
      </c>
      <c r="Q333" s="13" t="str">
        <f>IFERROR(VLOOKUP(H333,Справочники!$D$6:$E$14,2,0),"НЕИЗВЕСТНО")</f>
        <v>Завершен</v>
      </c>
      <c r="R333" s="20">
        <f>IFERROR(INDEX(Товары_очищенные!$Q$3:$Q$503,MATCH(M333,Товары_очищенные!$L$3:$L$503,0)),"нет в каталоге")</f>
        <v>9500</v>
      </c>
      <c r="S333" s="21" t="str">
        <f>IFERROR(INDEX(Товары_очищенные!$N$3:$N$503,MATCH(M333,Товары_очищенные!$L$3:$L$503,0)),"нет в каталоге")</f>
        <v>Аксессуары</v>
      </c>
      <c r="T333" s="21" t="str">
        <f t="shared" si="196"/>
        <v>OK</v>
      </c>
      <c r="U333" s="12" t="str">
        <f t="shared" si="197"/>
        <v>29/06/2025|АРТ-248|C0331</v>
      </c>
      <c r="V333" s="12" t="str">
        <f t="shared" si="198"/>
        <v>оригинал</v>
      </c>
    </row>
    <row r="334" ht="15" customHeight="1">
      <c r="A334" s="10">
        <v>332</v>
      </c>
      <c r="B334" s="11" t="str">
        <f>RAW_Продажи!A333</f>
        <v>06/29/2025</v>
      </c>
      <c r="C334" s="11" t="str">
        <f>RAW_Продажи!B333</f>
        <v>АРТ_454</v>
      </c>
      <c r="D334" s="11" t="str">
        <f>RAW_Продажи!C333</f>
        <v>2</v>
      </c>
      <c r="E334" s="11" t="str">
        <f>RAW_Продажи!D333</f>
        <v>€85</v>
      </c>
      <c r="F334" s="11" t="str">
        <f>RAW_Продажи!E333</f>
        <v>C0332</v>
      </c>
      <c r="G334" s="11" t="str">
        <f>RAW_Продажи!F333</f>
        <v>P011</v>
      </c>
      <c r="H334" s="11" t="str">
        <f>RAW_Продажи!G333</f>
        <v>Завершен</v>
      </c>
      <c r="I334" s="12" t="str">
        <f t="shared" si="190"/>
        <v>454</v>
      </c>
      <c r="J334" s="12" t="str">
        <f t="shared" si="191"/>
        <v>€</v>
      </c>
      <c r="K334" s="12">
        <f t="shared" si="192"/>
        <v>85</v>
      </c>
      <c r="L334" s="19">
        <f t="shared" si="193"/>
        <v>45837</v>
      </c>
      <c r="M334" s="13" t="str">
        <f t="shared" si="194"/>
        <v>АРТ-454</v>
      </c>
      <c r="N334" s="13">
        <f t="shared" si="195"/>
        <v>2</v>
      </c>
      <c r="O334" s="13" t="str">
        <f>IFERROR(VLOOKUP(J334,Справочники!$G$6:$H$8,2,0),"RUB")</f>
        <v>EUR</v>
      </c>
      <c r="P334" s="14">
        <f>ROUND(K334*IFERROR(VLOOKUP(J334,Справочники!$G$6:$I$8,3,0),1),2)</f>
        <v>8500</v>
      </c>
      <c r="Q334" s="13" t="str">
        <f>IFERROR(VLOOKUP(H334,Справочники!$D$6:$E$14,2,0),"НЕИЗВЕСТНО")</f>
        <v>Завершен</v>
      </c>
      <c r="R334" s="20">
        <f>IFERROR(INDEX(Товары_очищенные!$Q$3:$Q$503,MATCH(M334,Товары_очищенные!$L$3:$L$503,0)),"нет в каталоге")</f>
        <v>74990</v>
      </c>
      <c r="S334" s="21" t="str">
        <f>IFERROR(INDEX(Товары_очищенные!$N$3:$N$503,MATCH(M334,Товары_очищенные!$L$3:$L$503,0)),"нет в каталоге")</f>
        <v>Мониторы</v>
      </c>
      <c r="T334" s="21" t="str">
        <f t="shared" si="196"/>
        <v>OK</v>
      </c>
      <c r="U334" s="12" t="str">
        <f t="shared" si="197"/>
        <v>29/06/2025|АРТ-454|C0332</v>
      </c>
      <c r="V334" s="12" t="str">
        <f t="shared" si="198"/>
        <v>оригинал</v>
      </c>
    </row>
    <row r="335" ht="15" customHeight="1">
      <c r="A335" s="10">
        <v>333</v>
      </c>
      <c r="B335" s="11" t="str">
        <f>RAW_Продажи!A334</f>
        <v>06/30/2025</v>
      </c>
      <c r="C335" s="11" t="str">
        <f>RAW_Продажи!B334</f>
        <v>281/24</v>
      </c>
      <c r="D335" s="11" t="str">
        <f>RAW_Продажи!C334</f>
        <v xml:space="preserve">1 шт.</v>
      </c>
      <c r="E335" s="11" t="str">
        <f>RAW_Продажи!D334</f>
        <v xml:space="preserve">7800 ₽</v>
      </c>
      <c r="F335" s="11" t="str">
        <f>RAW_Продажи!E334</f>
        <v>C0333</v>
      </c>
      <c r="G335" s="11" t="str">
        <f>RAW_Продажи!F334</f>
        <v>P027</v>
      </c>
      <c r="H335" s="11" t="str">
        <f>RAW_Продажи!G334</f>
        <v>canceled</v>
      </c>
      <c r="I335" s="12" t="str">
        <f t="shared" si="190"/>
        <v>281/24</v>
      </c>
      <c r="J335" s="12" t="str">
        <f t="shared" si="191"/>
        <v>₽</v>
      </c>
      <c r="K335" s="12">
        <f t="shared" si="192"/>
        <v>7800</v>
      </c>
      <c r="L335" s="19">
        <f t="shared" si="193"/>
        <v>45838</v>
      </c>
      <c r="M335" s="13" t="str">
        <f t="shared" si="194"/>
        <v>АРТ-281</v>
      </c>
      <c r="N335" s="13">
        <f t="shared" si="195"/>
        <v>1</v>
      </c>
      <c r="O335" s="13" t="str">
        <f>IFERROR(VLOOKUP(J335,Справочники!$G$6:$H$8,2,0),"RUB")</f>
        <v>RUB</v>
      </c>
      <c r="P335" s="14">
        <f>ROUND(K335*IFERROR(VLOOKUP(J335,Справочники!$G$6:$I$8,3,0),1),2)</f>
        <v>7800</v>
      </c>
      <c r="Q335" s="13" t="str">
        <f>IFERROR(VLOOKUP(H335,Справочники!$D$6:$E$14,2,0),"НЕИЗВЕСТНО")</f>
        <v>Отменен</v>
      </c>
      <c r="R335" s="20">
        <f>IFERROR(INDEX(Товары_очищенные!$Q$3:$Q$503,MATCH(M335,Товары_очищенные!$L$3:$L$503,0)),"нет в каталоге")</f>
        <v>31500</v>
      </c>
      <c r="S335" s="21" t="str">
        <f>IFERROR(INDEX(Товары_очищенные!$N$3:$N$503,MATCH(M335,Товары_очищенные!$L$3:$L$503,0)),"нет в каталоге")</f>
        <v>Наушники</v>
      </c>
      <c r="T335" s="21" t="str">
        <f t="shared" si="196"/>
        <v>OK</v>
      </c>
      <c r="U335" s="12" t="str">
        <f t="shared" si="197"/>
        <v>30/06/2025|АРТ-281|C0333</v>
      </c>
      <c r="V335" s="12" t="str">
        <f t="shared" si="198"/>
        <v>оригинал</v>
      </c>
    </row>
    <row r="336" ht="15" customHeight="1">
      <c r="A336" s="10">
        <v>334</v>
      </c>
      <c r="B336" s="11" t="str">
        <f>RAW_Продажи!A335</f>
        <v>06/30/2025</v>
      </c>
      <c r="C336" s="11" t="str">
        <f>RAW_Продажи!B335</f>
        <v>№АРТ-401</v>
      </c>
      <c r="D336" s="11" t="str">
        <f>RAW_Продажи!C335</f>
        <v>-3</v>
      </c>
      <c r="E336" s="11" t="str">
        <f>RAW_Продажи!D335</f>
        <v>$120</v>
      </c>
      <c r="F336" s="11" t="str">
        <f>RAW_Продажи!E335</f>
        <v>C0334</v>
      </c>
      <c r="G336" s="11" t="str">
        <f>RAW_Продажи!F335</f>
        <v>P018</v>
      </c>
      <c r="H336" s="11" t="str">
        <f>RAW_Продажи!G335</f>
        <v>отменен</v>
      </c>
      <c r="I336" s="12" t="str">
        <f t="shared" si="190"/>
        <v>401</v>
      </c>
      <c r="J336" s="12" t="str">
        <f t="shared" si="191"/>
        <v>$</v>
      </c>
      <c r="K336" s="12">
        <f t="shared" si="192"/>
        <v>120</v>
      </c>
      <c r="L336" s="19">
        <f t="shared" si="193"/>
        <v>45838</v>
      </c>
      <c r="M336" s="13" t="str">
        <f t="shared" si="194"/>
        <v>АРТ-401</v>
      </c>
      <c r="N336" s="13">
        <f t="shared" si="195"/>
        <v>-3</v>
      </c>
      <c r="O336" s="13" t="str">
        <f>IFERROR(VLOOKUP(J336,Справочники!$G$6:$H$8,2,0),"RUB")</f>
        <v>USD</v>
      </c>
      <c r="P336" s="14">
        <f>ROUND(K336*IFERROR(VLOOKUP(J336,Справочники!$G$6:$I$8,3,0),1),2)</f>
        <v>11400</v>
      </c>
      <c r="Q336" s="13" t="str">
        <f>IFERROR(VLOOKUP(H336,Справочники!$D$6:$E$14,2,0),"НЕИЗВЕСТНО")</f>
        <v>Отменен</v>
      </c>
      <c r="R336" s="20">
        <f>IFERROR(INDEX(Товары_очищенные!$Q$3:$Q$503,MATCH(M336,Товары_очищенные!$L$3:$L$503,0)),"нет в каталоге")</f>
        <v>19000</v>
      </c>
      <c r="S336" s="21" t="str">
        <f>IFERROR(INDEX(Товары_очищенные!$N$3:$N$503,MATCH(M336,Товары_очищенные!$L$3:$L$503,0)),"нет в каталоге")</f>
        <v>Смартфоны</v>
      </c>
      <c r="T336" s="21" t="str">
        <f t="shared" si="196"/>
        <v>OK</v>
      </c>
      <c r="U336" s="12" t="str">
        <f t="shared" si="197"/>
        <v>30/06/2025|АРТ-401|C0334</v>
      </c>
      <c r="V336" s="12" t="str">
        <f t="shared" si="198"/>
        <v>оригинал</v>
      </c>
    </row>
    <row r="337" ht="15" customHeight="1">
      <c r="A337" s="10">
        <v>335</v>
      </c>
      <c r="B337" s="11" t="str">
        <f>RAW_Продажи!A336</f>
        <v>07/01/2025</v>
      </c>
      <c r="C337" s="11" t="str">
        <f>RAW_Продажи!B336</f>
        <v>АРТ_345</v>
      </c>
      <c r="D337" s="11" t="str">
        <f>RAW_Продажи!C336</f>
        <v>2</v>
      </c>
      <c r="E337" s="11" t="str">
        <f>RAW_Продажи!D336</f>
        <v>€100</v>
      </c>
      <c r="F337" s="11" t="str">
        <f>RAW_Продажи!E336</f>
        <v>C0335</v>
      </c>
      <c r="G337" s="11" t="str">
        <f>RAW_Продажи!F336</f>
        <v>P040</v>
      </c>
      <c r="H337" s="11" t="str">
        <f>RAW_Продажи!G336</f>
        <v>возврат</v>
      </c>
      <c r="I337" s="12" t="str">
        <f t="shared" si="190"/>
        <v>345</v>
      </c>
      <c r="J337" s="12" t="str">
        <f t="shared" si="191"/>
        <v>€</v>
      </c>
      <c r="K337" s="12">
        <f t="shared" si="192"/>
        <v>100</v>
      </c>
      <c r="L337" s="19">
        <f t="shared" si="193"/>
        <v>45839</v>
      </c>
      <c r="M337" s="13" t="str">
        <f t="shared" si="194"/>
        <v>АРТ-345</v>
      </c>
      <c r="N337" s="13">
        <f t="shared" si="195"/>
        <v>2</v>
      </c>
      <c r="O337" s="13" t="str">
        <f>IFERROR(VLOOKUP(J337,Справочники!$G$6:$H$8,2,0),"RUB")</f>
        <v>EUR</v>
      </c>
      <c r="P337" s="14">
        <f>ROUND(K337*IFERROR(VLOOKUP(J337,Справочники!$G$6:$I$8,3,0),1),2)</f>
        <v>10000</v>
      </c>
      <c r="Q337" s="13" t="str">
        <f>IFERROR(VLOOKUP(H337,Справочники!$D$6:$E$14,2,0),"НЕИЗВЕСТНО")</f>
        <v>Возврат</v>
      </c>
      <c r="R337" s="20">
        <f>IFERROR(INDEX(Товары_очищенные!$Q$3:$Q$503,MATCH(M337,Товары_очищенные!$L$3:$L$503,0)),"нет в каталоге")</f>
        <v>87500</v>
      </c>
      <c r="S337" s="21" t="str">
        <f>IFERROR(INDEX(Товары_очищенные!$N$3:$N$503,MATCH(M337,Товары_очищенные!$L$3:$L$503,0)),"нет в каталоге")</f>
        <v>Телевизоры</v>
      </c>
      <c r="T337" s="21" t="str">
        <f t="shared" si="196"/>
        <v>OK</v>
      </c>
      <c r="U337" s="12" t="str">
        <f t="shared" si="197"/>
        <v>01/07/2025|АРТ-345|C0335</v>
      </c>
      <c r="V337" s="12" t="str">
        <f t="shared" si="198"/>
        <v>оригинал</v>
      </c>
    </row>
    <row r="338" ht="15" customHeight="1">
      <c r="A338" s="10">
        <v>336</v>
      </c>
      <c r="B338" s="11" t="str">
        <f>RAW_Продажи!A337</f>
        <v>07/01/2025</v>
      </c>
      <c r="C338" s="11" t="str">
        <f>RAW_Продажи!B337</f>
        <v>224-24</v>
      </c>
      <c r="D338" s="11" t="str">
        <f>RAW_Продажи!C337</f>
        <v>1</v>
      </c>
      <c r="E338" s="11" t="str">
        <f>RAW_Продажи!D337</f>
        <v xml:space="preserve">9200 ₽</v>
      </c>
      <c r="F338" s="11" t="str">
        <f>RAW_Продажи!E337</f>
        <v>C0336</v>
      </c>
      <c r="G338" s="11" t="str">
        <f>RAW_Продажи!F337</f>
        <v>P003</v>
      </c>
      <c r="H338" s="11" t="str">
        <f>RAW_Продажи!G337</f>
        <v>Завершен</v>
      </c>
      <c r="I338" s="12" t="str">
        <f t="shared" si="190"/>
        <v>224-24</v>
      </c>
      <c r="J338" s="12" t="str">
        <f t="shared" si="191"/>
        <v>₽</v>
      </c>
      <c r="K338" s="12">
        <f t="shared" si="192"/>
        <v>9200</v>
      </c>
      <c r="L338" s="19">
        <f t="shared" si="193"/>
        <v>45839</v>
      </c>
      <c r="M338" s="13" t="str">
        <f t="shared" si="194"/>
        <v>АРТ-224</v>
      </c>
      <c r="N338" s="13">
        <f t="shared" si="195"/>
        <v>1</v>
      </c>
      <c r="O338" s="13" t="str">
        <f>IFERROR(VLOOKUP(J338,Справочники!$G$6:$H$8,2,0),"RUB")</f>
        <v>RUB</v>
      </c>
      <c r="P338" s="14">
        <f>ROUND(K338*IFERROR(VLOOKUP(J338,Справочники!$G$6:$I$8,3,0),1),2)</f>
        <v>9200</v>
      </c>
      <c r="Q338" s="13" t="str">
        <f>IFERROR(VLOOKUP(H338,Справочники!$D$6:$E$14,2,0),"НЕИЗВЕСТНО")</f>
        <v>Завершен</v>
      </c>
      <c r="R338" s="20">
        <f>IFERROR(INDEX(Товары_очищенные!$Q$3:$Q$503,MATCH(M338,Товары_очищенные!$L$3:$L$503,0)),"нет в каталоге")</f>
        <v>52500</v>
      </c>
      <c r="S338" s="21" t="str">
        <f>IFERROR(INDEX(Товары_очищенные!$N$3:$N$503,MATCH(M338,Товары_очищенные!$L$3:$L$503,0)),"нет в каталоге")</f>
        <v>Мониторы</v>
      </c>
      <c r="T338" s="21" t="str">
        <f t="shared" si="196"/>
        <v>OK</v>
      </c>
      <c r="U338" s="12" t="str">
        <f t="shared" si="197"/>
        <v>01/07/2025|АРТ-224|C0336</v>
      </c>
      <c r="V338" s="12" t="str">
        <f t="shared" si="198"/>
        <v>оригинал</v>
      </c>
    </row>
    <row r="339" ht="15" customHeight="1">
      <c r="A339" s="10">
        <v>337</v>
      </c>
      <c r="B339" s="11" t="str">
        <f>RAW_Продажи!A338</f>
        <v>07/02/2025</v>
      </c>
      <c r="C339" s="11" t="str">
        <f>RAW_Продажи!B338</f>
        <v>№АРТ-205</v>
      </c>
      <c r="D339" s="11" t="str">
        <f>RAW_Продажи!C338</f>
        <v>3</v>
      </c>
      <c r="E339" s="11" t="str">
        <f>RAW_Продажи!D338</f>
        <v>$90</v>
      </c>
      <c r="F339" s="11" t="str">
        <f>RAW_Продажи!E338</f>
        <v>C0337</v>
      </c>
      <c r="G339" s="11" t="str">
        <f>RAW_Продажи!F338</f>
        <v>P025</v>
      </c>
      <c r="H339" s="11" t="str">
        <f>RAW_Продажи!G338</f>
        <v>завершен</v>
      </c>
      <c r="I339" s="12" t="str">
        <f t="shared" si="190"/>
        <v>205</v>
      </c>
      <c r="J339" s="12" t="str">
        <f t="shared" si="191"/>
        <v>$</v>
      </c>
      <c r="K339" s="12">
        <f t="shared" si="192"/>
        <v>90</v>
      </c>
      <c r="L339" s="19">
        <f t="shared" si="193"/>
        <v>45840</v>
      </c>
      <c r="M339" s="13" t="str">
        <f t="shared" si="194"/>
        <v>АРТ-205</v>
      </c>
      <c r="N339" s="13">
        <f t="shared" si="195"/>
        <v>3</v>
      </c>
      <c r="O339" s="13" t="str">
        <f>IFERROR(VLOOKUP(J339,Справочники!$G$6:$H$8,2,0),"RUB")</f>
        <v>USD</v>
      </c>
      <c r="P339" s="14">
        <f>ROUND(K339*IFERROR(VLOOKUP(J339,Справочники!$G$6:$I$8,3,0),1),2)</f>
        <v>8550</v>
      </c>
      <c r="Q339" s="13" t="str">
        <f>IFERROR(VLOOKUP(H339,Справочники!$D$6:$E$14,2,0),"НЕИЗВЕСТНО")</f>
        <v>Завершен</v>
      </c>
      <c r="R339" s="20">
        <f>IFERROR(INDEX(Товары_очищенные!$Q$3:$Q$503,MATCH(M339,Товары_очищенные!$L$3:$L$503,0)),"нет в каталоге")</f>
        <v>64990</v>
      </c>
      <c r="S339" s="21" t="str">
        <f>IFERROR(INDEX(Товары_очищенные!$N$3:$N$503,MATCH(M339,Товары_очищенные!$L$3:$L$503,0)),"нет в каталоге")</f>
        <v>Мониторы</v>
      </c>
      <c r="T339" s="21" t="str">
        <f t="shared" si="196"/>
        <v>OK</v>
      </c>
      <c r="U339" s="12" t="str">
        <f t="shared" si="197"/>
        <v>02/07/2025|АРТ-205|C0337</v>
      </c>
      <c r="V339" s="12" t="str">
        <f t="shared" si="198"/>
        <v>оригинал</v>
      </c>
    </row>
    <row r="340" ht="15" customHeight="1">
      <c r="A340" s="10">
        <v>338</v>
      </c>
      <c r="B340" s="11" t="str">
        <f>RAW_Продажи!A339</f>
        <v>07/02/2025</v>
      </c>
      <c r="C340" s="11" t="str">
        <f>RAW_Продажи!B339</f>
        <v>АРТ_438</v>
      </c>
      <c r="D340" s="11" t="str">
        <f>RAW_Продажи!C339</f>
        <v>2</v>
      </c>
      <c r="E340" s="11" t="str">
        <f>RAW_Продажи!D339</f>
        <v>€70</v>
      </c>
      <c r="F340" s="11" t="str">
        <f>RAW_Продажи!E339</f>
        <v>C0338</v>
      </c>
      <c r="G340" s="11" t="str">
        <f>RAW_Продажи!F339</f>
        <v>P010</v>
      </c>
      <c r="H340" s="11" t="str">
        <f>RAW_Продажи!G339</f>
        <v>completed</v>
      </c>
      <c r="I340" s="12" t="str">
        <f t="shared" si="190"/>
        <v>438</v>
      </c>
      <c r="J340" s="12" t="str">
        <f t="shared" si="191"/>
        <v>€</v>
      </c>
      <c r="K340" s="12">
        <f t="shared" si="192"/>
        <v>70</v>
      </c>
      <c r="L340" s="19">
        <f t="shared" si="193"/>
        <v>45840</v>
      </c>
      <c r="M340" s="13" t="str">
        <f t="shared" si="194"/>
        <v>АРТ-438</v>
      </c>
      <c r="N340" s="13">
        <f t="shared" si="195"/>
        <v>2</v>
      </c>
      <c r="O340" s="13" t="str">
        <f>IFERROR(VLOOKUP(J340,Справочники!$G$6:$H$8,2,0),"RUB")</f>
        <v>EUR</v>
      </c>
      <c r="P340" s="14">
        <f>ROUND(K340*IFERROR(VLOOKUP(J340,Справочники!$G$6:$I$8,3,0),1),2)</f>
        <v>7000</v>
      </c>
      <c r="Q340" s="13" t="str">
        <f>IFERROR(VLOOKUP(H340,Справочники!$D$6:$E$14,2,0),"НЕИЗВЕСТНО")</f>
        <v>Завершен</v>
      </c>
      <c r="R340" s="20">
        <f>IFERROR(INDEX(Товары_очищенные!$Q$3:$Q$503,MATCH(M340,Товары_очищенные!$L$3:$L$503,0)),"нет в каталоге")</f>
        <v>6800</v>
      </c>
      <c r="S340" s="21" t="str">
        <f>IFERROR(INDEX(Товары_очищенные!$N$3:$N$503,MATCH(M340,Товары_очищенные!$L$3:$L$503,0)),"нет в каталоге")</f>
        <v>Аксессуары</v>
      </c>
      <c r="T340" s="21" t="str">
        <f t="shared" si="196"/>
        <v>OK</v>
      </c>
      <c r="U340" s="12" t="str">
        <f t="shared" si="197"/>
        <v>02/07/2025|АРТ-438|C0338</v>
      </c>
      <c r="V340" s="12" t="str">
        <f t="shared" si="198"/>
        <v>оригинал</v>
      </c>
    </row>
    <row r="341" ht="15" customHeight="1">
      <c r="A341" s="10">
        <v>339</v>
      </c>
      <c r="B341" s="11" t="str">
        <f>RAW_Продажи!A340</f>
        <v>07/03/2025</v>
      </c>
      <c r="C341" s="11" t="str">
        <f>RAW_Продажи!B340</f>
        <v>335/24</v>
      </c>
      <c r="D341" s="11" t="str">
        <f>RAW_Продажи!C340</f>
        <v xml:space="preserve">1 шт.</v>
      </c>
      <c r="E341" s="11" t="str">
        <f>RAW_Продажи!D340</f>
        <v xml:space="preserve">6500 ₽</v>
      </c>
      <c r="F341" s="11" t="str">
        <f>RAW_Продажи!E340</f>
        <v>C0339</v>
      </c>
      <c r="G341" s="11" t="str">
        <f>RAW_Продажи!F340</f>
        <v>P033</v>
      </c>
      <c r="H341" s="11" t="str">
        <f>RAW_Продажи!G340</f>
        <v>отменен</v>
      </c>
      <c r="I341" s="12" t="str">
        <f t="shared" si="190"/>
        <v>335/24</v>
      </c>
      <c r="J341" s="12" t="str">
        <f t="shared" si="191"/>
        <v>₽</v>
      </c>
      <c r="K341" s="12">
        <f t="shared" si="192"/>
        <v>6500</v>
      </c>
      <c r="L341" s="19">
        <f t="shared" si="193"/>
        <v>45841</v>
      </c>
      <c r="M341" s="13" t="str">
        <f t="shared" si="194"/>
        <v>АРТ-335</v>
      </c>
      <c r="N341" s="13">
        <f t="shared" si="195"/>
        <v>1</v>
      </c>
      <c r="O341" s="13" t="str">
        <f>IFERROR(VLOOKUP(J341,Справочники!$G$6:$H$8,2,0),"RUB")</f>
        <v>RUB</v>
      </c>
      <c r="P341" s="14">
        <f>ROUND(K341*IFERROR(VLOOKUP(J341,Справочники!$G$6:$I$8,3,0),1),2)</f>
        <v>6500</v>
      </c>
      <c r="Q341" s="13" t="str">
        <f>IFERROR(VLOOKUP(H341,Справочники!$D$6:$E$14,2,0),"НЕИЗВЕСТНО")</f>
        <v>Отменен</v>
      </c>
      <c r="R341" s="20">
        <f>IFERROR(INDEX(Товары_очищенные!$Q$3:$Q$503,MATCH(M341,Товары_очищенные!$L$3:$L$503,0)),"нет в каталоге")</f>
        <v>47000</v>
      </c>
      <c r="S341" s="21" t="str">
        <f>IFERROR(INDEX(Товары_очищенные!$N$3:$N$503,MATCH(M341,Товары_очищенные!$L$3:$L$503,0)),"нет в каталоге")</f>
        <v>Планшеты</v>
      </c>
      <c r="T341" s="21" t="str">
        <f t="shared" si="196"/>
        <v>OK</v>
      </c>
      <c r="U341" s="12" t="str">
        <f t="shared" si="197"/>
        <v>03/07/2025|АРТ-335|C0339</v>
      </c>
      <c r="V341" s="12" t="str">
        <f t="shared" si="198"/>
        <v>оригинал</v>
      </c>
    </row>
    <row r="342" ht="15" customHeight="1">
      <c r="A342" s="10">
        <v>340</v>
      </c>
      <c r="B342" s="11" t="str">
        <f>RAW_Продажи!A341</f>
        <v>07/03/2025</v>
      </c>
      <c r="C342" s="11" t="str">
        <f>RAW_Продажи!B341</f>
        <v>№АРТ-385</v>
      </c>
      <c r="D342" s="11" t="str">
        <f>RAW_Продажи!C341</f>
        <v>-1</v>
      </c>
      <c r="E342" s="11" t="str">
        <f>RAW_Продажи!D341</f>
        <v>$110</v>
      </c>
      <c r="F342" s="11" t="str">
        <f>RAW_Продажи!E341</f>
        <v>C0340</v>
      </c>
      <c r="G342" s="11" t="str">
        <f>RAW_Продажи!F341</f>
        <v>P047</v>
      </c>
      <c r="H342" s="11" t="str">
        <f>RAW_Продажи!G341</f>
        <v>canceled</v>
      </c>
      <c r="I342" s="12" t="str">
        <f t="shared" si="190"/>
        <v>385</v>
      </c>
      <c r="J342" s="12" t="str">
        <f t="shared" si="191"/>
        <v>$</v>
      </c>
      <c r="K342" s="12">
        <f t="shared" si="192"/>
        <v>110</v>
      </c>
      <c r="L342" s="19">
        <f t="shared" si="193"/>
        <v>45841</v>
      </c>
      <c r="M342" s="13" t="str">
        <f t="shared" si="194"/>
        <v>АРТ-385</v>
      </c>
      <c r="N342" s="13">
        <f t="shared" si="195"/>
        <v>-1</v>
      </c>
      <c r="O342" s="13" t="str">
        <f>IFERROR(VLOOKUP(J342,Справочники!$G$6:$H$8,2,0),"RUB")</f>
        <v>USD</v>
      </c>
      <c r="P342" s="14">
        <f>ROUND(K342*IFERROR(VLOOKUP(J342,Справочники!$G$6:$I$8,3,0),1),2)</f>
        <v>10450</v>
      </c>
      <c r="Q342" s="13" t="str">
        <f>IFERROR(VLOOKUP(H342,Справочники!$D$6:$E$14,2,0),"НЕИЗВЕСТНО")</f>
        <v>Отменен</v>
      </c>
      <c r="R342" s="20">
        <f>IFERROR(INDEX(Товары_очищенные!$Q$3:$Q$503,MATCH(M342,Товары_очищенные!$L$3:$L$503,0)),"нет в каталоге")</f>
        <v>116990</v>
      </c>
      <c r="S342" s="21" t="str">
        <f>IFERROR(INDEX(Товары_очищенные!$N$3:$N$503,MATCH(M342,Товары_очищенные!$L$3:$L$503,0)),"нет в каталоге")</f>
        <v>Ноутбуки</v>
      </c>
      <c r="T342" s="21" t="str">
        <f t="shared" si="196"/>
        <v>OK</v>
      </c>
      <c r="U342" s="12" t="str">
        <f t="shared" si="197"/>
        <v>03/07/2025|АРТ-385|C0340</v>
      </c>
      <c r="V342" s="12" t="str">
        <f t="shared" si="198"/>
        <v>оригинал</v>
      </c>
    </row>
    <row r="343" ht="15" customHeight="1">
      <c r="A343" s="10">
        <v>341</v>
      </c>
      <c r="B343" s="11" t="str">
        <f>RAW_Продажи!A342</f>
        <v>07/04/2025</v>
      </c>
      <c r="C343" s="11" t="str">
        <f>RAW_Продажи!B342</f>
        <v>АРТ_267</v>
      </c>
      <c r="D343" s="11" t="str">
        <f>RAW_Продажи!C342</f>
        <v>3</v>
      </c>
      <c r="E343" s="11" t="str">
        <f>RAW_Продажи!D342</f>
        <v>€90</v>
      </c>
      <c r="F343" s="11" t="str">
        <f>RAW_Продажи!E342</f>
        <v>C0341</v>
      </c>
      <c r="G343" s="11" t="str">
        <f>RAW_Продажи!F342</f>
        <v>P020</v>
      </c>
      <c r="H343" s="11" t="str">
        <f>RAW_Продажи!G342</f>
        <v>Завершен</v>
      </c>
      <c r="I343" s="12" t="str">
        <f t="shared" si="190"/>
        <v>267</v>
      </c>
      <c r="J343" s="12" t="str">
        <f t="shared" si="191"/>
        <v>€</v>
      </c>
      <c r="K343" s="12">
        <f t="shared" si="192"/>
        <v>90</v>
      </c>
      <c r="L343" s="19">
        <f t="shared" si="193"/>
        <v>45842</v>
      </c>
      <c r="M343" s="13" t="str">
        <f t="shared" si="194"/>
        <v>АРТ-267</v>
      </c>
      <c r="N343" s="13">
        <f t="shared" si="195"/>
        <v>3</v>
      </c>
      <c r="O343" s="13" t="str">
        <f>IFERROR(VLOOKUP(J343,Справочники!$G$6:$H$8,2,0),"RUB")</f>
        <v>EUR</v>
      </c>
      <c r="P343" s="14">
        <f>ROUND(K343*IFERROR(VLOOKUP(J343,Справочники!$G$6:$I$8,3,0),1),2)</f>
        <v>9000</v>
      </c>
      <c r="Q343" s="13" t="str">
        <f>IFERROR(VLOOKUP(H343,Справочники!$D$6:$E$14,2,0),"НЕИЗВЕСТНО")</f>
        <v>Завершен</v>
      </c>
      <c r="R343" s="20">
        <f>IFERROR(INDEX(Товары_очищенные!$Q$3:$Q$503,MATCH(M343,Товары_очищенные!$L$3:$L$503,0)),"нет в каталоге")</f>
        <v>70000</v>
      </c>
      <c r="S343" s="21" t="str">
        <f>IFERROR(INDEX(Товары_очищенные!$N$3:$N$503,MATCH(M343,Товары_очищенные!$L$3:$L$503,0)),"нет в каталоге")</f>
        <v>Мониторы</v>
      </c>
      <c r="T343" s="21" t="str">
        <f t="shared" si="196"/>
        <v>OK</v>
      </c>
      <c r="U343" s="12" t="str">
        <f t="shared" si="197"/>
        <v>04/07/2025|АРТ-267|C0341</v>
      </c>
      <c r="V343" s="12" t="str">
        <f t="shared" si="198"/>
        <v>оригинал</v>
      </c>
    </row>
    <row r="344" ht="15" customHeight="1">
      <c r="A344" s="10">
        <v>342</v>
      </c>
      <c r="B344" s="11" t="str">
        <f>RAW_Продажи!A343</f>
        <v>07/04/2025</v>
      </c>
      <c r="C344" s="11" t="str">
        <f>RAW_Продажи!B343</f>
        <v>095-24</v>
      </c>
      <c r="D344" s="11" t="str">
        <f>RAW_Продажи!C343</f>
        <v>2</v>
      </c>
      <c r="E344" s="11" t="str">
        <f>RAW_Продажи!D343</f>
        <v xml:space="preserve">8000 ₽</v>
      </c>
      <c r="F344" s="11" t="str">
        <f>RAW_Продажи!E343</f>
        <v>C0342</v>
      </c>
      <c r="G344" s="11" t="str">
        <f>RAW_Продажи!F343</f>
        <v>P002</v>
      </c>
      <c r="H344" s="11" t="str">
        <f>RAW_Продажи!G343</f>
        <v>возврат</v>
      </c>
      <c r="I344" s="12" t="str">
        <f t="shared" si="190"/>
        <v>095-24</v>
      </c>
      <c r="J344" s="12" t="str">
        <f t="shared" si="191"/>
        <v>₽</v>
      </c>
      <c r="K344" s="12">
        <f t="shared" si="192"/>
        <v>8000</v>
      </c>
      <c r="L344" s="19">
        <f t="shared" si="193"/>
        <v>45842</v>
      </c>
      <c r="M344" s="13" t="str">
        <f t="shared" si="194"/>
        <v>АРТ-095</v>
      </c>
      <c r="N344" s="13">
        <f t="shared" si="195"/>
        <v>2</v>
      </c>
      <c r="O344" s="13" t="str">
        <f>IFERROR(VLOOKUP(J344,Справочники!$G$6:$H$8,2,0),"RUB")</f>
        <v>RUB</v>
      </c>
      <c r="P344" s="14">
        <f>ROUND(K344*IFERROR(VLOOKUP(J344,Справочники!$G$6:$I$8,3,0),1),2)</f>
        <v>8000</v>
      </c>
      <c r="Q344" s="13" t="str">
        <f>IFERROR(VLOOKUP(H344,Справочники!$D$6:$E$14,2,0),"НЕИЗВЕСТНО")</f>
        <v>Возврат</v>
      </c>
      <c r="R344" s="20">
        <f>IFERROR(INDEX(Товары_очищенные!$Q$3:$Q$503,MATCH(M344,Товары_очищенные!$L$3:$L$503,0)),"нет в каталоге")</f>
        <v>92000</v>
      </c>
      <c r="S344" s="21" t="str">
        <f>IFERROR(INDEX(Товары_очищенные!$N$3:$N$503,MATCH(M344,Товары_очищенные!$L$3:$L$503,0)),"нет в каталоге")</f>
        <v>Мониторы</v>
      </c>
      <c r="T344" s="21" t="str">
        <f t="shared" si="196"/>
        <v>OK</v>
      </c>
      <c r="U344" s="12" t="str">
        <f t="shared" si="197"/>
        <v>04/07/2025|АРТ-095|C0342</v>
      </c>
      <c r="V344" s="12" t="str">
        <f t="shared" si="198"/>
        <v>оригинал</v>
      </c>
    </row>
    <row r="345" ht="15" customHeight="1">
      <c r="A345" s="10">
        <v>343</v>
      </c>
      <c r="B345" s="11" t="str">
        <f>RAW_Продажи!A344</f>
        <v>07/05/2025</v>
      </c>
      <c r="C345" s="11" t="str">
        <f>RAW_Продажи!B344</f>
        <v>№АРТ-030</v>
      </c>
      <c r="D345" s="11" t="str">
        <f>RAW_Продажи!C344</f>
        <v>1</v>
      </c>
      <c r="E345" s="11" t="str">
        <f>RAW_Продажи!D344</f>
        <v>$95</v>
      </c>
      <c r="F345" s="11" t="str">
        <f>RAW_Продажи!E344</f>
        <v>C0343</v>
      </c>
      <c r="G345" s="11" t="str">
        <f>RAW_Продажи!F344</f>
        <v>P038</v>
      </c>
      <c r="H345" s="11" t="str">
        <f>RAW_Продажи!G344</f>
        <v>завершен</v>
      </c>
      <c r="I345" s="12" t="str">
        <f t="shared" si="190"/>
        <v>030</v>
      </c>
      <c r="J345" s="12" t="str">
        <f t="shared" si="191"/>
        <v>$</v>
      </c>
      <c r="K345" s="12">
        <f t="shared" si="192"/>
        <v>95</v>
      </c>
      <c r="L345" s="19">
        <f t="shared" si="193"/>
        <v>45843</v>
      </c>
      <c r="M345" s="13" t="str">
        <f t="shared" si="194"/>
        <v>АРТ-030</v>
      </c>
      <c r="N345" s="13">
        <f t="shared" si="195"/>
        <v>1</v>
      </c>
      <c r="O345" s="13" t="str">
        <f>IFERROR(VLOOKUP(J345,Справочники!$G$6:$H$8,2,0),"RUB")</f>
        <v>USD</v>
      </c>
      <c r="P345" s="14">
        <f>ROUND(K345*IFERROR(VLOOKUP(J345,Справочники!$G$6:$I$8,3,0),1),2)</f>
        <v>9025</v>
      </c>
      <c r="Q345" s="13" t="str">
        <f>IFERROR(VLOOKUP(H345,Справочники!$D$6:$E$14,2,0),"НЕИЗВЕСТНО")</f>
        <v>Завершен</v>
      </c>
      <c r="R345" s="20">
        <f>IFERROR(INDEX(Товары_очищенные!$Q$3:$Q$503,MATCH(M345,Товары_очищенные!$L$3:$L$503,0)),"нет в каталоге")</f>
        <v>10500</v>
      </c>
      <c r="S345" s="21" t="str">
        <f>IFERROR(INDEX(Товары_очищенные!$N$3:$N$503,MATCH(M345,Товары_очищенные!$L$3:$L$503,0)),"нет в каталоге")</f>
        <v>Аксессуары</v>
      </c>
      <c r="T345" s="21" t="str">
        <f t="shared" si="196"/>
        <v>OK</v>
      </c>
      <c r="U345" s="12" t="str">
        <f t="shared" si="197"/>
        <v>05/07/2025|АРТ-030|C0343</v>
      </c>
      <c r="V345" s="12" t="str">
        <f t="shared" si="198"/>
        <v>оригинал</v>
      </c>
    </row>
    <row r="346" ht="15" customHeight="1">
      <c r="A346" s="10">
        <v>344</v>
      </c>
      <c r="B346" s="11" t="str">
        <f>RAW_Продажи!A345</f>
        <v>07/05/2025</v>
      </c>
      <c r="C346" s="11" t="str">
        <f>RAW_Продажи!B345</f>
        <v>АРТ_493</v>
      </c>
      <c r="D346" s="11" t="str">
        <f>RAW_Продажи!C345</f>
        <v>2</v>
      </c>
      <c r="E346" s="11" t="str">
        <f>RAW_Продажи!D345</f>
        <v>€75</v>
      </c>
      <c r="F346" s="11" t="str">
        <f>RAW_Продажи!E345</f>
        <v>C0344</v>
      </c>
      <c r="G346" s="11" t="str">
        <f>RAW_Продажи!F345</f>
        <v>P016</v>
      </c>
      <c r="H346" s="11" t="str">
        <f>RAW_Продажи!G345</f>
        <v>completed</v>
      </c>
      <c r="I346" s="12" t="str">
        <f t="shared" si="190"/>
        <v>493</v>
      </c>
      <c r="J346" s="12" t="str">
        <f t="shared" si="191"/>
        <v>€</v>
      </c>
      <c r="K346" s="12">
        <f t="shared" si="192"/>
        <v>75</v>
      </c>
      <c r="L346" s="19">
        <f t="shared" si="193"/>
        <v>45843</v>
      </c>
      <c r="M346" s="13" t="str">
        <f t="shared" si="194"/>
        <v>АРТ-493</v>
      </c>
      <c r="N346" s="13">
        <f t="shared" si="195"/>
        <v>2</v>
      </c>
      <c r="O346" s="13" t="str">
        <f>IFERROR(VLOOKUP(J346,Справочники!$G$6:$H$8,2,0),"RUB")</f>
        <v>EUR</v>
      </c>
      <c r="P346" s="14">
        <f>ROUND(K346*IFERROR(VLOOKUP(J346,Справочники!$G$6:$I$8,3,0),1),2)</f>
        <v>7500</v>
      </c>
      <c r="Q346" s="13" t="str">
        <f>IFERROR(VLOOKUP(H346,Справочники!$D$6:$E$14,2,0),"НЕИЗВЕСТНО")</f>
        <v>Завершен</v>
      </c>
      <c r="R346" s="20">
        <f>IFERROR(INDEX(Товары_очищенные!$Q$3:$Q$503,MATCH(M346,Товары_очищенные!$L$3:$L$503,0)),"нет в каталоге")</f>
        <v>14990</v>
      </c>
      <c r="S346" s="21" t="str">
        <f>IFERROR(INDEX(Товары_очищенные!$N$3:$N$503,MATCH(M346,Товары_очищенные!$L$3:$L$503,0)),"нет в каталоге")</f>
        <v>Наушники</v>
      </c>
      <c r="T346" s="21" t="str">
        <f t="shared" si="196"/>
        <v>OK</v>
      </c>
      <c r="U346" s="12" t="str">
        <f t="shared" si="197"/>
        <v>05/07/2025|АРТ-493|C0344</v>
      </c>
      <c r="V346" s="12" t="str">
        <f t="shared" si="198"/>
        <v>оригинал</v>
      </c>
    </row>
    <row r="347" ht="15" customHeight="1">
      <c r="A347" s="10">
        <v>345</v>
      </c>
      <c r="B347" s="11" t="str">
        <f>RAW_Продажи!A346</f>
        <v>07/06/2025</v>
      </c>
      <c r="C347" s="11" t="str">
        <f>RAW_Продажи!B346</f>
        <v>313/24</v>
      </c>
      <c r="D347" s="11" t="str">
        <f>RAW_Продажи!C346</f>
        <v xml:space="preserve">3 шт.</v>
      </c>
      <c r="E347" s="11" t="str">
        <f>RAW_Продажи!D346</f>
        <v xml:space="preserve">7000 ₽</v>
      </c>
      <c r="F347" s="11" t="str">
        <f>RAW_Продажи!E346</f>
        <v>C0345</v>
      </c>
      <c r="G347" s="11" t="str">
        <f>RAW_Продажи!F346</f>
        <v>P029</v>
      </c>
      <c r="H347" s="11" t="str">
        <f>RAW_Продажи!G346</f>
        <v>Завершен</v>
      </c>
      <c r="I347" s="12" t="str">
        <f t="shared" si="190"/>
        <v>313/24</v>
      </c>
      <c r="J347" s="12" t="str">
        <f t="shared" si="191"/>
        <v>₽</v>
      </c>
      <c r="K347" s="12">
        <f t="shared" si="192"/>
        <v>7000</v>
      </c>
      <c r="L347" s="19">
        <f t="shared" si="193"/>
        <v>45844</v>
      </c>
      <c r="M347" s="13" t="str">
        <f t="shared" si="194"/>
        <v>АРТ-313</v>
      </c>
      <c r="N347" s="13">
        <f t="shared" si="195"/>
        <v>3</v>
      </c>
      <c r="O347" s="13" t="str">
        <f>IFERROR(VLOOKUP(J347,Справочники!$G$6:$H$8,2,0),"RUB")</f>
        <v>RUB</v>
      </c>
      <c r="P347" s="14">
        <f>ROUND(K347*IFERROR(VLOOKUP(J347,Справочники!$G$6:$I$8,3,0),1),2)</f>
        <v>7000</v>
      </c>
      <c r="Q347" s="13" t="str">
        <f>IFERROR(VLOOKUP(H347,Справочники!$D$6:$E$14,2,0),"НЕИЗВЕСТНО")</f>
        <v>Завершен</v>
      </c>
      <c r="R347" s="20">
        <f>IFERROR(INDEX(Товары_очищенные!$Q$3:$Q$503,MATCH(M347,Товары_очищенные!$L$3:$L$503,0)),"нет в каталоге")</f>
        <v>69990</v>
      </c>
      <c r="S347" s="21" t="str">
        <f>IFERROR(INDEX(Товары_очищенные!$N$3:$N$503,MATCH(M347,Товары_очищенные!$L$3:$L$503,0)),"нет в каталоге")</f>
        <v>Смартфоны</v>
      </c>
      <c r="T347" s="21" t="str">
        <f t="shared" si="196"/>
        <v>OK</v>
      </c>
      <c r="U347" s="12" t="str">
        <f t="shared" si="197"/>
        <v>06/07/2025|АРТ-313|C0345</v>
      </c>
      <c r="V347" s="12" t="str">
        <f t="shared" si="198"/>
        <v>оригинал</v>
      </c>
    </row>
    <row r="348" ht="15" customHeight="1">
      <c r="A348" s="10">
        <v>346</v>
      </c>
      <c r="B348" s="11" t="str">
        <f>RAW_Продажи!A347</f>
        <v>07/06/2025</v>
      </c>
      <c r="C348" s="11" t="str">
        <f>RAW_Продажи!B347</f>
        <v>№АРТ-200</v>
      </c>
      <c r="D348" s="11" t="str">
        <f>RAW_Продажи!C347</f>
        <v>-2</v>
      </c>
      <c r="E348" s="11" t="str">
        <f>RAW_Продажи!D347</f>
        <v>$115</v>
      </c>
      <c r="F348" s="11" t="str">
        <f>RAW_Продажи!E347</f>
        <v>C0346</v>
      </c>
      <c r="G348" s="11" t="str">
        <f>RAW_Продажи!F347</f>
        <v>P035</v>
      </c>
      <c r="H348" s="11" t="str">
        <f>RAW_Продажи!G347</f>
        <v>canceled</v>
      </c>
      <c r="I348" s="12" t="str">
        <f t="shared" si="190"/>
        <v>200</v>
      </c>
      <c r="J348" s="12" t="str">
        <f t="shared" si="191"/>
        <v>$</v>
      </c>
      <c r="K348" s="12">
        <f t="shared" si="192"/>
        <v>115</v>
      </c>
      <c r="L348" s="19">
        <f t="shared" si="193"/>
        <v>45844</v>
      </c>
      <c r="M348" s="13" t="str">
        <f t="shared" si="194"/>
        <v>АРТ-200</v>
      </c>
      <c r="N348" s="13">
        <f t="shared" si="195"/>
        <v>-2</v>
      </c>
      <c r="O348" s="13" t="str">
        <f>IFERROR(VLOOKUP(J348,Справочники!$G$6:$H$8,2,0),"RUB")</f>
        <v>USD</v>
      </c>
      <c r="P348" s="14">
        <f>ROUND(K348*IFERROR(VLOOKUP(J348,Справочники!$G$6:$I$8,3,0),1),2)</f>
        <v>10925</v>
      </c>
      <c r="Q348" s="13" t="str">
        <f>IFERROR(VLOOKUP(H348,Справочники!$D$6:$E$14,2,0),"НЕИЗВЕСТНО")</f>
        <v>Отменен</v>
      </c>
      <c r="R348" s="20">
        <f>IFERROR(INDEX(Товары_очищенные!$Q$3:$Q$503,MATCH(M348,Товары_очищенные!$L$3:$L$503,0)),"нет в каталоге")</f>
        <v>93000</v>
      </c>
      <c r="S348" s="21" t="str">
        <f>IFERROR(INDEX(Товары_очищенные!$N$3:$N$503,MATCH(M348,Товары_очищенные!$L$3:$L$503,0)),"нет в каталоге")</f>
        <v>Телевизоры</v>
      </c>
      <c r="T348" s="21" t="str">
        <f t="shared" si="196"/>
        <v>OK</v>
      </c>
      <c r="U348" s="12" t="str">
        <f t="shared" si="197"/>
        <v>06/07/2025|АРТ-200|C0346</v>
      </c>
      <c r="V348" s="12" t="str">
        <f t="shared" si="198"/>
        <v>оригинал</v>
      </c>
    </row>
    <row r="349" ht="15" customHeight="1">
      <c r="A349" s="10">
        <v>347</v>
      </c>
      <c r="B349" s="11" t="str">
        <f>RAW_Продажи!A348</f>
        <v>07/07/2025</v>
      </c>
      <c r="C349" s="11" t="str">
        <f>RAW_Продажи!B348</f>
        <v>АРТ_253</v>
      </c>
      <c r="D349" s="11" t="str">
        <f>RAW_Продажи!C348</f>
        <v>1</v>
      </c>
      <c r="E349" s="11" t="str">
        <f>RAW_Продажи!D348</f>
        <v>€95</v>
      </c>
      <c r="F349" s="11" t="str">
        <f>RAW_Продажи!E348</f>
        <v>C0347</v>
      </c>
      <c r="G349" s="11" t="str">
        <f>RAW_Продажи!F348</f>
        <v>P046</v>
      </c>
      <c r="H349" s="11" t="str">
        <f>RAW_Продажи!G348</f>
        <v>отменен</v>
      </c>
      <c r="I349" s="12" t="str">
        <f t="shared" si="190"/>
        <v>253</v>
      </c>
      <c r="J349" s="12" t="str">
        <f t="shared" si="191"/>
        <v>€</v>
      </c>
      <c r="K349" s="12">
        <f t="shared" si="192"/>
        <v>95</v>
      </c>
      <c r="L349" s="19">
        <f t="shared" si="193"/>
        <v>45845</v>
      </c>
      <c r="M349" s="13" t="str">
        <f t="shared" si="194"/>
        <v>АРТ-253</v>
      </c>
      <c r="N349" s="13">
        <f t="shared" si="195"/>
        <v>1</v>
      </c>
      <c r="O349" s="13" t="str">
        <f>IFERROR(VLOOKUP(J349,Справочники!$G$6:$H$8,2,0),"RUB")</f>
        <v>EUR</v>
      </c>
      <c r="P349" s="14">
        <f>ROUND(K349*IFERROR(VLOOKUP(J349,Справочники!$G$6:$I$8,3,0),1),2)</f>
        <v>9500</v>
      </c>
      <c r="Q349" s="13" t="str">
        <f>IFERROR(VLOOKUP(H349,Справочники!$D$6:$E$14,2,0),"НЕИЗВЕСТНО")</f>
        <v>Отменен</v>
      </c>
      <c r="R349" s="20">
        <f>IFERROR(INDEX(Товары_очищенные!$Q$3:$Q$503,MATCH(M349,Товары_очищенные!$L$3:$L$503,0)),"нет в каталоге")</f>
        <v>159990</v>
      </c>
      <c r="S349" s="21" t="str">
        <f>IFERROR(INDEX(Товары_очищенные!$N$3:$N$503,MATCH(M349,Товары_очищенные!$L$3:$L$503,0)),"нет в каталоге")</f>
        <v>Ноутбуки</v>
      </c>
      <c r="T349" s="21" t="str">
        <f t="shared" si="196"/>
        <v>OK</v>
      </c>
      <c r="U349" s="12" t="str">
        <f t="shared" si="197"/>
        <v>07/07/2025|АРТ-253|C0347</v>
      </c>
      <c r="V349" s="12" t="str">
        <f t="shared" si="198"/>
        <v>оригинал</v>
      </c>
    </row>
    <row r="350" ht="15" customHeight="1">
      <c r="A350" s="10">
        <v>348</v>
      </c>
      <c r="B350" s="11" t="str">
        <f>RAW_Продажи!A349</f>
        <v>07/07/2025</v>
      </c>
      <c r="C350" s="11" t="str">
        <f>RAW_Продажи!B349</f>
        <v>105-24</v>
      </c>
      <c r="D350" s="11" t="str">
        <f>RAW_Продажи!C349</f>
        <v>2</v>
      </c>
      <c r="E350" s="11" t="str">
        <f>RAW_Продажи!D349</f>
        <v xml:space="preserve">8500 ₽</v>
      </c>
      <c r="F350" s="11" t="str">
        <f>RAW_Продажи!E349</f>
        <v>C0348</v>
      </c>
      <c r="G350" s="11" t="str">
        <f>RAW_Продажи!F349</f>
        <v>P022</v>
      </c>
      <c r="H350" s="11" t="str">
        <f>RAW_Продажи!G349</f>
        <v>возврат</v>
      </c>
      <c r="I350" s="12" t="str">
        <f t="shared" si="190"/>
        <v>105-24</v>
      </c>
      <c r="J350" s="12" t="str">
        <f t="shared" si="191"/>
        <v>₽</v>
      </c>
      <c r="K350" s="12">
        <f t="shared" si="192"/>
        <v>8500</v>
      </c>
      <c r="L350" s="19">
        <f t="shared" si="193"/>
        <v>45845</v>
      </c>
      <c r="M350" s="13" t="str">
        <f t="shared" si="194"/>
        <v>АРТ-105</v>
      </c>
      <c r="N350" s="13">
        <f t="shared" si="195"/>
        <v>2</v>
      </c>
      <c r="O350" s="13" t="str">
        <f>IFERROR(VLOOKUP(J350,Справочники!$G$6:$H$8,2,0),"RUB")</f>
        <v>RUB</v>
      </c>
      <c r="P350" s="14">
        <f>ROUND(K350*IFERROR(VLOOKUP(J350,Справочники!$G$6:$I$8,3,0),1),2)</f>
        <v>8500</v>
      </c>
      <c r="Q350" s="13" t="str">
        <f>IFERROR(VLOOKUP(H350,Справочники!$D$6:$E$14,2,0),"НЕИЗВЕСТНО")</f>
        <v>Возврат</v>
      </c>
      <c r="R350" s="20">
        <f>IFERROR(INDEX(Товары_очищенные!$Q$3:$Q$503,MATCH(M350,Товары_очищенные!$L$3:$L$503,0)),"нет в каталоге")</f>
        <v>152000</v>
      </c>
      <c r="S350" s="21" t="str">
        <f>IFERROR(INDEX(Товары_очищенные!$N$3:$N$503,MATCH(M350,Товары_очищенные!$L$3:$L$503,0)),"нет в каталоге")</f>
        <v>Ноутбуки</v>
      </c>
      <c r="T350" s="21" t="str">
        <f t="shared" si="196"/>
        <v>OK</v>
      </c>
      <c r="U350" s="12" t="str">
        <f t="shared" si="197"/>
        <v>07/07/2025|АРТ-105|C0348</v>
      </c>
      <c r="V350" s="12" t="str">
        <f t="shared" si="198"/>
        <v>оригинал</v>
      </c>
    </row>
    <row r="351" ht="15" customHeight="1">
      <c r="A351" s="10">
        <v>349</v>
      </c>
      <c r="B351" s="11" t="str">
        <f>RAW_Продажи!A350</f>
        <v>07/08/2025</v>
      </c>
      <c r="C351" s="11" t="str">
        <f>RAW_Продажи!B350</f>
        <v>№АРТ-148</v>
      </c>
      <c r="D351" s="11" t="str">
        <f>RAW_Продажи!C350</f>
        <v>3</v>
      </c>
      <c r="E351" s="11" t="str">
        <f>RAW_Продажи!D350</f>
        <v>$105</v>
      </c>
      <c r="F351" s="11" t="str">
        <f>RAW_Продажи!E350</f>
        <v>C0349</v>
      </c>
      <c r="G351" s="11" t="str">
        <f>RAW_Продажи!F350</f>
        <v>P043</v>
      </c>
      <c r="H351" s="11" t="str">
        <f>RAW_Продажи!G350</f>
        <v>Завершен</v>
      </c>
      <c r="I351" s="12" t="str">
        <f t="shared" si="190"/>
        <v>148</v>
      </c>
      <c r="J351" s="12" t="str">
        <f t="shared" si="191"/>
        <v>$</v>
      </c>
      <c r="K351" s="12">
        <f t="shared" si="192"/>
        <v>105</v>
      </c>
      <c r="L351" s="19">
        <f t="shared" si="193"/>
        <v>45846</v>
      </c>
      <c r="M351" s="13" t="str">
        <f t="shared" si="194"/>
        <v>АРТ-148</v>
      </c>
      <c r="N351" s="13">
        <f t="shared" si="195"/>
        <v>3</v>
      </c>
      <c r="O351" s="13" t="str">
        <f>IFERROR(VLOOKUP(J351,Справочники!$G$6:$H$8,2,0),"RUB")</f>
        <v>USD</v>
      </c>
      <c r="P351" s="14">
        <f>ROUND(K351*IFERROR(VLOOKUP(J351,Справочники!$G$6:$I$8,3,0),1),2)</f>
        <v>9975</v>
      </c>
      <c r="Q351" s="13" t="str">
        <f>IFERROR(VLOOKUP(H351,Справочники!$D$6:$E$14,2,0),"НЕИЗВЕСТНО")</f>
        <v>Завершен</v>
      </c>
      <c r="R351" s="20">
        <f>IFERROR(INDEX(Товары_очищенные!$Q$3:$Q$503,MATCH(M351,Товары_очищенные!$L$3:$L$503,0)),"нет в каталоге")</f>
        <v>139990</v>
      </c>
      <c r="S351" s="21" t="str">
        <f>IFERROR(INDEX(Товары_очищенные!$N$3:$N$503,MATCH(M351,Товары_очищенные!$L$3:$L$503,0)),"нет в каталоге")</f>
        <v>Ноутбуки</v>
      </c>
      <c r="T351" s="21" t="str">
        <f t="shared" si="196"/>
        <v>OK</v>
      </c>
      <c r="U351" s="12" t="str">
        <f t="shared" si="197"/>
        <v>08/07/2025|АРТ-148|C0349</v>
      </c>
      <c r="V351" s="12" t="str">
        <f t="shared" si="198"/>
        <v>оригинал</v>
      </c>
    </row>
    <row r="352" ht="15" customHeight="1">
      <c r="A352" s="10">
        <v>350</v>
      </c>
      <c r="B352" s="11" t="str">
        <f>RAW_Продажи!A351</f>
        <v>07/08/2025</v>
      </c>
      <c r="C352" s="11" t="str">
        <f>RAW_Продажи!B351</f>
        <v>АРТ_490</v>
      </c>
      <c r="D352" s="11" t="str">
        <f>RAW_Продажи!C351</f>
        <v>2</v>
      </c>
      <c r="E352" s="11" t="str">
        <f>RAW_Продажи!D351</f>
        <v>€85</v>
      </c>
      <c r="F352" s="11" t="str">
        <f>RAW_Продажи!E351</f>
        <v>C0350</v>
      </c>
      <c r="G352" s="11" t="str">
        <f>RAW_Продажи!F351</f>
        <v>P030</v>
      </c>
      <c r="H352" s="11" t="str">
        <f>RAW_Продажи!G351</f>
        <v>завершен</v>
      </c>
      <c r="I352" s="12" t="str">
        <f t="shared" si="190"/>
        <v>490</v>
      </c>
      <c r="J352" s="12" t="str">
        <f t="shared" si="191"/>
        <v>€</v>
      </c>
      <c r="K352" s="12">
        <f t="shared" si="192"/>
        <v>85</v>
      </c>
      <c r="L352" s="19">
        <f t="shared" si="193"/>
        <v>45846</v>
      </c>
      <c r="M352" s="13" t="str">
        <f t="shared" si="194"/>
        <v>АРТ-490</v>
      </c>
      <c r="N352" s="13">
        <f t="shared" si="195"/>
        <v>2</v>
      </c>
      <c r="O352" s="13" t="str">
        <f>IFERROR(VLOOKUP(J352,Справочники!$G$6:$H$8,2,0),"RUB")</f>
        <v>EUR</v>
      </c>
      <c r="P352" s="14">
        <f>ROUND(K352*IFERROR(VLOOKUP(J352,Справочники!$G$6:$I$8,3,0),1),2)</f>
        <v>8500</v>
      </c>
      <c r="Q352" s="13" t="str">
        <f>IFERROR(VLOOKUP(H352,Справочники!$D$6:$E$14,2,0),"НЕИЗВЕСТНО")</f>
        <v>Завершен</v>
      </c>
      <c r="R352" s="20">
        <f>IFERROR(INDEX(Товары_очищенные!$Q$3:$Q$503,MATCH(M352,Товары_очищенные!$L$3:$L$503,0)),"нет в каталоге")</f>
        <v>61990</v>
      </c>
      <c r="S352" s="21" t="str">
        <f>IFERROR(INDEX(Товары_очищенные!$N$3:$N$503,MATCH(M352,Товары_очищенные!$L$3:$L$503,0)),"нет в каталоге")</f>
        <v>Телевизоры</v>
      </c>
      <c r="T352" s="21" t="str">
        <f t="shared" si="196"/>
        <v>OK</v>
      </c>
      <c r="U352" s="12" t="str">
        <f t="shared" si="197"/>
        <v>08/07/2025|АРТ-490|C0350</v>
      </c>
      <c r="V352" s="12" t="str">
        <f t="shared" si="198"/>
        <v>оригинал</v>
      </c>
    </row>
    <row r="353" ht="15" customHeight="1">
      <c r="A353" s="10">
        <v>351</v>
      </c>
      <c r="B353" s="11" t="str">
        <f>RAW_Продажи!A352</f>
        <v>07/09/2025</v>
      </c>
      <c r="C353" s="11" t="str">
        <f>RAW_Продажи!B352</f>
        <v>369/24</v>
      </c>
      <c r="D353" s="11" t="str">
        <f>RAW_Продажи!C352</f>
        <v xml:space="preserve">1 шт.</v>
      </c>
      <c r="E353" s="11" t="str">
        <f>RAW_Продажи!D352</f>
        <v xml:space="preserve">7800 ₽</v>
      </c>
      <c r="F353" s="11" t="str">
        <f>RAW_Продажи!E352</f>
        <v>C0351</v>
      </c>
      <c r="G353" s="11" t="str">
        <f>RAW_Продажи!F352</f>
        <v>P012</v>
      </c>
      <c r="H353" s="11" t="str">
        <f>RAW_Продажи!G352</f>
        <v>completed</v>
      </c>
      <c r="I353" s="12" t="str">
        <f t="shared" si="190"/>
        <v>369/24</v>
      </c>
      <c r="J353" s="12" t="str">
        <f t="shared" si="191"/>
        <v>₽</v>
      </c>
      <c r="K353" s="12">
        <f t="shared" si="192"/>
        <v>7800</v>
      </c>
      <c r="L353" s="19">
        <f t="shared" si="193"/>
        <v>45847</v>
      </c>
      <c r="M353" s="13" t="str">
        <f t="shared" si="194"/>
        <v>АРТ-369</v>
      </c>
      <c r="N353" s="13">
        <f t="shared" si="195"/>
        <v>1</v>
      </c>
      <c r="O353" s="13" t="str">
        <f>IFERROR(VLOOKUP(J353,Справочники!$G$6:$H$8,2,0),"RUB")</f>
        <v>RUB</v>
      </c>
      <c r="P353" s="14">
        <f>ROUND(K353*IFERROR(VLOOKUP(J353,Справочники!$G$6:$I$8,3,0),1),2)</f>
        <v>7800</v>
      </c>
      <c r="Q353" s="13" t="str">
        <f>IFERROR(VLOOKUP(H353,Справочники!$D$6:$E$14,2,0),"НЕИЗВЕСТНО")</f>
        <v>Завершен</v>
      </c>
      <c r="R353" s="20">
        <f>IFERROR(INDEX(Товары_очищенные!$Q$3:$Q$503,MATCH(M353,Товары_очищенные!$L$3:$L$503,0)),"нет в каталоге")</f>
        <v>20800</v>
      </c>
      <c r="S353" s="21" t="str">
        <f>IFERROR(INDEX(Товары_очищенные!$N$3:$N$503,MATCH(M353,Товары_очищенные!$L$3:$L$503,0)),"нет в каталоге")</f>
        <v>Наушники</v>
      </c>
      <c r="T353" s="21" t="str">
        <f t="shared" si="196"/>
        <v>OK</v>
      </c>
      <c r="U353" s="12" t="str">
        <f t="shared" si="197"/>
        <v>09/07/2025|АРТ-369|C0351</v>
      </c>
      <c r="V353" s="12" t="str">
        <f t="shared" si="198"/>
        <v>оригинал</v>
      </c>
    </row>
    <row r="354" ht="15" customHeight="1">
      <c r="A354" s="10">
        <v>352</v>
      </c>
      <c r="B354" s="11" t="str">
        <f>RAW_Продажи!A353</f>
        <v>07/09/2025</v>
      </c>
      <c r="C354" s="11" t="str">
        <f>RAW_Продажи!B353</f>
        <v>№АРТ-423</v>
      </c>
      <c r="D354" s="11" t="str">
        <f>RAW_Продажи!C353</f>
        <v>-3</v>
      </c>
      <c r="E354" s="11" t="str">
        <f>RAW_Продажи!D353</f>
        <v>$120</v>
      </c>
      <c r="F354" s="11" t="str">
        <f>RAW_Продажи!E353</f>
        <v>C0352</v>
      </c>
      <c r="G354" s="11" t="str">
        <f>RAW_Продажи!F353</f>
        <v>P007</v>
      </c>
      <c r="H354" s="11" t="str">
        <f>RAW_Продажи!G353</f>
        <v>отменен</v>
      </c>
      <c r="I354" s="12" t="str">
        <f t="shared" si="190"/>
        <v>423</v>
      </c>
      <c r="J354" s="12" t="str">
        <f t="shared" si="191"/>
        <v>$</v>
      </c>
      <c r="K354" s="12">
        <f t="shared" si="192"/>
        <v>120</v>
      </c>
      <c r="L354" s="19">
        <f t="shared" si="193"/>
        <v>45847</v>
      </c>
      <c r="M354" s="13" t="str">
        <f t="shared" si="194"/>
        <v>АРТ-423</v>
      </c>
      <c r="N354" s="13">
        <f t="shared" si="195"/>
        <v>-3</v>
      </c>
      <c r="O354" s="13" t="str">
        <f>IFERROR(VLOOKUP(J354,Справочники!$G$6:$H$8,2,0),"RUB")</f>
        <v>USD</v>
      </c>
      <c r="P354" s="14">
        <f>ROUND(K354*IFERROR(VLOOKUP(J354,Справочники!$G$6:$I$8,3,0),1),2)</f>
        <v>11400</v>
      </c>
      <c r="Q354" s="13" t="str">
        <f>IFERROR(VLOOKUP(H354,Справочники!$D$6:$E$14,2,0),"НЕИЗВЕСТНО")</f>
        <v>Отменен</v>
      </c>
      <c r="R354" s="20">
        <f>IFERROR(INDEX(Товары_очищенные!$Q$3:$Q$503,MATCH(M354,Товары_очищенные!$L$3:$L$503,0)),"нет в каталоге")</f>
        <v>129500</v>
      </c>
      <c r="S354" s="21" t="str">
        <f>IFERROR(INDEX(Товары_очищенные!$N$3:$N$503,MATCH(M354,Товары_очищенные!$L$3:$L$503,0)),"нет в каталоге")</f>
        <v>Ноутбуки</v>
      </c>
      <c r="T354" s="21" t="str">
        <f t="shared" si="196"/>
        <v>OK</v>
      </c>
      <c r="U354" s="12" t="str">
        <f t="shared" si="197"/>
        <v>09/07/2025|АРТ-423|C0352</v>
      </c>
      <c r="V354" s="12" t="str">
        <f t="shared" si="198"/>
        <v>оригинал</v>
      </c>
    </row>
    <row r="355" ht="15" customHeight="1">
      <c r="A355" s="10">
        <v>353</v>
      </c>
      <c r="B355" s="11" t="str">
        <f>RAW_Продажи!A354</f>
        <v>07/10/2025</v>
      </c>
      <c r="C355" s="11" t="str">
        <f>RAW_Продажи!B354</f>
        <v>АРТ_328</v>
      </c>
      <c r="D355" s="11" t="str">
        <f>RAW_Продажи!C354</f>
        <v>2</v>
      </c>
      <c r="E355" s="11" t="str">
        <f>RAW_Продажи!D354</f>
        <v>€100</v>
      </c>
      <c r="F355" s="11" t="str">
        <f>RAW_Продажи!E354</f>
        <v>C0353</v>
      </c>
      <c r="G355" s="11" t="str">
        <f>RAW_Продажи!F354</f>
        <v>P023</v>
      </c>
      <c r="H355" s="11" t="str">
        <f>RAW_Продажи!G354</f>
        <v>canceled</v>
      </c>
      <c r="I355" s="12" t="str">
        <f t="shared" si="190"/>
        <v>328</v>
      </c>
      <c r="J355" s="12" t="str">
        <f t="shared" si="191"/>
        <v>€</v>
      </c>
      <c r="K355" s="12">
        <f t="shared" si="192"/>
        <v>100</v>
      </c>
      <c r="L355" s="19">
        <f t="shared" si="193"/>
        <v>45848</v>
      </c>
      <c r="M355" s="13" t="str">
        <f t="shared" si="194"/>
        <v>АРТ-328</v>
      </c>
      <c r="N355" s="13">
        <f t="shared" si="195"/>
        <v>2</v>
      </c>
      <c r="O355" s="13" t="str">
        <f>IFERROR(VLOOKUP(J355,Справочники!$G$6:$H$8,2,0),"RUB")</f>
        <v>EUR</v>
      </c>
      <c r="P355" s="14">
        <f>ROUND(K355*IFERROR(VLOOKUP(J355,Справочники!$G$6:$I$8,3,0),1),2)</f>
        <v>10000</v>
      </c>
      <c r="Q355" s="13" t="str">
        <f>IFERROR(VLOOKUP(H355,Справочники!$D$6:$E$14,2,0),"НЕИЗВЕСТНО")</f>
        <v>Отменен</v>
      </c>
      <c r="R355" s="20">
        <f>IFERROR(INDEX(Товары_очищенные!$Q$3:$Q$503,MATCH(M355,Товары_очищенные!$L$3:$L$503,0)),"нет в каталоге")</f>
        <v>11990</v>
      </c>
      <c r="S355" s="21" t="str">
        <f>IFERROR(INDEX(Товары_очищенные!$N$3:$N$503,MATCH(M355,Товары_очищенные!$L$3:$L$503,0)),"нет в каталоге")</f>
        <v>Аксессуары</v>
      </c>
      <c r="T355" s="21" t="str">
        <f t="shared" si="196"/>
        <v>OK</v>
      </c>
      <c r="U355" s="12" t="str">
        <f t="shared" si="197"/>
        <v>10/07/2025|АРТ-328|C0353</v>
      </c>
      <c r="V355" s="12" t="str">
        <f t="shared" si="198"/>
        <v>оригинал</v>
      </c>
    </row>
    <row r="356" ht="15" customHeight="1">
      <c r="A356" s="10">
        <v>354</v>
      </c>
      <c r="B356" s="11" t="str">
        <f>RAW_Продажи!A355</f>
        <v>07/10/2025</v>
      </c>
      <c r="C356" s="11" t="str">
        <f>RAW_Продажи!B355</f>
        <v>289-24</v>
      </c>
      <c r="D356" s="11" t="str">
        <f>RAW_Продажи!C355</f>
        <v>1</v>
      </c>
      <c r="E356" s="11" t="str">
        <f>RAW_Продажи!D355</f>
        <v xml:space="preserve">9200 ₽</v>
      </c>
      <c r="F356" s="11" t="str">
        <f>RAW_Продажи!E355</f>
        <v>C0354</v>
      </c>
      <c r="G356" s="11" t="str">
        <f>RAW_Продажи!F355</f>
        <v>P045</v>
      </c>
      <c r="H356" s="11" t="str">
        <f>RAW_Продажи!G355</f>
        <v>Завершен</v>
      </c>
      <c r="I356" s="12" t="str">
        <f t="shared" ref="I356:I419" si="199">SUBSTITUTE(SUBSTITUTE(C356,"№АРТ-",""),"АРТ_","")</f>
        <v>289-24</v>
      </c>
      <c r="J356" s="12" t="str">
        <f t="shared" ref="J356:J419" si="200">IF(LEFT(TRIM(E356),1)="$","$",IF(LEFT(TRIM(E356),1)="€","€","₽"))</f>
        <v>₽</v>
      </c>
      <c r="K356" s="12">
        <f t="shared" ref="K356:K419" si="201">VALUE(SUBSTITUTE(SUBSTITUTE(SUBSTITUTE(SUBSTITUTE(TRIM(E356),"$",""),"€",""),"₽","")," ",""))</f>
        <v>9200</v>
      </c>
      <c r="L356" s="19">
        <f t="shared" ref="L356:L419" si="202">DATE(VALUE(MID(B356,7,4)),VALUE(LEFT(B356,2)),VALUE(MID(B356,4,2)))</f>
        <v>45848</v>
      </c>
      <c r="M356" s="13" t="str">
        <f t="shared" ref="M356:M419" si="203">"АРТ-"&amp;LEFT(I356,3)</f>
        <v>АРТ-289</v>
      </c>
      <c r="N356" s="13">
        <f t="shared" ref="N356:N419" si="204">VALUE(LEFT(TRIM(D356),FIND(" ",TRIM(D356)&amp;" ")-1))</f>
        <v>1</v>
      </c>
      <c r="O356" s="13" t="str">
        <f>IFERROR(VLOOKUP(J356,Справочники!$G$6:$H$8,2,0),"RUB")</f>
        <v>RUB</v>
      </c>
      <c r="P356" s="14">
        <f>ROUND(K356*IFERROR(VLOOKUP(J356,Справочники!$G$6:$I$8,3,0),1),2)</f>
        <v>9200</v>
      </c>
      <c r="Q356" s="13" t="str">
        <f>IFERROR(VLOOKUP(H356,Справочники!$D$6:$E$14,2,0),"НЕИЗВЕСТНО")</f>
        <v>Завершен</v>
      </c>
      <c r="R356" s="20">
        <f>IFERROR(INDEX(Товары_очищенные!$Q$3:$Q$503,MATCH(M356,Товары_очищенные!$L$3:$L$503,0)),"нет в каталоге")</f>
        <v>62990</v>
      </c>
      <c r="S356" s="21" t="str">
        <f>IFERROR(INDEX(Товары_очищенные!$N$3:$N$503,MATCH(M356,Товары_очищенные!$L$3:$L$503,0)),"нет в каталоге")</f>
        <v>Часы</v>
      </c>
      <c r="T356" s="21" t="str">
        <f t="shared" ref="T356:T419" si="205">IF(ISNUMBER(R356),IF(P356&lt;=R356*1.5,"OK","Цена выше розницы"),"—")</f>
        <v>OK</v>
      </c>
      <c r="U356" s="12" t="str">
        <f t="shared" ref="U356:U419" si="206">TEXT(L356,"DD.MM.YYYY")&amp;"|"&amp;M356&amp;"|"&amp;F356</f>
        <v>10/07/2025|АРТ-289|C0354</v>
      </c>
      <c r="V356" s="12" t="str">
        <f t="shared" ref="V356:V419" si="207">IF(COUNTIF($U$3:U356,U356)&gt;1,"ДУБЛЬ","оригинал")</f>
        <v>оригинал</v>
      </c>
    </row>
    <row r="357" ht="15" customHeight="1">
      <c r="A357" s="10">
        <v>355</v>
      </c>
      <c r="B357" s="11" t="str">
        <f>RAW_Продажи!A356</f>
        <v>07/11/2025</v>
      </c>
      <c r="C357" s="11" t="str">
        <f>RAW_Продажи!B356</f>
        <v>№АРТ-043</v>
      </c>
      <c r="D357" s="11" t="str">
        <f>RAW_Продажи!C356</f>
        <v>3</v>
      </c>
      <c r="E357" s="11" t="str">
        <f>RAW_Продажи!D356</f>
        <v>$90</v>
      </c>
      <c r="F357" s="11" t="str">
        <f>RAW_Продажи!E356</f>
        <v>C0355</v>
      </c>
      <c r="G357" s="11" t="str">
        <f>RAW_Продажи!F356</f>
        <v>P008</v>
      </c>
      <c r="H357" s="11" t="str">
        <f>RAW_Продажи!G356</f>
        <v>возврат</v>
      </c>
      <c r="I357" s="12" t="str">
        <f t="shared" si="199"/>
        <v>043</v>
      </c>
      <c r="J357" s="12" t="str">
        <f t="shared" si="200"/>
        <v>$</v>
      </c>
      <c r="K357" s="12">
        <f t="shared" si="201"/>
        <v>90</v>
      </c>
      <c r="L357" s="19">
        <f t="shared" si="202"/>
        <v>45849</v>
      </c>
      <c r="M357" s="13" t="str">
        <f t="shared" si="203"/>
        <v>АРТ-043</v>
      </c>
      <c r="N357" s="13">
        <f t="shared" si="204"/>
        <v>3</v>
      </c>
      <c r="O357" s="13" t="str">
        <f>IFERROR(VLOOKUP(J357,Справочники!$G$6:$H$8,2,0),"RUB")</f>
        <v>USD</v>
      </c>
      <c r="P357" s="14">
        <f>ROUND(K357*IFERROR(VLOOKUP(J357,Справочники!$G$6:$I$8,3,0),1),2)</f>
        <v>8550</v>
      </c>
      <c r="Q357" s="13" t="str">
        <f>IFERROR(VLOOKUP(H357,Справочники!$D$6:$E$14,2,0),"НЕИЗВЕСТНО")</f>
        <v>Возврат</v>
      </c>
      <c r="R357" s="20">
        <f>IFERROR(INDEX(Товары_очищенные!$Q$3:$Q$503,MATCH(M357,Товары_очищенные!$L$3:$L$503,0)),"нет в каталоге")</f>
        <v>134990</v>
      </c>
      <c r="S357" s="21" t="str">
        <f>IFERROR(INDEX(Товары_очищенные!$N$3:$N$503,MATCH(M357,Товары_очищенные!$L$3:$L$503,0)),"нет в каталоге")</f>
        <v>Телевизоры</v>
      </c>
      <c r="T357" s="21" t="str">
        <f t="shared" si="205"/>
        <v>OK</v>
      </c>
      <c r="U357" s="12" t="str">
        <f t="shared" si="206"/>
        <v>11/07/2025|АРТ-043|C0355</v>
      </c>
      <c r="V357" s="12" t="str">
        <f t="shared" si="207"/>
        <v>оригинал</v>
      </c>
    </row>
    <row r="358" ht="15" customHeight="1">
      <c r="A358" s="10">
        <v>356</v>
      </c>
      <c r="B358" s="11" t="str">
        <f>RAW_Продажи!A357</f>
        <v>07/11/2025</v>
      </c>
      <c r="C358" s="11" t="str">
        <f>RAW_Продажи!B357</f>
        <v>АРТ_466</v>
      </c>
      <c r="D358" s="11" t="str">
        <f>RAW_Продажи!C357</f>
        <v>2</v>
      </c>
      <c r="E358" s="11" t="str">
        <f>RAW_Продажи!D357</f>
        <v>€70</v>
      </c>
      <c r="F358" s="11" t="str">
        <f>RAW_Продажи!E357</f>
        <v>C0356</v>
      </c>
      <c r="G358" s="11" t="str">
        <f>RAW_Продажи!F357</f>
        <v>P031</v>
      </c>
      <c r="H358" s="11" t="str">
        <f>RAW_Продажи!G357</f>
        <v>завершен</v>
      </c>
      <c r="I358" s="12" t="str">
        <f t="shared" si="199"/>
        <v>466</v>
      </c>
      <c r="J358" s="12" t="str">
        <f t="shared" si="200"/>
        <v>€</v>
      </c>
      <c r="K358" s="12">
        <f t="shared" si="201"/>
        <v>70</v>
      </c>
      <c r="L358" s="19">
        <f t="shared" si="202"/>
        <v>45849</v>
      </c>
      <c r="M358" s="13" t="str">
        <f t="shared" si="203"/>
        <v>АРТ-466</v>
      </c>
      <c r="N358" s="13">
        <f t="shared" si="204"/>
        <v>2</v>
      </c>
      <c r="O358" s="13" t="str">
        <f>IFERROR(VLOOKUP(J358,Справочники!$G$6:$H$8,2,0),"RUB")</f>
        <v>EUR</v>
      </c>
      <c r="P358" s="14">
        <f>ROUND(K358*IFERROR(VLOOKUP(J358,Справочники!$G$6:$I$8,3,0),1),2)</f>
        <v>7000</v>
      </c>
      <c r="Q358" s="13" t="str">
        <f>IFERROR(VLOOKUP(H358,Справочники!$D$6:$E$14,2,0),"НЕИЗВЕСТНО")</f>
        <v>Завершен</v>
      </c>
      <c r="R358" s="20">
        <f>IFERROR(INDEX(Товары_очищенные!$Q$3:$Q$503,MATCH(M358,Товары_очищенные!$L$3:$L$503,0)),"нет в каталоге")</f>
        <v>22990</v>
      </c>
      <c r="S358" s="21" t="str">
        <f>IFERROR(INDEX(Товары_очищенные!$N$3:$N$503,MATCH(M358,Товары_очищенные!$L$3:$L$503,0)),"нет в каталоге")</f>
        <v>Смартфоны</v>
      </c>
      <c r="T358" s="21" t="str">
        <f t="shared" si="205"/>
        <v>OK</v>
      </c>
      <c r="U358" s="12" t="str">
        <f t="shared" si="206"/>
        <v>11/07/2025|АРТ-466|C0356</v>
      </c>
      <c r="V358" s="12" t="str">
        <f t="shared" si="207"/>
        <v>оригинал</v>
      </c>
    </row>
    <row r="359" ht="15" customHeight="1">
      <c r="A359" s="10">
        <v>357</v>
      </c>
      <c r="B359" s="11" t="str">
        <f>RAW_Продажи!A358</f>
        <v>07/12/2025</v>
      </c>
      <c r="C359" s="11" t="str">
        <f>RAW_Продажи!B358</f>
        <v>334/24</v>
      </c>
      <c r="D359" s="11" t="str">
        <f>RAW_Продажи!C358</f>
        <v xml:space="preserve">1 шт.</v>
      </c>
      <c r="E359" s="11" t="str">
        <f>RAW_Продажи!D358</f>
        <v xml:space="preserve">6500 ₽</v>
      </c>
      <c r="F359" s="11" t="str">
        <f>RAW_Продажи!E358</f>
        <v>C0357</v>
      </c>
      <c r="G359" s="11" t="str">
        <f>RAW_Продажи!F358</f>
        <v>P019</v>
      </c>
      <c r="H359" s="11" t="str">
        <f>RAW_Продажи!G358</f>
        <v>completed</v>
      </c>
      <c r="I359" s="12" t="str">
        <f t="shared" si="199"/>
        <v>334/24</v>
      </c>
      <c r="J359" s="12" t="str">
        <f t="shared" si="200"/>
        <v>₽</v>
      </c>
      <c r="K359" s="12">
        <f t="shared" si="201"/>
        <v>6500</v>
      </c>
      <c r="L359" s="19">
        <f t="shared" si="202"/>
        <v>45850</v>
      </c>
      <c r="M359" s="13" t="str">
        <f t="shared" si="203"/>
        <v>АРТ-334</v>
      </c>
      <c r="N359" s="13">
        <f t="shared" si="204"/>
        <v>1</v>
      </c>
      <c r="O359" s="13" t="str">
        <f>IFERROR(VLOOKUP(J359,Справочники!$G$6:$H$8,2,0),"RUB")</f>
        <v>RUB</v>
      </c>
      <c r="P359" s="14">
        <f>ROUND(K359*IFERROR(VLOOKUP(J359,Справочники!$G$6:$I$8,3,0),1),2)</f>
        <v>6500</v>
      </c>
      <c r="Q359" s="13" t="str">
        <f>IFERROR(VLOOKUP(H359,Справочники!$D$6:$E$14,2,0),"НЕИЗВЕСТНО")</f>
        <v>Завершен</v>
      </c>
      <c r="R359" s="20">
        <f>IFERROR(INDEX(Товары_очищенные!$Q$3:$Q$503,MATCH(M359,Товары_очищенные!$L$3:$L$503,0)),"нет в каталоге")</f>
        <v>48990</v>
      </c>
      <c r="S359" s="21" t="str">
        <f>IFERROR(INDEX(Товары_очищенные!$N$3:$N$503,MATCH(M359,Товары_очищенные!$L$3:$L$503,0)),"нет в каталоге")</f>
        <v>Планшеты</v>
      </c>
      <c r="T359" s="21" t="str">
        <f t="shared" si="205"/>
        <v>OK</v>
      </c>
      <c r="U359" s="12" t="str">
        <f t="shared" si="206"/>
        <v>12/07/2025|АРТ-334|C0357</v>
      </c>
      <c r="V359" s="12" t="str">
        <f t="shared" si="207"/>
        <v>оригинал</v>
      </c>
    </row>
    <row r="360" ht="15" customHeight="1">
      <c r="A360" s="10">
        <v>358</v>
      </c>
      <c r="B360" s="11" t="str">
        <f>RAW_Продажи!A359</f>
        <v>07/12/2025</v>
      </c>
      <c r="C360" s="11" t="str">
        <f>RAW_Продажи!B359</f>
        <v>№АРТ-368</v>
      </c>
      <c r="D360" s="11" t="str">
        <f>RAW_Продажи!C359</f>
        <v>-1</v>
      </c>
      <c r="E360" s="11" t="str">
        <f>RAW_Продажи!D359</f>
        <v>$110</v>
      </c>
      <c r="F360" s="11" t="str">
        <f>RAW_Продажи!E359</f>
        <v>C0358</v>
      </c>
      <c r="G360" s="11" t="str">
        <f>RAW_Продажи!F359</f>
        <v>P042</v>
      </c>
      <c r="H360" s="11" t="str">
        <f>RAW_Продажи!G359</f>
        <v>Завершен</v>
      </c>
      <c r="I360" s="12" t="str">
        <f t="shared" si="199"/>
        <v>368</v>
      </c>
      <c r="J360" s="12" t="str">
        <f t="shared" si="200"/>
        <v>$</v>
      </c>
      <c r="K360" s="12">
        <f t="shared" si="201"/>
        <v>110</v>
      </c>
      <c r="L360" s="19">
        <f t="shared" si="202"/>
        <v>45850</v>
      </c>
      <c r="M360" s="13" t="str">
        <f t="shared" si="203"/>
        <v>АРТ-368</v>
      </c>
      <c r="N360" s="13">
        <f t="shared" si="204"/>
        <v>-1</v>
      </c>
      <c r="O360" s="13" t="str">
        <f>IFERROR(VLOOKUP(J360,Справочники!$G$6:$H$8,2,0),"RUB")</f>
        <v>USD</v>
      </c>
      <c r="P360" s="14">
        <f>ROUND(K360*IFERROR(VLOOKUP(J360,Справочники!$G$6:$I$8,3,0),1),2)</f>
        <v>10450</v>
      </c>
      <c r="Q360" s="13" t="str">
        <f>IFERROR(VLOOKUP(H360,Справочники!$D$6:$E$14,2,0),"НЕИЗВЕСТНО")</f>
        <v>Завершен</v>
      </c>
      <c r="R360" s="20">
        <f>IFERROR(INDEX(Товары_очищенные!$Q$3:$Q$503,MATCH(M360,Товары_очищенные!$L$3:$L$503,0)),"нет в каталоге")</f>
        <v>19000</v>
      </c>
      <c r="S360" s="21" t="str">
        <f>IFERROR(INDEX(Товары_очищенные!$N$3:$N$503,MATCH(M360,Товары_очищенные!$L$3:$L$503,0)),"нет в каталоге")</f>
        <v>Наушники</v>
      </c>
      <c r="T360" s="21" t="str">
        <f t="shared" si="205"/>
        <v>OK</v>
      </c>
      <c r="U360" s="12" t="str">
        <f t="shared" si="206"/>
        <v>12/07/2025|АРТ-368|C0358</v>
      </c>
      <c r="V360" s="12" t="str">
        <f t="shared" si="207"/>
        <v>оригинал</v>
      </c>
    </row>
    <row r="361" ht="15" customHeight="1">
      <c r="A361" s="10">
        <v>359</v>
      </c>
      <c r="B361" s="11" t="str">
        <f>RAW_Продажи!A360</f>
        <v>07/13/2025</v>
      </c>
      <c r="C361" s="11" t="str">
        <f>RAW_Продажи!B360</f>
        <v>АРТ_223</v>
      </c>
      <c r="D361" s="11" t="str">
        <f>RAW_Продажи!C360</f>
        <v>3</v>
      </c>
      <c r="E361" s="11" t="str">
        <f>RAW_Продажи!D360</f>
        <v>€90</v>
      </c>
      <c r="F361" s="11" t="str">
        <f>RAW_Продажи!E360</f>
        <v>C0359</v>
      </c>
      <c r="G361" s="11" t="str">
        <f>RAW_Продажи!F360</f>
        <v>P005</v>
      </c>
      <c r="H361" s="11" t="str">
        <f>RAW_Продажи!G360</f>
        <v>canceled</v>
      </c>
      <c r="I361" s="12" t="str">
        <f t="shared" si="199"/>
        <v>223</v>
      </c>
      <c r="J361" s="12" t="str">
        <f t="shared" si="200"/>
        <v>€</v>
      </c>
      <c r="K361" s="12">
        <f t="shared" si="201"/>
        <v>90</v>
      </c>
      <c r="L361" s="19">
        <f t="shared" si="202"/>
        <v>45851</v>
      </c>
      <c r="M361" s="13" t="str">
        <f t="shared" si="203"/>
        <v>АРТ-223</v>
      </c>
      <c r="N361" s="13">
        <f t="shared" si="204"/>
        <v>3</v>
      </c>
      <c r="O361" s="13" t="str">
        <f>IFERROR(VLOOKUP(J361,Справочники!$G$6:$H$8,2,0),"RUB")</f>
        <v>EUR</v>
      </c>
      <c r="P361" s="14">
        <f>ROUND(K361*IFERROR(VLOOKUP(J361,Справочники!$G$6:$I$8,3,0),1),2)</f>
        <v>9000</v>
      </c>
      <c r="Q361" s="13" t="str">
        <f>IFERROR(VLOOKUP(H361,Справочники!$D$6:$E$14,2,0),"НЕИЗВЕСТНО")</f>
        <v>Отменен</v>
      </c>
      <c r="R361" s="20">
        <f>IFERROR(INDEX(Товары_очищенные!$Q$3:$Q$503,MATCH(M361,Товары_очищенные!$L$3:$L$503,0)),"нет в каталоге")</f>
        <v>54990</v>
      </c>
      <c r="S361" s="21" t="str">
        <f>IFERROR(INDEX(Товары_очищенные!$N$3:$N$503,MATCH(M361,Товары_очищенные!$L$3:$L$503,0)),"нет в каталоге")</f>
        <v>Мониторы</v>
      </c>
      <c r="T361" s="21" t="str">
        <f t="shared" si="205"/>
        <v>OK</v>
      </c>
      <c r="U361" s="12" t="str">
        <f t="shared" si="206"/>
        <v>13/07/2025|АРТ-223|C0359</v>
      </c>
      <c r="V361" s="12" t="str">
        <f t="shared" si="207"/>
        <v>оригинал</v>
      </c>
    </row>
    <row r="362" ht="15" customHeight="1">
      <c r="A362" s="10">
        <v>360</v>
      </c>
      <c r="B362" s="11" t="str">
        <f>RAW_Продажи!A361</f>
        <v>07/13/2025</v>
      </c>
      <c r="C362" s="11" t="str">
        <f>RAW_Продажи!B361</f>
        <v>137-24</v>
      </c>
      <c r="D362" s="11" t="str">
        <f>RAW_Продажи!C361</f>
        <v>2</v>
      </c>
      <c r="E362" s="11" t="str">
        <f>RAW_Продажи!D361</f>
        <v xml:space="preserve">8000 ₽</v>
      </c>
      <c r="F362" s="11" t="str">
        <f>RAW_Продажи!E361</f>
        <v>C0360</v>
      </c>
      <c r="G362" s="11" t="str">
        <f>RAW_Продажи!F361</f>
        <v>P036</v>
      </c>
      <c r="H362" s="11" t="str">
        <f>RAW_Продажи!G361</f>
        <v>отменен</v>
      </c>
      <c r="I362" s="12" t="str">
        <f t="shared" si="199"/>
        <v>137-24</v>
      </c>
      <c r="J362" s="12" t="str">
        <f t="shared" si="200"/>
        <v>₽</v>
      </c>
      <c r="K362" s="12">
        <f t="shared" si="201"/>
        <v>8000</v>
      </c>
      <c r="L362" s="19">
        <f t="shared" si="202"/>
        <v>45851</v>
      </c>
      <c r="M362" s="13" t="str">
        <f t="shared" si="203"/>
        <v>АРТ-137</v>
      </c>
      <c r="N362" s="13">
        <f t="shared" si="204"/>
        <v>2</v>
      </c>
      <c r="O362" s="13" t="str">
        <f>IFERROR(VLOOKUP(J362,Справочники!$G$6:$H$8,2,0),"RUB")</f>
        <v>RUB</v>
      </c>
      <c r="P362" s="14">
        <f>ROUND(K362*IFERROR(VLOOKUP(J362,Справочники!$G$6:$I$8,3,0),1),2)</f>
        <v>8000</v>
      </c>
      <c r="Q362" s="13" t="str">
        <f>IFERROR(VLOOKUP(H362,Справочники!$D$6:$E$14,2,0),"НЕИЗВЕСТНО")</f>
        <v>Отменен</v>
      </c>
      <c r="R362" s="20">
        <f>IFERROR(INDEX(Товары_очищенные!$Q$3:$Q$503,MATCH(M362,Товары_очищенные!$L$3:$L$503,0)),"нет в каталоге")</f>
        <v>22000</v>
      </c>
      <c r="S362" s="21" t="str">
        <f>IFERROR(INDEX(Товары_очищенные!$N$3:$N$503,MATCH(M362,Товары_очищенные!$L$3:$L$503,0)),"нет в каталоге")</f>
        <v>Наушники</v>
      </c>
      <c r="T362" s="21" t="str">
        <f t="shared" si="205"/>
        <v>OK</v>
      </c>
      <c r="U362" s="12" t="str">
        <f t="shared" si="206"/>
        <v>13/07/2025|АРТ-137|C0360</v>
      </c>
      <c r="V362" s="12" t="str">
        <f t="shared" si="207"/>
        <v>оригинал</v>
      </c>
    </row>
    <row r="363" ht="15" customHeight="1">
      <c r="A363" s="10">
        <v>361</v>
      </c>
      <c r="B363" s="11" t="str">
        <f>RAW_Продажи!A362</f>
        <v>07/14/2025</v>
      </c>
      <c r="C363" s="11" t="str">
        <f>RAW_Продажи!B362</f>
        <v>№АРТ-096</v>
      </c>
      <c r="D363" s="11" t="str">
        <f>RAW_Продажи!C362</f>
        <v>1</v>
      </c>
      <c r="E363" s="11" t="str">
        <f>RAW_Продажи!D362</f>
        <v>$95</v>
      </c>
      <c r="F363" s="11" t="str">
        <f>RAW_Продажи!E362</f>
        <v>C0361</v>
      </c>
      <c r="G363" s="11" t="str">
        <f>RAW_Продажи!F362</f>
        <v>P014</v>
      </c>
      <c r="H363" s="11" t="str">
        <f>RAW_Продажи!G362</f>
        <v>возврат</v>
      </c>
      <c r="I363" s="12" t="str">
        <f t="shared" si="199"/>
        <v>096</v>
      </c>
      <c r="J363" s="12" t="str">
        <f t="shared" si="200"/>
        <v>$</v>
      </c>
      <c r="K363" s="12">
        <f t="shared" si="201"/>
        <v>95</v>
      </c>
      <c r="L363" s="19">
        <f t="shared" si="202"/>
        <v>45852</v>
      </c>
      <c r="M363" s="13" t="str">
        <f t="shared" si="203"/>
        <v>АРТ-096</v>
      </c>
      <c r="N363" s="13">
        <f t="shared" si="204"/>
        <v>1</v>
      </c>
      <c r="O363" s="13" t="str">
        <f>IFERROR(VLOOKUP(J363,Справочники!$G$6:$H$8,2,0),"RUB")</f>
        <v>USD</v>
      </c>
      <c r="P363" s="14">
        <f>ROUND(K363*IFERROR(VLOOKUP(J363,Справочники!$G$6:$I$8,3,0),1),2)</f>
        <v>9025</v>
      </c>
      <c r="Q363" s="13" t="str">
        <f>IFERROR(VLOOKUP(H363,Справочники!$D$6:$E$14,2,0),"НЕИЗВЕСТНО")</f>
        <v>Возврат</v>
      </c>
      <c r="R363" s="20">
        <f>IFERROR(INDEX(Товары_очищенные!$Q$3:$Q$503,MATCH(M363,Товары_очищенные!$L$3:$L$503,0)),"нет в каталоге")</f>
        <v>97000</v>
      </c>
      <c r="S363" s="21" t="str">
        <f>IFERROR(INDEX(Товары_очищенные!$N$3:$N$503,MATCH(M363,Товары_очищенные!$L$3:$L$503,0)),"нет в каталоге")</f>
        <v>Мониторы</v>
      </c>
      <c r="T363" s="21" t="str">
        <f t="shared" si="205"/>
        <v>OK</v>
      </c>
      <c r="U363" s="12" t="str">
        <f t="shared" si="206"/>
        <v>14/07/2025|АРТ-096|C0361</v>
      </c>
      <c r="V363" s="12" t="str">
        <f t="shared" si="207"/>
        <v>оригинал</v>
      </c>
    </row>
    <row r="364" ht="15" customHeight="1">
      <c r="A364" s="10">
        <v>362</v>
      </c>
      <c r="B364" s="11" t="str">
        <f>RAW_Продажи!A363</f>
        <v>07/14/2025</v>
      </c>
      <c r="C364" s="11" t="str">
        <f>RAW_Продажи!B363</f>
        <v>АРТ_439</v>
      </c>
      <c r="D364" s="11" t="str">
        <f>RAW_Продажи!C363</f>
        <v>2</v>
      </c>
      <c r="E364" s="11" t="str">
        <f>RAW_Продажи!D363</f>
        <v>€75</v>
      </c>
      <c r="F364" s="11" t="str">
        <f>RAW_Продажи!E363</f>
        <v>C0362</v>
      </c>
      <c r="G364" s="11" t="str">
        <f>RAW_Продажи!F363</f>
        <v>P028</v>
      </c>
      <c r="H364" s="11" t="str">
        <f>RAW_Продажи!G363</f>
        <v>Завершен</v>
      </c>
      <c r="I364" s="12" t="str">
        <f t="shared" si="199"/>
        <v>439</v>
      </c>
      <c r="J364" s="12" t="str">
        <f t="shared" si="200"/>
        <v>€</v>
      </c>
      <c r="K364" s="12">
        <f t="shared" si="201"/>
        <v>75</v>
      </c>
      <c r="L364" s="19">
        <f t="shared" si="202"/>
        <v>45852</v>
      </c>
      <c r="M364" s="13" t="str">
        <f t="shared" si="203"/>
        <v>АРТ-439</v>
      </c>
      <c r="N364" s="13">
        <f t="shared" si="204"/>
        <v>2</v>
      </c>
      <c r="O364" s="13" t="str">
        <f>IFERROR(VLOOKUP(J364,Справочники!$G$6:$H$8,2,0),"RUB")</f>
        <v>EUR</v>
      </c>
      <c r="P364" s="14">
        <f>ROUND(K364*IFERROR(VLOOKUP(J364,Справочники!$G$6:$I$8,3,0),1),2)</f>
        <v>7500</v>
      </c>
      <c r="Q364" s="13" t="str">
        <f>IFERROR(VLOOKUP(H364,Справочники!$D$6:$E$14,2,0),"НЕИЗВЕСТНО")</f>
        <v>Завершен</v>
      </c>
      <c r="R364" s="20">
        <f>IFERROR(INDEX(Товары_очищенные!$Q$3:$Q$503,MATCH(M364,Товары_очищенные!$L$3:$L$503,0)),"нет в каталоге")</f>
        <v>29990</v>
      </c>
      <c r="S364" s="21" t="str">
        <f>IFERROR(INDEX(Товары_очищенные!$N$3:$N$503,MATCH(M364,Товары_очищенные!$L$3:$L$503,0)),"нет в каталоге")</f>
        <v>Планшеты</v>
      </c>
      <c r="T364" s="21" t="str">
        <f t="shared" si="205"/>
        <v>OK</v>
      </c>
      <c r="U364" s="12" t="str">
        <f t="shared" si="206"/>
        <v>14/07/2025|АРТ-439|C0362</v>
      </c>
      <c r="V364" s="12" t="str">
        <f t="shared" si="207"/>
        <v>оригинал</v>
      </c>
    </row>
    <row r="365" ht="15" customHeight="1">
      <c r="A365" s="10">
        <v>363</v>
      </c>
      <c r="B365" s="11" t="str">
        <f>RAW_Продажи!A364</f>
        <v>07/15/2025</v>
      </c>
      <c r="C365" s="11" t="str">
        <f>RAW_Продажи!B364</f>
        <v>304/24</v>
      </c>
      <c r="D365" s="11" t="str">
        <f>RAW_Продажи!C364</f>
        <v xml:space="preserve">3 шт.</v>
      </c>
      <c r="E365" s="11" t="str">
        <f>RAW_Продажи!D364</f>
        <v xml:space="preserve">7000 ₽</v>
      </c>
      <c r="F365" s="11" t="str">
        <f>RAW_Продажи!E364</f>
        <v>C0363</v>
      </c>
      <c r="G365" s="11" t="str">
        <f>RAW_Продажи!F364</f>
        <v>P009</v>
      </c>
      <c r="H365" s="11" t="str">
        <f>RAW_Продажи!G364</f>
        <v>завершен</v>
      </c>
      <c r="I365" s="12" t="str">
        <f t="shared" si="199"/>
        <v>304/24</v>
      </c>
      <c r="J365" s="12" t="str">
        <f t="shared" si="200"/>
        <v>₽</v>
      </c>
      <c r="K365" s="12">
        <f t="shared" si="201"/>
        <v>7000</v>
      </c>
      <c r="L365" s="19">
        <f t="shared" si="202"/>
        <v>45853</v>
      </c>
      <c r="M365" s="13" t="str">
        <f t="shared" si="203"/>
        <v>АРТ-304</v>
      </c>
      <c r="N365" s="13">
        <f t="shared" si="204"/>
        <v>3</v>
      </c>
      <c r="O365" s="13" t="str">
        <f>IFERROR(VLOOKUP(J365,Справочники!$G$6:$H$8,2,0),"RUB")</f>
        <v>RUB</v>
      </c>
      <c r="P365" s="14">
        <f>ROUND(K365*IFERROR(VLOOKUP(J365,Справочники!$G$6:$I$8,3,0),1),2)</f>
        <v>7000</v>
      </c>
      <c r="Q365" s="13" t="str">
        <f>IFERROR(VLOOKUP(H365,Справочники!$D$6:$E$14,2,0),"НЕИЗВЕСТНО")</f>
        <v>Завершен</v>
      </c>
      <c r="R365" s="20">
        <f>IFERROR(INDEX(Товары_очищенные!$Q$3:$Q$503,MATCH(M365,Товары_очищенные!$L$3:$L$503,0)),"нет в каталоге")</f>
        <v>59990</v>
      </c>
      <c r="S365" s="21" t="str">
        <f>IFERROR(INDEX(Товары_очищенные!$N$3:$N$503,MATCH(M365,Товары_очищенные!$L$3:$L$503,0)),"нет в каталоге")</f>
        <v>Мониторы</v>
      </c>
      <c r="T365" s="21" t="str">
        <f t="shared" si="205"/>
        <v>OK</v>
      </c>
      <c r="U365" s="12" t="str">
        <f t="shared" si="206"/>
        <v>15/07/2025|АРТ-304|C0363</v>
      </c>
      <c r="V365" s="12" t="str">
        <f t="shared" si="207"/>
        <v>оригинал</v>
      </c>
    </row>
    <row r="366" ht="15" customHeight="1">
      <c r="A366" s="10">
        <v>364</v>
      </c>
      <c r="B366" s="11" t="str">
        <f>RAW_Продажи!A365</f>
        <v>07/15/2025</v>
      </c>
      <c r="C366" s="11" t="str">
        <f>RAW_Продажи!B365</f>
        <v>№АРТ-179</v>
      </c>
      <c r="D366" s="11" t="str">
        <f>RAW_Продажи!C365</f>
        <v>-2</v>
      </c>
      <c r="E366" s="11" t="str">
        <f>RAW_Продажи!D365</f>
        <v>$115</v>
      </c>
      <c r="F366" s="11" t="str">
        <f>RAW_Продажи!E365</f>
        <v>C0364</v>
      </c>
      <c r="G366" s="11" t="str">
        <f>RAW_Продажи!F365</f>
        <v>P041</v>
      </c>
      <c r="H366" s="11" t="str">
        <f>RAW_Продажи!G365</f>
        <v>completed</v>
      </c>
      <c r="I366" s="12" t="str">
        <f t="shared" si="199"/>
        <v>179</v>
      </c>
      <c r="J366" s="12" t="str">
        <f t="shared" si="200"/>
        <v>$</v>
      </c>
      <c r="K366" s="12">
        <f t="shared" si="201"/>
        <v>115</v>
      </c>
      <c r="L366" s="19">
        <f t="shared" si="202"/>
        <v>45853</v>
      </c>
      <c r="M366" s="13" t="str">
        <f t="shared" si="203"/>
        <v>АРТ-179</v>
      </c>
      <c r="N366" s="13">
        <f t="shared" si="204"/>
        <v>-2</v>
      </c>
      <c r="O366" s="13" t="str">
        <f>IFERROR(VLOOKUP(J366,Справочники!$G$6:$H$8,2,0),"RUB")</f>
        <v>USD</v>
      </c>
      <c r="P366" s="14">
        <f>ROUND(K366*IFERROR(VLOOKUP(J366,Справочники!$G$6:$I$8,3,0),1),2)</f>
        <v>10925</v>
      </c>
      <c r="Q366" s="13" t="str">
        <f>IFERROR(VLOOKUP(H366,Справочники!$D$6:$E$14,2,0),"НЕИЗВЕСТНО")</f>
        <v>Завершен</v>
      </c>
      <c r="R366" s="20">
        <f>IFERROR(INDEX(Товары_очищенные!$Q$3:$Q$503,MATCH(M366,Товары_очищенные!$L$3:$L$503,0)),"нет в каталоге")</f>
        <v>13000</v>
      </c>
      <c r="S366" s="21" t="str">
        <f>IFERROR(INDEX(Товары_очищенные!$N$3:$N$503,MATCH(M366,Товары_очищенные!$L$3:$L$503,0)),"нет в каталоге")</f>
        <v>Наушники</v>
      </c>
      <c r="T366" s="21" t="str">
        <f t="shared" si="205"/>
        <v>OK</v>
      </c>
      <c r="U366" s="12" t="str">
        <f t="shared" si="206"/>
        <v>15/07/2025|АРТ-179|C0364</v>
      </c>
      <c r="V366" s="12" t="str">
        <f t="shared" si="207"/>
        <v>оригинал</v>
      </c>
    </row>
    <row r="367" ht="15" customHeight="1">
      <c r="A367" s="10">
        <v>365</v>
      </c>
      <c r="B367" s="11" t="str">
        <f>RAW_Продажи!A366</f>
        <v>07/16/2025</v>
      </c>
      <c r="C367" s="11" t="str">
        <f>RAW_Продажи!B366</f>
        <v>АРТ_364</v>
      </c>
      <c r="D367" s="11" t="str">
        <f>RAW_Продажи!C366</f>
        <v>1</v>
      </c>
      <c r="E367" s="11" t="str">
        <f>RAW_Продажи!D366</f>
        <v>€95</v>
      </c>
      <c r="F367" s="11" t="str">
        <f>RAW_Продажи!E366</f>
        <v>C0365</v>
      </c>
      <c r="G367" s="11" t="str">
        <f>RAW_Продажи!F366</f>
        <v>P017</v>
      </c>
      <c r="H367" s="11" t="str">
        <f>RAW_Продажи!G366</f>
        <v>отменен</v>
      </c>
      <c r="I367" s="12" t="str">
        <f t="shared" si="199"/>
        <v>364</v>
      </c>
      <c r="J367" s="12" t="str">
        <f t="shared" si="200"/>
        <v>€</v>
      </c>
      <c r="K367" s="12">
        <f t="shared" si="201"/>
        <v>95</v>
      </c>
      <c r="L367" s="19">
        <f t="shared" si="202"/>
        <v>45854</v>
      </c>
      <c r="M367" s="13" t="str">
        <f t="shared" si="203"/>
        <v>АРТ-364</v>
      </c>
      <c r="N367" s="13">
        <f t="shared" si="204"/>
        <v>1</v>
      </c>
      <c r="O367" s="13" t="str">
        <f>IFERROR(VLOOKUP(J367,Справочники!$G$6:$H$8,2,0),"RUB")</f>
        <v>EUR</v>
      </c>
      <c r="P367" s="14">
        <f>ROUND(K367*IFERROR(VLOOKUP(J367,Справочники!$G$6:$I$8,3,0),1),2)</f>
        <v>9500</v>
      </c>
      <c r="Q367" s="13" t="str">
        <f>IFERROR(VLOOKUP(H367,Справочники!$D$6:$E$14,2,0),"НЕИЗВЕСТНО")</f>
        <v>Отменен</v>
      </c>
      <c r="R367" s="20">
        <f>IFERROR(INDEX(Товары_очищенные!$Q$3:$Q$503,MATCH(M367,Товары_очищенные!$L$3:$L$503,0)),"нет в каталоге")</f>
        <v>139990</v>
      </c>
      <c r="S367" s="21" t="str">
        <f>IFERROR(INDEX(Товары_очищенные!$N$3:$N$503,MATCH(M367,Товары_очищенные!$L$3:$L$503,0)),"нет в каталоге")</f>
        <v>Телевизоры</v>
      </c>
      <c r="T367" s="21" t="str">
        <f t="shared" si="205"/>
        <v>OK</v>
      </c>
      <c r="U367" s="12" t="str">
        <f t="shared" si="206"/>
        <v>16/07/2025|АРТ-364|C0365</v>
      </c>
      <c r="V367" s="12" t="str">
        <f t="shared" si="207"/>
        <v>оригинал</v>
      </c>
    </row>
    <row r="368" ht="15" customHeight="1">
      <c r="A368" s="10">
        <v>366</v>
      </c>
      <c r="B368" s="11" t="str">
        <f>RAW_Продажи!A367</f>
        <v>07/16/2025</v>
      </c>
      <c r="C368" s="11" t="str">
        <f>RAW_Продажи!B367</f>
        <v>112-24</v>
      </c>
      <c r="D368" s="11" t="str">
        <f>RAW_Продажи!C367</f>
        <v>2</v>
      </c>
      <c r="E368" s="11" t="str">
        <f>RAW_Продажи!D367</f>
        <v xml:space="preserve">8500 ₽</v>
      </c>
      <c r="F368" s="11" t="str">
        <f>RAW_Продажи!E367</f>
        <v>C0366</v>
      </c>
      <c r="G368" s="11" t="str">
        <f>RAW_Продажи!F367</f>
        <v>P032</v>
      </c>
      <c r="H368" s="11" t="str">
        <f>RAW_Продажи!G367</f>
        <v>canceled</v>
      </c>
      <c r="I368" s="12" t="str">
        <f t="shared" si="199"/>
        <v>112-24</v>
      </c>
      <c r="J368" s="12" t="str">
        <f t="shared" si="200"/>
        <v>₽</v>
      </c>
      <c r="K368" s="12">
        <f t="shared" si="201"/>
        <v>8500</v>
      </c>
      <c r="L368" s="19">
        <f t="shared" si="202"/>
        <v>45854</v>
      </c>
      <c r="M368" s="13" t="str">
        <f t="shared" si="203"/>
        <v>АРТ-112</v>
      </c>
      <c r="N368" s="13">
        <f t="shared" si="204"/>
        <v>2</v>
      </c>
      <c r="O368" s="13" t="str">
        <f>IFERROR(VLOOKUP(J368,Справочники!$G$6:$H$8,2,0),"RUB")</f>
        <v>RUB</v>
      </c>
      <c r="P368" s="14">
        <f>ROUND(K368*IFERROR(VLOOKUP(J368,Справочники!$G$6:$I$8,3,0),1),2)</f>
        <v>8500</v>
      </c>
      <c r="Q368" s="13" t="str">
        <f>IFERROR(VLOOKUP(H368,Справочники!$D$6:$E$14,2,0),"НЕИЗВЕСТНО")</f>
        <v>Отменен</v>
      </c>
      <c r="R368" s="20">
        <f>IFERROR(INDEX(Товары_очищенные!$Q$3:$Q$503,MATCH(M368,Товары_очищенные!$L$3:$L$503,0)),"нет в каталоге")</f>
        <v>34990</v>
      </c>
      <c r="S368" s="21" t="str">
        <f>IFERROR(INDEX(Товары_очищенные!$N$3:$N$503,MATCH(M368,Товары_очищенные!$L$3:$L$503,0)),"нет в каталоге")</f>
        <v>Наушники</v>
      </c>
      <c r="T368" s="21" t="str">
        <f t="shared" si="205"/>
        <v>OK</v>
      </c>
      <c r="U368" s="12" t="str">
        <f t="shared" si="206"/>
        <v>16/07/2025|АРТ-112|C0366</v>
      </c>
      <c r="V368" s="12" t="str">
        <f t="shared" si="207"/>
        <v>оригинал</v>
      </c>
    </row>
    <row r="369" ht="15" customHeight="1">
      <c r="A369" s="10">
        <v>367</v>
      </c>
      <c r="B369" s="11" t="str">
        <f>RAW_Продажи!A368</f>
        <v>07/17/2025</v>
      </c>
      <c r="C369" s="11" t="str">
        <f>RAW_Продажи!B368</f>
        <v>№АРТ-044</v>
      </c>
      <c r="D369" s="11" t="str">
        <f>RAW_Продажи!C368</f>
        <v>3</v>
      </c>
      <c r="E369" s="11" t="str">
        <f>RAW_Продажи!D368</f>
        <v>$105</v>
      </c>
      <c r="F369" s="11" t="str">
        <f>RAW_Продажи!E368</f>
        <v>C0367</v>
      </c>
      <c r="G369" s="11" t="str">
        <f>RAW_Продажи!F368</f>
        <v>P049</v>
      </c>
      <c r="H369" s="11" t="str">
        <f>RAW_Продажи!G368</f>
        <v>Завершен</v>
      </c>
      <c r="I369" s="12" t="str">
        <f t="shared" si="199"/>
        <v>044</v>
      </c>
      <c r="J369" s="12" t="str">
        <f t="shared" si="200"/>
        <v>$</v>
      </c>
      <c r="K369" s="12">
        <f t="shared" si="201"/>
        <v>105</v>
      </c>
      <c r="L369" s="19">
        <f t="shared" si="202"/>
        <v>45855</v>
      </c>
      <c r="M369" s="13" t="str">
        <f t="shared" si="203"/>
        <v>АРТ-044</v>
      </c>
      <c r="N369" s="13">
        <f t="shared" si="204"/>
        <v>3</v>
      </c>
      <c r="O369" s="13" t="str">
        <f>IFERROR(VLOOKUP(J369,Справочники!$G$6:$H$8,2,0),"RUB")</f>
        <v>USD</v>
      </c>
      <c r="P369" s="14">
        <f>ROUND(K369*IFERROR(VLOOKUP(J369,Справочники!$G$6:$I$8,3,0),1),2)</f>
        <v>9975</v>
      </c>
      <c r="Q369" s="13" t="str">
        <f>IFERROR(VLOOKUP(H369,Справочники!$D$6:$E$14,2,0),"НЕИЗВЕСТНО")</f>
        <v>Завершен</v>
      </c>
      <c r="R369" s="20">
        <f>IFERROR(INDEX(Товары_очищенные!$Q$3:$Q$503,MATCH(M369,Товары_очищенные!$L$3:$L$503,0)),"нет в каталоге")</f>
        <v>132000</v>
      </c>
      <c r="S369" s="21" t="str">
        <f>IFERROR(INDEX(Товары_очищенные!$N$3:$N$503,MATCH(M369,Товары_очищенные!$L$3:$L$503,0)),"нет в каталоге")</f>
        <v>Телевизоры</v>
      </c>
      <c r="T369" s="21" t="str">
        <f t="shared" si="205"/>
        <v>OK</v>
      </c>
      <c r="U369" s="12" t="str">
        <f t="shared" si="206"/>
        <v>17/07/2025|АРТ-044|C0367</v>
      </c>
      <c r="V369" s="12" t="str">
        <f t="shared" si="207"/>
        <v>оригинал</v>
      </c>
    </row>
    <row r="370" ht="15" customHeight="1">
      <c r="A370" s="10">
        <v>368</v>
      </c>
      <c r="B370" s="11" t="str">
        <f>RAW_Продажи!A369</f>
        <v>07/17/2025</v>
      </c>
      <c r="C370" s="11" t="str">
        <f>RAW_Продажи!B369</f>
        <v>АРТ_448</v>
      </c>
      <c r="D370" s="11" t="str">
        <f>RAW_Продажи!C369</f>
        <v>2</v>
      </c>
      <c r="E370" s="11" t="str">
        <f>RAW_Продажи!D369</f>
        <v>€85</v>
      </c>
      <c r="F370" s="11" t="str">
        <f>RAW_Продажи!E369</f>
        <v>C0368</v>
      </c>
      <c r="G370" s="11" t="str">
        <f>RAW_Продажи!F369</f>
        <v>P006</v>
      </c>
      <c r="H370" s="11" t="str">
        <f>RAW_Продажи!G369</f>
        <v>возврат</v>
      </c>
      <c r="I370" s="12" t="str">
        <f t="shared" si="199"/>
        <v>448</v>
      </c>
      <c r="J370" s="12" t="str">
        <f t="shared" si="200"/>
        <v>€</v>
      </c>
      <c r="K370" s="12">
        <f t="shared" si="201"/>
        <v>85</v>
      </c>
      <c r="L370" s="19">
        <f t="shared" si="202"/>
        <v>45855</v>
      </c>
      <c r="M370" s="13" t="str">
        <f t="shared" si="203"/>
        <v>АРТ-448</v>
      </c>
      <c r="N370" s="13">
        <f t="shared" si="204"/>
        <v>2</v>
      </c>
      <c r="O370" s="13" t="str">
        <f>IFERROR(VLOOKUP(J370,Справочники!$G$6:$H$8,2,0),"RUB")</f>
        <v>EUR</v>
      </c>
      <c r="P370" s="14">
        <f>ROUND(K370*IFERROR(VLOOKUP(J370,Справочники!$G$6:$I$8,3,0),1),2)</f>
        <v>8500</v>
      </c>
      <c r="Q370" s="13" t="str">
        <f>IFERROR(VLOOKUP(H370,Справочники!$D$6:$E$14,2,0),"НЕИЗВЕСТНО")</f>
        <v>Возврат</v>
      </c>
      <c r="R370" s="20">
        <f>IFERROR(INDEX(Товары_очищенные!$Q$3:$Q$503,MATCH(M370,Товары_очищенные!$L$3:$L$503,0)),"нет в каталоге")</f>
        <v>73990</v>
      </c>
      <c r="S370" s="21" t="str">
        <f>IFERROR(INDEX(Товары_очищенные!$N$3:$N$503,MATCH(M370,Товары_очищенные!$L$3:$L$503,0)),"нет в каталоге")</f>
        <v>Телевизоры</v>
      </c>
      <c r="T370" s="21" t="str">
        <f t="shared" si="205"/>
        <v>OK</v>
      </c>
      <c r="U370" s="12" t="str">
        <f t="shared" si="206"/>
        <v>17/07/2025|АРТ-448|C0368</v>
      </c>
      <c r="V370" s="12" t="str">
        <f t="shared" si="207"/>
        <v>оригинал</v>
      </c>
    </row>
    <row r="371" ht="15" customHeight="1">
      <c r="A371" s="10">
        <v>369</v>
      </c>
      <c r="B371" s="11" t="str">
        <f>RAW_Продажи!A370</f>
        <v>07/18/2025</v>
      </c>
      <c r="C371" s="11" t="str">
        <f>RAW_Продажи!B370</f>
        <v>389/24</v>
      </c>
      <c r="D371" s="11" t="str">
        <f>RAW_Продажи!C370</f>
        <v xml:space="preserve">1 шт.</v>
      </c>
      <c r="E371" s="11" t="str">
        <f>RAW_Продажи!D370</f>
        <v xml:space="preserve">7800 ₽</v>
      </c>
      <c r="F371" s="11" t="str">
        <f>RAW_Продажи!E370</f>
        <v>C0369</v>
      </c>
      <c r="G371" s="11" t="str">
        <f>RAW_Продажи!F370</f>
        <v>P024</v>
      </c>
      <c r="H371" s="11" t="str">
        <f>RAW_Продажи!G370</f>
        <v>завершен</v>
      </c>
      <c r="I371" s="12" t="str">
        <f t="shared" si="199"/>
        <v>389/24</v>
      </c>
      <c r="J371" s="12" t="str">
        <f t="shared" si="200"/>
        <v>₽</v>
      </c>
      <c r="K371" s="12">
        <f t="shared" si="201"/>
        <v>7800</v>
      </c>
      <c r="L371" s="19">
        <f t="shared" si="202"/>
        <v>45856</v>
      </c>
      <c r="M371" s="13" t="str">
        <f t="shared" si="203"/>
        <v>АРТ-389</v>
      </c>
      <c r="N371" s="13">
        <f t="shared" si="204"/>
        <v>1</v>
      </c>
      <c r="O371" s="13" t="str">
        <f>IFERROR(VLOOKUP(J371,Справочники!$G$6:$H$8,2,0),"RUB")</f>
        <v>RUB</v>
      </c>
      <c r="P371" s="14">
        <f>ROUND(K371*IFERROR(VLOOKUP(J371,Справочники!$G$6:$I$8,3,0),1),2)</f>
        <v>7800</v>
      </c>
      <c r="Q371" s="13" t="str">
        <f>IFERROR(VLOOKUP(H371,Справочники!$D$6:$E$14,2,0),"НЕИЗВЕСТНО")</f>
        <v>Завершен</v>
      </c>
      <c r="R371" s="20">
        <f>IFERROR(INDEX(Товары_очищенные!$Q$3:$Q$503,MATCH(M371,Товары_очищенные!$L$3:$L$503,0)),"нет в каталоге")</f>
        <v>75000</v>
      </c>
      <c r="S371" s="21" t="str">
        <f>IFERROR(INDEX(Товары_очищенные!$N$3:$N$503,MATCH(M371,Товары_очищенные!$L$3:$L$503,0)),"нет в каталоге")</f>
        <v>Телевизоры</v>
      </c>
      <c r="T371" s="21" t="str">
        <f t="shared" si="205"/>
        <v>OK</v>
      </c>
      <c r="U371" s="12" t="str">
        <f t="shared" si="206"/>
        <v>18/07/2025|АРТ-389|C0369</v>
      </c>
      <c r="V371" s="12" t="str">
        <f t="shared" si="207"/>
        <v>оригинал</v>
      </c>
    </row>
    <row r="372" ht="15" customHeight="1">
      <c r="A372" s="10">
        <v>370</v>
      </c>
      <c r="B372" s="11" t="str">
        <f>RAW_Продажи!A371</f>
        <v>07/18/2025</v>
      </c>
      <c r="C372" s="11" t="str">
        <f>RAW_Продажи!B371</f>
        <v>№АРТ-419</v>
      </c>
      <c r="D372" s="11" t="str">
        <f>RAW_Продажи!C371</f>
        <v>-3</v>
      </c>
      <c r="E372" s="11" t="str">
        <f>RAW_Продажи!D371</f>
        <v>$120</v>
      </c>
      <c r="F372" s="11" t="str">
        <f>RAW_Продажи!E371</f>
        <v>C0370</v>
      </c>
      <c r="G372" s="11" t="str">
        <f>RAW_Продажи!F371</f>
        <v>P015</v>
      </c>
      <c r="H372" s="11" t="str">
        <f>RAW_Продажи!G371</f>
        <v>completed</v>
      </c>
      <c r="I372" s="12" t="str">
        <f t="shared" si="199"/>
        <v>419</v>
      </c>
      <c r="J372" s="12" t="str">
        <f t="shared" si="200"/>
        <v>$</v>
      </c>
      <c r="K372" s="12">
        <f t="shared" si="201"/>
        <v>120</v>
      </c>
      <c r="L372" s="19">
        <f t="shared" si="202"/>
        <v>45856</v>
      </c>
      <c r="M372" s="13" t="str">
        <f t="shared" si="203"/>
        <v>АРТ-419</v>
      </c>
      <c r="N372" s="13">
        <f t="shared" si="204"/>
        <v>-3</v>
      </c>
      <c r="O372" s="13" t="str">
        <f>IFERROR(VLOOKUP(J372,Справочники!$G$6:$H$8,2,0),"RUB")</f>
        <v>USD</v>
      </c>
      <c r="P372" s="14">
        <f>ROUND(K372*IFERROR(VLOOKUP(J372,Справочники!$G$6:$I$8,3,0),1),2)</f>
        <v>11400</v>
      </c>
      <c r="Q372" s="13" t="str">
        <f>IFERROR(VLOOKUP(H372,Справочники!$D$6:$E$14,2,0),"НЕИЗВЕСТНО")</f>
        <v>Завершен</v>
      </c>
      <c r="R372" s="20">
        <f>IFERROR(INDEX(Товары_очищенные!$Q$3:$Q$503,MATCH(M372,Товары_очищенные!$L$3:$L$503,0)),"нет в каталоге")</f>
        <v>28500</v>
      </c>
      <c r="S372" s="21" t="str">
        <f>IFERROR(INDEX(Товары_очищенные!$N$3:$N$503,MATCH(M372,Товары_очищенные!$L$3:$L$503,0)),"нет в каталоге")</f>
        <v>Часы</v>
      </c>
      <c r="T372" s="21" t="str">
        <f t="shared" si="205"/>
        <v>OK</v>
      </c>
      <c r="U372" s="12" t="str">
        <f t="shared" si="206"/>
        <v>18/07/2025|АРТ-419|C0370</v>
      </c>
      <c r="V372" s="12" t="str">
        <f t="shared" si="207"/>
        <v>оригинал</v>
      </c>
    </row>
    <row r="373" ht="15" customHeight="1">
      <c r="A373" s="10">
        <v>371</v>
      </c>
      <c r="B373" s="11" t="str">
        <f>RAW_Продажи!A372</f>
        <v>07/19/2025</v>
      </c>
      <c r="C373" s="11" t="str">
        <f>RAW_Продажи!B372</f>
        <v>АРТ_258</v>
      </c>
      <c r="D373" s="11" t="str">
        <f>RAW_Продажи!C372</f>
        <v>2</v>
      </c>
      <c r="E373" s="11" t="str">
        <f>RAW_Продажи!D372</f>
        <v>€100</v>
      </c>
      <c r="F373" s="11" t="str">
        <f>RAW_Продажи!E372</f>
        <v>C0371</v>
      </c>
      <c r="G373" s="11" t="str">
        <f>RAW_Продажи!F372</f>
        <v>P037</v>
      </c>
      <c r="H373" s="11" t="str">
        <f>RAW_Продажи!G372</f>
        <v>Завершен</v>
      </c>
      <c r="I373" s="12" t="str">
        <f t="shared" si="199"/>
        <v>258</v>
      </c>
      <c r="J373" s="12" t="str">
        <f t="shared" si="200"/>
        <v>€</v>
      </c>
      <c r="K373" s="12">
        <f t="shared" si="201"/>
        <v>100</v>
      </c>
      <c r="L373" s="19">
        <f t="shared" si="202"/>
        <v>45857</v>
      </c>
      <c r="M373" s="13" t="str">
        <f t="shared" si="203"/>
        <v>АРТ-258</v>
      </c>
      <c r="N373" s="13">
        <f t="shared" si="204"/>
        <v>2</v>
      </c>
      <c r="O373" s="13" t="str">
        <f>IFERROR(VLOOKUP(J373,Справочники!$G$6:$H$8,2,0),"RUB")</f>
        <v>EUR</v>
      </c>
      <c r="P373" s="14">
        <f>ROUND(K373*IFERROR(VLOOKUP(J373,Справочники!$G$6:$I$8,3,0),1),2)</f>
        <v>10000</v>
      </c>
      <c r="Q373" s="13" t="str">
        <f>IFERROR(VLOOKUP(H373,Справочники!$D$6:$E$14,2,0),"НЕИЗВЕСТНО")</f>
        <v>Завершен</v>
      </c>
      <c r="R373" s="20">
        <f>IFERROR(INDEX(Товары_очищенные!$Q$3:$Q$503,MATCH(M373,Товары_очищенные!$L$3:$L$503,0)),"нет в каталоге")</f>
        <v>39500</v>
      </c>
      <c r="S373" s="21" t="str">
        <f>IFERROR(INDEX(Товары_очищенные!$N$3:$N$503,MATCH(M373,Товары_очищенные!$L$3:$L$503,0)),"нет в каталоге")</f>
        <v>Смартфоны</v>
      </c>
      <c r="T373" s="21" t="str">
        <f t="shared" si="205"/>
        <v>OK</v>
      </c>
      <c r="U373" s="12" t="str">
        <f t="shared" si="206"/>
        <v>19/07/2025|АРТ-258|C0371</v>
      </c>
      <c r="V373" s="12" t="str">
        <f t="shared" si="207"/>
        <v>оригинал</v>
      </c>
    </row>
    <row r="374" ht="15" customHeight="1">
      <c r="A374" s="10">
        <v>372</v>
      </c>
      <c r="B374" s="11" t="str">
        <f>RAW_Продажи!A373</f>
        <v>07/19/2025</v>
      </c>
      <c r="C374" s="11" t="str">
        <f>RAW_Продажи!B373</f>
        <v>186-24</v>
      </c>
      <c r="D374" s="11" t="str">
        <f>RAW_Продажи!C373</f>
        <v>1</v>
      </c>
      <c r="E374" s="11" t="str">
        <f>RAW_Продажи!D373</f>
        <v xml:space="preserve">9200 ₽</v>
      </c>
      <c r="F374" s="11" t="str">
        <f>RAW_Продажи!E373</f>
        <v>C0372</v>
      </c>
      <c r="G374" s="11" t="str">
        <f>RAW_Продажи!F373</f>
        <v>P048</v>
      </c>
      <c r="H374" s="11" t="str">
        <f>RAW_Продажи!G373</f>
        <v>canceled</v>
      </c>
      <c r="I374" s="12" t="str">
        <f t="shared" si="199"/>
        <v>186-24</v>
      </c>
      <c r="J374" s="12" t="str">
        <f t="shared" si="200"/>
        <v>₽</v>
      </c>
      <c r="K374" s="12">
        <f t="shared" si="201"/>
        <v>9200</v>
      </c>
      <c r="L374" s="19">
        <f t="shared" si="202"/>
        <v>45857</v>
      </c>
      <c r="M374" s="13" t="str">
        <f t="shared" si="203"/>
        <v>АРТ-186</v>
      </c>
      <c r="N374" s="13">
        <f t="shared" si="204"/>
        <v>1</v>
      </c>
      <c r="O374" s="13" t="str">
        <f>IFERROR(VLOOKUP(J374,Справочники!$G$6:$H$8,2,0),"RUB")</f>
        <v>RUB</v>
      </c>
      <c r="P374" s="14">
        <f>ROUND(K374*IFERROR(VLOOKUP(J374,Справочники!$G$6:$I$8,3,0),1),2)</f>
        <v>9200</v>
      </c>
      <c r="Q374" s="13" t="str">
        <f>IFERROR(VLOOKUP(H374,Справочники!$D$6:$E$14,2,0),"НЕИЗВЕСТНО")</f>
        <v>Отменен</v>
      </c>
      <c r="R374" s="20">
        <f>IFERROR(INDEX(Товары_очищенные!$Q$3:$Q$503,MATCH(M374,Товары_очищенные!$L$3:$L$503,0)),"нет в каталоге")</f>
        <v>20800</v>
      </c>
      <c r="S374" s="21" t="str">
        <f>IFERROR(INDEX(Товары_очищенные!$N$3:$N$503,MATCH(M374,Товары_очищенные!$L$3:$L$503,0)),"нет в каталоге")</f>
        <v>Аксессуары</v>
      </c>
      <c r="T374" s="21" t="str">
        <f t="shared" si="205"/>
        <v>OK</v>
      </c>
      <c r="U374" s="12" t="str">
        <f t="shared" si="206"/>
        <v>19/07/2025|АРТ-186|C0372</v>
      </c>
      <c r="V374" s="12" t="str">
        <f t="shared" si="207"/>
        <v>оригинал</v>
      </c>
    </row>
    <row r="375" ht="15" customHeight="1">
      <c r="A375" s="10">
        <v>373</v>
      </c>
      <c r="B375" s="11" t="str">
        <f>RAW_Продажи!A374</f>
        <v>07/20/2025</v>
      </c>
      <c r="C375" s="11" t="str">
        <f>RAW_Продажи!B374</f>
        <v>№АРТ-280</v>
      </c>
      <c r="D375" s="11" t="str">
        <f>RAW_Продажи!C374</f>
        <v>3</v>
      </c>
      <c r="E375" s="11" t="str">
        <f>RAW_Продажи!D374</f>
        <v>$90</v>
      </c>
      <c r="F375" s="11" t="str">
        <f>RAW_Продажи!E374</f>
        <v>C0373</v>
      </c>
      <c r="G375" s="11" t="str">
        <f>RAW_Продажи!F374</f>
        <v>P004</v>
      </c>
      <c r="H375" s="11" t="str">
        <f>RAW_Продажи!G374</f>
        <v>отменен</v>
      </c>
      <c r="I375" s="12" t="str">
        <f t="shared" si="199"/>
        <v>280</v>
      </c>
      <c r="J375" s="12" t="str">
        <f t="shared" si="200"/>
        <v>$</v>
      </c>
      <c r="K375" s="12">
        <f t="shared" si="201"/>
        <v>90</v>
      </c>
      <c r="L375" s="19">
        <f t="shared" si="202"/>
        <v>45858</v>
      </c>
      <c r="M375" s="13" t="str">
        <f t="shared" si="203"/>
        <v>АРТ-280</v>
      </c>
      <c r="N375" s="13">
        <f t="shared" si="204"/>
        <v>3</v>
      </c>
      <c r="O375" s="13" t="str">
        <f>IFERROR(VLOOKUP(J375,Справочники!$G$6:$H$8,2,0),"RUB")</f>
        <v>USD</v>
      </c>
      <c r="P375" s="14">
        <f>ROUND(K375*IFERROR(VLOOKUP(J375,Справочники!$G$6:$I$8,3,0),1),2)</f>
        <v>8550</v>
      </c>
      <c r="Q375" s="13" t="str">
        <f>IFERROR(VLOOKUP(H375,Справочники!$D$6:$E$14,2,0),"НЕИЗВЕСТНО")</f>
        <v>Отменен</v>
      </c>
      <c r="R375" s="20">
        <f>IFERROR(INDEX(Товары_очищенные!$Q$3:$Q$503,MATCH(M375,Товары_очищенные!$L$3:$L$503,0)),"нет в каталоге")</f>
        <v>32990</v>
      </c>
      <c r="S375" s="21" t="str">
        <f>IFERROR(INDEX(Товары_очищенные!$N$3:$N$503,MATCH(M375,Товары_очищенные!$L$3:$L$503,0)),"нет в каталоге")</f>
        <v>Наушники</v>
      </c>
      <c r="T375" s="21" t="str">
        <f t="shared" si="205"/>
        <v>OK</v>
      </c>
      <c r="U375" s="12" t="str">
        <f t="shared" si="206"/>
        <v>20/07/2025|АРТ-280|C0373</v>
      </c>
      <c r="V375" s="12" t="str">
        <f t="shared" si="207"/>
        <v>оригинал</v>
      </c>
    </row>
    <row r="376" ht="15" customHeight="1">
      <c r="A376" s="10">
        <v>374</v>
      </c>
      <c r="B376" s="11" t="str">
        <f>RAW_Продажи!A375</f>
        <v>07/20/2025</v>
      </c>
      <c r="C376" s="11" t="str">
        <f>RAW_Продажи!B375</f>
        <v>АРТ_477</v>
      </c>
      <c r="D376" s="11" t="str">
        <f>RAW_Продажи!C375</f>
        <v>2</v>
      </c>
      <c r="E376" s="11" t="str">
        <f>RAW_Продажи!D375</f>
        <v>€70</v>
      </c>
      <c r="F376" s="11" t="str">
        <f>RAW_Продажи!E375</f>
        <v>C0374</v>
      </c>
      <c r="G376" s="11" t="str">
        <f>RAW_Продажи!F375</f>
        <v>P026</v>
      </c>
      <c r="H376" s="11" t="str">
        <f>RAW_Продажи!G375</f>
        <v>возврат</v>
      </c>
      <c r="I376" s="12" t="str">
        <f t="shared" si="199"/>
        <v>477</v>
      </c>
      <c r="J376" s="12" t="str">
        <f t="shared" si="200"/>
        <v>€</v>
      </c>
      <c r="K376" s="12">
        <f t="shared" si="201"/>
        <v>70</v>
      </c>
      <c r="L376" s="19">
        <f t="shared" si="202"/>
        <v>45858</v>
      </c>
      <c r="M376" s="13" t="str">
        <f t="shared" si="203"/>
        <v>АРТ-477</v>
      </c>
      <c r="N376" s="13">
        <f t="shared" si="204"/>
        <v>2</v>
      </c>
      <c r="O376" s="13" t="str">
        <f>IFERROR(VLOOKUP(J376,Справочники!$G$6:$H$8,2,0),"RUB")</f>
        <v>EUR</v>
      </c>
      <c r="P376" s="14">
        <f>ROUND(K376*IFERROR(VLOOKUP(J376,Справочники!$G$6:$I$8,3,0),1),2)</f>
        <v>7000</v>
      </c>
      <c r="Q376" s="13" t="str">
        <f>IFERROR(VLOOKUP(H376,Справочники!$D$6:$E$14,2,0),"НЕИЗВЕСТНО")</f>
        <v>Возврат</v>
      </c>
      <c r="R376" s="20">
        <f>IFERROR(INDEX(Товары_очищенные!$Q$3:$Q$503,MATCH(M376,Товары_очищенные!$L$3:$L$503,0)),"нет в каталоге")</f>
        <v>55000</v>
      </c>
      <c r="S376" s="21" t="str">
        <f>IFERROR(INDEX(Товары_очищенные!$N$3:$N$503,MATCH(M376,Товары_очищенные!$L$3:$L$503,0)),"нет в каталоге")</f>
        <v>Мониторы</v>
      </c>
      <c r="T376" s="21" t="str">
        <f t="shared" si="205"/>
        <v>OK</v>
      </c>
      <c r="U376" s="12" t="str">
        <f t="shared" si="206"/>
        <v>20/07/2025|АРТ-477|C0374</v>
      </c>
      <c r="V376" s="12" t="str">
        <f t="shared" si="207"/>
        <v>оригинал</v>
      </c>
    </row>
    <row r="377" ht="15" customHeight="1">
      <c r="A377" s="10">
        <v>375</v>
      </c>
      <c r="B377" s="11" t="str">
        <f>RAW_Продажи!A376</f>
        <v>07/21/2025</v>
      </c>
      <c r="C377" s="11" t="str">
        <f>RAW_Продажи!B376</f>
        <v>342/24</v>
      </c>
      <c r="D377" s="11" t="str">
        <f>RAW_Продажи!C376</f>
        <v xml:space="preserve">1 шт.</v>
      </c>
      <c r="E377" s="11" t="str">
        <f>RAW_Продажи!D376</f>
        <v xml:space="preserve">6500 ₽</v>
      </c>
      <c r="F377" s="11" t="str">
        <f>RAW_Продажи!E376</f>
        <v>C0375</v>
      </c>
      <c r="G377" s="11" t="str">
        <f>RAW_Продажи!F376</f>
        <v>P013</v>
      </c>
      <c r="H377" s="11" t="str">
        <f>RAW_Продажи!G376</f>
        <v>Завершен</v>
      </c>
      <c r="I377" s="12" t="str">
        <f t="shared" si="199"/>
        <v>342/24</v>
      </c>
      <c r="J377" s="12" t="str">
        <f t="shared" si="200"/>
        <v>₽</v>
      </c>
      <c r="K377" s="12">
        <f t="shared" si="201"/>
        <v>6500</v>
      </c>
      <c r="L377" s="19">
        <f t="shared" si="202"/>
        <v>45859</v>
      </c>
      <c r="M377" s="13" t="str">
        <f t="shared" si="203"/>
        <v>АРТ-342</v>
      </c>
      <c r="N377" s="13">
        <f t="shared" si="204"/>
        <v>1</v>
      </c>
      <c r="O377" s="13" t="str">
        <f>IFERROR(VLOOKUP(J377,Справочники!$G$6:$H$8,2,0),"RUB")</f>
        <v>RUB</v>
      </c>
      <c r="P377" s="14">
        <f>ROUND(K377*IFERROR(VLOOKUP(J377,Справочники!$G$6:$I$8,3,0),1),2)</f>
        <v>6500</v>
      </c>
      <c r="Q377" s="13" t="str">
        <f>IFERROR(VLOOKUP(H377,Справочники!$D$6:$E$14,2,0),"НЕИЗВЕСТНО")</f>
        <v>Завершен</v>
      </c>
      <c r="R377" s="20">
        <f>IFERROR(INDEX(Товары_очищенные!$Q$3:$Q$503,MATCH(M377,Товары_очищенные!$L$3:$L$503,0)),"нет в каталоге")</f>
        <v>137500</v>
      </c>
      <c r="S377" s="21" t="str">
        <f>IFERROR(INDEX(Товары_очищенные!$N$3:$N$503,MATCH(M377,Товары_очищенные!$L$3:$L$503,0)),"нет в каталоге")</f>
        <v>Ноутбуки</v>
      </c>
      <c r="T377" s="21" t="str">
        <f t="shared" si="205"/>
        <v>OK</v>
      </c>
      <c r="U377" s="12" t="str">
        <f t="shared" si="206"/>
        <v>21/07/2025|АРТ-342|C0375</v>
      </c>
      <c r="V377" s="12" t="str">
        <f t="shared" si="207"/>
        <v>оригинал</v>
      </c>
    </row>
    <row r="378" ht="15" customHeight="1">
      <c r="A378" s="10">
        <v>376</v>
      </c>
      <c r="B378" s="11" t="str">
        <f>RAW_Продажи!A377</f>
        <v>07/21/2025</v>
      </c>
      <c r="C378" s="11" t="str">
        <f>RAW_Продажи!B377</f>
        <v>№АРТ-328</v>
      </c>
      <c r="D378" s="11" t="str">
        <f>RAW_Продажи!C377</f>
        <v>-1</v>
      </c>
      <c r="E378" s="11" t="str">
        <f>RAW_Продажи!D377</f>
        <v>$110</v>
      </c>
      <c r="F378" s="11" t="str">
        <f>RAW_Продажи!E377</f>
        <v>C0376</v>
      </c>
      <c r="G378" s="11" t="str">
        <f>RAW_Продажи!F377</f>
        <v>P034</v>
      </c>
      <c r="H378" s="11" t="str">
        <f>RAW_Продажи!G377</f>
        <v>завершен</v>
      </c>
      <c r="I378" s="12" t="str">
        <f t="shared" si="199"/>
        <v>328</v>
      </c>
      <c r="J378" s="12" t="str">
        <f t="shared" si="200"/>
        <v>$</v>
      </c>
      <c r="K378" s="12">
        <f t="shared" si="201"/>
        <v>110</v>
      </c>
      <c r="L378" s="19">
        <f t="shared" si="202"/>
        <v>45859</v>
      </c>
      <c r="M378" s="13" t="str">
        <f t="shared" si="203"/>
        <v>АРТ-328</v>
      </c>
      <c r="N378" s="13">
        <f t="shared" si="204"/>
        <v>-1</v>
      </c>
      <c r="O378" s="13" t="str">
        <f>IFERROR(VLOOKUP(J378,Справочники!$G$6:$H$8,2,0),"RUB")</f>
        <v>USD</v>
      </c>
      <c r="P378" s="14">
        <f>ROUND(K378*IFERROR(VLOOKUP(J378,Справочники!$G$6:$I$8,3,0),1),2)</f>
        <v>10450</v>
      </c>
      <c r="Q378" s="13" t="str">
        <f>IFERROR(VLOOKUP(H378,Справочники!$D$6:$E$14,2,0),"НЕИЗВЕСТНО")</f>
        <v>Завершен</v>
      </c>
      <c r="R378" s="20">
        <f>IFERROR(INDEX(Товары_очищенные!$Q$3:$Q$503,MATCH(M378,Товары_очищенные!$L$3:$L$503,0)),"нет в каталоге")</f>
        <v>11990</v>
      </c>
      <c r="S378" s="21" t="str">
        <f>IFERROR(INDEX(Товары_очищенные!$N$3:$N$503,MATCH(M378,Товары_очищенные!$L$3:$L$503,0)),"нет в каталоге")</f>
        <v>Аксессуары</v>
      </c>
      <c r="T378" s="21" t="str">
        <f t="shared" si="205"/>
        <v>OK</v>
      </c>
      <c r="U378" s="12" t="str">
        <f t="shared" si="206"/>
        <v>21/07/2025|АРТ-328|C0376</v>
      </c>
      <c r="V378" s="12" t="str">
        <f t="shared" si="207"/>
        <v>оригинал</v>
      </c>
    </row>
    <row r="379" ht="15" customHeight="1">
      <c r="A379" s="10">
        <v>377</v>
      </c>
      <c r="B379" s="11" t="str">
        <f>RAW_Продажи!A378</f>
        <v>07/22/2025</v>
      </c>
      <c r="C379" s="11" t="str">
        <f>RAW_Продажи!B378</f>
        <v>АРТ_216</v>
      </c>
      <c r="D379" s="11" t="str">
        <f>RAW_Продажи!C378</f>
        <v>3</v>
      </c>
      <c r="E379" s="11" t="str">
        <f>RAW_Продажи!D378</f>
        <v>€90</v>
      </c>
      <c r="F379" s="11" t="str">
        <f>RAW_Продажи!E378</f>
        <v>C0377</v>
      </c>
      <c r="G379" s="11" t="str">
        <f>RAW_Продажи!F378</f>
        <v>P044</v>
      </c>
      <c r="H379" s="11" t="str">
        <f>RAW_Продажи!G378</f>
        <v>completed</v>
      </c>
      <c r="I379" s="12" t="str">
        <f t="shared" si="199"/>
        <v>216</v>
      </c>
      <c r="J379" s="12" t="str">
        <f t="shared" si="200"/>
        <v>€</v>
      </c>
      <c r="K379" s="12">
        <f t="shared" si="201"/>
        <v>90</v>
      </c>
      <c r="L379" s="19">
        <f t="shared" si="202"/>
        <v>45860</v>
      </c>
      <c r="M379" s="13" t="str">
        <f t="shared" si="203"/>
        <v>АРТ-216</v>
      </c>
      <c r="N379" s="13">
        <f t="shared" si="204"/>
        <v>3</v>
      </c>
      <c r="O379" s="13" t="str">
        <f>IFERROR(VLOOKUP(J379,Справочники!$G$6:$H$8,2,0),"RUB")</f>
        <v>EUR</v>
      </c>
      <c r="P379" s="14">
        <f>ROUND(K379*IFERROR(VLOOKUP(J379,Справочники!$G$6:$I$8,3,0),1),2)</f>
        <v>9000</v>
      </c>
      <c r="Q379" s="13" t="str">
        <f>IFERROR(VLOOKUP(H379,Справочники!$D$6:$E$14,2,0),"НЕИЗВЕСТНО")</f>
        <v>Завершен</v>
      </c>
      <c r="R379" s="20">
        <f>IFERROR(INDEX(Товары_очищенные!$Q$3:$Q$503,MATCH(M379,Товары_очищенные!$L$3:$L$503,0)),"нет в каталоге")</f>
        <v>28500</v>
      </c>
      <c r="S379" s="21" t="str">
        <f>IFERROR(INDEX(Товары_очищенные!$N$3:$N$503,MATCH(M379,Товары_очищенные!$L$3:$L$503,0)),"нет в каталоге")</f>
        <v>Планшеты</v>
      </c>
      <c r="T379" s="21" t="str">
        <f t="shared" si="205"/>
        <v>OK</v>
      </c>
      <c r="U379" s="12" t="str">
        <f t="shared" si="206"/>
        <v>22/07/2025|АРТ-216|C0377</v>
      </c>
      <c r="V379" s="12" t="str">
        <f t="shared" si="207"/>
        <v>оригинал</v>
      </c>
    </row>
    <row r="380" ht="15" customHeight="1">
      <c r="A380" s="10">
        <v>378</v>
      </c>
      <c r="B380" s="11" t="str">
        <f>RAW_Продажи!A379</f>
        <v>07/22/2025</v>
      </c>
      <c r="C380" s="11" t="str">
        <f>RAW_Продажи!B379</f>
        <v>257-24</v>
      </c>
      <c r="D380" s="11" t="str">
        <f>RAW_Продажи!C379</f>
        <v>2</v>
      </c>
      <c r="E380" s="11" t="str">
        <f>RAW_Продажи!D379</f>
        <v xml:space="preserve">8000 ₽</v>
      </c>
      <c r="F380" s="11" t="str">
        <f>RAW_Продажи!E379</f>
        <v>C0378</v>
      </c>
      <c r="G380" s="11" t="str">
        <f>RAW_Продажи!F379</f>
        <v>P001</v>
      </c>
      <c r="H380" s="11" t="str">
        <f>RAW_Продажи!G379</f>
        <v>отменен</v>
      </c>
      <c r="I380" s="12" t="str">
        <f t="shared" si="199"/>
        <v>257-24</v>
      </c>
      <c r="J380" s="12" t="str">
        <f t="shared" si="200"/>
        <v>₽</v>
      </c>
      <c r="K380" s="12">
        <f t="shared" si="201"/>
        <v>8000</v>
      </c>
      <c r="L380" s="19">
        <f t="shared" si="202"/>
        <v>45860</v>
      </c>
      <c r="M380" s="13" t="str">
        <f t="shared" si="203"/>
        <v>АРТ-257</v>
      </c>
      <c r="N380" s="13">
        <f t="shared" si="204"/>
        <v>2</v>
      </c>
      <c r="O380" s="13" t="str">
        <f>IFERROR(VLOOKUP(J380,Справочники!$G$6:$H$8,2,0),"RUB")</f>
        <v>RUB</v>
      </c>
      <c r="P380" s="14">
        <f>ROUND(K380*IFERROR(VLOOKUP(J380,Справочники!$G$6:$I$8,3,0),1),2)</f>
        <v>8000</v>
      </c>
      <c r="Q380" s="13" t="str">
        <f>IFERROR(VLOOKUP(H380,Справочники!$D$6:$E$14,2,0),"НЕИЗВЕСТНО")</f>
        <v>Отменен</v>
      </c>
      <c r="R380" s="20">
        <f>IFERROR(INDEX(Товары_очищенные!$Q$3:$Q$503,MATCH(M380,Товары_очищенные!$L$3:$L$503,0)),"нет в каталоге")</f>
        <v>36500</v>
      </c>
      <c r="S380" s="21" t="str">
        <f>IFERROR(INDEX(Товары_очищенные!$N$3:$N$503,MATCH(M380,Товары_очищенные!$L$3:$L$503,0)),"нет в каталоге")</f>
        <v>Смартфоны</v>
      </c>
      <c r="T380" s="21" t="str">
        <f t="shared" si="205"/>
        <v>OK</v>
      </c>
      <c r="U380" s="12" t="str">
        <f t="shared" si="206"/>
        <v>22/07/2025|АРТ-257|C0378</v>
      </c>
      <c r="V380" s="12" t="str">
        <f t="shared" si="207"/>
        <v>оригинал</v>
      </c>
    </row>
    <row r="381" ht="15" customHeight="1">
      <c r="A381" s="10">
        <v>379</v>
      </c>
      <c r="B381" s="11" t="str">
        <f>RAW_Продажи!A380</f>
        <v>07/23/2025</v>
      </c>
      <c r="C381" s="11" t="str">
        <f>RAW_Продажи!B380</f>
        <v>№АРТ-080</v>
      </c>
      <c r="D381" s="11" t="str">
        <f>RAW_Продажи!C380</f>
        <v>1</v>
      </c>
      <c r="E381" s="11" t="str">
        <f>RAW_Продажи!D380</f>
        <v>$95</v>
      </c>
      <c r="F381" s="11" t="str">
        <f>RAW_Продажи!E380</f>
        <v>C0379</v>
      </c>
      <c r="G381" s="11" t="str">
        <f>RAW_Продажи!F380</f>
        <v>P021</v>
      </c>
      <c r="H381" s="11" t="str">
        <f>RAW_Продажи!G380</f>
        <v>canceled</v>
      </c>
      <c r="I381" s="12" t="str">
        <f t="shared" si="199"/>
        <v>080</v>
      </c>
      <c r="J381" s="12" t="str">
        <f t="shared" si="200"/>
        <v>$</v>
      </c>
      <c r="K381" s="12">
        <f t="shared" si="201"/>
        <v>95</v>
      </c>
      <c r="L381" s="19">
        <f t="shared" si="202"/>
        <v>45861</v>
      </c>
      <c r="M381" s="13" t="str">
        <f t="shared" si="203"/>
        <v>АРТ-080</v>
      </c>
      <c r="N381" s="13">
        <f t="shared" si="204"/>
        <v>1</v>
      </c>
      <c r="O381" s="13" t="str">
        <f>IFERROR(VLOOKUP(J381,Справочники!$G$6:$H$8,2,0),"RUB")</f>
        <v>USD</v>
      </c>
      <c r="P381" s="14">
        <f>ROUND(K381*IFERROR(VLOOKUP(J381,Справочники!$G$6:$I$8,3,0),1),2)</f>
        <v>9025</v>
      </c>
      <c r="Q381" s="13" t="str">
        <f>IFERROR(VLOOKUP(H381,Справочники!$D$6:$E$14,2,0),"НЕИЗВЕСТНО")</f>
        <v>Отменен</v>
      </c>
      <c r="R381" s="20">
        <f>IFERROR(INDEX(Товары_очищенные!$Q$3:$Q$503,MATCH(M381,Товары_очищенные!$L$3:$L$503,0)),"нет в каталоге")</f>
        <v>44500</v>
      </c>
      <c r="S381" s="21" t="str">
        <f>IFERROR(INDEX(Товары_очищенные!$N$3:$N$503,MATCH(M381,Товары_очищенные!$L$3:$L$503,0)),"нет в каталоге")</f>
        <v>Планшеты</v>
      </c>
      <c r="T381" s="21" t="str">
        <f t="shared" si="205"/>
        <v>OK</v>
      </c>
      <c r="U381" s="12" t="str">
        <f t="shared" si="206"/>
        <v>23/07/2025|АРТ-080|C0379</v>
      </c>
      <c r="V381" s="12" t="str">
        <f t="shared" si="207"/>
        <v>оригинал</v>
      </c>
    </row>
    <row r="382" ht="15" customHeight="1">
      <c r="A382" s="10">
        <v>380</v>
      </c>
      <c r="B382" s="11" t="str">
        <f>RAW_Продажи!A381</f>
        <v>07/23/2025</v>
      </c>
      <c r="C382" s="11" t="str">
        <f>RAW_Продажи!B381</f>
        <v>АРТ_493</v>
      </c>
      <c r="D382" s="11" t="str">
        <f>RAW_Продажи!C381</f>
        <v>2</v>
      </c>
      <c r="E382" s="11" t="str">
        <f>RAW_Продажи!D381</f>
        <v>€75</v>
      </c>
      <c r="F382" s="11" t="str">
        <f>RAW_Продажи!E381</f>
        <v>C0380</v>
      </c>
      <c r="G382" s="11" t="str">
        <f>RAW_Продажи!F381</f>
        <v>P039</v>
      </c>
      <c r="H382" s="11" t="str">
        <f>RAW_Продажи!G381</f>
        <v>Завершен</v>
      </c>
      <c r="I382" s="12" t="str">
        <f t="shared" si="199"/>
        <v>493</v>
      </c>
      <c r="J382" s="12" t="str">
        <f t="shared" si="200"/>
        <v>€</v>
      </c>
      <c r="K382" s="12">
        <f t="shared" si="201"/>
        <v>75</v>
      </c>
      <c r="L382" s="19">
        <f t="shared" si="202"/>
        <v>45861</v>
      </c>
      <c r="M382" s="13" t="str">
        <f t="shared" si="203"/>
        <v>АРТ-493</v>
      </c>
      <c r="N382" s="13">
        <f t="shared" si="204"/>
        <v>2</v>
      </c>
      <c r="O382" s="13" t="str">
        <f>IFERROR(VLOOKUP(J382,Справочники!$G$6:$H$8,2,0),"RUB")</f>
        <v>EUR</v>
      </c>
      <c r="P382" s="14">
        <f>ROUND(K382*IFERROR(VLOOKUP(J382,Справочники!$G$6:$I$8,3,0),1),2)</f>
        <v>7500</v>
      </c>
      <c r="Q382" s="13" t="str">
        <f>IFERROR(VLOOKUP(H382,Справочники!$D$6:$E$14,2,0),"НЕИЗВЕСТНО")</f>
        <v>Завершен</v>
      </c>
      <c r="R382" s="20">
        <f>IFERROR(INDEX(Товары_очищенные!$Q$3:$Q$503,MATCH(M382,Товары_очищенные!$L$3:$L$503,0)),"нет в каталоге")</f>
        <v>14990</v>
      </c>
      <c r="S382" s="21" t="str">
        <f>IFERROR(INDEX(Товары_очищенные!$N$3:$N$503,MATCH(M382,Товары_очищенные!$L$3:$L$503,0)),"нет в каталоге")</f>
        <v>Наушники</v>
      </c>
      <c r="T382" s="21" t="str">
        <f t="shared" si="205"/>
        <v>OK</v>
      </c>
      <c r="U382" s="12" t="str">
        <f t="shared" si="206"/>
        <v>23/07/2025|АРТ-493|C0380</v>
      </c>
      <c r="V382" s="12" t="str">
        <f t="shared" si="207"/>
        <v>оригинал</v>
      </c>
    </row>
    <row r="383" ht="15" customHeight="1">
      <c r="A383" s="10">
        <v>381</v>
      </c>
      <c r="B383" s="11" t="str">
        <f>RAW_Продажи!A382</f>
        <v>07/24/2025</v>
      </c>
      <c r="C383" s="11" t="str">
        <f>RAW_Продажи!B382</f>
        <v>328/24</v>
      </c>
      <c r="D383" s="11" t="str">
        <f>RAW_Продажи!C382</f>
        <v xml:space="preserve">3 шт.</v>
      </c>
      <c r="E383" s="11" t="str">
        <f>RAW_Продажи!D382</f>
        <v xml:space="preserve">7000 ₽</v>
      </c>
      <c r="F383" s="11" t="str">
        <f>RAW_Продажи!E382</f>
        <v>C0381</v>
      </c>
      <c r="G383" s="11" t="str">
        <f>RAW_Продажи!F382</f>
        <v>P050</v>
      </c>
      <c r="H383" s="11" t="str">
        <f>RAW_Продажи!G382</f>
        <v>возврат</v>
      </c>
      <c r="I383" s="12" t="str">
        <f t="shared" si="199"/>
        <v>328/24</v>
      </c>
      <c r="J383" s="12" t="str">
        <f t="shared" si="200"/>
        <v>₽</v>
      </c>
      <c r="K383" s="12">
        <f t="shared" si="201"/>
        <v>7000</v>
      </c>
      <c r="L383" s="19">
        <f t="shared" si="202"/>
        <v>45862</v>
      </c>
      <c r="M383" s="13" t="str">
        <f t="shared" si="203"/>
        <v>АРТ-328</v>
      </c>
      <c r="N383" s="13">
        <f t="shared" si="204"/>
        <v>3</v>
      </c>
      <c r="O383" s="13" t="str">
        <f>IFERROR(VLOOKUP(J383,Справочники!$G$6:$H$8,2,0),"RUB")</f>
        <v>RUB</v>
      </c>
      <c r="P383" s="14">
        <f>ROUND(K383*IFERROR(VLOOKUP(J383,Справочники!$G$6:$I$8,3,0),1),2)</f>
        <v>7000</v>
      </c>
      <c r="Q383" s="13" t="str">
        <f>IFERROR(VLOOKUP(H383,Справочники!$D$6:$E$14,2,0),"НЕИЗВЕСТНО")</f>
        <v>Возврат</v>
      </c>
      <c r="R383" s="20">
        <f>IFERROR(INDEX(Товары_очищенные!$Q$3:$Q$503,MATCH(M383,Товары_очищенные!$L$3:$L$503,0)),"нет в каталоге")</f>
        <v>11990</v>
      </c>
      <c r="S383" s="21" t="str">
        <f>IFERROR(INDEX(Товары_очищенные!$N$3:$N$503,MATCH(M383,Товары_очищенные!$L$3:$L$503,0)),"нет в каталоге")</f>
        <v>Аксессуары</v>
      </c>
      <c r="T383" s="21" t="str">
        <f t="shared" si="205"/>
        <v>OK</v>
      </c>
      <c r="U383" s="12" t="str">
        <f t="shared" si="206"/>
        <v>24/07/2025|АРТ-328|C0381</v>
      </c>
      <c r="V383" s="12" t="str">
        <f t="shared" si="207"/>
        <v>оригинал</v>
      </c>
    </row>
    <row r="384" ht="15" customHeight="1">
      <c r="A384" s="10">
        <v>382</v>
      </c>
      <c r="B384" s="11" t="str">
        <f>RAW_Продажи!A383</f>
        <v>07/24/2025</v>
      </c>
      <c r="C384" s="11" t="str">
        <f>RAW_Продажи!B383</f>
        <v>№АРТ-127</v>
      </c>
      <c r="D384" s="11" t="str">
        <f>RAW_Продажи!C383</f>
        <v>-2</v>
      </c>
      <c r="E384" s="11" t="str">
        <f>RAW_Продажи!D383</f>
        <v>$115</v>
      </c>
      <c r="F384" s="11" t="str">
        <f>RAW_Продажи!E383</f>
        <v>C0382</v>
      </c>
      <c r="G384" s="11" t="str">
        <f>RAW_Продажи!F383</f>
        <v>P011</v>
      </c>
      <c r="H384" s="11" t="str">
        <f>RAW_Продажи!G383</f>
        <v>завершен</v>
      </c>
      <c r="I384" s="12" t="str">
        <f t="shared" si="199"/>
        <v>127</v>
      </c>
      <c r="J384" s="12" t="str">
        <f t="shared" si="200"/>
        <v>$</v>
      </c>
      <c r="K384" s="12">
        <f t="shared" si="201"/>
        <v>115</v>
      </c>
      <c r="L384" s="19">
        <f t="shared" si="202"/>
        <v>45862</v>
      </c>
      <c r="M384" s="13" t="str">
        <f t="shared" si="203"/>
        <v>АРТ-127</v>
      </c>
      <c r="N384" s="13">
        <f t="shared" si="204"/>
        <v>-2</v>
      </c>
      <c r="O384" s="13" t="str">
        <f>IFERROR(VLOOKUP(J384,Справочники!$G$6:$H$8,2,0),"RUB")</f>
        <v>USD</v>
      </c>
      <c r="P384" s="14">
        <f>ROUND(K384*IFERROR(VLOOKUP(J384,Справочники!$G$6:$I$8,3,0),1),2)</f>
        <v>10925</v>
      </c>
      <c r="Q384" s="13" t="str">
        <f>IFERROR(VLOOKUP(H384,Справочники!$D$6:$E$14,2,0),"НЕИЗВЕСТНО")</f>
        <v>Завершен</v>
      </c>
      <c r="R384" s="20">
        <f>IFERROR(INDEX(Товары_очищенные!$Q$3:$Q$503,MATCH(M384,Товары_очищенные!$L$3:$L$503,0)),"нет в каталоге")</f>
        <v>51990</v>
      </c>
      <c r="S384" s="21" t="str">
        <f>IFERROR(INDEX(Товары_очищенные!$N$3:$N$503,MATCH(M384,Товары_очищенные!$L$3:$L$503,0)),"нет в каталоге")</f>
        <v>Смартфоны</v>
      </c>
      <c r="T384" s="21" t="str">
        <f t="shared" si="205"/>
        <v>OK</v>
      </c>
      <c r="U384" s="12" t="str">
        <f t="shared" si="206"/>
        <v>24/07/2025|АРТ-127|C0382</v>
      </c>
      <c r="V384" s="12" t="str">
        <f t="shared" si="207"/>
        <v>оригинал</v>
      </c>
    </row>
    <row r="385" ht="15" customHeight="1">
      <c r="A385" s="10">
        <v>383</v>
      </c>
      <c r="B385" s="11" t="str">
        <f>RAW_Продажи!A384</f>
        <v>07/25/2025</v>
      </c>
      <c r="C385" s="11" t="str">
        <f>RAW_Продажи!B384</f>
        <v>АРТ_342</v>
      </c>
      <c r="D385" s="11" t="str">
        <f>RAW_Продажи!C384</f>
        <v>1</v>
      </c>
      <c r="E385" s="11" t="str">
        <f>RAW_Продажи!D384</f>
        <v>€95</v>
      </c>
      <c r="F385" s="11" t="str">
        <f>RAW_Продажи!E384</f>
        <v>C0383</v>
      </c>
      <c r="G385" s="11" t="str">
        <f>RAW_Продажи!F384</f>
        <v>P027</v>
      </c>
      <c r="H385" s="11" t="str">
        <f>RAW_Продажи!G384</f>
        <v>completed</v>
      </c>
      <c r="I385" s="12" t="str">
        <f t="shared" si="199"/>
        <v>342</v>
      </c>
      <c r="J385" s="12" t="str">
        <f t="shared" si="200"/>
        <v>€</v>
      </c>
      <c r="K385" s="12">
        <f t="shared" si="201"/>
        <v>95</v>
      </c>
      <c r="L385" s="19">
        <f t="shared" si="202"/>
        <v>45863</v>
      </c>
      <c r="M385" s="13" t="str">
        <f t="shared" si="203"/>
        <v>АРТ-342</v>
      </c>
      <c r="N385" s="13">
        <f t="shared" si="204"/>
        <v>1</v>
      </c>
      <c r="O385" s="13" t="str">
        <f>IFERROR(VLOOKUP(J385,Справочники!$G$6:$H$8,2,0),"RUB")</f>
        <v>EUR</v>
      </c>
      <c r="P385" s="14">
        <f>ROUND(K385*IFERROR(VLOOKUP(J385,Справочники!$G$6:$I$8,3,0),1),2)</f>
        <v>9500</v>
      </c>
      <c r="Q385" s="13" t="str">
        <f>IFERROR(VLOOKUP(H385,Справочники!$D$6:$E$14,2,0),"НЕИЗВЕСТНО")</f>
        <v>Завершен</v>
      </c>
      <c r="R385" s="20">
        <f>IFERROR(INDEX(Товары_очищенные!$Q$3:$Q$503,MATCH(M385,Товары_очищенные!$L$3:$L$503,0)),"нет в каталоге")</f>
        <v>137500</v>
      </c>
      <c r="S385" s="21" t="str">
        <f>IFERROR(INDEX(Товары_очищенные!$N$3:$N$503,MATCH(M385,Товары_очищенные!$L$3:$L$503,0)),"нет в каталоге")</f>
        <v>Ноутбуки</v>
      </c>
      <c r="T385" s="21" t="str">
        <f t="shared" si="205"/>
        <v>OK</v>
      </c>
      <c r="U385" s="12" t="str">
        <f t="shared" si="206"/>
        <v>25/07/2025|АРТ-342|C0383</v>
      </c>
      <c r="V385" s="12" t="str">
        <f t="shared" si="207"/>
        <v>оригинал</v>
      </c>
    </row>
    <row r="386" ht="15" customHeight="1">
      <c r="A386" s="10">
        <v>384</v>
      </c>
      <c r="B386" s="11" t="str">
        <f>RAW_Продажи!A385</f>
        <v>07/25/2025</v>
      </c>
      <c r="C386" s="11" t="str">
        <f>RAW_Продажи!B385</f>
        <v>181-24</v>
      </c>
      <c r="D386" s="11" t="str">
        <f>RAW_Продажи!C385</f>
        <v>2</v>
      </c>
      <c r="E386" s="11" t="str">
        <f>RAW_Продажи!D385</f>
        <v xml:space="preserve">8500 ₽</v>
      </c>
      <c r="F386" s="11" t="str">
        <f>RAW_Продажи!E385</f>
        <v>C0384</v>
      </c>
      <c r="G386" s="11" t="str">
        <f>RAW_Продажи!F385</f>
        <v>P018</v>
      </c>
      <c r="H386" s="11" t="str">
        <f>RAW_Продажи!G385</f>
        <v>Завершен</v>
      </c>
      <c r="I386" s="12" t="str">
        <f t="shared" si="199"/>
        <v>181-24</v>
      </c>
      <c r="J386" s="12" t="str">
        <f t="shared" si="200"/>
        <v>₽</v>
      </c>
      <c r="K386" s="12">
        <f t="shared" si="201"/>
        <v>8500</v>
      </c>
      <c r="L386" s="19">
        <f t="shared" si="202"/>
        <v>45863</v>
      </c>
      <c r="M386" s="13" t="str">
        <f t="shared" si="203"/>
        <v>АРТ-181</v>
      </c>
      <c r="N386" s="13">
        <f t="shared" si="204"/>
        <v>2</v>
      </c>
      <c r="O386" s="13" t="str">
        <f>IFERROR(VLOOKUP(J386,Справочники!$G$6:$H$8,2,0),"RUB")</f>
        <v>RUB</v>
      </c>
      <c r="P386" s="14">
        <f>ROUND(K386*IFERROR(VLOOKUP(J386,Справочники!$G$6:$I$8,3,0),1),2)</f>
        <v>8500</v>
      </c>
      <c r="Q386" s="13" t="str">
        <f>IFERROR(VLOOKUP(H386,Справочники!$D$6:$E$14,2,0),"НЕИЗВЕСТНО")</f>
        <v>Завершен</v>
      </c>
      <c r="R386" s="20">
        <f>IFERROR(INDEX(Товары_очищенные!$Q$3:$Q$503,MATCH(M386,Товары_очищенные!$L$3:$L$503,0)),"нет в каталоге")</f>
        <v>169990</v>
      </c>
      <c r="S386" s="21" t="str">
        <f>IFERROR(INDEX(Товары_очищенные!$N$3:$N$503,MATCH(M386,Товары_очищенные!$L$3:$L$503,0)),"нет в каталоге")</f>
        <v>Мониторы</v>
      </c>
      <c r="T386" s="21" t="str">
        <f t="shared" si="205"/>
        <v>OK</v>
      </c>
      <c r="U386" s="12" t="str">
        <f t="shared" si="206"/>
        <v>25/07/2025|АРТ-181|C0384</v>
      </c>
      <c r="V386" s="12" t="str">
        <f t="shared" si="207"/>
        <v>оригинал</v>
      </c>
    </row>
    <row r="387" ht="15" customHeight="1">
      <c r="A387" s="10">
        <v>385</v>
      </c>
      <c r="B387" s="11" t="str">
        <f>RAW_Продажи!A386</f>
        <v>07/26/2025</v>
      </c>
      <c r="C387" s="11" t="str">
        <f>RAW_Продажи!B386</f>
        <v>№АРТ-266</v>
      </c>
      <c r="D387" s="11" t="str">
        <f>RAW_Продажи!C386</f>
        <v>3</v>
      </c>
      <c r="E387" s="11" t="str">
        <f>RAW_Продажи!D386</f>
        <v>$105</v>
      </c>
      <c r="F387" s="11" t="str">
        <f>RAW_Продажи!E386</f>
        <v>C0385</v>
      </c>
      <c r="G387" s="11" t="str">
        <f>RAW_Продажи!F386</f>
        <v>P040</v>
      </c>
      <c r="H387" s="11" t="str">
        <f>RAW_Продажи!G386</f>
        <v>canceled</v>
      </c>
      <c r="I387" s="12" t="str">
        <f t="shared" si="199"/>
        <v>266</v>
      </c>
      <c r="J387" s="12" t="str">
        <f t="shared" si="200"/>
        <v>$</v>
      </c>
      <c r="K387" s="12">
        <f t="shared" si="201"/>
        <v>105</v>
      </c>
      <c r="L387" s="19">
        <f t="shared" si="202"/>
        <v>45864</v>
      </c>
      <c r="M387" s="13" t="str">
        <f t="shared" si="203"/>
        <v>АРТ-266</v>
      </c>
      <c r="N387" s="13">
        <f t="shared" si="204"/>
        <v>3</v>
      </c>
      <c r="O387" s="13" t="str">
        <f>IFERROR(VLOOKUP(J387,Справочники!$G$6:$H$8,2,0),"RUB")</f>
        <v>USD</v>
      </c>
      <c r="P387" s="14">
        <f>ROUND(K387*IFERROR(VLOOKUP(J387,Справочники!$G$6:$I$8,3,0),1),2)</f>
        <v>9975</v>
      </c>
      <c r="Q387" s="13" t="str">
        <f>IFERROR(VLOOKUP(H387,Справочники!$D$6:$E$14,2,0),"НЕИЗВЕСТНО")</f>
        <v>Отменен</v>
      </c>
      <c r="R387" s="20">
        <f>IFERROR(INDEX(Товары_очищенные!$Q$3:$Q$503,MATCH(M387,Товары_очищенные!$L$3:$L$503,0)),"нет в каталоге")</f>
        <v>65500</v>
      </c>
      <c r="S387" s="21" t="str">
        <f>IFERROR(INDEX(Товары_очищенные!$N$3:$N$503,MATCH(M387,Товары_очищенные!$L$3:$L$503,0)),"нет в каталоге")</f>
        <v>Мониторы</v>
      </c>
      <c r="T387" s="21" t="str">
        <f t="shared" si="205"/>
        <v>OK</v>
      </c>
      <c r="U387" s="12" t="str">
        <f t="shared" si="206"/>
        <v>26/07/2025|АРТ-266|C0385</v>
      </c>
      <c r="V387" s="12" t="str">
        <f t="shared" si="207"/>
        <v>оригинал</v>
      </c>
    </row>
    <row r="388" ht="15" customHeight="1">
      <c r="A388" s="10">
        <v>386</v>
      </c>
      <c r="B388" s="11" t="str">
        <f>RAW_Продажи!A387</f>
        <v>07/26/2025</v>
      </c>
      <c r="C388" s="11" t="str">
        <f>RAW_Продажи!B387</f>
        <v>АРТ_489</v>
      </c>
      <c r="D388" s="11" t="str">
        <f>RAW_Продажи!C387</f>
        <v>2</v>
      </c>
      <c r="E388" s="11" t="str">
        <f>RAW_Продажи!D387</f>
        <v>€85</v>
      </c>
      <c r="F388" s="11" t="str">
        <f>RAW_Продажи!E387</f>
        <v>C0386</v>
      </c>
      <c r="G388" s="11" t="str">
        <f>RAW_Продажи!F387</f>
        <v>P003</v>
      </c>
      <c r="H388" s="11" t="str">
        <f>RAW_Продажи!G387</f>
        <v>отменен</v>
      </c>
      <c r="I388" s="12" t="str">
        <f t="shared" si="199"/>
        <v>489</v>
      </c>
      <c r="J388" s="12" t="str">
        <f t="shared" si="200"/>
        <v>€</v>
      </c>
      <c r="K388" s="12">
        <f t="shared" si="201"/>
        <v>85</v>
      </c>
      <c r="L388" s="19">
        <f t="shared" si="202"/>
        <v>45864</v>
      </c>
      <c r="M388" s="13" t="str">
        <f t="shared" si="203"/>
        <v>АРТ-489</v>
      </c>
      <c r="N388" s="13">
        <f t="shared" si="204"/>
        <v>2</v>
      </c>
      <c r="O388" s="13" t="str">
        <f>IFERROR(VLOOKUP(J388,Справочники!$G$6:$H$8,2,0),"RUB")</f>
        <v>EUR</v>
      </c>
      <c r="P388" s="14">
        <f>ROUND(K388*IFERROR(VLOOKUP(J388,Справочники!$G$6:$I$8,3,0),1),2)</f>
        <v>8500</v>
      </c>
      <c r="Q388" s="13" t="str">
        <f>IFERROR(VLOOKUP(H388,Справочники!$D$6:$E$14,2,0),"НЕИЗВЕСТНО")</f>
        <v>Отменен</v>
      </c>
      <c r="R388" s="20">
        <f>IFERROR(INDEX(Товары_очищенные!$Q$3:$Q$503,MATCH(M388,Товары_очищенные!$L$3:$L$503,0)),"нет в каталоге")</f>
        <v>113500</v>
      </c>
      <c r="S388" s="21" t="str">
        <f>IFERROR(INDEX(Товары_очищенные!$N$3:$N$503,MATCH(M388,Товары_очищенные!$L$3:$L$503,0)),"нет в каталоге")</f>
        <v>Ноутбуки</v>
      </c>
      <c r="T388" s="21" t="str">
        <f t="shared" si="205"/>
        <v>OK</v>
      </c>
      <c r="U388" s="12" t="str">
        <f t="shared" si="206"/>
        <v>26/07/2025|АРТ-489|C0386</v>
      </c>
      <c r="V388" s="12" t="str">
        <f t="shared" si="207"/>
        <v>оригинал</v>
      </c>
    </row>
    <row r="389" ht="15" customHeight="1">
      <c r="A389" s="10">
        <v>387</v>
      </c>
      <c r="B389" s="11" t="str">
        <f>RAW_Продажи!A388</f>
        <v>07/27/2025</v>
      </c>
      <c r="C389" s="11" t="str">
        <f>RAW_Продажи!B388</f>
        <v>297/24</v>
      </c>
      <c r="D389" s="11" t="str">
        <f>RAW_Продажи!C388</f>
        <v xml:space="preserve">1 шт.</v>
      </c>
      <c r="E389" s="11" t="str">
        <f>RAW_Продажи!D388</f>
        <v xml:space="preserve">7800 ₽</v>
      </c>
      <c r="F389" s="11" t="str">
        <f>RAW_Продажи!E388</f>
        <v>C0387</v>
      </c>
      <c r="G389" s="11" t="str">
        <f>RAW_Продажи!F388</f>
        <v>P025</v>
      </c>
      <c r="H389" s="11" t="str">
        <f>RAW_Продажи!G388</f>
        <v>возврат</v>
      </c>
      <c r="I389" s="12" t="str">
        <f t="shared" si="199"/>
        <v>297/24</v>
      </c>
      <c r="J389" s="12" t="str">
        <f t="shared" si="200"/>
        <v>₽</v>
      </c>
      <c r="K389" s="12">
        <f t="shared" si="201"/>
        <v>7800</v>
      </c>
      <c r="L389" s="19">
        <f t="shared" si="202"/>
        <v>45865</v>
      </c>
      <c r="M389" s="13" t="str">
        <f t="shared" si="203"/>
        <v>АРТ-297</v>
      </c>
      <c r="N389" s="13">
        <f t="shared" si="204"/>
        <v>1</v>
      </c>
      <c r="O389" s="13" t="str">
        <f>IFERROR(VLOOKUP(J389,Справочники!$G$6:$H$8,2,0),"RUB")</f>
        <v>RUB</v>
      </c>
      <c r="P389" s="14">
        <f>ROUND(K389*IFERROR(VLOOKUP(J389,Справочники!$G$6:$I$8,3,0),1),2)</f>
        <v>7800</v>
      </c>
      <c r="Q389" s="13" t="str">
        <f>IFERROR(VLOOKUP(H389,Справочники!$D$6:$E$14,2,0),"НЕИЗВЕСТНО")</f>
        <v>Возврат</v>
      </c>
      <c r="R389" s="20">
        <f>IFERROR(INDEX(Товары_очищенные!$Q$3:$Q$503,MATCH(M389,Товары_очищенные!$L$3:$L$503,0)),"нет в каталоге")</f>
        <v>36500</v>
      </c>
      <c r="S389" s="21" t="str">
        <f>IFERROR(INDEX(Товары_очищенные!$N$3:$N$503,MATCH(M389,Товары_очищенные!$L$3:$L$503,0)),"нет в каталоге")</f>
        <v>Смартфоны</v>
      </c>
      <c r="T389" s="21" t="str">
        <f t="shared" si="205"/>
        <v>OK</v>
      </c>
      <c r="U389" s="12" t="str">
        <f t="shared" si="206"/>
        <v>27/07/2025|АРТ-297|C0387</v>
      </c>
      <c r="V389" s="12" t="str">
        <f t="shared" si="207"/>
        <v>оригинал</v>
      </c>
    </row>
    <row r="390" ht="15" customHeight="1">
      <c r="A390" s="10">
        <v>388</v>
      </c>
      <c r="B390" s="11" t="str">
        <f>RAW_Продажи!A389</f>
        <v>07/27/2025</v>
      </c>
      <c r="C390" s="11" t="str">
        <f>RAW_Продажи!B389</f>
        <v>№АРТ-413</v>
      </c>
      <c r="D390" s="11" t="str">
        <f>RAW_Продажи!C389</f>
        <v>-3</v>
      </c>
      <c r="E390" s="11" t="str">
        <f>RAW_Продажи!D389</f>
        <v>$120</v>
      </c>
      <c r="F390" s="11" t="str">
        <f>RAW_Продажи!E389</f>
        <v>C0388</v>
      </c>
      <c r="G390" s="11" t="str">
        <f>RAW_Продажи!F389</f>
        <v>P010</v>
      </c>
      <c r="H390" s="11" t="str">
        <f>RAW_Продажи!G389</f>
        <v>Завершен</v>
      </c>
      <c r="I390" s="12" t="str">
        <f t="shared" si="199"/>
        <v>413</v>
      </c>
      <c r="J390" s="12" t="str">
        <f t="shared" si="200"/>
        <v>$</v>
      </c>
      <c r="K390" s="12">
        <f t="shared" si="201"/>
        <v>120</v>
      </c>
      <c r="L390" s="19">
        <f t="shared" si="202"/>
        <v>45865</v>
      </c>
      <c r="M390" s="13" t="str">
        <f t="shared" si="203"/>
        <v>АРТ-413</v>
      </c>
      <c r="N390" s="13">
        <f t="shared" si="204"/>
        <v>-3</v>
      </c>
      <c r="O390" s="13" t="str">
        <f>IFERROR(VLOOKUP(J390,Справочники!$G$6:$H$8,2,0),"RUB")</f>
        <v>USD</v>
      </c>
      <c r="P390" s="14">
        <f>ROUND(K390*IFERROR(VLOOKUP(J390,Справочники!$G$6:$I$8,3,0),1),2)</f>
        <v>11400</v>
      </c>
      <c r="Q390" s="13" t="str">
        <f>IFERROR(VLOOKUP(H390,Справочники!$D$6:$E$14,2,0),"НЕИЗВЕСТНО")</f>
        <v>Завершен</v>
      </c>
      <c r="R390" s="20">
        <f>IFERROR(INDEX(Товары_очищенные!$Q$3:$Q$503,MATCH(M390,Товары_очищенные!$L$3:$L$503,0)),"нет в каталоге")</f>
        <v>52500</v>
      </c>
      <c r="S390" s="21" t="str">
        <f>IFERROR(INDEX(Товары_очищенные!$N$3:$N$503,MATCH(M390,Товары_очищенные!$L$3:$L$503,0)),"нет в каталоге")</f>
        <v>Мониторы</v>
      </c>
      <c r="T390" s="21" t="str">
        <f t="shared" si="205"/>
        <v>OK</v>
      </c>
      <c r="U390" s="12" t="str">
        <f t="shared" si="206"/>
        <v>27/07/2025|АРТ-413|C0388</v>
      </c>
      <c r="V390" s="12" t="str">
        <f t="shared" si="207"/>
        <v>оригинал</v>
      </c>
    </row>
    <row r="391" ht="15" customHeight="1">
      <c r="A391" s="10">
        <v>389</v>
      </c>
      <c r="B391" s="11" t="str">
        <f>RAW_Продажи!A390</f>
        <v>07/28/2025</v>
      </c>
      <c r="C391" s="11" t="str">
        <f>RAW_Продажи!B390</f>
        <v>АРТ_357</v>
      </c>
      <c r="D391" s="11" t="str">
        <f>RAW_Продажи!C390</f>
        <v>2</v>
      </c>
      <c r="E391" s="11" t="str">
        <f>RAW_Продажи!D390</f>
        <v>€100</v>
      </c>
      <c r="F391" s="11" t="str">
        <f>RAW_Продажи!E390</f>
        <v>C0389</v>
      </c>
      <c r="G391" s="11" t="str">
        <f>RAW_Продажи!F390</f>
        <v>P033</v>
      </c>
      <c r="H391" s="11" t="str">
        <f>RAW_Продажи!G390</f>
        <v>завершен</v>
      </c>
      <c r="I391" s="12" t="str">
        <f t="shared" si="199"/>
        <v>357</v>
      </c>
      <c r="J391" s="12" t="str">
        <f t="shared" si="200"/>
        <v>€</v>
      </c>
      <c r="K391" s="12">
        <f t="shared" si="201"/>
        <v>100</v>
      </c>
      <c r="L391" s="19">
        <f t="shared" si="202"/>
        <v>45866</v>
      </c>
      <c r="M391" s="13" t="str">
        <f t="shared" si="203"/>
        <v>АРТ-357</v>
      </c>
      <c r="N391" s="13">
        <f t="shared" si="204"/>
        <v>2</v>
      </c>
      <c r="O391" s="13" t="str">
        <f>IFERROR(VLOOKUP(J391,Справочники!$G$6:$H$8,2,0),"RUB")</f>
        <v>EUR</v>
      </c>
      <c r="P391" s="14">
        <f>ROUND(K391*IFERROR(VLOOKUP(J391,Справочники!$G$6:$I$8,3,0),1),2)</f>
        <v>10000</v>
      </c>
      <c r="Q391" s="13" t="str">
        <f>IFERROR(VLOOKUP(H391,Справочники!$D$6:$E$14,2,0),"НЕИЗВЕСТНО")</f>
        <v>Завершен</v>
      </c>
      <c r="R391" s="20">
        <f>IFERROR(INDEX(Товары_очищенные!$Q$3:$Q$503,MATCH(M391,Товары_очищенные!$L$3:$L$503,0)),"нет в каталоге")</f>
        <v>88000</v>
      </c>
      <c r="S391" s="21" t="str">
        <f>IFERROR(INDEX(Товары_очищенные!$N$3:$N$503,MATCH(M391,Товары_очищенные!$L$3:$L$503,0)),"нет в каталоге")</f>
        <v>Смартфоны</v>
      </c>
      <c r="T391" s="21" t="str">
        <f t="shared" si="205"/>
        <v>OK</v>
      </c>
      <c r="U391" s="12" t="str">
        <f t="shared" si="206"/>
        <v>28/07/2025|АРТ-357|C0389</v>
      </c>
      <c r="V391" s="12" t="str">
        <f t="shared" si="207"/>
        <v>оригинал</v>
      </c>
    </row>
    <row r="392" ht="15" customHeight="1">
      <c r="A392" s="10">
        <v>390</v>
      </c>
      <c r="B392" s="11" t="str">
        <f>RAW_Продажи!A391</f>
        <v>07/28/2025</v>
      </c>
      <c r="C392" s="11" t="str">
        <f>RAW_Продажи!B391</f>
        <v>238-24</v>
      </c>
      <c r="D392" s="11" t="str">
        <f>RAW_Продажи!C391</f>
        <v>1</v>
      </c>
      <c r="E392" s="11" t="str">
        <f>RAW_Продажи!D391</f>
        <v xml:space="preserve">9200 ₽</v>
      </c>
      <c r="F392" s="11" t="str">
        <f>RAW_Продажи!E391</f>
        <v>C0390</v>
      </c>
      <c r="G392" s="11" t="str">
        <f>RAW_Продажи!F391</f>
        <v>P047</v>
      </c>
      <c r="H392" s="11" t="str">
        <f>RAW_Продажи!G391</f>
        <v>completed</v>
      </c>
      <c r="I392" s="12" t="str">
        <f t="shared" si="199"/>
        <v>238-24</v>
      </c>
      <c r="J392" s="12" t="str">
        <f t="shared" si="200"/>
        <v>₽</v>
      </c>
      <c r="K392" s="12">
        <f t="shared" si="201"/>
        <v>9200</v>
      </c>
      <c r="L392" s="19">
        <f t="shared" si="202"/>
        <v>45866</v>
      </c>
      <c r="M392" s="13" t="str">
        <f t="shared" si="203"/>
        <v>АРТ-238</v>
      </c>
      <c r="N392" s="13">
        <f t="shared" si="204"/>
        <v>1</v>
      </c>
      <c r="O392" s="13" t="str">
        <f>IFERROR(VLOOKUP(J392,Справочники!$G$6:$H$8,2,0),"RUB")</f>
        <v>RUB</v>
      </c>
      <c r="P392" s="14">
        <f>ROUND(K392*IFERROR(VLOOKUP(J392,Справочники!$G$6:$I$8,3,0),1),2)</f>
        <v>9200</v>
      </c>
      <c r="Q392" s="13" t="str">
        <f>IFERROR(VLOOKUP(H392,Справочники!$D$6:$E$14,2,0),"НЕИЗВЕСТНО")</f>
        <v>Завершен</v>
      </c>
      <c r="R392" s="20">
        <f>IFERROR(INDEX(Товары_очищенные!$Q$3:$Q$503,MATCH(M392,Товары_очищенные!$L$3:$L$503,0)),"нет в каталоге")</f>
        <v>110990</v>
      </c>
      <c r="S392" s="21" t="str">
        <f>IFERROR(INDEX(Товары_очищенные!$N$3:$N$503,MATCH(M392,Товары_очищенные!$L$3:$L$503,0)),"нет в каталоге")</f>
        <v>Телевизоры</v>
      </c>
      <c r="T392" s="21" t="str">
        <f t="shared" si="205"/>
        <v>OK</v>
      </c>
      <c r="U392" s="12" t="str">
        <f t="shared" si="206"/>
        <v>28/07/2025|АРТ-238|C0390</v>
      </c>
      <c r="V392" s="12" t="str">
        <f t="shared" si="207"/>
        <v>оригинал</v>
      </c>
    </row>
    <row r="393" ht="15" customHeight="1">
      <c r="A393" s="10">
        <v>391</v>
      </c>
      <c r="B393" s="11" t="str">
        <f>RAW_Продажи!A392</f>
        <v>07/29/2025</v>
      </c>
      <c r="C393" s="11" t="str">
        <f>RAW_Продажи!B392</f>
        <v>№АРТ-168</v>
      </c>
      <c r="D393" s="11" t="str">
        <f>RAW_Продажи!C392</f>
        <v>3</v>
      </c>
      <c r="E393" s="11" t="str">
        <f>RAW_Продажи!D392</f>
        <v>$90</v>
      </c>
      <c r="F393" s="11" t="str">
        <f>RAW_Продажи!E392</f>
        <v>C0391</v>
      </c>
      <c r="G393" s="11" t="str">
        <f>RAW_Продажи!F392</f>
        <v>P020</v>
      </c>
      <c r="H393" s="11" t="str">
        <f>RAW_Продажи!G392</f>
        <v>отменен</v>
      </c>
      <c r="I393" s="12" t="str">
        <f t="shared" si="199"/>
        <v>168</v>
      </c>
      <c r="J393" s="12" t="str">
        <f t="shared" si="200"/>
        <v>$</v>
      </c>
      <c r="K393" s="12">
        <f t="shared" si="201"/>
        <v>90</v>
      </c>
      <c r="L393" s="19">
        <f t="shared" si="202"/>
        <v>45867</v>
      </c>
      <c r="M393" s="13" t="str">
        <f t="shared" si="203"/>
        <v>АРТ-168</v>
      </c>
      <c r="N393" s="13">
        <f t="shared" si="204"/>
        <v>3</v>
      </c>
      <c r="O393" s="13" t="str">
        <f>IFERROR(VLOOKUP(J393,Справочники!$G$6:$H$8,2,0),"RUB")</f>
        <v>USD</v>
      </c>
      <c r="P393" s="14">
        <f>ROUND(K393*IFERROR(VLOOKUP(J393,Справочники!$G$6:$I$8,3,0),1),2)</f>
        <v>8550</v>
      </c>
      <c r="Q393" s="13" t="str">
        <f>IFERROR(VLOOKUP(H393,Справочники!$D$6:$E$14,2,0),"НЕИЗВЕСТНО")</f>
        <v>Отменен</v>
      </c>
      <c r="R393" s="20">
        <f>IFERROR(INDEX(Товары_очищенные!$Q$3:$Q$503,MATCH(M393,Товары_очищенные!$L$3:$L$503,0)),"нет в каталоге")</f>
        <v>85000</v>
      </c>
      <c r="S393" s="21" t="str">
        <f>IFERROR(INDEX(Товары_очищенные!$N$3:$N$503,MATCH(M393,Товары_очищенные!$L$3:$L$503,0)),"нет в каталоге")</f>
        <v>Планшеты</v>
      </c>
      <c r="T393" s="21" t="str">
        <f t="shared" si="205"/>
        <v>OK</v>
      </c>
      <c r="U393" s="12" t="str">
        <f t="shared" si="206"/>
        <v>29/07/2025|АРТ-168|C0391</v>
      </c>
      <c r="V393" s="12" t="str">
        <f t="shared" si="207"/>
        <v>оригинал</v>
      </c>
    </row>
    <row r="394" ht="15" customHeight="1">
      <c r="A394" s="10">
        <v>392</v>
      </c>
      <c r="B394" s="11" t="str">
        <f>RAW_Продажи!A393</f>
        <v>07/29/2025</v>
      </c>
      <c r="C394" s="11" t="str">
        <f>RAW_Продажи!B393</f>
        <v>АРТ_426</v>
      </c>
      <c r="D394" s="11" t="str">
        <f>RAW_Продажи!C393</f>
        <v>2</v>
      </c>
      <c r="E394" s="11" t="str">
        <f>RAW_Продажи!D393</f>
        <v>€70</v>
      </c>
      <c r="F394" s="11" t="str">
        <f>RAW_Продажи!E393</f>
        <v>C0392</v>
      </c>
      <c r="G394" s="11" t="str">
        <f>RAW_Продажи!F393</f>
        <v>P002</v>
      </c>
      <c r="H394" s="11" t="str">
        <f>RAW_Продажи!G393</f>
        <v>canceled</v>
      </c>
      <c r="I394" s="12" t="str">
        <f t="shared" si="199"/>
        <v>426</v>
      </c>
      <c r="J394" s="12" t="str">
        <f t="shared" si="200"/>
        <v>€</v>
      </c>
      <c r="K394" s="12">
        <f t="shared" si="201"/>
        <v>70</v>
      </c>
      <c r="L394" s="19">
        <f t="shared" si="202"/>
        <v>45867</v>
      </c>
      <c r="M394" s="13" t="str">
        <f t="shared" si="203"/>
        <v>АРТ-426</v>
      </c>
      <c r="N394" s="13">
        <f t="shared" si="204"/>
        <v>2</v>
      </c>
      <c r="O394" s="13" t="str">
        <f>IFERROR(VLOOKUP(J394,Справочники!$G$6:$H$8,2,0),"RUB")</f>
        <v>EUR</v>
      </c>
      <c r="P394" s="14">
        <f>ROUND(K394*IFERROR(VLOOKUP(J394,Справочники!$G$6:$I$8,3,0),1),2)</f>
        <v>7000</v>
      </c>
      <c r="Q394" s="13" t="str">
        <f>IFERROR(VLOOKUP(H394,Справочники!$D$6:$E$14,2,0),"НЕИЗВЕСТНО")</f>
        <v>Отменен</v>
      </c>
      <c r="R394" s="20">
        <f>IFERROR(INDEX(Товары_очищенные!$Q$3:$Q$503,MATCH(M394,Товары_очищенные!$L$3:$L$503,0)),"нет в каталоге")</f>
        <v>50500</v>
      </c>
      <c r="S394" s="21" t="str">
        <f>IFERROR(INDEX(Товары_очищенные!$N$3:$N$503,MATCH(M394,Товары_очищенные!$L$3:$L$503,0)),"нет в каталоге")</f>
        <v>Смартфоны</v>
      </c>
      <c r="T394" s="21" t="str">
        <f t="shared" si="205"/>
        <v>OK</v>
      </c>
      <c r="U394" s="12" t="str">
        <f t="shared" si="206"/>
        <v>29/07/2025|АРТ-426|C0392</v>
      </c>
      <c r="V394" s="12" t="str">
        <f t="shared" si="207"/>
        <v>оригинал</v>
      </c>
    </row>
    <row r="395" ht="15" customHeight="1">
      <c r="A395" s="10">
        <v>393</v>
      </c>
      <c r="B395" s="11" t="str">
        <f>RAW_Продажи!A394</f>
        <v>07/30/2025</v>
      </c>
      <c r="C395" s="11" t="str">
        <f>RAW_Продажи!B394</f>
        <v>351/24</v>
      </c>
      <c r="D395" s="11" t="str">
        <f>RAW_Продажи!C394</f>
        <v xml:space="preserve">1 шт.</v>
      </c>
      <c r="E395" s="11" t="str">
        <f>RAW_Продажи!D394</f>
        <v xml:space="preserve">6500 ₽</v>
      </c>
      <c r="F395" s="11" t="str">
        <f>RAW_Продажи!E394</f>
        <v>C0393</v>
      </c>
      <c r="G395" s="11" t="str">
        <f>RAW_Продажи!F394</f>
        <v>P038</v>
      </c>
      <c r="H395" s="11" t="str">
        <f>RAW_Продажи!G394</f>
        <v>Завершен</v>
      </c>
      <c r="I395" s="12" t="str">
        <f t="shared" si="199"/>
        <v>351/24</v>
      </c>
      <c r="J395" s="12" t="str">
        <f t="shared" si="200"/>
        <v>₽</v>
      </c>
      <c r="K395" s="12">
        <f t="shared" si="201"/>
        <v>6500</v>
      </c>
      <c r="L395" s="19">
        <f t="shared" si="202"/>
        <v>45868</v>
      </c>
      <c r="M395" s="13" t="str">
        <f t="shared" si="203"/>
        <v>АРТ-351</v>
      </c>
      <c r="N395" s="13">
        <f t="shared" si="204"/>
        <v>1</v>
      </c>
      <c r="O395" s="13" t="str">
        <f>IFERROR(VLOOKUP(J395,Справочники!$G$6:$H$8,2,0),"RUB")</f>
        <v>RUB</v>
      </c>
      <c r="P395" s="14">
        <f>ROUND(K395*IFERROR(VLOOKUP(J395,Справочники!$G$6:$I$8,3,0),1),2)</f>
        <v>6500</v>
      </c>
      <c r="Q395" s="13" t="str">
        <f>IFERROR(VLOOKUP(H395,Справочники!$D$6:$E$14,2,0),"НЕИЗВЕСТНО")</f>
        <v>Завершен</v>
      </c>
      <c r="R395" s="20">
        <f>IFERROR(INDEX(Товары_очищенные!$Q$3:$Q$503,MATCH(M395,Товары_очищенные!$L$3:$L$503,0)),"нет в каталоге")</f>
        <v>57000</v>
      </c>
      <c r="S395" s="21" t="str">
        <f>IFERROR(INDEX(Товары_очищенные!$N$3:$N$503,MATCH(M395,Товары_очищенные!$L$3:$L$503,0)),"нет в каталоге")</f>
        <v>Мониторы</v>
      </c>
      <c r="T395" s="21" t="str">
        <f t="shared" si="205"/>
        <v>OK</v>
      </c>
      <c r="U395" s="12" t="str">
        <f t="shared" si="206"/>
        <v>30/07/2025|АРТ-351|C0393</v>
      </c>
      <c r="V395" s="12" t="str">
        <f t="shared" si="207"/>
        <v>оригинал</v>
      </c>
    </row>
    <row r="396" ht="15" customHeight="1">
      <c r="A396" s="10">
        <v>394</v>
      </c>
      <c r="B396" s="11" t="str">
        <f>RAW_Продажи!A395</f>
        <v>07/30/2025</v>
      </c>
      <c r="C396" s="11" t="str">
        <f>RAW_Продажи!B395</f>
        <v>№АРТ-360</v>
      </c>
      <c r="D396" s="11" t="str">
        <f>RAW_Продажи!C395</f>
        <v>-1</v>
      </c>
      <c r="E396" s="11" t="str">
        <f>RAW_Продажи!D395</f>
        <v>$110</v>
      </c>
      <c r="F396" s="11" t="str">
        <f>RAW_Продажи!E395</f>
        <v>C0394</v>
      </c>
      <c r="G396" s="11" t="str">
        <f>RAW_Продажи!F395</f>
        <v>P016</v>
      </c>
      <c r="H396" s="11" t="str">
        <f>RAW_Продажи!G395</f>
        <v>возврат</v>
      </c>
      <c r="I396" s="12" t="str">
        <f t="shared" si="199"/>
        <v>360</v>
      </c>
      <c r="J396" s="12" t="str">
        <f t="shared" si="200"/>
        <v>$</v>
      </c>
      <c r="K396" s="12">
        <f t="shared" si="201"/>
        <v>110</v>
      </c>
      <c r="L396" s="19">
        <f t="shared" si="202"/>
        <v>45868</v>
      </c>
      <c r="M396" s="13" t="str">
        <f t="shared" si="203"/>
        <v>АРТ-360</v>
      </c>
      <c r="N396" s="13">
        <f t="shared" si="204"/>
        <v>-1</v>
      </c>
      <c r="O396" s="13" t="str">
        <f>IFERROR(VLOOKUP(J396,Справочники!$G$6:$H$8,2,0),"RUB")</f>
        <v>USD</v>
      </c>
      <c r="P396" s="14">
        <f>ROUND(K396*IFERROR(VLOOKUP(J396,Справочники!$G$6:$I$8,3,0),1),2)</f>
        <v>10450</v>
      </c>
      <c r="Q396" s="13" t="str">
        <f>IFERROR(VLOOKUP(H396,Справочники!$D$6:$E$14,2,0),"НЕИЗВЕСТНО")</f>
        <v>Возврат</v>
      </c>
      <c r="R396" s="20">
        <f>IFERROR(INDEX(Товары_очищенные!$Q$3:$Q$503,MATCH(M396,Товары_очищенные!$L$3:$L$503,0)),"нет в каталоге")</f>
        <v>62000</v>
      </c>
      <c r="S396" s="21" t="str">
        <f>IFERROR(INDEX(Товары_очищенные!$N$3:$N$503,MATCH(M396,Товары_очищенные!$L$3:$L$503,0)),"нет в каталоге")</f>
        <v>Планшеты</v>
      </c>
      <c r="T396" s="21" t="str">
        <f t="shared" si="205"/>
        <v>OK</v>
      </c>
      <c r="U396" s="12" t="str">
        <f t="shared" si="206"/>
        <v>30/07/2025|АРТ-360|C0394</v>
      </c>
      <c r="V396" s="12" t="str">
        <f t="shared" si="207"/>
        <v>оригинал</v>
      </c>
    </row>
    <row r="397" ht="15" customHeight="1">
      <c r="A397" s="10">
        <v>395</v>
      </c>
      <c r="B397" s="11" t="str">
        <f>RAW_Продажи!A396</f>
        <v>07/31/2025</v>
      </c>
      <c r="C397" s="11" t="str">
        <f>RAW_Продажи!B396</f>
        <v>АРТ_275</v>
      </c>
      <c r="D397" s="11" t="str">
        <f>RAW_Продажи!C396</f>
        <v>3</v>
      </c>
      <c r="E397" s="11" t="str">
        <f>RAW_Продажи!D396</f>
        <v>€90</v>
      </c>
      <c r="F397" s="11" t="str">
        <f>RAW_Продажи!E396</f>
        <v>C0395</v>
      </c>
      <c r="G397" s="11" t="str">
        <f>RAW_Продажи!F396</f>
        <v>P029</v>
      </c>
      <c r="H397" s="11" t="str">
        <f>RAW_Продажи!G396</f>
        <v>завершен</v>
      </c>
      <c r="I397" s="12" t="str">
        <f t="shared" si="199"/>
        <v>275</v>
      </c>
      <c r="J397" s="12" t="str">
        <f t="shared" si="200"/>
        <v>€</v>
      </c>
      <c r="K397" s="12">
        <f t="shared" si="201"/>
        <v>90</v>
      </c>
      <c r="L397" s="19">
        <f t="shared" si="202"/>
        <v>45869</v>
      </c>
      <c r="M397" s="13" t="str">
        <f t="shared" si="203"/>
        <v>АРТ-275</v>
      </c>
      <c r="N397" s="13">
        <f t="shared" si="204"/>
        <v>3</v>
      </c>
      <c r="O397" s="13" t="str">
        <f>IFERROR(VLOOKUP(J397,Справочники!$G$6:$H$8,2,0),"RUB")</f>
        <v>EUR</v>
      </c>
      <c r="P397" s="14">
        <f>ROUND(K397*IFERROR(VLOOKUP(J397,Справочники!$G$6:$I$8,3,0),1),2)</f>
        <v>9000</v>
      </c>
      <c r="Q397" s="13" t="str">
        <f>IFERROR(VLOOKUP(H397,Справочники!$D$6:$E$14,2,0),"НЕИЗВЕСТНО")</f>
        <v>Завершен</v>
      </c>
      <c r="R397" s="20">
        <f>IFERROR(INDEX(Товары_очищенные!$Q$3:$Q$503,MATCH(M397,Товары_очищенные!$L$3:$L$503,0)),"нет в каталоге")</f>
        <v>47000</v>
      </c>
      <c r="S397" s="21" t="str">
        <f>IFERROR(INDEX(Товары_очищенные!$N$3:$N$503,MATCH(M397,Товары_очищенные!$L$3:$L$503,0)),"нет в каталоге")</f>
        <v>Планшеты</v>
      </c>
      <c r="T397" s="21" t="str">
        <f t="shared" si="205"/>
        <v>OK</v>
      </c>
      <c r="U397" s="12" t="str">
        <f t="shared" si="206"/>
        <v>31/07/2025|АРТ-275|C0395</v>
      </c>
      <c r="V397" s="12" t="str">
        <f t="shared" si="207"/>
        <v>оригинал</v>
      </c>
    </row>
    <row r="398" ht="15" customHeight="1">
      <c r="A398" s="10">
        <v>396</v>
      </c>
      <c r="B398" s="11" t="str">
        <f>RAW_Продажи!A397</f>
        <v>07/31/2025</v>
      </c>
      <c r="C398" s="11" t="str">
        <f>RAW_Продажи!B397</f>
        <v>098-24</v>
      </c>
      <c r="D398" s="11" t="str">
        <f>RAW_Продажи!C397</f>
        <v>2</v>
      </c>
      <c r="E398" s="11" t="str">
        <f>RAW_Продажи!D397</f>
        <v xml:space="preserve">8000 ₽</v>
      </c>
      <c r="F398" s="11" t="str">
        <f>RAW_Продажи!E397</f>
        <v>C0396</v>
      </c>
      <c r="G398" s="11" t="str">
        <f>RAW_Продажи!F397</f>
        <v>P035</v>
      </c>
      <c r="H398" s="11" t="str">
        <f>RAW_Продажи!G397</f>
        <v>completed</v>
      </c>
      <c r="I398" s="12" t="str">
        <f t="shared" si="199"/>
        <v>098-24</v>
      </c>
      <c r="J398" s="12" t="str">
        <f t="shared" si="200"/>
        <v>₽</v>
      </c>
      <c r="K398" s="12">
        <f t="shared" si="201"/>
        <v>8000</v>
      </c>
      <c r="L398" s="19">
        <f t="shared" si="202"/>
        <v>45869</v>
      </c>
      <c r="M398" s="13" t="str">
        <f t="shared" si="203"/>
        <v>АРТ-098</v>
      </c>
      <c r="N398" s="13">
        <f t="shared" si="204"/>
        <v>2</v>
      </c>
      <c r="O398" s="13" t="str">
        <f>IFERROR(VLOOKUP(J398,Справочники!$G$6:$H$8,2,0),"RUB")</f>
        <v>RUB</v>
      </c>
      <c r="P398" s="14">
        <f>ROUND(K398*IFERROR(VLOOKUP(J398,Справочники!$G$6:$I$8,3,0),1),2)</f>
        <v>8000</v>
      </c>
      <c r="Q398" s="13" t="str">
        <f>IFERROR(VLOOKUP(H398,Справочники!$D$6:$E$14,2,0),"НЕИЗВЕСТНО")</f>
        <v>Завершен</v>
      </c>
      <c r="R398" s="20">
        <f>IFERROR(INDEX(Товары_очищенные!$Q$3:$Q$503,MATCH(M398,Товары_очищенные!$L$3:$L$503,0)),"нет в каталоге")</f>
        <v>6500</v>
      </c>
      <c r="S398" s="21" t="str">
        <f>IFERROR(INDEX(Товары_очищенные!$N$3:$N$503,MATCH(M398,Товары_очищенные!$L$3:$L$503,0)),"нет в каталоге")</f>
        <v>Аксессуары</v>
      </c>
      <c r="T398" s="21" t="str">
        <f t="shared" si="205"/>
        <v>OK</v>
      </c>
      <c r="U398" s="12" t="str">
        <f t="shared" si="206"/>
        <v>31/07/2025|АРТ-098|C0396</v>
      </c>
      <c r="V398" s="12" t="str">
        <f t="shared" si="207"/>
        <v>оригинал</v>
      </c>
    </row>
    <row r="399" ht="15" customHeight="1">
      <c r="A399" s="10">
        <v>397</v>
      </c>
      <c r="B399" s="11" t="str">
        <f>RAW_Продажи!A398</f>
        <v>08/01/2025</v>
      </c>
      <c r="C399" s="11" t="str">
        <f>RAW_Продажи!B398</f>
        <v>№АРТ-141</v>
      </c>
      <c r="D399" s="11" t="str">
        <f>RAW_Продажи!C398</f>
        <v>1</v>
      </c>
      <c r="E399" s="11" t="str">
        <f>RAW_Продажи!D398</f>
        <v>$95</v>
      </c>
      <c r="F399" s="11" t="str">
        <f>RAW_Продажи!E398</f>
        <v>C0397</v>
      </c>
      <c r="G399" s="11" t="str">
        <f>RAW_Продажи!F398</f>
        <v>P046</v>
      </c>
      <c r="H399" s="11" t="str">
        <f>RAW_Продажи!G398</f>
        <v>Завершен</v>
      </c>
      <c r="I399" s="12" t="str">
        <f t="shared" si="199"/>
        <v>141</v>
      </c>
      <c r="J399" s="12" t="str">
        <f t="shared" si="200"/>
        <v>$</v>
      </c>
      <c r="K399" s="12">
        <f t="shared" si="201"/>
        <v>95</v>
      </c>
      <c r="L399" s="19">
        <f t="shared" si="202"/>
        <v>45870</v>
      </c>
      <c r="M399" s="13" t="str">
        <f t="shared" si="203"/>
        <v>АРТ-141</v>
      </c>
      <c r="N399" s="13">
        <f t="shared" si="204"/>
        <v>1</v>
      </c>
      <c r="O399" s="13" t="str">
        <f>IFERROR(VLOOKUP(J399,Справочники!$G$6:$H$8,2,0),"RUB")</f>
        <v>USD</v>
      </c>
      <c r="P399" s="14">
        <f>ROUND(K399*IFERROR(VLOOKUP(J399,Справочники!$G$6:$I$8,3,0),1),2)</f>
        <v>9025</v>
      </c>
      <c r="Q399" s="13" t="str">
        <f>IFERROR(VLOOKUP(H399,Справочники!$D$6:$E$14,2,0),"НЕИЗВЕСТНО")</f>
        <v>Завершен</v>
      </c>
      <c r="R399" s="20">
        <f>IFERROR(INDEX(Товары_очищенные!$Q$3:$Q$503,MATCH(M399,Товары_очищенные!$L$3:$L$503,0)),"нет в каталоге")</f>
        <v>92500</v>
      </c>
      <c r="S399" s="21" t="str">
        <f>IFERROR(INDEX(Товары_очищенные!$N$3:$N$503,MATCH(M399,Товары_очищенные!$L$3:$L$503,0)),"нет в каталоге")</f>
        <v>Мониторы</v>
      </c>
      <c r="T399" s="21" t="str">
        <f t="shared" si="205"/>
        <v>OK</v>
      </c>
      <c r="U399" s="12" t="str">
        <f t="shared" si="206"/>
        <v>01/08/2025|АРТ-141|C0397</v>
      </c>
      <c r="V399" s="12" t="str">
        <f t="shared" si="207"/>
        <v>оригинал</v>
      </c>
    </row>
    <row r="400" ht="15" customHeight="1">
      <c r="A400" s="10">
        <v>398</v>
      </c>
      <c r="B400" s="11" t="str">
        <f>RAW_Продажи!A399</f>
        <v>08/01/2025</v>
      </c>
      <c r="C400" s="11" t="str">
        <f>RAW_Продажи!B399</f>
        <v>АРТ_495</v>
      </c>
      <c r="D400" s="11" t="str">
        <f>RAW_Продажи!C399</f>
        <v>2</v>
      </c>
      <c r="E400" s="11" t="str">
        <f>RAW_Продажи!D399</f>
        <v>€75</v>
      </c>
      <c r="F400" s="11" t="str">
        <f>RAW_Продажи!E399</f>
        <v>C0398</v>
      </c>
      <c r="G400" s="11" t="str">
        <f>RAW_Продажи!F399</f>
        <v>P022</v>
      </c>
      <c r="H400" s="11" t="str">
        <f>RAW_Продажи!G399</f>
        <v>canceled</v>
      </c>
      <c r="I400" s="12" t="str">
        <f t="shared" si="199"/>
        <v>495</v>
      </c>
      <c r="J400" s="12" t="str">
        <f t="shared" si="200"/>
        <v>€</v>
      </c>
      <c r="K400" s="12">
        <f t="shared" si="201"/>
        <v>75</v>
      </c>
      <c r="L400" s="19">
        <f t="shared" si="202"/>
        <v>45870</v>
      </c>
      <c r="M400" s="13" t="str">
        <f t="shared" si="203"/>
        <v>АРТ-495</v>
      </c>
      <c r="N400" s="13">
        <f t="shared" si="204"/>
        <v>2</v>
      </c>
      <c r="O400" s="13" t="str">
        <f>IFERROR(VLOOKUP(J400,Справочники!$G$6:$H$8,2,0),"RUB")</f>
        <v>EUR</v>
      </c>
      <c r="P400" s="14">
        <f>ROUND(K400*IFERROR(VLOOKUP(J400,Справочники!$G$6:$I$8,3,0),1),2)</f>
        <v>7500</v>
      </c>
      <c r="Q400" s="13" t="str">
        <f>IFERROR(VLOOKUP(H400,Справочники!$D$6:$E$14,2,0),"НЕИЗВЕСТНО")</f>
        <v>Отменен</v>
      </c>
      <c r="R400" s="20">
        <f>IFERROR(INDEX(Товары_очищенные!$Q$3:$Q$503,MATCH(M400,Товары_очищенные!$L$3:$L$503,0)),"нет в каталоге")</f>
        <v>15800</v>
      </c>
      <c r="S400" s="21" t="str">
        <f>IFERROR(INDEX(Товары_очищенные!$N$3:$N$503,MATCH(M400,Товары_очищенные!$L$3:$L$503,0)),"нет в каталоге")</f>
        <v>Наушники</v>
      </c>
      <c r="T400" s="21" t="str">
        <f t="shared" si="205"/>
        <v>OK</v>
      </c>
      <c r="U400" s="12" t="str">
        <f t="shared" si="206"/>
        <v>01/08/2025|АРТ-495|C0398</v>
      </c>
      <c r="V400" s="12" t="str">
        <f t="shared" si="207"/>
        <v>оригинал</v>
      </c>
    </row>
    <row r="401" ht="15" customHeight="1">
      <c r="A401" s="10">
        <v>399</v>
      </c>
      <c r="B401" s="11" t="str">
        <f>RAW_Продажи!A400</f>
        <v>08/02/2025</v>
      </c>
      <c r="C401" s="11" t="str">
        <f>RAW_Продажи!B400</f>
        <v>331/24</v>
      </c>
      <c r="D401" s="11" t="str">
        <f>RAW_Продажи!C400</f>
        <v xml:space="preserve">3 шт.</v>
      </c>
      <c r="E401" s="11" t="str">
        <f>RAW_Продажи!D400</f>
        <v xml:space="preserve">7000 ₽</v>
      </c>
      <c r="F401" s="11" t="str">
        <f>RAW_Продажи!E400</f>
        <v>C0399</v>
      </c>
      <c r="G401" s="11" t="str">
        <f>RAW_Продажи!F400</f>
        <v>P043</v>
      </c>
      <c r="H401" s="11" t="str">
        <f>RAW_Продажи!G400</f>
        <v>отменен</v>
      </c>
      <c r="I401" s="12" t="str">
        <f t="shared" si="199"/>
        <v>331/24</v>
      </c>
      <c r="J401" s="12" t="str">
        <f t="shared" si="200"/>
        <v>₽</v>
      </c>
      <c r="K401" s="12">
        <f t="shared" si="201"/>
        <v>7000</v>
      </c>
      <c r="L401" s="19">
        <f t="shared" si="202"/>
        <v>45871</v>
      </c>
      <c r="M401" s="13" t="str">
        <f t="shared" si="203"/>
        <v>АРТ-331</v>
      </c>
      <c r="N401" s="13">
        <f t="shared" si="204"/>
        <v>3</v>
      </c>
      <c r="O401" s="13" t="str">
        <f>IFERROR(VLOOKUP(J401,Справочники!$G$6:$H$8,2,0),"RUB")</f>
        <v>RUB</v>
      </c>
      <c r="P401" s="14">
        <f>ROUND(K401*IFERROR(VLOOKUP(J401,Справочники!$G$6:$I$8,3,0),1),2)</f>
        <v>7000</v>
      </c>
      <c r="Q401" s="13" t="str">
        <f>IFERROR(VLOOKUP(H401,Справочники!$D$6:$E$14,2,0),"НЕИЗВЕСТНО")</f>
        <v>Отменен</v>
      </c>
      <c r="R401" s="20">
        <f>IFERROR(INDEX(Товары_очищенные!$Q$3:$Q$503,MATCH(M401,Товары_очищенные!$L$3:$L$503,0)),"нет в каталоге")</f>
        <v>69990</v>
      </c>
      <c r="S401" s="21" t="str">
        <f>IFERROR(INDEX(Товары_очищенные!$N$3:$N$503,MATCH(M401,Товары_очищенные!$L$3:$L$503,0)),"нет в каталоге")</f>
        <v>Часы</v>
      </c>
      <c r="T401" s="21" t="str">
        <f t="shared" si="205"/>
        <v>OK</v>
      </c>
      <c r="U401" s="12" t="str">
        <f t="shared" si="206"/>
        <v>02/08/2025|АРТ-331|C0399</v>
      </c>
      <c r="V401" s="12" t="str">
        <f t="shared" si="207"/>
        <v>оригинал</v>
      </c>
    </row>
    <row r="402" ht="15" customHeight="1">
      <c r="A402" s="10">
        <v>400</v>
      </c>
      <c r="B402" s="11" t="str">
        <f>RAW_Продажи!A401</f>
        <v>08/02/2025</v>
      </c>
      <c r="C402" s="11" t="str">
        <f>RAW_Продажи!B401</f>
        <v>№АРТ-368</v>
      </c>
      <c r="D402" s="11" t="str">
        <f>RAW_Продажи!C401</f>
        <v>-2</v>
      </c>
      <c r="E402" s="11" t="str">
        <f>RAW_Продажи!D401</f>
        <v>$115</v>
      </c>
      <c r="F402" s="11" t="str">
        <f>RAW_Продажи!E401</f>
        <v>C0400</v>
      </c>
      <c r="G402" s="11" t="str">
        <f>RAW_Продажи!F401</f>
        <v>P030</v>
      </c>
      <c r="H402" s="11" t="str">
        <f>RAW_Продажи!G401</f>
        <v>возврат</v>
      </c>
      <c r="I402" s="12" t="str">
        <f t="shared" si="199"/>
        <v>368</v>
      </c>
      <c r="J402" s="12" t="str">
        <f t="shared" si="200"/>
        <v>$</v>
      </c>
      <c r="K402" s="12">
        <f t="shared" si="201"/>
        <v>115</v>
      </c>
      <c r="L402" s="19">
        <f t="shared" si="202"/>
        <v>45871</v>
      </c>
      <c r="M402" s="13" t="str">
        <f t="shared" si="203"/>
        <v>АРТ-368</v>
      </c>
      <c r="N402" s="13">
        <f t="shared" si="204"/>
        <v>-2</v>
      </c>
      <c r="O402" s="13" t="str">
        <f>IFERROR(VLOOKUP(J402,Справочники!$G$6:$H$8,2,0),"RUB")</f>
        <v>USD</v>
      </c>
      <c r="P402" s="14">
        <f>ROUND(K402*IFERROR(VLOOKUP(J402,Справочники!$G$6:$I$8,3,0),1),2)</f>
        <v>10925</v>
      </c>
      <c r="Q402" s="13" t="str">
        <f>IFERROR(VLOOKUP(H402,Справочники!$D$6:$E$14,2,0),"НЕИЗВЕСТНО")</f>
        <v>Возврат</v>
      </c>
      <c r="R402" s="20">
        <f>IFERROR(INDEX(Товары_очищенные!$Q$3:$Q$503,MATCH(M402,Товары_очищенные!$L$3:$L$503,0)),"нет в каталоге")</f>
        <v>19000</v>
      </c>
      <c r="S402" s="21" t="str">
        <f>IFERROR(INDEX(Товары_очищенные!$N$3:$N$503,MATCH(M402,Товары_очищенные!$L$3:$L$503,0)),"нет в каталоге")</f>
        <v>Наушники</v>
      </c>
      <c r="T402" s="21" t="str">
        <f t="shared" si="205"/>
        <v>OK</v>
      </c>
      <c r="U402" s="12" t="str">
        <f t="shared" si="206"/>
        <v>02/08/2025|АРТ-368|C0400</v>
      </c>
      <c r="V402" s="12" t="str">
        <f t="shared" si="207"/>
        <v>оригинал</v>
      </c>
    </row>
    <row r="403" ht="15" customHeight="1">
      <c r="A403" s="10">
        <v>401</v>
      </c>
      <c r="B403" s="11" t="str">
        <f>RAW_Продажи!A402</f>
        <v>08/03/2025</v>
      </c>
      <c r="C403" s="11" t="str">
        <f>RAW_Продажи!B402</f>
        <v>АРТ_256</v>
      </c>
      <c r="D403" s="11" t="str">
        <f>RAW_Продажи!C402</f>
        <v>1</v>
      </c>
      <c r="E403" s="11" t="str">
        <f>RAW_Продажи!D402</f>
        <v>€95</v>
      </c>
      <c r="F403" s="11" t="str">
        <f>RAW_Продажи!E402</f>
        <v>C0401</v>
      </c>
      <c r="G403" s="11" t="str">
        <f>RAW_Продажи!F402</f>
        <v>P012</v>
      </c>
      <c r="H403" s="11" t="str">
        <f>RAW_Продажи!G402</f>
        <v>Завершен</v>
      </c>
      <c r="I403" s="12" t="str">
        <f t="shared" si="199"/>
        <v>256</v>
      </c>
      <c r="J403" s="12" t="str">
        <f t="shared" si="200"/>
        <v>€</v>
      </c>
      <c r="K403" s="12">
        <f t="shared" si="201"/>
        <v>95</v>
      </c>
      <c r="L403" s="19">
        <f t="shared" si="202"/>
        <v>45872</v>
      </c>
      <c r="M403" s="13" t="str">
        <f t="shared" si="203"/>
        <v>АРТ-256</v>
      </c>
      <c r="N403" s="13">
        <f t="shared" si="204"/>
        <v>1</v>
      </c>
      <c r="O403" s="13" t="str">
        <f>IFERROR(VLOOKUP(J403,Справочники!$G$6:$H$8,2,0),"RUB")</f>
        <v>EUR</v>
      </c>
      <c r="P403" s="14">
        <f>ROUND(K403*IFERROR(VLOOKUP(J403,Справочники!$G$6:$I$8,3,0),1),2)</f>
        <v>9500</v>
      </c>
      <c r="Q403" s="13" t="str">
        <f>IFERROR(VLOOKUP(H403,Справочники!$D$6:$E$14,2,0),"НЕИЗВЕСТНО")</f>
        <v>Завершен</v>
      </c>
      <c r="R403" s="20">
        <f>IFERROR(INDEX(Товары_очищенные!$Q$3:$Q$503,MATCH(M403,Товары_очищенные!$L$3:$L$503,0)),"нет в каталоге")</f>
        <v>37990</v>
      </c>
      <c r="S403" s="21" t="str">
        <f>IFERROR(INDEX(Товары_очищенные!$N$3:$N$503,MATCH(M403,Товары_очищенные!$L$3:$L$503,0)),"нет в каталоге")</f>
        <v>Смартфоны</v>
      </c>
      <c r="T403" s="21" t="str">
        <f t="shared" si="205"/>
        <v>OK</v>
      </c>
      <c r="U403" s="12" t="str">
        <f t="shared" si="206"/>
        <v>03/08/2025|АРТ-256|C0401</v>
      </c>
      <c r="V403" s="12" t="str">
        <f t="shared" si="207"/>
        <v>оригинал</v>
      </c>
    </row>
    <row r="404" ht="15" customHeight="1">
      <c r="A404" s="10">
        <v>402</v>
      </c>
      <c r="B404" s="11" t="str">
        <f>RAW_Продажи!A403</f>
        <v>08/03/2025</v>
      </c>
      <c r="C404" s="11" t="str">
        <f>RAW_Продажи!B403</f>
        <v>139-24</v>
      </c>
      <c r="D404" s="11" t="str">
        <f>RAW_Продажи!C403</f>
        <v>2</v>
      </c>
      <c r="E404" s="11" t="str">
        <f>RAW_Продажи!D403</f>
        <v xml:space="preserve">8500 ₽</v>
      </c>
      <c r="F404" s="11" t="str">
        <f>RAW_Продажи!E403</f>
        <v>C0402</v>
      </c>
      <c r="G404" s="11" t="str">
        <f>RAW_Продажи!F403</f>
        <v>P007</v>
      </c>
      <c r="H404" s="11" t="str">
        <f>RAW_Продажи!G403</f>
        <v>завершен</v>
      </c>
      <c r="I404" s="12" t="str">
        <f t="shared" si="199"/>
        <v>139-24</v>
      </c>
      <c r="J404" s="12" t="str">
        <f t="shared" si="200"/>
        <v>₽</v>
      </c>
      <c r="K404" s="12">
        <f t="shared" si="201"/>
        <v>8500</v>
      </c>
      <c r="L404" s="19">
        <f t="shared" si="202"/>
        <v>45872</v>
      </c>
      <c r="M404" s="13" t="str">
        <f t="shared" si="203"/>
        <v>АРТ-139</v>
      </c>
      <c r="N404" s="13">
        <f t="shared" si="204"/>
        <v>2</v>
      </c>
      <c r="O404" s="13" t="str">
        <f>IFERROR(VLOOKUP(J404,Справочники!$G$6:$H$8,2,0),"RUB")</f>
        <v>RUB</v>
      </c>
      <c r="P404" s="14">
        <f>ROUND(K404*IFERROR(VLOOKUP(J404,Справочники!$G$6:$I$8,3,0),1),2)</f>
        <v>8500</v>
      </c>
      <c r="Q404" s="13" t="str">
        <f>IFERROR(VLOOKUP(H404,Справочники!$D$6:$E$14,2,0),"НЕИЗВЕСТНО")</f>
        <v>Завершен</v>
      </c>
      <c r="R404" s="20">
        <f>IFERROR(INDEX(Товары_очищенные!$Q$3:$Q$503,MATCH(M404,Товары_очищенные!$L$3:$L$503,0)),"нет в каталоге")</f>
        <v>89900</v>
      </c>
      <c r="S404" s="21" t="str">
        <f>IFERROR(INDEX(Товары_очищенные!$N$3:$N$503,MATCH(M404,Товары_очищенные!$L$3:$L$503,0)),"нет в каталоге")</f>
        <v>Мониторы</v>
      </c>
      <c r="T404" s="21" t="str">
        <f t="shared" si="205"/>
        <v>OK</v>
      </c>
      <c r="U404" s="12" t="str">
        <f t="shared" si="206"/>
        <v>03/08/2025|АРТ-139|C0402</v>
      </c>
      <c r="V404" s="12" t="str">
        <f t="shared" si="207"/>
        <v>оригинал</v>
      </c>
    </row>
    <row r="405" ht="15" customHeight="1">
      <c r="A405" s="10">
        <v>403</v>
      </c>
      <c r="B405" s="11" t="str">
        <f>RAW_Продажи!A404</f>
        <v>08/04/2025</v>
      </c>
      <c r="C405" s="11" t="str">
        <f>RAW_Продажи!B404</f>
        <v>№АРТ-118</v>
      </c>
      <c r="D405" s="11" t="str">
        <f>RAW_Продажи!C404</f>
        <v>3</v>
      </c>
      <c r="E405" s="11" t="str">
        <f>RAW_Продажи!D404</f>
        <v>$105</v>
      </c>
      <c r="F405" s="11" t="str">
        <f>RAW_Продажи!E404</f>
        <v>C0403</v>
      </c>
      <c r="G405" s="11" t="str">
        <f>RAW_Продажи!F404</f>
        <v>P023</v>
      </c>
      <c r="H405" s="11" t="str">
        <f>RAW_Продажи!G404</f>
        <v>completed</v>
      </c>
      <c r="I405" s="12" t="str">
        <f t="shared" si="199"/>
        <v>118</v>
      </c>
      <c r="J405" s="12" t="str">
        <f t="shared" si="200"/>
        <v>$</v>
      </c>
      <c r="K405" s="12">
        <f t="shared" si="201"/>
        <v>105</v>
      </c>
      <c r="L405" s="19">
        <f t="shared" si="202"/>
        <v>45873</v>
      </c>
      <c r="M405" s="13" t="str">
        <f t="shared" si="203"/>
        <v>АРТ-118</v>
      </c>
      <c r="N405" s="13">
        <f t="shared" si="204"/>
        <v>3</v>
      </c>
      <c r="O405" s="13" t="str">
        <f>IFERROR(VLOOKUP(J405,Справочники!$G$6:$H$8,2,0),"RUB")</f>
        <v>USD</v>
      </c>
      <c r="P405" s="14">
        <f>ROUND(K405*IFERROR(VLOOKUP(J405,Справочники!$G$6:$I$8,3,0),1),2)</f>
        <v>9975</v>
      </c>
      <c r="Q405" s="13" t="str">
        <f>IFERROR(VLOOKUP(H405,Справочники!$D$6:$E$14,2,0),"НЕИЗВЕСТНО")</f>
        <v>Завершен</v>
      </c>
      <c r="R405" s="20">
        <f>IFERROR(INDEX(Товары_очищенные!$Q$3:$Q$503,MATCH(M405,Товары_очищенные!$L$3:$L$503,0)),"нет в каталоге")</f>
        <v>7990</v>
      </c>
      <c r="S405" s="21" t="str">
        <f>IFERROR(INDEX(Товары_очищенные!$N$3:$N$503,MATCH(M405,Товары_очищенные!$L$3:$L$503,0)),"нет в каталоге")</f>
        <v>Аксессуары</v>
      </c>
      <c r="T405" s="21" t="str">
        <f t="shared" si="205"/>
        <v>OK</v>
      </c>
      <c r="U405" s="12" t="str">
        <f t="shared" si="206"/>
        <v>04/08/2025|АРТ-118|C0403</v>
      </c>
      <c r="V405" s="12" t="str">
        <f t="shared" si="207"/>
        <v>оригинал</v>
      </c>
    </row>
    <row r="406" ht="15" customHeight="1">
      <c r="A406" s="10">
        <v>404</v>
      </c>
      <c r="B406" s="11" t="str">
        <f>RAW_Продажи!A405</f>
        <v>08/04/2025</v>
      </c>
      <c r="C406" s="11" t="str">
        <f>RAW_Продажи!B405</f>
        <v>АРТ_436</v>
      </c>
      <c r="D406" s="11" t="str">
        <f>RAW_Продажи!C405</f>
        <v>2</v>
      </c>
      <c r="E406" s="11" t="str">
        <f>RAW_Продажи!D405</f>
        <v>€85</v>
      </c>
      <c r="F406" s="11" t="str">
        <f>RAW_Продажи!E405</f>
        <v>C0404</v>
      </c>
      <c r="G406" s="11" t="str">
        <f>RAW_Продажи!F405</f>
        <v>P045</v>
      </c>
      <c r="H406" s="11" t="str">
        <f>RAW_Продажи!G405</f>
        <v>отменен</v>
      </c>
      <c r="I406" s="12" t="str">
        <f t="shared" si="199"/>
        <v>436</v>
      </c>
      <c r="J406" s="12" t="str">
        <f t="shared" si="200"/>
        <v>€</v>
      </c>
      <c r="K406" s="12">
        <f t="shared" si="201"/>
        <v>85</v>
      </c>
      <c r="L406" s="19">
        <f t="shared" si="202"/>
        <v>45873</v>
      </c>
      <c r="M406" s="13" t="str">
        <f t="shared" si="203"/>
        <v>АРТ-436</v>
      </c>
      <c r="N406" s="13">
        <f t="shared" si="204"/>
        <v>2</v>
      </c>
      <c r="O406" s="13" t="str">
        <f>IFERROR(VLOOKUP(J406,Справочники!$G$6:$H$8,2,0),"RUB")</f>
        <v>EUR</v>
      </c>
      <c r="P406" s="14">
        <f>ROUND(K406*IFERROR(VLOOKUP(J406,Справочники!$G$6:$I$8,3,0),1),2)</f>
        <v>8500</v>
      </c>
      <c r="Q406" s="13" t="str">
        <f>IFERROR(VLOOKUP(H406,Справочники!$D$6:$E$14,2,0),"НЕИЗВЕСТНО")</f>
        <v>Отменен</v>
      </c>
      <c r="R406" s="20">
        <f>IFERROR(INDEX(Товары_очищенные!$Q$3:$Q$503,MATCH(M406,Товары_очищенные!$L$3:$L$503,0)),"нет в каталоге")</f>
        <v>5990</v>
      </c>
      <c r="S406" s="21" t="str">
        <f>IFERROR(INDEX(Товары_очищенные!$N$3:$N$503,MATCH(M406,Товары_очищенные!$L$3:$L$503,0)),"нет в каталоге")</f>
        <v>Аксессуары</v>
      </c>
      <c r="T406" s="21" t="str">
        <f t="shared" si="205"/>
        <v>OK</v>
      </c>
      <c r="U406" s="12" t="str">
        <f t="shared" si="206"/>
        <v>04/08/2025|АРТ-436|C0404</v>
      </c>
      <c r="V406" s="12" t="str">
        <f t="shared" si="207"/>
        <v>оригинал</v>
      </c>
    </row>
    <row r="407" ht="15" customHeight="1">
      <c r="A407" s="10">
        <v>405</v>
      </c>
      <c r="B407" s="11" t="str">
        <f>RAW_Продажи!A406</f>
        <v>08/05/2025</v>
      </c>
      <c r="C407" s="11" t="str">
        <f>RAW_Продажи!B406</f>
        <v>311/24</v>
      </c>
      <c r="D407" s="11" t="str">
        <f>RAW_Продажи!C406</f>
        <v xml:space="preserve">1 шт.</v>
      </c>
      <c r="E407" s="11" t="str">
        <f>RAW_Продажи!D406</f>
        <v xml:space="preserve">7800 ₽</v>
      </c>
      <c r="F407" s="11" t="str">
        <f>RAW_Продажи!E406</f>
        <v>C0405</v>
      </c>
      <c r="G407" s="11" t="str">
        <f>RAW_Продажи!F406</f>
        <v>P008</v>
      </c>
      <c r="H407" s="11" t="str">
        <f>RAW_Продажи!G406</f>
        <v>canceled</v>
      </c>
      <c r="I407" s="12" t="str">
        <f t="shared" si="199"/>
        <v>311/24</v>
      </c>
      <c r="J407" s="12" t="str">
        <f t="shared" si="200"/>
        <v>₽</v>
      </c>
      <c r="K407" s="12">
        <f t="shared" si="201"/>
        <v>7800</v>
      </c>
      <c r="L407" s="19">
        <f t="shared" si="202"/>
        <v>45874</v>
      </c>
      <c r="M407" s="13" t="str">
        <f t="shared" si="203"/>
        <v>АРТ-311</v>
      </c>
      <c r="N407" s="13">
        <f t="shared" si="204"/>
        <v>1</v>
      </c>
      <c r="O407" s="13" t="str">
        <f>IFERROR(VLOOKUP(J407,Справочники!$G$6:$H$8,2,0),"RUB")</f>
        <v>RUB</v>
      </c>
      <c r="P407" s="14">
        <f>ROUND(K407*IFERROR(VLOOKUP(J407,Справочники!$G$6:$I$8,3,0),1),2)</f>
        <v>7800</v>
      </c>
      <c r="Q407" s="13" t="str">
        <f>IFERROR(VLOOKUP(H407,Справочники!$D$6:$E$14,2,0),"НЕИЗВЕСТНО")</f>
        <v>Отменен</v>
      </c>
      <c r="R407" s="20">
        <f>IFERROR(INDEX(Товары_очищенные!$Q$3:$Q$503,MATCH(M407,Товары_очищенные!$L$3:$L$503,0)),"нет в каталоге")</f>
        <v>62500</v>
      </c>
      <c r="S407" s="21" t="str">
        <f>IFERROR(INDEX(Товары_очищенные!$N$3:$N$503,MATCH(M407,Товары_очищенные!$L$3:$L$503,0)),"нет в каталоге")</f>
        <v>Планшеты</v>
      </c>
      <c r="T407" s="21" t="str">
        <f t="shared" si="205"/>
        <v>OK</v>
      </c>
      <c r="U407" s="12" t="str">
        <f t="shared" si="206"/>
        <v>05/08/2025|АРТ-311|C0405</v>
      </c>
      <c r="V407" s="12" t="str">
        <f t="shared" si="207"/>
        <v>оригинал</v>
      </c>
    </row>
    <row r="408" ht="15" customHeight="1">
      <c r="A408" s="10">
        <v>406</v>
      </c>
      <c r="B408" s="11" t="str">
        <f>RAW_Продажи!A407</f>
        <v>08/05/2025</v>
      </c>
      <c r="C408" s="11" t="str">
        <f>RAW_Продажи!B407</f>
        <v>№АРТ-437</v>
      </c>
      <c r="D408" s="11" t="str">
        <f>RAW_Продажи!C407</f>
        <v>-3</v>
      </c>
      <c r="E408" s="11" t="str">
        <f>RAW_Продажи!D407</f>
        <v>$120</v>
      </c>
      <c r="F408" s="11" t="str">
        <f>RAW_Продажи!E407</f>
        <v>C0406</v>
      </c>
      <c r="G408" s="11" t="str">
        <f>RAW_Продажи!F407</f>
        <v>P031</v>
      </c>
      <c r="H408" s="11" t="str">
        <f>RAW_Продажи!G407</f>
        <v>Завершен</v>
      </c>
      <c r="I408" s="12" t="str">
        <f t="shared" si="199"/>
        <v>437</v>
      </c>
      <c r="J408" s="12" t="str">
        <f t="shared" si="200"/>
        <v>$</v>
      </c>
      <c r="K408" s="12">
        <f t="shared" si="201"/>
        <v>120</v>
      </c>
      <c r="L408" s="19">
        <f t="shared" si="202"/>
        <v>45874</v>
      </c>
      <c r="M408" s="13" t="str">
        <f t="shared" si="203"/>
        <v>АРТ-437</v>
      </c>
      <c r="N408" s="13">
        <f t="shared" si="204"/>
        <v>-3</v>
      </c>
      <c r="O408" s="13" t="str">
        <f>IFERROR(VLOOKUP(J408,Справочники!$G$6:$H$8,2,0),"RUB")</f>
        <v>USD</v>
      </c>
      <c r="P408" s="14">
        <f>ROUND(K408*IFERROR(VLOOKUP(J408,Справочники!$G$6:$I$8,3,0),1),2)</f>
        <v>11400</v>
      </c>
      <c r="Q408" s="13" t="str">
        <f>IFERROR(VLOOKUP(H408,Справочники!$D$6:$E$14,2,0),"НЕИЗВЕСТНО")</f>
        <v>Завершен</v>
      </c>
      <c r="R408" s="20">
        <f>IFERROR(INDEX(Товары_очищенные!$Q$3:$Q$503,MATCH(M408,Товары_очищенные!$L$3:$L$503,0)),"нет в каталоге")</f>
        <v>5500</v>
      </c>
      <c r="S408" s="21" t="str">
        <f>IFERROR(INDEX(Товары_очищенные!$N$3:$N$503,MATCH(M408,Товары_очищенные!$L$3:$L$503,0)),"нет в каталоге")</f>
        <v>Аксессуары</v>
      </c>
      <c r="T408" s="21" t="str">
        <f t="shared" si="205"/>
        <v xml:space="preserve">Цена выше розницы</v>
      </c>
      <c r="U408" s="12" t="str">
        <f t="shared" si="206"/>
        <v>05/08/2025|АРТ-437|C0406</v>
      </c>
      <c r="V408" s="12" t="str">
        <f t="shared" si="207"/>
        <v>оригинал</v>
      </c>
    </row>
    <row r="409" ht="15" customHeight="1">
      <c r="A409" s="10">
        <v>407</v>
      </c>
      <c r="B409" s="11" t="str">
        <f>RAW_Продажи!A408</f>
        <v>08/06/2025</v>
      </c>
      <c r="C409" s="11" t="str">
        <f>RAW_Продажи!B408</f>
        <v>АРТ_299</v>
      </c>
      <c r="D409" s="11" t="str">
        <f>RAW_Продажи!C408</f>
        <v>2</v>
      </c>
      <c r="E409" s="11" t="str">
        <f>RAW_Продажи!D408</f>
        <v>€100</v>
      </c>
      <c r="F409" s="11" t="str">
        <f>RAW_Продажи!E408</f>
        <v>C0407</v>
      </c>
      <c r="G409" s="11" t="str">
        <f>RAW_Продажи!F408</f>
        <v>P019</v>
      </c>
      <c r="H409" s="11" t="str">
        <f>RAW_Продажи!G408</f>
        <v>возврат</v>
      </c>
      <c r="I409" s="12" t="str">
        <f t="shared" si="199"/>
        <v>299</v>
      </c>
      <c r="J409" s="12" t="str">
        <f t="shared" si="200"/>
        <v>€</v>
      </c>
      <c r="K409" s="12">
        <f t="shared" si="201"/>
        <v>100</v>
      </c>
      <c r="L409" s="19">
        <f t="shared" si="202"/>
        <v>45875</v>
      </c>
      <c r="M409" s="13" t="str">
        <f t="shared" si="203"/>
        <v>АРТ-299</v>
      </c>
      <c r="N409" s="13">
        <f t="shared" si="204"/>
        <v>2</v>
      </c>
      <c r="O409" s="13" t="str">
        <f>IFERROR(VLOOKUP(J409,Справочники!$G$6:$H$8,2,0),"RUB")</f>
        <v>EUR</v>
      </c>
      <c r="P409" s="14">
        <f>ROUND(K409*IFERROR(VLOOKUP(J409,Справочники!$G$6:$I$8,3,0),1),2)</f>
        <v>10000</v>
      </c>
      <c r="Q409" s="13" t="str">
        <f>IFERROR(VLOOKUP(H409,Справочники!$D$6:$E$14,2,0),"НЕИЗВЕСТНО")</f>
        <v>Возврат</v>
      </c>
      <c r="R409" s="20">
        <f>IFERROR(INDEX(Товары_очищенные!$Q$3:$Q$503,MATCH(M409,Товары_очищенные!$L$3:$L$503,0)),"нет в каталоге")</f>
        <v>63500</v>
      </c>
      <c r="S409" s="21" t="str">
        <f>IFERROR(INDEX(Товары_очищенные!$N$3:$N$503,MATCH(M409,Товары_очищенные!$L$3:$L$503,0)),"нет в каталоге")</f>
        <v>Телевизоры</v>
      </c>
      <c r="T409" s="21" t="str">
        <f t="shared" si="205"/>
        <v>OK</v>
      </c>
      <c r="U409" s="12" t="str">
        <f t="shared" si="206"/>
        <v>06/08/2025|АРТ-299|C0407</v>
      </c>
      <c r="V409" s="12" t="str">
        <f t="shared" si="207"/>
        <v>оригинал</v>
      </c>
    </row>
    <row r="410" ht="15" customHeight="1">
      <c r="A410" s="10">
        <v>408</v>
      </c>
      <c r="B410" s="11" t="str">
        <f>RAW_Продажи!A409</f>
        <v>08/06/2025</v>
      </c>
      <c r="C410" s="11" t="str">
        <f>RAW_Продажи!B409</f>
        <v>217-24</v>
      </c>
      <c r="D410" s="11" t="str">
        <f>RAW_Продажи!C409</f>
        <v>1</v>
      </c>
      <c r="E410" s="11" t="str">
        <f>RAW_Продажи!D409</f>
        <v xml:space="preserve">9200 ₽</v>
      </c>
      <c r="F410" s="11" t="str">
        <f>RAW_Продажи!E409</f>
        <v>C0408</v>
      </c>
      <c r="G410" s="11" t="str">
        <f>RAW_Продажи!F409</f>
        <v>P042</v>
      </c>
      <c r="H410" s="11" t="str">
        <f>RAW_Продажи!G409</f>
        <v>завершен</v>
      </c>
      <c r="I410" s="12" t="str">
        <f t="shared" si="199"/>
        <v>217-24</v>
      </c>
      <c r="J410" s="12" t="str">
        <f t="shared" si="200"/>
        <v>₽</v>
      </c>
      <c r="K410" s="12">
        <f t="shared" si="201"/>
        <v>9200</v>
      </c>
      <c r="L410" s="19">
        <f t="shared" si="202"/>
        <v>45875</v>
      </c>
      <c r="M410" s="13" t="str">
        <f t="shared" si="203"/>
        <v>АРТ-217</v>
      </c>
      <c r="N410" s="13">
        <f t="shared" si="204"/>
        <v>1</v>
      </c>
      <c r="O410" s="13" t="str">
        <f>IFERROR(VLOOKUP(J410,Справочники!$G$6:$H$8,2,0),"RUB")</f>
        <v>RUB</v>
      </c>
      <c r="P410" s="14">
        <f>ROUND(K410*IFERROR(VLOOKUP(J410,Справочники!$G$6:$I$8,3,0),1),2)</f>
        <v>9200</v>
      </c>
      <c r="Q410" s="13" t="str">
        <f>IFERROR(VLOOKUP(H410,Справочники!$D$6:$E$14,2,0),"НЕИЗВЕСТНО")</f>
        <v>Завершен</v>
      </c>
      <c r="R410" s="20">
        <f>IFERROR(INDEX(Товары_очищенные!$Q$3:$Q$503,MATCH(M410,Товары_очищенные!$L$3:$L$503,0)),"нет в каталоге")</f>
        <v>69990</v>
      </c>
      <c r="S410" s="21" t="str">
        <f>IFERROR(INDEX(Товары_очищенные!$N$3:$N$503,MATCH(M410,Товары_очищенные!$L$3:$L$503,0)),"нет в каталоге")</f>
        <v>Телевизоры</v>
      </c>
      <c r="T410" s="21" t="str">
        <f t="shared" si="205"/>
        <v>OK</v>
      </c>
      <c r="U410" s="12" t="str">
        <f t="shared" si="206"/>
        <v>06/08/2025|АРТ-217|C0408</v>
      </c>
      <c r="V410" s="12" t="str">
        <f t="shared" si="207"/>
        <v>оригинал</v>
      </c>
    </row>
    <row r="411" ht="15" customHeight="1">
      <c r="A411" s="10">
        <v>409</v>
      </c>
      <c r="B411" s="11" t="str">
        <f>RAW_Продажи!A410</f>
        <v>08/07/2025</v>
      </c>
      <c r="C411" s="11" t="str">
        <f>RAW_Продажи!B410</f>
        <v>№АРТ-223</v>
      </c>
      <c r="D411" s="11" t="str">
        <f>RAW_Продажи!C410</f>
        <v>3</v>
      </c>
      <c r="E411" s="11" t="str">
        <f>RAW_Продажи!D410</f>
        <v>$90</v>
      </c>
      <c r="F411" s="11" t="str">
        <f>RAW_Продажи!E410</f>
        <v>C0409</v>
      </c>
      <c r="G411" s="11" t="str">
        <f>RAW_Продажи!F410</f>
        <v>P005</v>
      </c>
      <c r="H411" s="11" t="str">
        <f>RAW_Продажи!G410</f>
        <v>completed</v>
      </c>
      <c r="I411" s="12" t="str">
        <f t="shared" si="199"/>
        <v>223</v>
      </c>
      <c r="J411" s="12" t="str">
        <f t="shared" si="200"/>
        <v>$</v>
      </c>
      <c r="K411" s="12">
        <f t="shared" si="201"/>
        <v>90</v>
      </c>
      <c r="L411" s="19">
        <f t="shared" si="202"/>
        <v>45876</v>
      </c>
      <c r="M411" s="13" t="str">
        <f t="shared" si="203"/>
        <v>АРТ-223</v>
      </c>
      <c r="N411" s="13">
        <f t="shared" si="204"/>
        <v>3</v>
      </c>
      <c r="O411" s="13" t="str">
        <f>IFERROR(VLOOKUP(J411,Справочники!$G$6:$H$8,2,0),"RUB")</f>
        <v>USD</v>
      </c>
      <c r="P411" s="14">
        <f>ROUND(K411*IFERROR(VLOOKUP(J411,Справочники!$G$6:$I$8,3,0),1),2)</f>
        <v>8550</v>
      </c>
      <c r="Q411" s="13" t="str">
        <f>IFERROR(VLOOKUP(H411,Справочники!$D$6:$E$14,2,0),"НЕИЗВЕСТНО")</f>
        <v>Завершен</v>
      </c>
      <c r="R411" s="20">
        <f>IFERROR(INDEX(Товары_очищенные!$Q$3:$Q$503,MATCH(M411,Товары_очищенные!$L$3:$L$503,0)),"нет в каталоге")</f>
        <v>54990</v>
      </c>
      <c r="S411" s="21" t="str">
        <f>IFERROR(INDEX(Товары_очищенные!$N$3:$N$503,MATCH(M411,Товары_очищенные!$L$3:$L$503,0)),"нет в каталоге")</f>
        <v>Мониторы</v>
      </c>
      <c r="T411" s="21" t="str">
        <f t="shared" si="205"/>
        <v>OK</v>
      </c>
      <c r="U411" s="12" t="str">
        <f t="shared" si="206"/>
        <v>07/08/2025|АРТ-223|C0409</v>
      </c>
      <c r="V411" s="12" t="str">
        <f t="shared" si="207"/>
        <v>оригинал</v>
      </c>
    </row>
    <row r="412" ht="15" customHeight="1">
      <c r="A412" s="10">
        <v>410</v>
      </c>
      <c r="B412" s="11" t="str">
        <f>RAW_Продажи!A411</f>
        <v>08/07/2025</v>
      </c>
      <c r="C412" s="11" t="str">
        <f>RAW_Продажи!B411</f>
        <v>АРТ_458</v>
      </c>
      <c r="D412" s="11" t="str">
        <f>RAW_Продажи!C411</f>
        <v>2</v>
      </c>
      <c r="E412" s="11" t="str">
        <f>RAW_Продажи!D411</f>
        <v>€70</v>
      </c>
      <c r="F412" s="11" t="str">
        <f>RAW_Продажи!E411</f>
        <v>C0410</v>
      </c>
      <c r="G412" s="11" t="str">
        <f>RAW_Продажи!F411</f>
        <v>P036</v>
      </c>
      <c r="H412" s="11" t="str">
        <f>RAW_Продажи!G411</f>
        <v>Завершен</v>
      </c>
      <c r="I412" s="12" t="str">
        <f t="shared" si="199"/>
        <v>458</v>
      </c>
      <c r="J412" s="12" t="str">
        <f t="shared" si="200"/>
        <v>€</v>
      </c>
      <c r="K412" s="12">
        <f t="shared" si="201"/>
        <v>70</v>
      </c>
      <c r="L412" s="19">
        <f t="shared" si="202"/>
        <v>45876</v>
      </c>
      <c r="M412" s="13" t="str">
        <f t="shared" si="203"/>
        <v>АРТ-458</v>
      </c>
      <c r="N412" s="13">
        <f t="shared" si="204"/>
        <v>2</v>
      </c>
      <c r="O412" s="13" t="str">
        <f>IFERROR(VLOOKUP(J412,Справочники!$G$6:$H$8,2,0),"RUB")</f>
        <v>EUR</v>
      </c>
      <c r="P412" s="14">
        <f>ROUND(K412*IFERROR(VLOOKUP(J412,Справочники!$G$6:$I$8,3,0),1),2)</f>
        <v>7000</v>
      </c>
      <c r="Q412" s="13" t="str">
        <f>IFERROR(VLOOKUP(H412,Справочники!$D$6:$E$14,2,0),"НЕИЗВЕСТНО")</f>
        <v>Завершен</v>
      </c>
      <c r="R412" s="20">
        <f>IFERROR(INDEX(Товары_очищенные!$Q$3:$Q$503,MATCH(M412,Товары_очищенные!$L$3:$L$503,0)),"нет в каталоге")</f>
        <v>6500</v>
      </c>
      <c r="S412" s="21" t="str">
        <f>IFERROR(INDEX(Товары_очищенные!$N$3:$N$503,MATCH(M412,Товары_очищенные!$L$3:$L$503,0)),"нет в каталоге")</f>
        <v>Аксессуары</v>
      </c>
      <c r="T412" s="21" t="str">
        <f t="shared" si="205"/>
        <v>OK</v>
      </c>
      <c r="U412" s="12" t="str">
        <f t="shared" si="206"/>
        <v>07/08/2025|АРТ-458|C0410</v>
      </c>
      <c r="V412" s="12" t="str">
        <f t="shared" si="207"/>
        <v>оригинал</v>
      </c>
    </row>
    <row r="413" ht="15" customHeight="1">
      <c r="A413" s="10">
        <v>411</v>
      </c>
      <c r="B413" s="11" t="str">
        <f>RAW_Продажи!A412</f>
        <v>08/08/2025</v>
      </c>
      <c r="C413" s="11" t="str">
        <f>RAW_Продажи!B412</f>
        <v>359/24</v>
      </c>
      <c r="D413" s="11" t="str">
        <f>RAW_Продажи!C412</f>
        <v xml:space="preserve">1 шт.</v>
      </c>
      <c r="E413" s="11" t="str">
        <f>RAW_Продажи!D412</f>
        <v xml:space="preserve">6500 ₽</v>
      </c>
      <c r="F413" s="11" t="str">
        <f>RAW_Продажи!E412</f>
        <v>C0411</v>
      </c>
      <c r="G413" s="11" t="str">
        <f>RAW_Продажи!F412</f>
        <v>P014</v>
      </c>
      <c r="H413" s="11" t="str">
        <f>RAW_Продажи!G412</f>
        <v>canceled</v>
      </c>
      <c r="I413" s="12" t="str">
        <f t="shared" si="199"/>
        <v>359/24</v>
      </c>
      <c r="J413" s="12" t="str">
        <f t="shared" si="200"/>
        <v>₽</v>
      </c>
      <c r="K413" s="12">
        <f t="shared" si="201"/>
        <v>6500</v>
      </c>
      <c r="L413" s="19">
        <f t="shared" si="202"/>
        <v>45877</v>
      </c>
      <c r="M413" s="13" t="str">
        <f t="shared" si="203"/>
        <v>АРТ-359</v>
      </c>
      <c r="N413" s="13">
        <f t="shared" si="204"/>
        <v>1</v>
      </c>
      <c r="O413" s="13" t="str">
        <f>IFERROR(VLOOKUP(J413,Справочники!$G$6:$H$8,2,0),"RUB")</f>
        <v>RUB</v>
      </c>
      <c r="P413" s="14">
        <f>ROUND(K413*IFERROR(VLOOKUP(J413,Справочники!$G$6:$I$8,3,0),1),2)</f>
        <v>6500</v>
      </c>
      <c r="Q413" s="13" t="str">
        <f>IFERROR(VLOOKUP(H413,Справочники!$D$6:$E$14,2,0),"НЕИЗВЕСТНО")</f>
        <v>Отменен</v>
      </c>
      <c r="R413" s="20">
        <f>IFERROR(INDEX(Товары_очищенные!$Q$3:$Q$503,MATCH(M413,Товары_очищенные!$L$3:$L$503,0)),"нет в каталоге")</f>
        <v>58000</v>
      </c>
      <c r="S413" s="21" t="str">
        <f>IFERROR(INDEX(Товары_очищенные!$N$3:$N$503,MATCH(M413,Товары_очищенные!$L$3:$L$503,0)),"нет в каталоге")</f>
        <v>Планшеты</v>
      </c>
      <c r="T413" s="21" t="str">
        <f t="shared" si="205"/>
        <v>OK</v>
      </c>
      <c r="U413" s="12" t="str">
        <f t="shared" si="206"/>
        <v>08/08/2025|АРТ-359|C0411</v>
      </c>
      <c r="V413" s="12" t="str">
        <f t="shared" si="207"/>
        <v>оригинал</v>
      </c>
    </row>
    <row r="414" ht="15" customHeight="1">
      <c r="A414" s="10">
        <v>412</v>
      </c>
      <c r="B414" s="11" t="str">
        <f>RAW_Продажи!A413</f>
        <v>08/08/2025</v>
      </c>
      <c r="C414" s="11" t="str">
        <f>RAW_Продажи!B413</f>
        <v>№АРТ-408</v>
      </c>
      <c r="D414" s="11" t="str">
        <f>RAW_Продажи!C413</f>
        <v>-1</v>
      </c>
      <c r="E414" s="11" t="str">
        <f>RAW_Продажи!D413</f>
        <v>$110</v>
      </c>
      <c r="F414" s="11" t="str">
        <f>RAW_Продажи!E413</f>
        <v>C0412</v>
      </c>
      <c r="G414" s="11" t="str">
        <f>RAW_Продажи!F413</f>
        <v>P028</v>
      </c>
      <c r="H414" s="11" t="str">
        <f>RAW_Продажи!G413</f>
        <v>отменен</v>
      </c>
      <c r="I414" s="12" t="str">
        <f t="shared" si="199"/>
        <v>408</v>
      </c>
      <c r="J414" s="12" t="str">
        <f t="shared" si="200"/>
        <v>$</v>
      </c>
      <c r="K414" s="12">
        <f t="shared" si="201"/>
        <v>110</v>
      </c>
      <c r="L414" s="19">
        <f t="shared" si="202"/>
        <v>45877</v>
      </c>
      <c r="M414" s="13" t="str">
        <f t="shared" si="203"/>
        <v>АРТ-408</v>
      </c>
      <c r="N414" s="13">
        <f t="shared" si="204"/>
        <v>-1</v>
      </c>
      <c r="O414" s="13" t="str">
        <f>IFERROR(VLOOKUP(J414,Справочники!$G$6:$H$8,2,0),"RUB")</f>
        <v>USD</v>
      </c>
      <c r="P414" s="14">
        <f>ROUND(K414*IFERROR(VLOOKUP(J414,Справочники!$G$6:$I$8,3,0),1),2)</f>
        <v>10450</v>
      </c>
      <c r="Q414" s="13" t="str">
        <f>IFERROR(VLOOKUP(H414,Справочники!$D$6:$E$14,2,0),"НЕИЗВЕСТНО")</f>
        <v>Отменен</v>
      </c>
      <c r="R414" s="20">
        <f>IFERROR(INDEX(Товары_очищенные!$Q$3:$Q$503,MATCH(M414,Товары_очищенные!$L$3:$L$503,0)),"нет в каталоге")</f>
        <v>107500</v>
      </c>
      <c r="S414" s="21" t="str">
        <f>IFERROR(INDEX(Товары_очищенные!$N$3:$N$503,MATCH(M414,Товары_очищенные!$L$3:$L$503,0)),"нет в каталоге")</f>
        <v>Телевизоры</v>
      </c>
      <c r="T414" s="21" t="str">
        <f t="shared" si="205"/>
        <v>OK</v>
      </c>
      <c r="U414" s="12" t="str">
        <f t="shared" si="206"/>
        <v>08/08/2025|АРТ-408|C0412</v>
      </c>
      <c r="V414" s="12" t="str">
        <f t="shared" si="207"/>
        <v>оригинал</v>
      </c>
    </row>
    <row r="415" ht="15" customHeight="1">
      <c r="A415" s="10">
        <v>413</v>
      </c>
      <c r="B415" s="11" t="str">
        <f>RAW_Продажи!A414</f>
        <v>08/09/2025</v>
      </c>
      <c r="C415" s="11" t="str">
        <f>RAW_Продажи!B414</f>
        <v>АРТ_380</v>
      </c>
      <c r="D415" s="11" t="str">
        <f>RAW_Продажи!C414</f>
        <v>3</v>
      </c>
      <c r="E415" s="11" t="str">
        <f>RAW_Продажи!D414</f>
        <v>€90</v>
      </c>
      <c r="F415" s="11" t="str">
        <f>RAW_Продажи!E414</f>
        <v>C0413</v>
      </c>
      <c r="G415" s="11" t="str">
        <f>RAW_Продажи!F414</f>
        <v>P009</v>
      </c>
      <c r="H415" s="11" t="str">
        <f>RAW_Продажи!G414</f>
        <v>возврат</v>
      </c>
      <c r="I415" s="12" t="str">
        <f t="shared" si="199"/>
        <v>380</v>
      </c>
      <c r="J415" s="12" t="str">
        <f t="shared" si="200"/>
        <v>€</v>
      </c>
      <c r="K415" s="12">
        <f t="shared" si="201"/>
        <v>90</v>
      </c>
      <c r="L415" s="19">
        <f t="shared" si="202"/>
        <v>45878</v>
      </c>
      <c r="M415" s="13" t="str">
        <f t="shared" si="203"/>
        <v>АРТ-380</v>
      </c>
      <c r="N415" s="13">
        <f t="shared" si="204"/>
        <v>3</v>
      </c>
      <c r="O415" s="13" t="str">
        <f>IFERROR(VLOOKUP(J415,Справочники!$G$6:$H$8,2,0),"RUB")</f>
        <v>EUR</v>
      </c>
      <c r="P415" s="14">
        <f>ROUND(K415*IFERROR(VLOOKUP(J415,Справочники!$G$6:$I$8,3,0),1),2)</f>
        <v>9000</v>
      </c>
      <c r="Q415" s="13" t="str">
        <f>IFERROR(VLOOKUP(H415,Справочники!$D$6:$E$14,2,0),"НЕИЗВЕСТНО")</f>
        <v>Возврат</v>
      </c>
      <c r="R415" s="20">
        <f>IFERROR(INDEX(Товары_очищенные!$Q$3:$Q$503,MATCH(M415,Товары_очищенные!$L$3:$L$503,0)),"нет в каталоге")</f>
        <v>35500</v>
      </c>
      <c r="S415" s="21" t="str">
        <f>IFERROR(INDEX(Товары_очищенные!$N$3:$N$503,MATCH(M415,Товары_очищенные!$L$3:$L$503,0)),"нет в каталоге")</f>
        <v>Планшеты</v>
      </c>
      <c r="T415" s="21" t="str">
        <f t="shared" si="205"/>
        <v>OK</v>
      </c>
      <c r="U415" s="12" t="str">
        <f t="shared" si="206"/>
        <v>09/08/2025|АРТ-380|C0413</v>
      </c>
      <c r="V415" s="12" t="str">
        <f t="shared" si="207"/>
        <v>оригинал</v>
      </c>
    </row>
    <row r="416" ht="15" customHeight="1">
      <c r="A416" s="10">
        <v>414</v>
      </c>
      <c r="B416" s="11" t="str">
        <f>RAW_Продажи!A415</f>
        <v>08/09/2025</v>
      </c>
      <c r="C416" s="11" t="str">
        <f>RAW_Продажи!B415</f>
        <v>278-24</v>
      </c>
      <c r="D416" s="11" t="str">
        <f>RAW_Продажи!C415</f>
        <v>2</v>
      </c>
      <c r="E416" s="11" t="str">
        <f>RAW_Продажи!D415</f>
        <v xml:space="preserve">8000 ₽</v>
      </c>
      <c r="F416" s="11" t="str">
        <f>RAW_Продажи!E415</f>
        <v>C0414</v>
      </c>
      <c r="G416" s="11" t="str">
        <f>RAW_Продажи!F415</f>
        <v>P041</v>
      </c>
      <c r="H416" s="11" t="str">
        <f>RAW_Продажи!G415</f>
        <v>Завершен</v>
      </c>
      <c r="I416" s="12" t="str">
        <f t="shared" si="199"/>
        <v>278-24</v>
      </c>
      <c r="J416" s="12" t="str">
        <f t="shared" si="200"/>
        <v>₽</v>
      </c>
      <c r="K416" s="12">
        <f t="shared" si="201"/>
        <v>8000</v>
      </c>
      <c r="L416" s="19">
        <f t="shared" si="202"/>
        <v>45878</v>
      </c>
      <c r="M416" s="13" t="str">
        <f t="shared" si="203"/>
        <v>АРТ-278</v>
      </c>
      <c r="N416" s="13">
        <f t="shared" si="204"/>
        <v>2</v>
      </c>
      <c r="O416" s="13" t="str">
        <f>IFERROR(VLOOKUP(J416,Справочники!$G$6:$H$8,2,0),"RUB")</f>
        <v>RUB</v>
      </c>
      <c r="P416" s="14">
        <f>ROUND(K416*IFERROR(VLOOKUP(J416,Справочники!$G$6:$I$8,3,0),1),2)</f>
        <v>8000</v>
      </c>
      <c r="Q416" s="13" t="str">
        <f>IFERROR(VLOOKUP(H416,Справочники!$D$6:$E$14,2,0),"НЕИЗВЕСТНО")</f>
        <v>Завершен</v>
      </c>
      <c r="R416" s="20">
        <f>IFERROR(INDEX(Товары_очищенные!$Q$3:$Q$503,MATCH(M416,Товары_очищенные!$L$3:$L$503,0)),"нет в каталоге")</f>
        <v>112000</v>
      </c>
      <c r="S416" s="21" t="str">
        <f>IFERROR(INDEX(Товары_очищенные!$N$3:$N$503,MATCH(M416,Товары_очищенные!$L$3:$L$503,0)),"нет в каталоге")</f>
        <v>Телевизоры</v>
      </c>
      <c r="T416" s="21" t="str">
        <f t="shared" si="205"/>
        <v>OK</v>
      </c>
      <c r="U416" s="12" t="str">
        <f t="shared" si="206"/>
        <v>09/08/2025|АРТ-278|C0414</v>
      </c>
      <c r="V416" s="12" t="str">
        <f t="shared" si="207"/>
        <v>оригинал</v>
      </c>
    </row>
    <row r="417" ht="15" customHeight="1">
      <c r="A417" s="10">
        <v>415</v>
      </c>
      <c r="B417" s="11" t="str">
        <f>RAW_Продажи!A416</f>
        <v>08/10/2025</v>
      </c>
      <c r="C417" s="11" t="str">
        <f>RAW_Продажи!B416</f>
        <v>№АРТ-038</v>
      </c>
      <c r="D417" s="11" t="str">
        <f>RAW_Продажи!C416</f>
        <v>1</v>
      </c>
      <c r="E417" s="11" t="str">
        <f>RAW_Продажи!D416</f>
        <v>$95</v>
      </c>
      <c r="F417" s="11" t="str">
        <f>RAW_Продажи!E416</f>
        <v>C0415</v>
      </c>
      <c r="G417" s="11" t="str">
        <f>RAW_Продажи!F416</f>
        <v>P017</v>
      </c>
      <c r="H417" s="11" t="str">
        <f>RAW_Продажи!G416</f>
        <v>завершен</v>
      </c>
      <c r="I417" s="12" t="str">
        <f t="shared" si="199"/>
        <v>038</v>
      </c>
      <c r="J417" s="12" t="str">
        <f t="shared" si="200"/>
        <v>$</v>
      </c>
      <c r="K417" s="12">
        <f t="shared" si="201"/>
        <v>95</v>
      </c>
      <c r="L417" s="19">
        <f t="shared" si="202"/>
        <v>45879</v>
      </c>
      <c r="M417" s="13" t="str">
        <f t="shared" si="203"/>
        <v>АРТ-038</v>
      </c>
      <c r="N417" s="13">
        <f t="shared" si="204"/>
        <v>1</v>
      </c>
      <c r="O417" s="13" t="str">
        <f>IFERROR(VLOOKUP(J417,Справочники!$G$6:$H$8,2,0),"RUB")</f>
        <v>USD</v>
      </c>
      <c r="P417" s="14">
        <f>ROUND(K417*IFERROR(VLOOKUP(J417,Справочники!$G$6:$I$8,3,0),1),2)</f>
        <v>9025</v>
      </c>
      <c r="Q417" s="13" t="str">
        <f>IFERROR(VLOOKUP(H417,Справочники!$D$6:$E$14,2,0),"НЕИЗВЕСТНО")</f>
        <v>Завершен</v>
      </c>
      <c r="R417" s="20">
        <f>IFERROR(INDEX(Товары_очищенные!$Q$3:$Q$503,MATCH(M417,Товары_очищенные!$L$3:$L$503,0)),"нет в каталоге")</f>
        <v>68500</v>
      </c>
      <c r="S417" s="21" t="str">
        <f>IFERROR(INDEX(Товары_очищенные!$N$3:$N$503,MATCH(M417,Товары_очищенные!$L$3:$L$503,0)),"нет в каталоге")</f>
        <v>Часы</v>
      </c>
      <c r="T417" s="21" t="str">
        <f t="shared" si="205"/>
        <v>OK</v>
      </c>
      <c r="U417" s="12" t="str">
        <f t="shared" si="206"/>
        <v>10/08/2025|АРТ-038|C0415</v>
      </c>
      <c r="V417" s="12" t="str">
        <f t="shared" si="207"/>
        <v>оригинал</v>
      </c>
    </row>
    <row r="418" ht="15" customHeight="1">
      <c r="A418" s="10">
        <v>416</v>
      </c>
      <c r="B418" s="11" t="str">
        <f>RAW_Продажи!A417</f>
        <v>08/10/2025</v>
      </c>
      <c r="C418" s="11" t="str">
        <f>RAW_Продажи!B417</f>
        <v>АРТ_467</v>
      </c>
      <c r="D418" s="11" t="str">
        <f>RAW_Продажи!C417</f>
        <v>2</v>
      </c>
      <c r="E418" s="11" t="str">
        <f>RAW_Продажи!D417</f>
        <v>€75</v>
      </c>
      <c r="F418" s="11" t="str">
        <f>RAW_Продажи!E417</f>
        <v>C0416</v>
      </c>
      <c r="G418" s="11" t="str">
        <f>RAW_Продажи!F417</f>
        <v>P032</v>
      </c>
      <c r="H418" s="11" t="str">
        <f>RAW_Продажи!G417</f>
        <v>completed</v>
      </c>
      <c r="I418" s="12" t="str">
        <f t="shared" si="199"/>
        <v>467</v>
      </c>
      <c r="J418" s="12" t="str">
        <f t="shared" si="200"/>
        <v>€</v>
      </c>
      <c r="K418" s="12">
        <f t="shared" si="201"/>
        <v>75</v>
      </c>
      <c r="L418" s="19">
        <f t="shared" si="202"/>
        <v>45879</v>
      </c>
      <c r="M418" s="13" t="str">
        <f t="shared" si="203"/>
        <v>АРТ-467</v>
      </c>
      <c r="N418" s="13">
        <f t="shared" si="204"/>
        <v>2</v>
      </c>
      <c r="O418" s="13" t="str">
        <f>IFERROR(VLOOKUP(J418,Справочники!$G$6:$H$8,2,0),"RUB")</f>
        <v>EUR</v>
      </c>
      <c r="P418" s="14">
        <f>ROUND(K418*IFERROR(VLOOKUP(J418,Справочники!$G$6:$I$8,3,0),1),2)</f>
        <v>7500</v>
      </c>
      <c r="Q418" s="13" t="str">
        <f>IFERROR(VLOOKUP(H418,Справочники!$D$6:$E$14,2,0),"НЕИЗВЕСТНО")</f>
        <v>Завершен</v>
      </c>
      <c r="R418" s="20">
        <f>IFERROR(INDEX(Товары_очищенные!$Q$3:$Q$503,MATCH(M418,Товары_очищенные!$L$3:$L$503,0)),"нет в каталоге")</f>
        <v>21500</v>
      </c>
      <c r="S418" s="21" t="str">
        <f>IFERROR(INDEX(Товары_очищенные!$N$3:$N$503,MATCH(M418,Товары_очищенные!$L$3:$L$503,0)),"нет в каталоге")</f>
        <v>Смартфоны</v>
      </c>
      <c r="T418" s="21" t="str">
        <f t="shared" si="205"/>
        <v>OK</v>
      </c>
      <c r="U418" s="12" t="str">
        <f t="shared" si="206"/>
        <v>10/08/2025|АРТ-467|C0416</v>
      </c>
      <c r="V418" s="12" t="str">
        <f t="shared" si="207"/>
        <v>оригинал</v>
      </c>
    </row>
    <row r="419" ht="15" customHeight="1">
      <c r="A419" s="10">
        <v>417</v>
      </c>
      <c r="B419" s="11" t="str">
        <f>RAW_Продажи!A418</f>
        <v>08/11/2025</v>
      </c>
      <c r="C419" s="11" t="str">
        <f>RAW_Продажи!B418</f>
        <v>303/24</v>
      </c>
      <c r="D419" s="11" t="str">
        <f>RAW_Продажи!C418</f>
        <v xml:space="preserve">3 шт.</v>
      </c>
      <c r="E419" s="11" t="str">
        <f>RAW_Продажи!D418</f>
        <v xml:space="preserve">7000 ₽</v>
      </c>
      <c r="F419" s="11" t="str">
        <f>RAW_Продажи!E418</f>
        <v>C0417</v>
      </c>
      <c r="G419" s="11" t="str">
        <f>RAW_Продажи!F418</f>
        <v>P049</v>
      </c>
      <c r="H419" s="11" t="str">
        <f>RAW_Продажи!G418</f>
        <v>отменен</v>
      </c>
      <c r="I419" s="12" t="str">
        <f t="shared" si="199"/>
        <v>303/24</v>
      </c>
      <c r="J419" s="12" t="str">
        <f t="shared" si="200"/>
        <v>₽</v>
      </c>
      <c r="K419" s="12">
        <f t="shared" si="201"/>
        <v>7000</v>
      </c>
      <c r="L419" s="19">
        <f t="shared" si="202"/>
        <v>45880</v>
      </c>
      <c r="M419" s="13" t="str">
        <f t="shared" si="203"/>
        <v>АРТ-303</v>
      </c>
      <c r="N419" s="13">
        <f t="shared" si="204"/>
        <v>3</v>
      </c>
      <c r="O419" s="13" t="str">
        <f>IFERROR(VLOOKUP(J419,Справочники!$G$6:$H$8,2,0),"RUB")</f>
        <v>RUB</v>
      </c>
      <c r="P419" s="14">
        <f>ROUND(K419*IFERROR(VLOOKUP(J419,Справочники!$G$6:$I$8,3,0),1),2)</f>
        <v>7000</v>
      </c>
      <c r="Q419" s="13" t="str">
        <f>IFERROR(VLOOKUP(H419,Справочники!$D$6:$E$14,2,0),"НЕИЗВЕСТНО")</f>
        <v>Отменен</v>
      </c>
      <c r="R419" s="20">
        <f>IFERROR(INDEX(Товары_очищенные!$Q$3:$Q$503,MATCH(M419,Товары_очищенные!$L$3:$L$503,0)),"нет в каталоге")</f>
        <v>8800</v>
      </c>
      <c r="S419" s="21" t="str">
        <f>IFERROR(INDEX(Товары_очищенные!$N$3:$N$503,MATCH(M419,Товары_очищенные!$L$3:$L$503,0)),"нет в каталоге")</f>
        <v>Наушники</v>
      </c>
      <c r="T419" s="21" t="str">
        <f t="shared" si="205"/>
        <v>OK</v>
      </c>
      <c r="U419" s="12" t="str">
        <f t="shared" si="206"/>
        <v>11/08/2025|АРТ-303|C0417</v>
      </c>
      <c r="V419" s="12" t="str">
        <f t="shared" si="207"/>
        <v>оригинал</v>
      </c>
    </row>
    <row r="420" ht="15" customHeight="1">
      <c r="A420" s="10">
        <v>418</v>
      </c>
      <c r="B420" s="11" t="str">
        <f>RAW_Продажи!A419</f>
        <v>08/11/2025</v>
      </c>
      <c r="C420" s="11" t="str">
        <f>RAW_Продажи!B419</f>
        <v>№АРТ-109</v>
      </c>
      <c r="D420" s="11" t="str">
        <f>RAW_Продажи!C419</f>
        <v>-2</v>
      </c>
      <c r="E420" s="11" t="str">
        <f>RAW_Продажи!D419</f>
        <v>$115</v>
      </c>
      <c r="F420" s="11" t="str">
        <f>RAW_Продажи!E419</f>
        <v>C0418</v>
      </c>
      <c r="G420" s="11" t="str">
        <f>RAW_Продажи!F419</f>
        <v>P006</v>
      </c>
      <c r="H420" s="11" t="str">
        <f>RAW_Продажи!G419</f>
        <v>canceled</v>
      </c>
      <c r="I420" s="12" t="str">
        <f t="shared" ref="I420:I483" si="208">SUBSTITUTE(SUBSTITUTE(C420,"№АРТ-",""),"АРТ_","")</f>
        <v>109</v>
      </c>
      <c r="J420" s="12" t="str">
        <f t="shared" ref="J420:J483" si="209">IF(LEFT(TRIM(E420),1)="$","$",IF(LEFT(TRIM(E420),1)="€","€","₽"))</f>
        <v>$</v>
      </c>
      <c r="K420" s="12">
        <f t="shared" ref="K420:K483" si="210">VALUE(SUBSTITUTE(SUBSTITUTE(SUBSTITUTE(SUBSTITUTE(TRIM(E420),"$",""),"€",""),"₽","")," ",""))</f>
        <v>115</v>
      </c>
      <c r="L420" s="19">
        <f t="shared" ref="L420:L483" si="211">DATE(VALUE(MID(B420,7,4)),VALUE(LEFT(B420,2)),VALUE(MID(B420,4,2)))</f>
        <v>45880</v>
      </c>
      <c r="M420" s="13" t="str">
        <f t="shared" ref="M420:M483" si="212">"АРТ-"&amp;LEFT(I420,3)</f>
        <v>АРТ-109</v>
      </c>
      <c r="N420" s="13">
        <f t="shared" ref="N420:N483" si="213">VALUE(LEFT(TRIM(D420),FIND(" ",TRIM(D420)&amp;" ")-1))</f>
        <v>-2</v>
      </c>
      <c r="O420" s="13" t="str">
        <f>IFERROR(VLOOKUP(J420,Справочники!$G$6:$H$8,2,0),"RUB")</f>
        <v>USD</v>
      </c>
      <c r="P420" s="14">
        <f>ROUND(K420*IFERROR(VLOOKUP(J420,Справочники!$G$6:$I$8,3,0),1),2)</f>
        <v>10925</v>
      </c>
      <c r="Q420" s="13" t="str">
        <f>IFERROR(VLOOKUP(H420,Справочники!$D$6:$E$14,2,0),"НЕИЗВЕСТНО")</f>
        <v>Отменен</v>
      </c>
      <c r="R420" s="20">
        <f>IFERROR(INDEX(Товары_очищенные!$Q$3:$Q$503,MATCH(M420,Товары_очищенные!$L$3:$L$503,0)),"нет в каталоге")</f>
        <v>119999</v>
      </c>
      <c r="S420" s="21" t="str">
        <f>IFERROR(INDEX(Товары_очищенные!$N$3:$N$503,MATCH(M420,Товары_очищенные!$L$3:$L$503,0)),"нет в каталоге")</f>
        <v>Телевизоры</v>
      </c>
      <c r="T420" s="21" t="str">
        <f t="shared" ref="T420:T483" si="214">IF(ISNUMBER(R420),IF(P420&lt;=R420*1.5,"OK","Цена выше розницы"),"—")</f>
        <v>OK</v>
      </c>
      <c r="U420" s="12" t="str">
        <f t="shared" ref="U420:U483" si="215">TEXT(L420,"DD.MM.YYYY")&amp;"|"&amp;M420&amp;"|"&amp;F420</f>
        <v>11/08/2025|АРТ-109|C0418</v>
      </c>
      <c r="V420" s="12" t="str">
        <f t="shared" ref="V420:V483" si="216">IF(COUNTIF($U$3:U420,U420)&gt;1,"ДУБЛЬ","оригинал")</f>
        <v>оригинал</v>
      </c>
    </row>
    <row r="421" ht="15" customHeight="1">
      <c r="A421" s="10">
        <v>419</v>
      </c>
      <c r="B421" s="11" t="str">
        <f>RAW_Продажи!A420</f>
        <v>08/12/2025</v>
      </c>
      <c r="C421" s="11" t="str">
        <f>RAW_Продажи!B420</f>
        <v>АРТ_286</v>
      </c>
      <c r="D421" s="11" t="str">
        <f>RAW_Продажи!C420</f>
        <v>1</v>
      </c>
      <c r="E421" s="11" t="str">
        <f>RAW_Продажи!D420</f>
        <v>€95</v>
      </c>
      <c r="F421" s="11" t="str">
        <f>RAW_Продажи!E420</f>
        <v>C0419</v>
      </c>
      <c r="G421" s="11" t="str">
        <f>RAW_Продажи!F420</f>
        <v>P024</v>
      </c>
      <c r="H421" s="11" t="str">
        <f>RAW_Продажи!G420</f>
        <v>Завершен</v>
      </c>
      <c r="I421" s="12" t="str">
        <f t="shared" si="208"/>
        <v>286</v>
      </c>
      <c r="J421" s="12" t="str">
        <f t="shared" si="209"/>
        <v>€</v>
      </c>
      <c r="K421" s="12">
        <f t="shared" si="210"/>
        <v>95</v>
      </c>
      <c r="L421" s="19">
        <f t="shared" si="211"/>
        <v>45881</v>
      </c>
      <c r="M421" s="13" t="str">
        <f t="shared" si="212"/>
        <v>АРТ-286</v>
      </c>
      <c r="N421" s="13">
        <f t="shared" si="213"/>
        <v>1</v>
      </c>
      <c r="O421" s="13" t="str">
        <f>IFERROR(VLOOKUP(J421,Справочники!$G$6:$H$8,2,0),"RUB")</f>
        <v>EUR</v>
      </c>
      <c r="P421" s="14">
        <f>ROUND(K421*IFERROR(VLOOKUP(J421,Справочники!$G$6:$I$8,3,0),1),2)</f>
        <v>9500</v>
      </c>
      <c r="Q421" s="13" t="str">
        <f>IFERROR(VLOOKUP(H421,Справочники!$D$6:$E$14,2,0),"НЕИЗВЕСТНО")</f>
        <v>Завершен</v>
      </c>
      <c r="R421" s="20">
        <f>IFERROR(INDEX(Товары_очищенные!$Q$3:$Q$503,MATCH(M421,Товары_очищенные!$L$3:$L$503,0)),"нет в каталоге")</f>
        <v>7490</v>
      </c>
      <c r="S421" s="21" t="str">
        <f>IFERROR(INDEX(Товары_очищенные!$N$3:$N$503,MATCH(M421,Товары_очищенные!$L$3:$L$503,0)),"нет в каталоге")</f>
        <v>Аксессуары</v>
      </c>
      <c r="T421" s="21" t="str">
        <f t="shared" si="214"/>
        <v>OK</v>
      </c>
      <c r="U421" s="12" t="str">
        <f t="shared" si="215"/>
        <v>12/08/2025|АРТ-286|C0419</v>
      </c>
      <c r="V421" s="12" t="str">
        <f t="shared" si="216"/>
        <v>оригинал</v>
      </c>
    </row>
    <row r="422" ht="15" customHeight="1">
      <c r="A422" s="10">
        <v>420</v>
      </c>
      <c r="B422" s="11" t="str">
        <f>RAW_Продажи!A421</f>
        <v>08/12/2025</v>
      </c>
      <c r="C422" s="11" t="str">
        <f>RAW_Продажи!B421</f>
        <v>052-24</v>
      </c>
      <c r="D422" s="11" t="str">
        <f>RAW_Продажи!C421</f>
        <v>2</v>
      </c>
      <c r="E422" s="11" t="str">
        <f>RAW_Продажи!D421</f>
        <v xml:space="preserve">8500 ₽</v>
      </c>
      <c r="F422" s="11" t="str">
        <f>RAW_Продажи!E421</f>
        <v>C0420</v>
      </c>
      <c r="G422" s="11" t="str">
        <f>RAW_Продажи!F421</f>
        <v>P015</v>
      </c>
      <c r="H422" s="11" t="str">
        <f>RAW_Продажи!G421</f>
        <v>возврат</v>
      </c>
      <c r="I422" s="12" t="str">
        <f t="shared" si="208"/>
        <v>052-24</v>
      </c>
      <c r="J422" s="12" t="str">
        <f t="shared" si="209"/>
        <v>₽</v>
      </c>
      <c r="K422" s="12">
        <f t="shared" si="210"/>
        <v>8500</v>
      </c>
      <c r="L422" s="19">
        <f t="shared" si="211"/>
        <v>45881</v>
      </c>
      <c r="M422" s="13" t="str">
        <f t="shared" si="212"/>
        <v>АРТ-052</v>
      </c>
      <c r="N422" s="13">
        <f t="shared" si="213"/>
        <v>2</v>
      </c>
      <c r="O422" s="13" t="str">
        <f>IFERROR(VLOOKUP(J422,Справочники!$G$6:$H$8,2,0),"RUB")</f>
        <v>RUB</v>
      </c>
      <c r="P422" s="14">
        <f>ROUND(K422*IFERROR(VLOOKUP(J422,Справочники!$G$6:$I$8,3,0),1),2)</f>
        <v>8500</v>
      </c>
      <c r="Q422" s="13" t="str">
        <f>IFERROR(VLOOKUP(H422,Справочники!$D$6:$E$14,2,0),"НЕИЗВЕСТНО")</f>
        <v>Возврат</v>
      </c>
      <c r="R422" s="20">
        <f>IFERROR(INDEX(Товары_очищенные!$Q$3:$Q$503,MATCH(M422,Товары_очищенные!$L$3:$L$503,0)),"нет в каталоге")</f>
        <v>69900</v>
      </c>
      <c r="S422" s="21" t="str">
        <f>IFERROR(INDEX(Товары_очищенные!$N$3:$N$503,MATCH(M422,Товары_очищенные!$L$3:$L$503,0)),"нет в каталоге")</f>
        <v>Мониторы</v>
      </c>
      <c r="T422" s="21" t="str">
        <f t="shared" si="214"/>
        <v>OK</v>
      </c>
      <c r="U422" s="12" t="str">
        <f t="shared" si="215"/>
        <v>12/08/2025|АРТ-052|C0420</v>
      </c>
      <c r="V422" s="12" t="str">
        <f t="shared" si="216"/>
        <v>оригинал</v>
      </c>
    </row>
    <row r="423" ht="15" customHeight="1">
      <c r="A423" s="10">
        <v>421</v>
      </c>
      <c r="B423" s="11" t="str">
        <f>RAW_Продажи!A422</f>
        <v>08/13/2025</v>
      </c>
      <c r="C423" s="11" t="str">
        <f>RAW_Продажи!B422</f>
        <v>№АРТ-197</v>
      </c>
      <c r="D423" s="11" t="str">
        <f>RAW_Продажи!C422</f>
        <v>3</v>
      </c>
      <c r="E423" s="11" t="str">
        <f>RAW_Продажи!D422</f>
        <v>$105</v>
      </c>
      <c r="F423" s="11" t="str">
        <f>RAW_Продажи!E422</f>
        <v>C0421</v>
      </c>
      <c r="G423" s="11" t="str">
        <f>RAW_Продажи!F422</f>
        <v>P037</v>
      </c>
      <c r="H423" s="11" t="str">
        <f>RAW_Продажи!G422</f>
        <v>завершен</v>
      </c>
      <c r="I423" s="12" t="str">
        <f t="shared" si="208"/>
        <v>197</v>
      </c>
      <c r="J423" s="12" t="str">
        <f t="shared" si="209"/>
        <v>$</v>
      </c>
      <c r="K423" s="12">
        <f t="shared" si="210"/>
        <v>105</v>
      </c>
      <c r="L423" s="19">
        <f t="shared" si="211"/>
        <v>45882</v>
      </c>
      <c r="M423" s="13" t="str">
        <f t="shared" si="212"/>
        <v>АРТ-197</v>
      </c>
      <c r="N423" s="13">
        <f t="shared" si="213"/>
        <v>3</v>
      </c>
      <c r="O423" s="13" t="str">
        <f>IFERROR(VLOOKUP(J423,Справочники!$G$6:$H$8,2,0),"RUB")</f>
        <v>USD</v>
      </c>
      <c r="P423" s="14">
        <f>ROUND(K423*IFERROR(VLOOKUP(J423,Справочники!$G$6:$I$8,3,0),1),2)</f>
        <v>9975</v>
      </c>
      <c r="Q423" s="13" t="str">
        <f>IFERROR(VLOOKUP(H423,Справочники!$D$6:$E$14,2,0),"НЕИЗВЕСТНО")</f>
        <v>Завершен</v>
      </c>
      <c r="R423" s="20">
        <f>IFERROR(INDEX(Товары_очищенные!$Q$3:$Q$503,MATCH(M423,Товары_очищенные!$L$3:$L$503,0)),"нет в каталоге")</f>
        <v>52500</v>
      </c>
      <c r="S423" s="21" t="str">
        <f>IFERROR(INDEX(Товары_очищенные!$N$3:$N$503,MATCH(M423,Товары_очищенные!$L$3:$L$503,0)),"нет в каталоге")</f>
        <v>Смартфоны</v>
      </c>
      <c r="T423" s="21" t="str">
        <f t="shared" si="214"/>
        <v>OK</v>
      </c>
      <c r="U423" s="12" t="str">
        <f t="shared" si="215"/>
        <v>13/08/2025|АРТ-197|C0421</v>
      </c>
      <c r="V423" s="12" t="str">
        <f t="shared" si="216"/>
        <v>оригинал</v>
      </c>
    </row>
    <row r="424" ht="15" customHeight="1">
      <c r="A424" s="10">
        <v>422</v>
      </c>
      <c r="B424" s="11" t="str">
        <f>RAW_Продажи!A423</f>
        <v>08/13/2025</v>
      </c>
      <c r="C424" s="11" t="str">
        <f>RAW_Продажи!B423</f>
        <v>АРТ_414</v>
      </c>
      <c r="D424" s="11" t="str">
        <f>RAW_Продажи!C423</f>
        <v>2</v>
      </c>
      <c r="E424" s="11" t="str">
        <f>RAW_Продажи!D423</f>
        <v>€85</v>
      </c>
      <c r="F424" s="11" t="str">
        <f>RAW_Продажи!E423</f>
        <v>C0422</v>
      </c>
      <c r="G424" s="11" t="str">
        <f>RAW_Продажи!F423</f>
        <v>P048</v>
      </c>
      <c r="H424" s="11" t="str">
        <f>RAW_Продажи!G423</f>
        <v>completed</v>
      </c>
      <c r="I424" s="12" t="str">
        <f t="shared" si="208"/>
        <v>414</v>
      </c>
      <c r="J424" s="12" t="str">
        <f t="shared" si="209"/>
        <v>€</v>
      </c>
      <c r="K424" s="12">
        <f t="shared" si="210"/>
        <v>85</v>
      </c>
      <c r="L424" s="19">
        <f t="shared" si="211"/>
        <v>45882</v>
      </c>
      <c r="M424" s="13" t="str">
        <f t="shared" si="212"/>
        <v>АРТ-414</v>
      </c>
      <c r="N424" s="13">
        <f t="shared" si="213"/>
        <v>2</v>
      </c>
      <c r="O424" s="13" t="str">
        <f>IFERROR(VLOOKUP(J424,Справочники!$G$6:$H$8,2,0),"RUB")</f>
        <v>EUR</v>
      </c>
      <c r="P424" s="14">
        <f>ROUND(K424*IFERROR(VLOOKUP(J424,Справочники!$G$6:$I$8,3,0),1),2)</f>
        <v>8500</v>
      </c>
      <c r="Q424" s="13" t="str">
        <f>IFERROR(VLOOKUP(H424,Справочники!$D$6:$E$14,2,0),"НЕИЗВЕСТНО")</f>
        <v>Завершен</v>
      </c>
      <c r="R424" s="20">
        <f>IFERROR(INDEX(Товары_очищенные!$Q$3:$Q$503,MATCH(M424,Товары_очищенные!$L$3:$L$503,0)),"нет в каталоге")</f>
        <v>57000</v>
      </c>
      <c r="S424" s="21" t="str">
        <f>IFERROR(INDEX(Товары_очищенные!$N$3:$N$503,MATCH(M424,Товары_очищенные!$L$3:$L$503,0)),"нет в каталоге")</f>
        <v>Мониторы</v>
      </c>
      <c r="T424" s="21" t="str">
        <f t="shared" si="214"/>
        <v>OK</v>
      </c>
      <c r="U424" s="12" t="str">
        <f t="shared" si="215"/>
        <v>13/08/2025|АРТ-414|C0422</v>
      </c>
      <c r="V424" s="12" t="str">
        <f t="shared" si="216"/>
        <v>оригинал</v>
      </c>
    </row>
    <row r="425" ht="15" customHeight="1">
      <c r="A425" s="10">
        <v>423</v>
      </c>
      <c r="B425" s="11" t="str">
        <f>RAW_Продажи!A424</f>
        <v>08/14/2025</v>
      </c>
      <c r="C425" s="11" t="str">
        <f>RAW_Продажи!B424</f>
        <v>325/24</v>
      </c>
      <c r="D425" s="11" t="str">
        <f>RAW_Продажи!C424</f>
        <v xml:space="preserve">1 шт.</v>
      </c>
      <c r="E425" s="11" t="str">
        <f>RAW_Продажи!D424</f>
        <v xml:space="preserve">7800 ₽</v>
      </c>
      <c r="F425" s="11" t="str">
        <f>RAW_Продажи!E424</f>
        <v>C0423</v>
      </c>
      <c r="G425" s="11" t="str">
        <f>RAW_Продажи!F424</f>
        <v>P004</v>
      </c>
      <c r="H425" s="11" t="str">
        <f>RAW_Продажи!G424</f>
        <v>Завершен</v>
      </c>
      <c r="I425" s="12" t="str">
        <f t="shared" si="208"/>
        <v>325/24</v>
      </c>
      <c r="J425" s="12" t="str">
        <f t="shared" si="209"/>
        <v>₽</v>
      </c>
      <c r="K425" s="12">
        <f t="shared" si="210"/>
        <v>7800</v>
      </c>
      <c r="L425" s="19">
        <f t="shared" si="211"/>
        <v>45883</v>
      </c>
      <c r="M425" s="13" t="str">
        <f t="shared" si="212"/>
        <v>АРТ-325</v>
      </c>
      <c r="N425" s="13">
        <f t="shared" si="213"/>
        <v>1</v>
      </c>
      <c r="O425" s="13" t="str">
        <f>IFERROR(VLOOKUP(J425,Справочники!$G$6:$H$8,2,0),"RUB")</f>
        <v>RUB</v>
      </c>
      <c r="P425" s="14">
        <f>ROUND(K425*IFERROR(VLOOKUP(J425,Справочники!$G$6:$I$8,3,0),1),2)</f>
        <v>7800</v>
      </c>
      <c r="Q425" s="13" t="str">
        <f>IFERROR(VLOOKUP(H425,Справочники!$D$6:$E$14,2,0),"НЕИЗВЕСТНО")</f>
        <v>Завершен</v>
      </c>
      <c r="R425" s="20">
        <f>IFERROR(INDEX(Товары_очищенные!$Q$3:$Q$503,MATCH(M425,Товары_очищенные!$L$3:$L$503,0)),"нет в каталоге")</f>
        <v>66990</v>
      </c>
      <c r="S425" s="21" t="str">
        <f>IFERROR(INDEX(Товары_очищенные!$N$3:$N$503,MATCH(M425,Товары_очищенные!$L$3:$L$503,0)),"нет в каталоге")</f>
        <v>Мониторы</v>
      </c>
      <c r="T425" s="21" t="str">
        <f t="shared" si="214"/>
        <v>OK</v>
      </c>
      <c r="U425" s="12" t="str">
        <f t="shared" si="215"/>
        <v>14/08/2025|АРТ-325|C0423</v>
      </c>
      <c r="V425" s="12" t="str">
        <f t="shared" si="216"/>
        <v>оригинал</v>
      </c>
    </row>
    <row r="426" ht="15" customHeight="1">
      <c r="A426" s="10">
        <v>424</v>
      </c>
      <c r="B426" s="11" t="str">
        <f>RAW_Продажи!A425</f>
        <v>08/14/2025</v>
      </c>
      <c r="C426" s="11" t="str">
        <f>RAW_Продажи!B425</f>
        <v>№АРТ-211</v>
      </c>
      <c r="D426" s="11" t="str">
        <f>RAW_Продажи!C425</f>
        <v>-3</v>
      </c>
      <c r="E426" s="11" t="str">
        <f>RAW_Продажи!D425</f>
        <v>$120</v>
      </c>
      <c r="F426" s="11" t="str">
        <f>RAW_Продажи!E425</f>
        <v>C0424</v>
      </c>
      <c r="G426" s="11" t="str">
        <f>RAW_Продажи!F425</f>
        <v>P026</v>
      </c>
      <c r="H426" s="11" t="str">
        <f>RAW_Продажи!G425</f>
        <v>canceled</v>
      </c>
      <c r="I426" s="12" t="str">
        <f t="shared" si="208"/>
        <v>211</v>
      </c>
      <c r="J426" s="12" t="str">
        <f t="shared" si="209"/>
        <v>$</v>
      </c>
      <c r="K426" s="12">
        <f t="shared" si="210"/>
        <v>120</v>
      </c>
      <c r="L426" s="19">
        <f t="shared" si="211"/>
        <v>45883</v>
      </c>
      <c r="M426" s="13" t="str">
        <f t="shared" si="212"/>
        <v>АРТ-211</v>
      </c>
      <c r="N426" s="13">
        <f t="shared" si="213"/>
        <v>-3</v>
      </c>
      <c r="O426" s="13" t="str">
        <f>IFERROR(VLOOKUP(J426,Справочники!$G$6:$H$8,2,0),"RUB")</f>
        <v>USD</v>
      </c>
      <c r="P426" s="14">
        <f>ROUND(K426*IFERROR(VLOOKUP(J426,Справочники!$G$6:$I$8,3,0),1),2)</f>
        <v>11400</v>
      </c>
      <c r="Q426" s="13" t="str">
        <f>IFERROR(VLOOKUP(H426,Справочники!$D$6:$E$14,2,0),"НЕИЗВЕСТНО")</f>
        <v>Отменен</v>
      </c>
      <c r="R426" s="20">
        <f>IFERROR(INDEX(Товары_очищенные!$Q$3:$Q$503,MATCH(M426,Товары_очищенные!$L$3:$L$503,0)),"нет в каталоге")</f>
        <v>59990</v>
      </c>
      <c r="S426" s="21" t="str">
        <f>IFERROR(INDEX(Товары_очищенные!$N$3:$N$503,MATCH(M426,Товары_очищенные!$L$3:$L$503,0)),"нет в каталоге")</f>
        <v>Смартфоны</v>
      </c>
      <c r="T426" s="21" t="str">
        <f t="shared" si="214"/>
        <v>OK</v>
      </c>
      <c r="U426" s="12" t="str">
        <f t="shared" si="215"/>
        <v>14/08/2025|АРТ-211|C0424</v>
      </c>
      <c r="V426" s="12" t="str">
        <f t="shared" si="216"/>
        <v>оригинал</v>
      </c>
    </row>
    <row r="427" ht="15" customHeight="1">
      <c r="A427" s="10">
        <v>425</v>
      </c>
      <c r="B427" s="11" t="str">
        <f>RAW_Продажи!A426</f>
        <v>08/15/2025</v>
      </c>
      <c r="C427" s="11" t="str">
        <f>RAW_Продажи!B426</f>
        <v>АРТ_371</v>
      </c>
      <c r="D427" s="11" t="str">
        <f>RAW_Продажи!C426</f>
        <v>2</v>
      </c>
      <c r="E427" s="11" t="str">
        <f>RAW_Продажи!D426</f>
        <v>€100</v>
      </c>
      <c r="F427" s="11" t="str">
        <f>RAW_Продажи!E426</f>
        <v>C0425</v>
      </c>
      <c r="G427" s="11" t="str">
        <f>RAW_Продажи!F426</f>
        <v>P013</v>
      </c>
      <c r="H427" s="11" t="str">
        <f>RAW_Продажи!G426</f>
        <v>отменен</v>
      </c>
      <c r="I427" s="12" t="str">
        <f t="shared" si="208"/>
        <v>371</v>
      </c>
      <c r="J427" s="12" t="str">
        <f t="shared" si="209"/>
        <v>€</v>
      </c>
      <c r="K427" s="12">
        <f t="shared" si="210"/>
        <v>100</v>
      </c>
      <c r="L427" s="19">
        <f t="shared" si="211"/>
        <v>45884</v>
      </c>
      <c r="M427" s="13" t="str">
        <f t="shared" si="212"/>
        <v>АРТ-371</v>
      </c>
      <c r="N427" s="13">
        <f t="shared" si="213"/>
        <v>2</v>
      </c>
      <c r="O427" s="13" t="str">
        <f>IFERROR(VLOOKUP(J427,Справочники!$G$6:$H$8,2,0),"RUB")</f>
        <v>EUR</v>
      </c>
      <c r="P427" s="14">
        <f>ROUND(K427*IFERROR(VLOOKUP(J427,Справочники!$G$6:$I$8,3,0),1),2)</f>
        <v>10000</v>
      </c>
      <c r="Q427" s="13" t="str">
        <f>IFERROR(VLOOKUP(H427,Справочники!$D$6:$E$14,2,0),"НЕИЗВЕСТНО")</f>
        <v>Отменен</v>
      </c>
      <c r="R427" s="20">
        <f>IFERROR(INDEX(Товары_очищенные!$Q$3:$Q$503,MATCH(M427,Товары_очищенные!$L$3:$L$503,0)),"нет в каталоге")</f>
        <v>48000</v>
      </c>
      <c r="S427" s="21" t="str">
        <f>IFERROR(INDEX(Товары_очищенные!$N$3:$N$503,MATCH(M427,Товары_очищенные!$L$3:$L$503,0)),"нет в каталоге")</f>
        <v>Мониторы</v>
      </c>
      <c r="T427" s="21" t="str">
        <f t="shared" si="214"/>
        <v>OK</v>
      </c>
      <c r="U427" s="12" t="str">
        <f t="shared" si="215"/>
        <v>15/08/2025|АРТ-371|C0425</v>
      </c>
      <c r="V427" s="12" t="str">
        <f t="shared" si="216"/>
        <v>оригинал</v>
      </c>
    </row>
    <row r="428" ht="15" customHeight="1">
      <c r="A428" s="10">
        <v>426</v>
      </c>
      <c r="B428" s="11" t="str">
        <f>RAW_Продажи!A427</f>
        <v>08/15/2025</v>
      </c>
      <c r="C428" s="11" t="str">
        <f>RAW_Продажи!B427</f>
        <v>254-24</v>
      </c>
      <c r="D428" s="11" t="str">
        <f>RAW_Продажи!C427</f>
        <v>1</v>
      </c>
      <c r="E428" s="11" t="str">
        <f>RAW_Продажи!D427</f>
        <v xml:space="preserve">9200 ₽</v>
      </c>
      <c r="F428" s="11" t="str">
        <f>RAW_Продажи!E427</f>
        <v>C0426</v>
      </c>
      <c r="G428" s="11" t="str">
        <f>RAW_Продажи!F427</f>
        <v>P034</v>
      </c>
      <c r="H428" s="11" t="str">
        <f>RAW_Продажи!G427</f>
        <v>возврат</v>
      </c>
      <c r="I428" s="12" t="str">
        <f t="shared" si="208"/>
        <v>254-24</v>
      </c>
      <c r="J428" s="12" t="str">
        <f t="shared" si="209"/>
        <v>₽</v>
      </c>
      <c r="K428" s="12">
        <f t="shared" si="210"/>
        <v>9200</v>
      </c>
      <c r="L428" s="19">
        <f t="shared" si="211"/>
        <v>45884</v>
      </c>
      <c r="M428" s="13" t="str">
        <f t="shared" si="212"/>
        <v>АРТ-254</v>
      </c>
      <c r="N428" s="13">
        <f t="shared" si="213"/>
        <v>1</v>
      </c>
      <c r="O428" s="13" t="str">
        <f>IFERROR(VLOOKUP(J428,Справочники!$G$6:$H$8,2,0),"RUB")</f>
        <v>RUB</v>
      </c>
      <c r="P428" s="14">
        <f>ROUND(K428*IFERROR(VLOOKUP(J428,Справочники!$G$6:$I$8,3,0),1),2)</f>
        <v>9200</v>
      </c>
      <c r="Q428" s="13" t="str">
        <f>IFERROR(VLOOKUP(H428,Справочники!$D$6:$E$14,2,0),"НЕИЗВЕСТНО")</f>
        <v>Возврат</v>
      </c>
      <c r="R428" s="20">
        <f>IFERROR(INDEX(Товары_очищенные!$Q$3:$Q$503,MATCH(M428,Товары_очищенные!$L$3:$L$503,0)),"нет в каталоге")</f>
        <v>157000</v>
      </c>
      <c r="S428" s="21" t="str">
        <f>IFERROR(INDEX(Товары_очищенные!$N$3:$N$503,MATCH(M428,Товары_очищенные!$L$3:$L$503,0)),"нет в каталоге")</f>
        <v>Ноутбуки</v>
      </c>
      <c r="T428" s="21" t="str">
        <f t="shared" si="214"/>
        <v>OK</v>
      </c>
      <c r="U428" s="12" t="str">
        <f t="shared" si="215"/>
        <v>15/08/2025|АРТ-254|C0426</v>
      </c>
      <c r="V428" s="12" t="str">
        <f t="shared" si="216"/>
        <v>оригинал</v>
      </c>
    </row>
    <row r="429" ht="15" customHeight="1">
      <c r="A429" s="10">
        <v>427</v>
      </c>
      <c r="B429" s="11" t="str">
        <f>RAW_Продажи!A428</f>
        <v>08/16/2025</v>
      </c>
      <c r="C429" s="11" t="str">
        <f>RAW_Продажи!B428</f>
        <v>№АРТ-104</v>
      </c>
      <c r="D429" s="11" t="str">
        <f>RAW_Продажи!C428</f>
        <v>3</v>
      </c>
      <c r="E429" s="11" t="str">
        <f>RAW_Продажи!D428</f>
        <v>$90</v>
      </c>
      <c r="F429" s="11" t="str">
        <f>RAW_Продажи!E428</f>
        <v>C0427</v>
      </c>
      <c r="G429" s="11" t="str">
        <f>RAW_Продажи!F428</f>
        <v>P044</v>
      </c>
      <c r="H429" s="11" t="str">
        <f>RAW_Продажи!G428</f>
        <v>Завершен</v>
      </c>
      <c r="I429" s="12" t="str">
        <f t="shared" si="208"/>
        <v>104</v>
      </c>
      <c r="J429" s="12" t="str">
        <f t="shared" si="209"/>
        <v>$</v>
      </c>
      <c r="K429" s="12">
        <f t="shared" si="210"/>
        <v>90</v>
      </c>
      <c r="L429" s="19">
        <f t="shared" si="211"/>
        <v>45885</v>
      </c>
      <c r="M429" s="13" t="str">
        <f t="shared" si="212"/>
        <v>АРТ-104</v>
      </c>
      <c r="N429" s="13">
        <f t="shared" si="213"/>
        <v>3</v>
      </c>
      <c r="O429" s="13" t="str">
        <f>IFERROR(VLOOKUP(J429,Справочники!$G$6:$H$8,2,0),"RUB")</f>
        <v>USD</v>
      </c>
      <c r="P429" s="14">
        <f>ROUND(K429*IFERROR(VLOOKUP(J429,Справочники!$G$6:$I$8,3,0),1),2)</f>
        <v>8550</v>
      </c>
      <c r="Q429" s="13" t="str">
        <f>IFERROR(VLOOKUP(H429,Справочники!$D$6:$E$14,2,0),"НЕИЗВЕСТНО")</f>
        <v>Завершен</v>
      </c>
      <c r="R429" s="20">
        <f>IFERROR(INDEX(Товары_очищенные!$Q$3:$Q$503,MATCH(M429,Товары_очищенные!$L$3:$L$503,0)),"нет в каталоге")</f>
        <v>147000</v>
      </c>
      <c r="S429" s="21" t="str">
        <f>IFERROR(INDEX(Товары_очищенные!$N$3:$N$503,MATCH(M429,Товары_очищенные!$L$3:$L$503,0)),"нет в каталоге")</f>
        <v>Ноутбуки</v>
      </c>
      <c r="T429" s="21" t="str">
        <f t="shared" si="214"/>
        <v>OK</v>
      </c>
      <c r="U429" s="12" t="str">
        <f t="shared" si="215"/>
        <v>16/08/2025|АРТ-104|C0427</v>
      </c>
      <c r="V429" s="12" t="str">
        <f t="shared" si="216"/>
        <v>оригинал</v>
      </c>
    </row>
    <row r="430" ht="15" customHeight="1">
      <c r="A430" s="10">
        <v>428</v>
      </c>
      <c r="B430" s="11" t="str">
        <f>RAW_Продажи!A429</f>
        <v>08/16/2025</v>
      </c>
      <c r="C430" s="11" t="str">
        <f>RAW_Продажи!B429</f>
        <v>АРТ_442</v>
      </c>
      <c r="D430" s="11" t="str">
        <f>RAW_Продажи!C429</f>
        <v>2</v>
      </c>
      <c r="E430" s="11" t="str">
        <f>RAW_Продажи!D429</f>
        <v>€70</v>
      </c>
      <c r="F430" s="11" t="str">
        <f>RAW_Продажи!E429</f>
        <v>C0428</v>
      </c>
      <c r="G430" s="11" t="str">
        <f>RAW_Продажи!F429</f>
        <v>P001</v>
      </c>
      <c r="H430" s="11" t="str">
        <f>RAW_Продажи!G429</f>
        <v>завершен</v>
      </c>
      <c r="I430" s="12" t="str">
        <f t="shared" si="208"/>
        <v>442</v>
      </c>
      <c r="J430" s="12" t="str">
        <f t="shared" si="209"/>
        <v>€</v>
      </c>
      <c r="K430" s="12">
        <f t="shared" si="210"/>
        <v>70</v>
      </c>
      <c r="L430" s="19">
        <f t="shared" si="211"/>
        <v>45885</v>
      </c>
      <c r="M430" s="13" t="str">
        <f t="shared" si="212"/>
        <v>АРТ-442</v>
      </c>
      <c r="N430" s="13">
        <f t="shared" si="213"/>
        <v>2</v>
      </c>
      <c r="O430" s="13" t="str">
        <f>IFERROR(VLOOKUP(J430,Справочники!$G$6:$H$8,2,0),"RUB")</f>
        <v>EUR</v>
      </c>
      <c r="P430" s="14">
        <f>ROUND(K430*IFERROR(VLOOKUP(J430,Справочники!$G$6:$I$8,3,0),1),2)</f>
        <v>7000</v>
      </c>
      <c r="Q430" s="13" t="str">
        <f>IFERROR(VLOOKUP(H430,Справочники!$D$6:$E$14,2,0),"НЕИЗВЕСТНО")</f>
        <v>Завершен</v>
      </c>
      <c r="R430" s="20">
        <f>IFERROR(INDEX(Товары_очищенные!$Q$3:$Q$503,MATCH(M430,Товары_очищенные!$L$3:$L$503,0)),"нет в каталоге")</f>
        <v>24990</v>
      </c>
      <c r="S430" s="21" t="str">
        <f>IFERROR(INDEX(Товары_очищенные!$N$3:$N$503,MATCH(M430,Товары_очищенные!$L$3:$L$503,0)),"нет в каталоге")</f>
        <v>Смартфоны</v>
      </c>
      <c r="T430" s="21" t="str">
        <f t="shared" si="214"/>
        <v>OK</v>
      </c>
      <c r="U430" s="12" t="str">
        <f t="shared" si="215"/>
        <v>16/08/2025|АРТ-442|C0428</v>
      </c>
      <c r="V430" s="12" t="str">
        <f t="shared" si="216"/>
        <v>оригинал</v>
      </c>
    </row>
    <row r="431" ht="15" customHeight="1">
      <c r="A431" s="10">
        <v>429</v>
      </c>
      <c r="B431" s="11" t="str">
        <f>RAW_Продажи!A430</f>
        <v>08/17/2025</v>
      </c>
      <c r="C431" s="11" t="str">
        <f>RAW_Продажи!B430</f>
        <v>286/24</v>
      </c>
      <c r="D431" s="11" t="str">
        <f>RAW_Продажи!C430</f>
        <v xml:space="preserve">1 шт.</v>
      </c>
      <c r="E431" s="11" t="str">
        <f>RAW_Продажи!D430</f>
        <v xml:space="preserve">6500 ₽</v>
      </c>
      <c r="F431" s="11" t="str">
        <f>RAW_Продажи!E430</f>
        <v>C0429</v>
      </c>
      <c r="G431" s="11" t="str">
        <f>RAW_Продажи!F430</f>
        <v>P021</v>
      </c>
      <c r="H431" s="11" t="str">
        <f>RAW_Продажи!G430</f>
        <v>completed</v>
      </c>
      <c r="I431" s="12" t="str">
        <f t="shared" si="208"/>
        <v>286/24</v>
      </c>
      <c r="J431" s="12" t="str">
        <f t="shared" si="209"/>
        <v>₽</v>
      </c>
      <c r="K431" s="12">
        <f t="shared" si="210"/>
        <v>6500</v>
      </c>
      <c r="L431" s="19">
        <f t="shared" si="211"/>
        <v>45886</v>
      </c>
      <c r="M431" s="13" t="str">
        <f t="shared" si="212"/>
        <v>АРТ-286</v>
      </c>
      <c r="N431" s="13">
        <f t="shared" si="213"/>
        <v>1</v>
      </c>
      <c r="O431" s="13" t="str">
        <f>IFERROR(VLOOKUP(J431,Справочники!$G$6:$H$8,2,0),"RUB")</f>
        <v>RUB</v>
      </c>
      <c r="P431" s="14">
        <f>ROUND(K431*IFERROR(VLOOKUP(J431,Справочники!$G$6:$I$8,3,0),1),2)</f>
        <v>6500</v>
      </c>
      <c r="Q431" s="13" t="str">
        <f>IFERROR(VLOOKUP(H431,Справочники!$D$6:$E$14,2,0),"НЕИЗВЕСТНО")</f>
        <v>Завершен</v>
      </c>
      <c r="R431" s="20">
        <f>IFERROR(INDEX(Товары_очищенные!$Q$3:$Q$503,MATCH(M431,Товары_очищенные!$L$3:$L$503,0)),"нет в каталоге")</f>
        <v>7490</v>
      </c>
      <c r="S431" s="21" t="str">
        <f>IFERROR(INDEX(Товары_очищенные!$N$3:$N$503,MATCH(M431,Товары_очищенные!$L$3:$L$503,0)),"нет в каталоге")</f>
        <v>Аксессуары</v>
      </c>
      <c r="T431" s="21" t="str">
        <f t="shared" si="214"/>
        <v>OK</v>
      </c>
      <c r="U431" s="12" t="str">
        <f t="shared" si="215"/>
        <v>17/08/2025|АРТ-286|C0429</v>
      </c>
      <c r="V431" s="12" t="str">
        <f t="shared" si="216"/>
        <v>оригинал</v>
      </c>
    </row>
    <row r="432" ht="15" customHeight="1">
      <c r="A432" s="10">
        <v>430</v>
      </c>
      <c r="B432" s="11" t="str">
        <f>RAW_Продажи!A431</f>
        <v>08/17/2025</v>
      </c>
      <c r="C432" s="11" t="str">
        <f>RAW_Продажи!B431</f>
        <v>№АРТ-333</v>
      </c>
      <c r="D432" s="11" t="str">
        <f>RAW_Продажи!C431</f>
        <v>-1</v>
      </c>
      <c r="E432" s="11" t="str">
        <f>RAW_Продажи!D431</f>
        <v>$110</v>
      </c>
      <c r="F432" s="11" t="str">
        <f>RAW_Продажи!E431</f>
        <v>C0430</v>
      </c>
      <c r="G432" s="11" t="str">
        <f>RAW_Продажи!F431</f>
        <v>P039</v>
      </c>
      <c r="H432" s="11" t="str">
        <f>RAW_Продажи!G431</f>
        <v>отменен</v>
      </c>
      <c r="I432" s="12" t="str">
        <f t="shared" si="208"/>
        <v>333</v>
      </c>
      <c r="J432" s="12" t="str">
        <f t="shared" si="209"/>
        <v>$</v>
      </c>
      <c r="K432" s="12">
        <f t="shared" si="210"/>
        <v>110</v>
      </c>
      <c r="L432" s="19">
        <f t="shared" si="211"/>
        <v>45886</v>
      </c>
      <c r="M432" s="13" t="str">
        <f t="shared" si="212"/>
        <v>АРТ-333</v>
      </c>
      <c r="N432" s="13">
        <f t="shared" si="213"/>
        <v>-1</v>
      </c>
      <c r="O432" s="13" t="str">
        <f>IFERROR(VLOOKUP(J432,Справочники!$G$6:$H$8,2,0),"RUB")</f>
        <v>USD</v>
      </c>
      <c r="P432" s="14">
        <f>ROUND(K432*IFERROR(VLOOKUP(J432,Справочники!$G$6:$I$8,3,0),1),2)</f>
        <v>10450</v>
      </c>
      <c r="Q432" s="13" t="str">
        <f>IFERROR(VLOOKUP(H432,Справочники!$D$6:$E$14,2,0),"НЕИЗВЕСТНО")</f>
        <v>Отменен</v>
      </c>
      <c r="R432" s="20">
        <f>IFERROR(INDEX(Товары_очищенные!$Q$3:$Q$503,MATCH(M432,Товары_очищенные!$L$3:$L$503,0)),"нет в каталоге")</f>
        <v>72000</v>
      </c>
      <c r="S432" s="21" t="str">
        <f>IFERROR(INDEX(Товары_очищенные!$N$3:$N$503,MATCH(M432,Товары_очищенные!$L$3:$L$503,0)),"нет в каталоге")</f>
        <v>Часы</v>
      </c>
      <c r="T432" s="21" t="str">
        <f t="shared" si="214"/>
        <v>OK</v>
      </c>
      <c r="U432" s="12" t="str">
        <f t="shared" si="215"/>
        <v>17/08/2025|АРТ-333|C0430</v>
      </c>
      <c r="V432" s="12" t="str">
        <f t="shared" si="216"/>
        <v>оригинал</v>
      </c>
    </row>
    <row r="433" ht="15" customHeight="1">
      <c r="A433" s="10">
        <v>431</v>
      </c>
      <c r="B433" s="11" t="str">
        <f>RAW_Продажи!A432</f>
        <v>08/18/2025</v>
      </c>
      <c r="C433" s="11" t="str">
        <f>RAW_Продажи!B432</f>
        <v>АРТ_359</v>
      </c>
      <c r="D433" s="11" t="str">
        <f>RAW_Продажи!C432</f>
        <v>3</v>
      </c>
      <c r="E433" s="11" t="str">
        <f>RAW_Продажи!D432</f>
        <v>€90</v>
      </c>
      <c r="F433" s="11" t="str">
        <f>RAW_Продажи!E432</f>
        <v>C0431</v>
      </c>
      <c r="G433" s="11" t="str">
        <f>RAW_Продажи!F432</f>
        <v>P050</v>
      </c>
      <c r="H433" s="11" t="str">
        <f>RAW_Продажи!G432</f>
        <v>canceled</v>
      </c>
      <c r="I433" s="12" t="str">
        <f t="shared" si="208"/>
        <v>359</v>
      </c>
      <c r="J433" s="12" t="str">
        <f t="shared" si="209"/>
        <v>€</v>
      </c>
      <c r="K433" s="12">
        <f t="shared" si="210"/>
        <v>90</v>
      </c>
      <c r="L433" s="19">
        <f t="shared" si="211"/>
        <v>45887</v>
      </c>
      <c r="M433" s="13" t="str">
        <f t="shared" si="212"/>
        <v>АРТ-359</v>
      </c>
      <c r="N433" s="13">
        <f t="shared" si="213"/>
        <v>3</v>
      </c>
      <c r="O433" s="13" t="str">
        <f>IFERROR(VLOOKUP(J433,Справочники!$G$6:$H$8,2,0),"RUB")</f>
        <v>EUR</v>
      </c>
      <c r="P433" s="14">
        <f>ROUND(K433*IFERROR(VLOOKUP(J433,Справочники!$G$6:$I$8,3,0),1),2)</f>
        <v>9000</v>
      </c>
      <c r="Q433" s="13" t="str">
        <f>IFERROR(VLOOKUP(H433,Справочники!$D$6:$E$14,2,0),"НЕИЗВЕСТНО")</f>
        <v>Отменен</v>
      </c>
      <c r="R433" s="20">
        <f>IFERROR(INDEX(Товары_очищенные!$Q$3:$Q$503,MATCH(M433,Товары_очищенные!$L$3:$L$503,0)),"нет в каталоге")</f>
        <v>58000</v>
      </c>
      <c r="S433" s="21" t="str">
        <f>IFERROR(INDEX(Товары_очищенные!$N$3:$N$503,MATCH(M433,Товары_очищенные!$L$3:$L$503,0)),"нет в каталоге")</f>
        <v>Планшеты</v>
      </c>
      <c r="T433" s="21" t="str">
        <f t="shared" si="214"/>
        <v>OK</v>
      </c>
      <c r="U433" s="12" t="str">
        <f t="shared" si="215"/>
        <v>18/08/2025|АРТ-359|C0431</v>
      </c>
      <c r="V433" s="12" t="str">
        <f t="shared" si="216"/>
        <v>оригинал</v>
      </c>
    </row>
    <row r="434" ht="15" customHeight="1">
      <c r="A434" s="10">
        <v>432</v>
      </c>
      <c r="B434" s="11" t="str">
        <f>RAW_Продажи!A433</f>
        <v>08/18/2025</v>
      </c>
      <c r="C434" s="11" t="str">
        <f>RAW_Продажи!B433</f>
        <v>234-24</v>
      </c>
      <c r="D434" s="11" t="str">
        <f>RAW_Продажи!C433</f>
        <v>2</v>
      </c>
      <c r="E434" s="11" t="str">
        <f>RAW_Продажи!D433</f>
        <v xml:space="preserve">8000 ₽</v>
      </c>
      <c r="F434" s="11" t="str">
        <f>RAW_Продажи!E433</f>
        <v>C0432</v>
      </c>
      <c r="G434" s="11" t="str">
        <f>RAW_Продажи!F433</f>
        <v>P011</v>
      </c>
      <c r="H434" s="11" t="str">
        <f>RAW_Продажи!G433</f>
        <v>Завершен</v>
      </c>
      <c r="I434" s="12" t="str">
        <f t="shared" si="208"/>
        <v>234-24</v>
      </c>
      <c r="J434" s="12" t="str">
        <f t="shared" si="209"/>
        <v>₽</v>
      </c>
      <c r="K434" s="12">
        <f t="shared" si="210"/>
        <v>8000</v>
      </c>
      <c r="L434" s="19">
        <f t="shared" si="211"/>
        <v>45887</v>
      </c>
      <c r="M434" s="13" t="str">
        <f t="shared" si="212"/>
        <v>АРТ-234</v>
      </c>
      <c r="N434" s="13">
        <f t="shared" si="213"/>
        <v>2</v>
      </c>
      <c r="O434" s="13" t="str">
        <f>IFERROR(VLOOKUP(J434,Справочники!$G$6:$H$8,2,0),"RUB")</f>
        <v>RUB</v>
      </c>
      <c r="P434" s="14">
        <f>ROUND(K434*IFERROR(VLOOKUP(J434,Справочники!$G$6:$I$8,3,0),1),2)</f>
        <v>8000</v>
      </c>
      <c r="Q434" s="13" t="str">
        <f>IFERROR(VLOOKUP(H434,Справочники!$D$6:$E$14,2,0),"НЕИЗВЕСТНО")</f>
        <v>Завершен</v>
      </c>
      <c r="R434" s="20">
        <f>IFERROR(INDEX(Товары_очищенные!$Q$3:$Q$503,MATCH(M434,Товары_очищенные!$L$3:$L$503,0)),"нет в каталоге")</f>
        <v>44500</v>
      </c>
      <c r="S434" s="21" t="str">
        <f>IFERROR(INDEX(Товары_очищенные!$N$3:$N$503,MATCH(M434,Товары_очищенные!$L$3:$L$503,0)),"нет в каталоге")</f>
        <v>Смартфоны</v>
      </c>
      <c r="T434" s="21" t="str">
        <f t="shared" si="214"/>
        <v>OK</v>
      </c>
      <c r="U434" s="12" t="str">
        <f t="shared" si="215"/>
        <v>18/08/2025|АРТ-234|C0432</v>
      </c>
      <c r="V434" s="12" t="str">
        <f t="shared" si="216"/>
        <v>оригинал</v>
      </c>
    </row>
    <row r="435" ht="15" customHeight="1">
      <c r="A435" s="10">
        <v>433</v>
      </c>
      <c r="B435" s="11" t="str">
        <f>RAW_Продажи!A434</f>
        <v>08/19/2025</v>
      </c>
      <c r="C435" s="11" t="str">
        <f>RAW_Продажи!B434</f>
        <v>№АРТ-062</v>
      </c>
      <c r="D435" s="11" t="str">
        <f>RAW_Продажи!C434</f>
        <v>1</v>
      </c>
      <c r="E435" s="11" t="str">
        <f>RAW_Продажи!D434</f>
        <v>$95</v>
      </c>
      <c r="F435" s="11" t="str">
        <f>RAW_Продажи!E434</f>
        <v>C0433</v>
      </c>
      <c r="G435" s="11" t="str">
        <f>RAW_Продажи!F434</f>
        <v>P027</v>
      </c>
      <c r="H435" s="11" t="str">
        <f>RAW_Продажи!G434</f>
        <v>возврат</v>
      </c>
      <c r="I435" s="12" t="str">
        <f t="shared" si="208"/>
        <v>062</v>
      </c>
      <c r="J435" s="12" t="str">
        <f t="shared" si="209"/>
        <v>$</v>
      </c>
      <c r="K435" s="12">
        <f t="shared" si="210"/>
        <v>95</v>
      </c>
      <c r="L435" s="19">
        <f t="shared" si="211"/>
        <v>45888</v>
      </c>
      <c r="M435" s="13" t="str">
        <f t="shared" si="212"/>
        <v>АРТ-062</v>
      </c>
      <c r="N435" s="13">
        <f t="shared" si="213"/>
        <v>1</v>
      </c>
      <c r="O435" s="13" t="str">
        <f>IFERROR(VLOOKUP(J435,Справочники!$G$6:$H$8,2,0),"RUB")</f>
        <v>USD</v>
      </c>
      <c r="P435" s="14">
        <f>ROUND(K435*IFERROR(VLOOKUP(J435,Справочники!$G$6:$I$8,3,0),1),2)</f>
        <v>9025</v>
      </c>
      <c r="Q435" s="13" t="str">
        <f>IFERROR(VLOOKUP(H435,Справочники!$D$6:$E$14,2,0),"НЕИЗВЕСТНО")</f>
        <v>Возврат</v>
      </c>
      <c r="R435" s="20">
        <f>IFERROR(INDEX(Товары_очищенные!$Q$3:$Q$503,MATCH(M435,Товары_очищенные!$L$3:$L$503,0)),"нет в каталоге")</f>
        <v>122500</v>
      </c>
      <c r="S435" s="21" t="str">
        <f>IFERROR(INDEX(Товары_очищенные!$N$3:$N$503,MATCH(M435,Товары_очищенные!$L$3:$L$503,0)),"нет в каталоге")</f>
        <v>Ноутбуки</v>
      </c>
      <c r="T435" s="21" t="str">
        <f t="shared" si="214"/>
        <v>OK</v>
      </c>
      <c r="U435" s="12" t="str">
        <f t="shared" si="215"/>
        <v>19/08/2025|АРТ-062|C0433</v>
      </c>
      <c r="V435" s="12" t="str">
        <f t="shared" si="216"/>
        <v>оригинал</v>
      </c>
    </row>
    <row r="436" ht="15" customHeight="1">
      <c r="A436" s="10">
        <v>434</v>
      </c>
      <c r="B436" s="11" t="str">
        <f>RAW_Продажи!A435</f>
        <v>08/19/2025</v>
      </c>
      <c r="C436" s="11" t="str">
        <f>RAW_Продажи!B435</f>
        <v>АРТ_470</v>
      </c>
      <c r="D436" s="11" t="str">
        <f>RAW_Продажи!C435</f>
        <v>2</v>
      </c>
      <c r="E436" s="11" t="str">
        <f>RAW_Продажи!D435</f>
        <v>€75</v>
      </c>
      <c r="F436" s="11" t="str">
        <f>RAW_Продажи!E435</f>
        <v>C0434</v>
      </c>
      <c r="G436" s="11" t="str">
        <f>RAW_Продажи!F435</f>
        <v>P018</v>
      </c>
      <c r="H436" s="11" t="str">
        <f>RAW_Продажи!G435</f>
        <v>завершен</v>
      </c>
      <c r="I436" s="12" t="str">
        <f t="shared" si="208"/>
        <v>470</v>
      </c>
      <c r="J436" s="12" t="str">
        <f t="shared" si="209"/>
        <v>€</v>
      </c>
      <c r="K436" s="12">
        <f t="shared" si="210"/>
        <v>75</v>
      </c>
      <c r="L436" s="19">
        <f t="shared" si="211"/>
        <v>45888</v>
      </c>
      <c r="M436" s="13" t="str">
        <f t="shared" si="212"/>
        <v>АРТ-470</v>
      </c>
      <c r="N436" s="13">
        <f t="shared" si="213"/>
        <v>2</v>
      </c>
      <c r="O436" s="13" t="str">
        <f>IFERROR(VLOOKUP(J436,Справочники!$G$6:$H$8,2,0),"RUB")</f>
        <v>EUR</v>
      </c>
      <c r="P436" s="14">
        <f>ROUND(K436*IFERROR(VLOOKUP(J436,Справочники!$G$6:$I$8,3,0),1),2)</f>
        <v>7500</v>
      </c>
      <c r="Q436" s="13" t="str">
        <f>IFERROR(VLOOKUP(H436,Справочники!$D$6:$E$14,2,0),"НЕИЗВЕСТНО")</f>
        <v>Завершен</v>
      </c>
      <c r="R436" s="20">
        <f>IFERROR(INDEX(Товары_очищенные!$Q$3:$Q$503,MATCH(M436,Товары_очищенные!$L$3:$L$503,0)),"нет в каталоге")</f>
        <v>56500</v>
      </c>
      <c r="S436" s="21" t="str">
        <f>IFERROR(INDEX(Товары_очищенные!$N$3:$N$503,MATCH(M436,Товары_очищенные!$L$3:$L$503,0)),"нет в каталоге")</f>
        <v>Телевизоры</v>
      </c>
      <c r="T436" s="21" t="str">
        <f t="shared" si="214"/>
        <v>OK</v>
      </c>
      <c r="U436" s="12" t="str">
        <f t="shared" si="215"/>
        <v>19/08/2025|АРТ-470|C0434</v>
      </c>
      <c r="V436" s="12" t="str">
        <f t="shared" si="216"/>
        <v>оригинал</v>
      </c>
    </row>
    <row r="437" ht="15" customHeight="1">
      <c r="A437" s="10">
        <v>435</v>
      </c>
      <c r="B437" s="11" t="str">
        <f>RAW_Продажи!A436</f>
        <v>08/20/2025</v>
      </c>
      <c r="C437" s="11" t="str">
        <f>RAW_Продажи!B436</f>
        <v>307/24</v>
      </c>
      <c r="D437" s="11" t="str">
        <f>RAW_Продажи!C436</f>
        <v xml:space="preserve">3 шт.</v>
      </c>
      <c r="E437" s="11" t="str">
        <f>RAW_Продажи!D436</f>
        <v xml:space="preserve">7000 ₽</v>
      </c>
      <c r="F437" s="11" t="str">
        <f>RAW_Продажи!E436</f>
        <v>C0435</v>
      </c>
      <c r="G437" s="11" t="str">
        <f>RAW_Продажи!F436</f>
        <v>P040</v>
      </c>
      <c r="H437" s="11" t="str">
        <f>RAW_Продажи!G436</f>
        <v>completed</v>
      </c>
      <c r="I437" s="12" t="str">
        <f t="shared" si="208"/>
        <v>307/24</v>
      </c>
      <c r="J437" s="12" t="str">
        <f t="shared" si="209"/>
        <v>₽</v>
      </c>
      <c r="K437" s="12">
        <f t="shared" si="210"/>
        <v>7000</v>
      </c>
      <c r="L437" s="19">
        <f t="shared" si="211"/>
        <v>45889</v>
      </c>
      <c r="M437" s="13" t="str">
        <f t="shared" si="212"/>
        <v>АРТ-307</v>
      </c>
      <c r="N437" s="13">
        <f t="shared" si="213"/>
        <v>3</v>
      </c>
      <c r="O437" s="13" t="str">
        <f>IFERROR(VLOOKUP(J437,Справочники!$G$6:$H$8,2,0),"RUB")</f>
        <v>RUB</v>
      </c>
      <c r="P437" s="14">
        <f>ROUND(K437*IFERROR(VLOOKUP(J437,Справочники!$G$6:$I$8,3,0),1),2)</f>
        <v>7000</v>
      </c>
      <c r="Q437" s="13" t="str">
        <f>IFERROR(VLOOKUP(H437,Справочники!$D$6:$E$14,2,0),"НЕИЗВЕСТНО")</f>
        <v>Завершен</v>
      </c>
      <c r="R437" s="20">
        <f>IFERROR(INDEX(Товары_очищенные!$Q$3:$Q$503,MATCH(M437,Товары_очищенные!$L$3:$L$503,0)),"нет в каталоге")</f>
        <v>8990</v>
      </c>
      <c r="S437" s="21" t="str">
        <f>IFERROR(INDEX(Товары_очищенные!$N$3:$N$503,MATCH(M437,Товары_очищенные!$L$3:$L$503,0)),"нет в каталоге")</f>
        <v>Аксессуары</v>
      </c>
      <c r="T437" s="21" t="str">
        <f t="shared" si="214"/>
        <v>OK</v>
      </c>
      <c r="U437" s="12" t="str">
        <f t="shared" si="215"/>
        <v>20/08/2025|АРТ-307|C0435</v>
      </c>
      <c r="V437" s="12" t="str">
        <f t="shared" si="216"/>
        <v>оригинал</v>
      </c>
    </row>
    <row r="438" ht="15" customHeight="1">
      <c r="A438" s="10">
        <v>436</v>
      </c>
      <c r="B438" s="11" t="str">
        <f>RAW_Продажи!A437</f>
        <v>08/20/2025</v>
      </c>
      <c r="C438" s="11" t="str">
        <f>RAW_Продажи!B437</f>
        <v>№АРТ-201</v>
      </c>
      <c r="D438" s="11" t="str">
        <f>RAW_Продажи!C437</f>
        <v>-2</v>
      </c>
      <c r="E438" s="11" t="str">
        <f>RAW_Продажи!D437</f>
        <v>$115</v>
      </c>
      <c r="F438" s="11" t="str">
        <f>RAW_Продажи!E437</f>
        <v>C0436</v>
      </c>
      <c r="G438" s="11" t="str">
        <f>RAW_Продажи!F437</f>
        <v>P003</v>
      </c>
      <c r="H438" s="11" t="str">
        <f>RAW_Продажи!G437</f>
        <v>Завершен</v>
      </c>
      <c r="I438" s="12" t="str">
        <f t="shared" si="208"/>
        <v>201</v>
      </c>
      <c r="J438" s="12" t="str">
        <f t="shared" si="209"/>
        <v>$</v>
      </c>
      <c r="K438" s="12">
        <f t="shared" si="210"/>
        <v>115</v>
      </c>
      <c r="L438" s="19">
        <f t="shared" si="211"/>
        <v>45889</v>
      </c>
      <c r="M438" s="13" t="str">
        <f t="shared" si="212"/>
        <v>АРТ-201</v>
      </c>
      <c r="N438" s="13">
        <f t="shared" si="213"/>
        <v>-2</v>
      </c>
      <c r="O438" s="13" t="str">
        <f>IFERROR(VLOOKUP(J438,Справочники!$G$6:$H$8,2,0),"RUB")</f>
        <v>USD</v>
      </c>
      <c r="P438" s="14">
        <f>ROUND(K438*IFERROR(VLOOKUP(J438,Справочники!$G$6:$I$8,3,0),1),2)</f>
        <v>10925</v>
      </c>
      <c r="Q438" s="13" t="str">
        <f>IFERROR(VLOOKUP(H438,Справочники!$D$6:$E$14,2,0),"НЕИЗВЕСТНО")</f>
        <v>Завершен</v>
      </c>
      <c r="R438" s="20">
        <f>IFERROR(INDEX(Товары_очищенные!$Q$3:$Q$503,MATCH(M438,Товары_очищенные!$L$3:$L$503,0)),"нет в каталоге")</f>
        <v>98500</v>
      </c>
      <c r="S438" s="21" t="str">
        <f>IFERROR(INDEX(Товары_очищенные!$N$3:$N$503,MATCH(M438,Товары_очищенные!$L$3:$L$503,0)),"нет в каталоге")</f>
        <v>Телевизоры</v>
      </c>
      <c r="T438" s="21" t="str">
        <f t="shared" si="214"/>
        <v>OK</v>
      </c>
      <c r="U438" s="12" t="str">
        <f t="shared" si="215"/>
        <v>20/08/2025|АРТ-201|C0436</v>
      </c>
      <c r="V438" s="12" t="str">
        <f t="shared" si="216"/>
        <v>оригинал</v>
      </c>
    </row>
    <row r="439" ht="15" customHeight="1">
      <c r="A439" s="10">
        <v>437</v>
      </c>
      <c r="B439" s="11" t="str">
        <f>RAW_Продажи!A438</f>
        <v>08/21/2025</v>
      </c>
      <c r="C439" s="11" t="str">
        <f>RAW_Продажи!B438</f>
        <v>АРТ_362</v>
      </c>
      <c r="D439" s="11" t="str">
        <f>RAW_Продажи!C438</f>
        <v>1</v>
      </c>
      <c r="E439" s="11" t="str">
        <f>RAW_Продажи!D438</f>
        <v>€95</v>
      </c>
      <c r="F439" s="11" t="str">
        <f>RAW_Продажи!E438</f>
        <v>C0437</v>
      </c>
      <c r="G439" s="11" t="str">
        <f>RAW_Продажи!F438</f>
        <v>P025</v>
      </c>
      <c r="H439" s="11" t="str">
        <f>RAW_Продажи!G438</f>
        <v>canceled</v>
      </c>
      <c r="I439" s="12" t="str">
        <f t="shared" si="208"/>
        <v>362</v>
      </c>
      <c r="J439" s="12" t="str">
        <f t="shared" si="209"/>
        <v>€</v>
      </c>
      <c r="K439" s="12">
        <f t="shared" si="210"/>
        <v>95</v>
      </c>
      <c r="L439" s="19">
        <f t="shared" si="211"/>
        <v>45890</v>
      </c>
      <c r="M439" s="13" t="str">
        <f t="shared" si="212"/>
        <v>АРТ-362</v>
      </c>
      <c r="N439" s="13">
        <f t="shared" si="213"/>
        <v>1</v>
      </c>
      <c r="O439" s="13" t="str">
        <f>IFERROR(VLOOKUP(J439,Справочники!$G$6:$H$8,2,0),"RUB")</f>
        <v>EUR</v>
      </c>
      <c r="P439" s="14">
        <f>ROUND(K439*IFERROR(VLOOKUP(J439,Справочники!$G$6:$I$8,3,0),1),2)</f>
        <v>9500</v>
      </c>
      <c r="Q439" s="13" t="str">
        <f>IFERROR(VLOOKUP(H439,Справочники!$D$6:$E$14,2,0),"НЕИЗВЕСТНО")</f>
        <v>Отменен</v>
      </c>
      <c r="R439" s="20">
        <f>IFERROR(INDEX(Товары_очищенные!$Q$3:$Q$503,MATCH(M439,Товары_очищенные!$L$3:$L$503,0)),"нет в каталоге")</f>
        <v>142500</v>
      </c>
      <c r="S439" s="21" t="str">
        <f>IFERROR(INDEX(Товары_очищенные!$N$3:$N$503,MATCH(M439,Товары_очищенные!$L$3:$L$503,0)),"нет в каталоге")</f>
        <v>Ноутбуки</v>
      </c>
      <c r="T439" s="21" t="str">
        <f t="shared" si="214"/>
        <v>OK</v>
      </c>
      <c r="U439" s="12" t="str">
        <f t="shared" si="215"/>
        <v>21/08/2025|АРТ-362|C0437</v>
      </c>
      <c r="V439" s="12" t="str">
        <f t="shared" si="216"/>
        <v>оригинал</v>
      </c>
    </row>
    <row r="440" ht="15" customHeight="1">
      <c r="A440" s="10">
        <v>438</v>
      </c>
      <c r="B440" s="11" t="str">
        <f>RAW_Продажи!A439</f>
        <v>08/21/2025</v>
      </c>
      <c r="C440" s="11" t="str">
        <f>RAW_Продажи!B439</f>
        <v>041-24</v>
      </c>
      <c r="D440" s="11" t="str">
        <f>RAW_Продажи!C439</f>
        <v>2</v>
      </c>
      <c r="E440" s="11" t="str">
        <f>RAW_Продажи!D439</f>
        <v xml:space="preserve">8500 ₽</v>
      </c>
      <c r="F440" s="11" t="str">
        <f>RAW_Продажи!E439</f>
        <v>C0438</v>
      </c>
      <c r="G440" s="11" t="str">
        <f>RAW_Продажи!F439</f>
        <v>P010</v>
      </c>
      <c r="H440" s="11" t="str">
        <f>RAW_Продажи!G439</f>
        <v>отменен</v>
      </c>
      <c r="I440" s="12" t="str">
        <f t="shared" si="208"/>
        <v>041-24</v>
      </c>
      <c r="J440" s="12" t="str">
        <f t="shared" si="209"/>
        <v>₽</v>
      </c>
      <c r="K440" s="12">
        <f t="shared" si="210"/>
        <v>8500</v>
      </c>
      <c r="L440" s="19">
        <f t="shared" si="211"/>
        <v>45890</v>
      </c>
      <c r="M440" s="13" t="str">
        <f t="shared" si="212"/>
        <v>АРТ-041</v>
      </c>
      <c r="N440" s="13">
        <f t="shared" si="213"/>
        <v>2</v>
      </c>
      <c r="O440" s="13" t="str">
        <f>IFERROR(VLOOKUP(J440,Справочники!$G$6:$H$8,2,0),"RUB")</f>
        <v>RUB</v>
      </c>
      <c r="P440" s="14">
        <f>ROUND(K440*IFERROR(VLOOKUP(J440,Справочники!$G$6:$I$8,3,0),1),2)</f>
        <v>8500</v>
      </c>
      <c r="Q440" s="13" t="str">
        <f>IFERROR(VLOOKUP(H440,Справочники!$D$6:$E$14,2,0),"НЕИЗВЕСТНО")</f>
        <v>Отменен</v>
      </c>
      <c r="R440" s="20">
        <f>IFERROR(INDEX(Товары_очищенные!$Q$3:$Q$503,MATCH(M440,Товары_очищенные!$L$3:$L$503,0)),"нет в каталоге")</f>
        <v>140500</v>
      </c>
      <c r="S440" s="21" t="str">
        <f>IFERROR(INDEX(Товары_очищенные!$N$3:$N$503,MATCH(M440,Товары_очищенные!$L$3:$L$503,0)),"нет в каталоге")</f>
        <v>Ноутбуки</v>
      </c>
      <c r="T440" s="21" t="str">
        <f t="shared" si="214"/>
        <v>OK</v>
      </c>
      <c r="U440" s="12" t="str">
        <f t="shared" si="215"/>
        <v>21/08/2025|АРТ-041|C0438</v>
      </c>
      <c r="V440" s="12" t="str">
        <f t="shared" si="216"/>
        <v>оригинал</v>
      </c>
    </row>
    <row r="441" ht="15" customHeight="1">
      <c r="A441" s="10">
        <v>439</v>
      </c>
      <c r="B441" s="11" t="str">
        <f>RAW_Продажи!A440</f>
        <v>08/22/2025</v>
      </c>
      <c r="C441" s="11" t="str">
        <f>RAW_Продажи!B440</f>
        <v>№АРТ-172</v>
      </c>
      <c r="D441" s="11" t="str">
        <f>RAW_Продажи!C440</f>
        <v>3</v>
      </c>
      <c r="E441" s="11" t="str">
        <f>RAW_Продажи!D440</f>
        <v>$105</v>
      </c>
      <c r="F441" s="11" t="str">
        <f>RAW_Продажи!E440</f>
        <v>C0439</v>
      </c>
      <c r="G441" s="11" t="str">
        <f>RAW_Продажи!F440</f>
        <v>P033</v>
      </c>
      <c r="H441" s="11" t="str">
        <f>RAW_Продажи!G440</f>
        <v>возврат</v>
      </c>
      <c r="I441" s="12" t="str">
        <f t="shared" si="208"/>
        <v>172</v>
      </c>
      <c r="J441" s="12" t="str">
        <f t="shared" si="209"/>
        <v>$</v>
      </c>
      <c r="K441" s="12">
        <f t="shared" si="210"/>
        <v>105</v>
      </c>
      <c r="L441" s="19">
        <f t="shared" si="211"/>
        <v>45891</v>
      </c>
      <c r="M441" s="13" t="str">
        <f t="shared" si="212"/>
        <v>АРТ-172</v>
      </c>
      <c r="N441" s="13">
        <f t="shared" si="213"/>
        <v>3</v>
      </c>
      <c r="O441" s="13" t="str">
        <f>IFERROR(VLOOKUP(J441,Справочники!$G$6:$H$8,2,0),"RUB")</f>
        <v>USD</v>
      </c>
      <c r="P441" s="14">
        <f>ROUND(K441*IFERROR(VLOOKUP(J441,Справочники!$G$6:$I$8,3,0),1),2)</f>
        <v>9975</v>
      </c>
      <c r="Q441" s="13" t="str">
        <f>IFERROR(VLOOKUP(H441,Справочники!$D$6:$E$14,2,0),"НЕИЗВЕСТНО")</f>
        <v>Возврат</v>
      </c>
      <c r="R441" s="20">
        <f>IFERROR(INDEX(Товары_очищенные!$Q$3:$Q$503,MATCH(M441,Товары_очищенные!$L$3:$L$503,0)),"нет в каталоге")</f>
        <v>104990</v>
      </c>
      <c r="S441" s="21" t="str">
        <f>IFERROR(INDEX(Товары_очищенные!$N$3:$N$503,MATCH(M441,Товары_очищенные!$L$3:$L$503,0)),"нет в каталоге")</f>
        <v>Ноутбуки</v>
      </c>
      <c r="T441" s="21" t="str">
        <f t="shared" si="214"/>
        <v>OK</v>
      </c>
      <c r="U441" s="12" t="str">
        <f t="shared" si="215"/>
        <v>22/08/2025|АРТ-172|C0439</v>
      </c>
      <c r="V441" s="12" t="str">
        <f t="shared" si="216"/>
        <v>оригинал</v>
      </c>
    </row>
    <row r="442" ht="15" customHeight="1">
      <c r="A442" s="10">
        <v>440</v>
      </c>
      <c r="B442" s="11" t="str">
        <f>RAW_Продажи!A441</f>
        <v>08/22/2025</v>
      </c>
      <c r="C442" s="11" t="str">
        <f>RAW_Продажи!B441</f>
        <v>АРТ_451</v>
      </c>
      <c r="D442" s="11" t="str">
        <f>RAW_Продажи!C441</f>
        <v>2</v>
      </c>
      <c r="E442" s="11" t="str">
        <f>RAW_Продажи!D441</f>
        <v>€85</v>
      </c>
      <c r="F442" s="11" t="str">
        <f>RAW_Продажи!E441</f>
        <v>C0440</v>
      </c>
      <c r="G442" s="11" t="str">
        <f>RAW_Продажи!F441</f>
        <v>P047</v>
      </c>
      <c r="H442" s="11" t="str">
        <f>RAW_Продажи!G441</f>
        <v>Завершен</v>
      </c>
      <c r="I442" s="12" t="str">
        <f t="shared" si="208"/>
        <v>451</v>
      </c>
      <c r="J442" s="12" t="str">
        <f t="shared" si="209"/>
        <v>€</v>
      </c>
      <c r="K442" s="12">
        <f t="shared" si="210"/>
        <v>85</v>
      </c>
      <c r="L442" s="19">
        <f t="shared" si="211"/>
        <v>45891</v>
      </c>
      <c r="M442" s="13" t="str">
        <f t="shared" si="212"/>
        <v>АРТ-451</v>
      </c>
      <c r="N442" s="13">
        <f t="shared" si="213"/>
        <v>2</v>
      </c>
      <c r="O442" s="13" t="str">
        <f>IFERROR(VLOOKUP(J442,Справочники!$G$6:$H$8,2,0),"RUB")</f>
        <v>EUR</v>
      </c>
      <c r="P442" s="14">
        <f>ROUND(K442*IFERROR(VLOOKUP(J442,Справочники!$G$6:$I$8,3,0),1),2)</f>
        <v>8500</v>
      </c>
      <c r="Q442" s="13" t="str">
        <f>IFERROR(VLOOKUP(H442,Справочники!$D$6:$E$14,2,0),"НЕИЗВЕСТНО")</f>
        <v>Завершен</v>
      </c>
      <c r="R442" s="20">
        <f>IFERROR(INDEX(Товары_очищенные!$Q$3:$Q$503,MATCH(M442,Товары_очищенные!$L$3:$L$503,0)),"нет в каталоге")</f>
        <v>39990</v>
      </c>
      <c r="S442" s="21" t="str">
        <f>IFERROR(INDEX(Товары_очищенные!$N$3:$N$503,MATCH(M442,Товары_очищенные!$L$3:$L$503,0)),"нет в каталоге")</f>
        <v>Наушники</v>
      </c>
      <c r="T442" s="21" t="str">
        <f t="shared" si="214"/>
        <v>OK</v>
      </c>
      <c r="U442" s="12" t="str">
        <f t="shared" si="215"/>
        <v>22/08/2025|АРТ-451|C0440</v>
      </c>
      <c r="V442" s="12" t="str">
        <f t="shared" si="216"/>
        <v>оригинал</v>
      </c>
    </row>
    <row r="443" ht="15" customHeight="1">
      <c r="A443" s="10">
        <v>441</v>
      </c>
      <c r="B443" s="11" t="str">
        <f>RAW_Продажи!A442</f>
        <v>08/23/2025</v>
      </c>
      <c r="C443" s="11" t="str">
        <f>RAW_Продажи!B442</f>
        <v>291/24</v>
      </c>
      <c r="D443" s="11" t="str">
        <f>RAW_Продажи!C442</f>
        <v xml:space="preserve">1 шт.</v>
      </c>
      <c r="E443" s="11" t="str">
        <f>RAW_Продажи!D442</f>
        <v xml:space="preserve">7800 ₽</v>
      </c>
      <c r="F443" s="11" t="str">
        <f>RAW_Продажи!E442</f>
        <v>C0441</v>
      </c>
      <c r="G443" s="11" t="str">
        <f>RAW_Продажи!F442</f>
        <v>P020</v>
      </c>
      <c r="H443" s="11" t="str">
        <f>RAW_Продажи!G442</f>
        <v>завершен</v>
      </c>
      <c r="I443" s="12" t="str">
        <f t="shared" si="208"/>
        <v>291/24</v>
      </c>
      <c r="J443" s="12" t="str">
        <f t="shared" si="209"/>
        <v>₽</v>
      </c>
      <c r="K443" s="12">
        <f t="shared" si="210"/>
        <v>7800</v>
      </c>
      <c r="L443" s="19">
        <f t="shared" si="211"/>
        <v>45892</v>
      </c>
      <c r="M443" s="13" t="str">
        <f t="shared" si="212"/>
        <v>АРТ-291</v>
      </c>
      <c r="N443" s="13">
        <f t="shared" si="213"/>
        <v>1</v>
      </c>
      <c r="O443" s="13" t="str">
        <f>IFERROR(VLOOKUP(J443,Справочники!$G$6:$H$8,2,0),"RUB")</f>
        <v>RUB</v>
      </c>
      <c r="P443" s="14">
        <f>ROUND(K443*IFERROR(VLOOKUP(J443,Справочники!$G$6:$I$8,3,0),1),2)</f>
        <v>7800</v>
      </c>
      <c r="Q443" s="13" t="str">
        <f>IFERROR(VLOOKUP(H443,Справочники!$D$6:$E$14,2,0),"НЕИЗВЕСТНО")</f>
        <v>Завершен</v>
      </c>
      <c r="R443" s="20">
        <f>IFERROR(INDEX(Товары_очищенные!$Q$3:$Q$503,MATCH(M443,Товары_очищенные!$L$3:$L$503,0)),"нет в каталоге")</f>
        <v>65000</v>
      </c>
      <c r="S443" s="21" t="str">
        <f>IFERROR(INDEX(Товары_очищенные!$N$3:$N$503,MATCH(M443,Товары_очищенные!$L$3:$L$503,0)),"нет в каталоге")</f>
        <v>Часы</v>
      </c>
      <c r="T443" s="21" t="str">
        <f t="shared" si="214"/>
        <v>OK</v>
      </c>
      <c r="U443" s="12" t="str">
        <f t="shared" si="215"/>
        <v>23/08/2025|АРТ-291|C0441</v>
      </c>
      <c r="V443" s="12" t="str">
        <f t="shared" si="216"/>
        <v>оригинал</v>
      </c>
    </row>
    <row r="444" ht="15" customHeight="1">
      <c r="A444" s="10">
        <v>442</v>
      </c>
      <c r="B444" s="11" t="str">
        <f>RAW_Продажи!A443</f>
        <v>08/23/2025</v>
      </c>
      <c r="C444" s="11" t="str">
        <f>RAW_Продажи!B443</f>
        <v>№АРТ-409</v>
      </c>
      <c r="D444" s="11" t="str">
        <f>RAW_Продажи!C443</f>
        <v>-3</v>
      </c>
      <c r="E444" s="11" t="str">
        <f>RAW_Продажи!D443</f>
        <v>$120</v>
      </c>
      <c r="F444" s="11" t="str">
        <f>RAW_Продажи!E443</f>
        <v>C0442</v>
      </c>
      <c r="G444" s="11" t="str">
        <f>RAW_Продажи!F443</f>
        <v>P002</v>
      </c>
      <c r="H444" s="11" t="str">
        <f>RAW_Продажи!G443</f>
        <v>completed</v>
      </c>
      <c r="I444" s="12" t="str">
        <f t="shared" si="208"/>
        <v>409</v>
      </c>
      <c r="J444" s="12" t="str">
        <f t="shared" si="209"/>
        <v>$</v>
      </c>
      <c r="K444" s="12">
        <f t="shared" si="210"/>
        <v>120</v>
      </c>
      <c r="L444" s="19">
        <f t="shared" si="211"/>
        <v>45892</v>
      </c>
      <c r="M444" s="13" t="str">
        <f t="shared" si="212"/>
        <v>АРТ-409</v>
      </c>
      <c r="N444" s="13">
        <f t="shared" si="213"/>
        <v>-3</v>
      </c>
      <c r="O444" s="13" t="str">
        <f>IFERROR(VLOOKUP(J444,Справочники!$G$6:$H$8,2,0),"RUB")</f>
        <v>USD</v>
      </c>
      <c r="P444" s="14">
        <f>ROUND(K444*IFERROR(VLOOKUP(J444,Справочники!$G$6:$I$8,3,0),1),2)</f>
        <v>11400</v>
      </c>
      <c r="Q444" s="13" t="str">
        <f>IFERROR(VLOOKUP(H444,Справочники!$D$6:$E$14,2,0),"НЕИЗВЕСТНО")</f>
        <v>Завершен</v>
      </c>
      <c r="R444" s="20">
        <f>IFERROR(INDEX(Товары_очищенные!$Q$3:$Q$503,MATCH(M444,Товары_очищенные!$L$3:$L$503,0)),"нет в каталоге")</f>
        <v>39990</v>
      </c>
      <c r="S444" s="21" t="str">
        <f>IFERROR(INDEX(Товары_очищенные!$N$3:$N$503,MATCH(M444,Товары_очищенные!$L$3:$L$503,0)),"нет в каталоге")</f>
        <v>Наушники</v>
      </c>
      <c r="T444" s="21" t="str">
        <f t="shared" si="214"/>
        <v>OK</v>
      </c>
      <c r="U444" s="12" t="str">
        <f t="shared" si="215"/>
        <v>23/08/2025|АРТ-409|C0442</v>
      </c>
      <c r="V444" s="12" t="str">
        <f t="shared" si="216"/>
        <v>оригинал</v>
      </c>
    </row>
    <row r="445" ht="15" customHeight="1">
      <c r="A445" s="10">
        <v>443</v>
      </c>
      <c r="B445" s="11" t="str">
        <f>RAW_Продажи!A444</f>
        <v>08/24/2025</v>
      </c>
      <c r="C445" s="11" t="str">
        <f>RAW_Продажи!B444</f>
        <v>АРТ_327</v>
      </c>
      <c r="D445" s="11" t="str">
        <f>RAW_Продажи!C444</f>
        <v>2</v>
      </c>
      <c r="E445" s="11" t="str">
        <f>RAW_Продажи!D444</f>
        <v>€100</v>
      </c>
      <c r="F445" s="11" t="str">
        <f>RAW_Продажи!E444</f>
        <v>C0443</v>
      </c>
      <c r="G445" s="11" t="str">
        <f>RAW_Продажи!F444</f>
        <v>P038</v>
      </c>
      <c r="H445" s="11" t="str">
        <f>RAW_Продажи!G444</f>
        <v>отменен</v>
      </c>
      <c r="I445" s="12" t="str">
        <f t="shared" si="208"/>
        <v>327</v>
      </c>
      <c r="J445" s="12" t="str">
        <f t="shared" si="209"/>
        <v>€</v>
      </c>
      <c r="K445" s="12">
        <f t="shared" si="210"/>
        <v>100</v>
      </c>
      <c r="L445" s="19">
        <f t="shared" si="211"/>
        <v>45893</v>
      </c>
      <c r="M445" s="13" t="str">
        <f t="shared" si="212"/>
        <v>АРТ-327</v>
      </c>
      <c r="N445" s="13">
        <f t="shared" si="213"/>
        <v>2</v>
      </c>
      <c r="O445" s="13" t="str">
        <f>IFERROR(VLOOKUP(J445,Справочники!$G$6:$H$8,2,0),"RUB")</f>
        <v>EUR</v>
      </c>
      <c r="P445" s="14">
        <f>ROUND(K445*IFERROR(VLOOKUP(J445,Справочники!$G$6:$I$8,3,0),1),2)</f>
        <v>10000</v>
      </c>
      <c r="Q445" s="13" t="str">
        <f>IFERROR(VLOOKUP(H445,Справочники!$D$6:$E$14,2,0),"НЕИЗВЕСТНО")</f>
        <v>Отменен</v>
      </c>
      <c r="R445" s="20">
        <f>IFERROR(INDEX(Товары_очищенные!$Q$3:$Q$503,MATCH(M445,Товары_очищенные!$L$3:$L$503,0)),"нет в каталоге")</f>
        <v>69000</v>
      </c>
      <c r="S445" s="21" t="str">
        <f>IFERROR(INDEX(Товары_очищенные!$N$3:$N$503,MATCH(M445,Товары_очищенные!$L$3:$L$503,0)),"нет в каталоге")</f>
        <v>Мониторы</v>
      </c>
      <c r="T445" s="21" t="str">
        <f t="shared" si="214"/>
        <v>OK</v>
      </c>
      <c r="U445" s="12" t="str">
        <f t="shared" si="215"/>
        <v>24/08/2025|АРТ-327|C0443</v>
      </c>
      <c r="V445" s="12" t="str">
        <f t="shared" si="216"/>
        <v>оригинал</v>
      </c>
    </row>
    <row r="446" ht="15" customHeight="1">
      <c r="A446" s="10">
        <v>444</v>
      </c>
      <c r="B446" s="11" t="str">
        <f>RAW_Продажи!A445</f>
        <v>08/24/2025</v>
      </c>
      <c r="C446" s="11" t="str">
        <f>RAW_Продажи!B445</f>
        <v>153-24</v>
      </c>
      <c r="D446" s="11" t="str">
        <f>RAW_Продажи!C445</f>
        <v>1</v>
      </c>
      <c r="E446" s="11" t="str">
        <f>RAW_Продажи!D445</f>
        <v xml:space="preserve">9200 ₽</v>
      </c>
      <c r="F446" s="11" t="str">
        <f>RAW_Продажи!E445</f>
        <v>C0444</v>
      </c>
      <c r="G446" s="11" t="str">
        <f>RAW_Продажи!F445</f>
        <v>P016</v>
      </c>
      <c r="H446" s="11" t="str">
        <f>RAW_Продажи!G445</f>
        <v>canceled</v>
      </c>
      <c r="I446" s="12" t="str">
        <f t="shared" si="208"/>
        <v>153-24</v>
      </c>
      <c r="J446" s="12" t="str">
        <f t="shared" si="209"/>
        <v>₽</v>
      </c>
      <c r="K446" s="12">
        <f t="shared" si="210"/>
        <v>9200</v>
      </c>
      <c r="L446" s="19">
        <f t="shared" si="211"/>
        <v>45893</v>
      </c>
      <c r="M446" s="13" t="str">
        <f t="shared" si="212"/>
        <v>АРТ-153</v>
      </c>
      <c r="N446" s="13">
        <f t="shared" si="213"/>
        <v>1</v>
      </c>
      <c r="O446" s="13" t="str">
        <f>IFERROR(VLOOKUP(J446,Справочники!$G$6:$H$8,2,0),"RUB")</f>
        <v>RUB</v>
      </c>
      <c r="P446" s="14">
        <f>ROUND(K446*IFERROR(VLOOKUP(J446,Справочники!$G$6:$I$8,3,0),1),2)</f>
        <v>9200</v>
      </c>
      <c r="Q446" s="13" t="str">
        <f>IFERROR(VLOOKUP(H446,Справочники!$D$6:$E$14,2,0),"НЕИЗВЕСТНО")</f>
        <v>Отменен</v>
      </c>
      <c r="R446" s="20">
        <f>IFERROR(INDEX(Товары_очищенные!$Q$3:$Q$503,MATCH(M446,Товары_очищенные!$L$3:$L$503,0)),"нет в каталоге")</f>
        <v>158000</v>
      </c>
      <c r="S446" s="21" t="str">
        <f>IFERROR(INDEX(Товары_очищенные!$N$3:$N$503,MATCH(M446,Товары_очищенные!$L$3:$L$503,0)),"нет в каталоге")</f>
        <v>Телевизоры</v>
      </c>
      <c r="T446" s="21" t="str">
        <f t="shared" si="214"/>
        <v>OK</v>
      </c>
      <c r="U446" s="12" t="str">
        <f t="shared" si="215"/>
        <v>24/08/2025|АРТ-153|C0444</v>
      </c>
      <c r="V446" s="12" t="str">
        <f t="shared" si="216"/>
        <v>оригинал</v>
      </c>
    </row>
    <row r="447" ht="15" customHeight="1">
      <c r="A447" s="10">
        <v>445</v>
      </c>
      <c r="B447" s="11" t="str">
        <f>RAW_Продажи!A446</f>
        <v>08/25/2025</v>
      </c>
      <c r="C447" s="11" t="str">
        <f>RAW_Продажи!B446</f>
        <v>№АРТ-132</v>
      </c>
      <c r="D447" s="11" t="str">
        <f>RAW_Продажи!C446</f>
        <v>3</v>
      </c>
      <c r="E447" s="11" t="str">
        <f>RAW_Продажи!D446</f>
        <v>$90</v>
      </c>
      <c r="F447" s="11" t="str">
        <f>RAW_Продажи!E446</f>
        <v>C0445</v>
      </c>
      <c r="G447" s="11" t="str">
        <f>RAW_Продажи!F446</f>
        <v>P029</v>
      </c>
      <c r="H447" s="11" t="str">
        <f>RAW_Продажи!G446</f>
        <v>Завершен</v>
      </c>
      <c r="I447" s="12" t="str">
        <f t="shared" si="208"/>
        <v>132</v>
      </c>
      <c r="J447" s="12" t="str">
        <f t="shared" si="209"/>
        <v>$</v>
      </c>
      <c r="K447" s="12">
        <f t="shared" si="210"/>
        <v>90</v>
      </c>
      <c r="L447" s="19">
        <f t="shared" si="211"/>
        <v>45894</v>
      </c>
      <c r="M447" s="13" t="str">
        <f t="shared" si="212"/>
        <v>АРТ-132</v>
      </c>
      <c r="N447" s="13">
        <f t="shared" si="213"/>
        <v>3</v>
      </c>
      <c r="O447" s="13" t="str">
        <f>IFERROR(VLOOKUP(J447,Справочники!$G$6:$H$8,2,0),"RUB")</f>
        <v>USD</v>
      </c>
      <c r="P447" s="14">
        <f>ROUND(K447*IFERROR(VLOOKUP(J447,Справочники!$G$6:$I$8,3,0),1),2)</f>
        <v>8550</v>
      </c>
      <c r="Q447" s="13" t="str">
        <f>IFERROR(VLOOKUP(H447,Справочники!$D$6:$E$14,2,0),"НЕИЗВЕСТНО")</f>
        <v>Завершен</v>
      </c>
      <c r="R447" s="20">
        <f>IFERROR(INDEX(Товары_очищенные!$Q$3:$Q$503,MATCH(M447,Товары_очищенные!$L$3:$L$503,0)),"нет в каталоге")</f>
        <v>44500</v>
      </c>
      <c r="S447" s="21" t="str">
        <f>IFERROR(INDEX(Товары_очищенные!$N$3:$N$503,MATCH(M447,Товары_очищенные!$L$3:$L$503,0)),"нет в каталоге")</f>
        <v>Планшеты</v>
      </c>
      <c r="T447" s="21" t="str">
        <f t="shared" si="214"/>
        <v>OK</v>
      </c>
      <c r="U447" s="12" t="str">
        <f t="shared" si="215"/>
        <v>25/08/2025|АРТ-132|C0445</v>
      </c>
      <c r="V447" s="12" t="str">
        <f t="shared" si="216"/>
        <v>оригинал</v>
      </c>
    </row>
    <row r="448" ht="15" customHeight="1">
      <c r="A448" s="10">
        <v>446</v>
      </c>
      <c r="B448" s="11" t="str">
        <f>RAW_Продажи!A447</f>
        <v>08/25/2025</v>
      </c>
      <c r="C448" s="11" t="str">
        <f>RAW_Продажи!B447</f>
        <v>АРТ_455</v>
      </c>
      <c r="D448" s="11" t="str">
        <f>RAW_Продажи!C447</f>
        <v>2</v>
      </c>
      <c r="E448" s="11" t="str">
        <f>RAW_Продажи!D447</f>
        <v>€70</v>
      </c>
      <c r="F448" s="11" t="str">
        <f>RAW_Продажи!E447</f>
        <v>C0446</v>
      </c>
      <c r="G448" s="11" t="str">
        <f>RAW_Продажи!F447</f>
        <v>P035</v>
      </c>
      <c r="H448" s="11" t="str">
        <f>RAW_Продажи!G447</f>
        <v>возврат</v>
      </c>
      <c r="I448" s="12" t="str">
        <f t="shared" si="208"/>
        <v>455</v>
      </c>
      <c r="J448" s="12" t="str">
        <f t="shared" si="209"/>
        <v>€</v>
      </c>
      <c r="K448" s="12">
        <f t="shared" si="210"/>
        <v>70</v>
      </c>
      <c r="L448" s="19">
        <f t="shared" si="211"/>
        <v>45894</v>
      </c>
      <c r="M448" s="13" t="str">
        <f t="shared" si="212"/>
        <v>АРТ-455</v>
      </c>
      <c r="N448" s="13">
        <f t="shared" si="213"/>
        <v>2</v>
      </c>
      <c r="O448" s="13" t="str">
        <f>IFERROR(VLOOKUP(J448,Справочники!$G$6:$H$8,2,0),"RUB")</f>
        <v>EUR</v>
      </c>
      <c r="P448" s="14">
        <f>ROUND(K448*IFERROR(VLOOKUP(J448,Справочники!$G$6:$I$8,3,0),1),2)</f>
        <v>7000</v>
      </c>
      <c r="Q448" s="13" t="str">
        <f>IFERROR(VLOOKUP(H448,Справочники!$D$6:$E$14,2,0),"НЕИЗВЕСТНО")</f>
        <v>Возврат</v>
      </c>
      <c r="R448" s="20">
        <f>IFERROR(INDEX(Товары_очищенные!$Q$3:$Q$503,MATCH(M448,Товары_очищенные!$L$3:$L$503,0)),"нет в каталоге")</f>
        <v>72000</v>
      </c>
      <c r="S448" s="21" t="str">
        <f>IFERROR(INDEX(Товары_очищенные!$N$3:$N$503,MATCH(M448,Товары_очищенные!$L$3:$L$503,0)),"нет в каталоге")</f>
        <v>Мониторы</v>
      </c>
      <c r="T448" s="21" t="str">
        <f t="shared" si="214"/>
        <v>OK</v>
      </c>
      <c r="U448" s="12" t="str">
        <f t="shared" si="215"/>
        <v>25/08/2025|АРТ-455|C0446</v>
      </c>
      <c r="V448" s="12" t="str">
        <f t="shared" si="216"/>
        <v>оригинал</v>
      </c>
    </row>
    <row r="449" ht="15" customHeight="1">
      <c r="A449" s="10">
        <v>447</v>
      </c>
      <c r="B449" s="11" t="str">
        <f>RAW_Продажи!A448</f>
        <v>08/26/2025</v>
      </c>
      <c r="C449" s="11" t="str">
        <f>RAW_Продажи!B448</f>
        <v>321/24</v>
      </c>
      <c r="D449" s="11" t="str">
        <f>RAW_Продажи!C448</f>
        <v xml:space="preserve">1 шт.</v>
      </c>
      <c r="E449" s="11" t="str">
        <f>RAW_Продажи!D448</f>
        <v xml:space="preserve">6500 ₽</v>
      </c>
      <c r="F449" s="11" t="str">
        <f>RAW_Продажи!E448</f>
        <v>C0447</v>
      </c>
      <c r="G449" s="11" t="str">
        <f>RAW_Продажи!F448</f>
        <v>P046</v>
      </c>
      <c r="H449" s="11" t="str">
        <f>RAW_Продажи!G448</f>
        <v>завершен</v>
      </c>
      <c r="I449" s="12" t="str">
        <f t="shared" si="208"/>
        <v>321/24</v>
      </c>
      <c r="J449" s="12" t="str">
        <f t="shared" si="209"/>
        <v>₽</v>
      </c>
      <c r="K449" s="12">
        <f t="shared" si="210"/>
        <v>6500</v>
      </c>
      <c r="L449" s="19">
        <f t="shared" si="211"/>
        <v>45895</v>
      </c>
      <c r="M449" s="13" t="str">
        <f t="shared" si="212"/>
        <v>АРТ-321</v>
      </c>
      <c r="N449" s="13">
        <f t="shared" si="213"/>
        <v>1</v>
      </c>
      <c r="O449" s="13" t="str">
        <f>IFERROR(VLOOKUP(J449,Справочники!$G$6:$H$8,2,0),"RUB")</f>
        <v>RUB</v>
      </c>
      <c r="P449" s="14">
        <f>ROUND(K449*IFERROR(VLOOKUP(J449,Справочники!$G$6:$I$8,3,0),1),2)</f>
        <v>6500</v>
      </c>
      <c r="Q449" s="13" t="str">
        <f>IFERROR(VLOOKUP(H449,Справочники!$D$6:$E$14,2,0),"НЕИЗВЕСТНО")</f>
        <v>Завершен</v>
      </c>
      <c r="R449" s="20">
        <f>IFERROR(INDEX(Товары_очищенные!$Q$3:$Q$503,MATCH(M449,Товары_очищенные!$L$3:$L$503,0)),"нет в каталоге")</f>
        <v>188000</v>
      </c>
      <c r="S449" s="21" t="str">
        <f>IFERROR(INDEX(Товары_очищенные!$N$3:$N$503,MATCH(M449,Товары_очищенные!$L$3:$L$503,0)),"нет в каталоге")</f>
        <v>Телевизоры</v>
      </c>
      <c r="T449" s="21" t="str">
        <f t="shared" si="214"/>
        <v>OK</v>
      </c>
      <c r="U449" s="12" t="str">
        <f t="shared" si="215"/>
        <v>26/08/2025|АРТ-321|C0447</v>
      </c>
      <c r="V449" s="12" t="str">
        <f t="shared" si="216"/>
        <v>оригинал</v>
      </c>
    </row>
    <row r="450" ht="15" customHeight="1">
      <c r="A450" s="10">
        <v>448</v>
      </c>
      <c r="B450" s="11" t="str">
        <f>RAW_Продажи!A449</f>
        <v>08/26/2025</v>
      </c>
      <c r="C450" s="11" t="str">
        <f>RAW_Продажи!B449</f>
        <v>№АРТ-408</v>
      </c>
      <c r="D450" s="11" t="str">
        <f>RAW_Продажи!C449</f>
        <v>-1</v>
      </c>
      <c r="E450" s="11" t="str">
        <f>RAW_Продажи!D449</f>
        <v>$110</v>
      </c>
      <c r="F450" s="11" t="str">
        <f>RAW_Продажи!E449</f>
        <v>C0448</v>
      </c>
      <c r="G450" s="11" t="str">
        <f>RAW_Продажи!F449</f>
        <v>P022</v>
      </c>
      <c r="H450" s="11" t="str">
        <f>RAW_Продажи!G449</f>
        <v>completed</v>
      </c>
      <c r="I450" s="12" t="str">
        <f t="shared" si="208"/>
        <v>408</v>
      </c>
      <c r="J450" s="12" t="str">
        <f t="shared" si="209"/>
        <v>$</v>
      </c>
      <c r="K450" s="12">
        <f t="shared" si="210"/>
        <v>110</v>
      </c>
      <c r="L450" s="19">
        <f t="shared" si="211"/>
        <v>45895</v>
      </c>
      <c r="M450" s="13" t="str">
        <f t="shared" si="212"/>
        <v>АРТ-408</v>
      </c>
      <c r="N450" s="13">
        <f t="shared" si="213"/>
        <v>-1</v>
      </c>
      <c r="O450" s="13" t="str">
        <f>IFERROR(VLOOKUP(J450,Справочники!$G$6:$H$8,2,0),"RUB")</f>
        <v>USD</v>
      </c>
      <c r="P450" s="14">
        <f>ROUND(K450*IFERROR(VLOOKUP(J450,Справочники!$G$6:$I$8,3,0),1),2)</f>
        <v>10450</v>
      </c>
      <c r="Q450" s="13" t="str">
        <f>IFERROR(VLOOKUP(H450,Справочники!$D$6:$E$14,2,0),"НЕИЗВЕСТНО")</f>
        <v>Завершен</v>
      </c>
      <c r="R450" s="20">
        <f>IFERROR(INDEX(Товары_очищенные!$Q$3:$Q$503,MATCH(M450,Товары_очищенные!$L$3:$L$503,0)),"нет в каталоге")</f>
        <v>107500</v>
      </c>
      <c r="S450" s="21" t="str">
        <f>IFERROR(INDEX(Товары_очищенные!$N$3:$N$503,MATCH(M450,Товары_очищенные!$L$3:$L$503,0)),"нет в каталоге")</f>
        <v>Телевизоры</v>
      </c>
      <c r="T450" s="21" t="str">
        <f t="shared" si="214"/>
        <v>OK</v>
      </c>
      <c r="U450" s="12" t="str">
        <f t="shared" si="215"/>
        <v>26/08/2025|АРТ-408|C0448</v>
      </c>
      <c r="V450" s="12" t="str">
        <f t="shared" si="216"/>
        <v>оригинал</v>
      </c>
    </row>
    <row r="451" ht="15" customHeight="1">
      <c r="A451" s="10">
        <v>449</v>
      </c>
      <c r="B451" s="11" t="str">
        <f>RAW_Продажи!A450</f>
        <v>08/27/2025</v>
      </c>
      <c r="C451" s="11" t="str">
        <f>RAW_Продажи!B450</f>
        <v>АРТ_293</v>
      </c>
      <c r="D451" s="11" t="str">
        <f>RAW_Продажи!C450</f>
        <v>3</v>
      </c>
      <c r="E451" s="11" t="str">
        <f>RAW_Продажи!D450</f>
        <v>€90</v>
      </c>
      <c r="F451" s="11" t="str">
        <f>RAW_Продажи!E450</f>
        <v>C0449</v>
      </c>
      <c r="G451" s="11" t="str">
        <f>RAW_Продажи!F450</f>
        <v>P043</v>
      </c>
      <c r="H451" s="11" t="str">
        <f>RAW_Продажи!G450</f>
        <v>Завершен</v>
      </c>
      <c r="I451" s="12" t="str">
        <f t="shared" si="208"/>
        <v>293</v>
      </c>
      <c r="J451" s="12" t="str">
        <f t="shared" si="209"/>
        <v>€</v>
      </c>
      <c r="K451" s="12">
        <f t="shared" si="210"/>
        <v>90</v>
      </c>
      <c r="L451" s="19">
        <f t="shared" si="211"/>
        <v>45896</v>
      </c>
      <c r="M451" s="13" t="str">
        <f t="shared" si="212"/>
        <v>АРТ-293</v>
      </c>
      <c r="N451" s="13">
        <f t="shared" si="213"/>
        <v>3</v>
      </c>
      <c r="O451" s="13" t="str">
        <f>IFERROR(VLOOKUP(J451,Справочники!$G$6:$H$8,2,0),"RUB")</f>
        <v>EUR</v>
      </c>
      <c r="P451" s="14">
        <f>ROUND(K451*IFERROR(VLOOKUP(J451,Справочники!$G$6:$I$8,3,0),1),2)</f>
        <v>9000</v>
      </c>
      <c r="Q451" s="13" t="str">
        <f>IFERROR(VLOOKUP(H451,Справочники!$D$6:$E$14,2,0),"НЕИЗВЕСТНО")</f>
        <v>Завершен</v>
      </c>
      <c r="R451" s="20">
        <f>IFERROR(INDEX(Товары_очищенные!$Q$3:$Q$503,MATCH(M451,Товары_очищенные!$L$3:$L$503,0)),"нет в каталоге")</f>
        <v>132000</v>
      </c>
      <c r="S451" s="21" t="str">
        <f>IFERROR(INDEX(Товары_очищенные!$N$3:$N$503,MATCH(M451,Товары_очищенные!$L$3:$L$503,0)),"нет в каталоге")</f>
        <v>Ноутбуки</v>
      </c>
      <c r="T451" s="21" t="str">
        <f t="shared" si="214"/>
        <v>OK</v>
      </c>
      <c r="U451" s="12" t="str">
        <f t="shared" si="215"/>
        <v>27/08/2025|АРТ-293|C0449</v>
      </c>
      <c r="V451" s="12" t="str">
        <f t="shared" si="216"/>
        <v>оригинал</v>
      </c>
    </row>
    <row r="452" ht="15" customHeight="1">
      <c r="A452" s="10">
        <v>450</v>
      </c>
      <c r="B452" s="11" t="str">
        <f>RAW_Продажи!A451</f>
        <v>08/27/2025</v>
      </c>
      <c r="C452" s="11" t="str">
        <f>RAW_Продажи!B451</f>
        <v>265-24</v>
      </c>
      <c r="D452" s="11" t="str">
        <f>RAW_Продажи!C451</f>
        <v>2</v>
      </c>
      <c r="E452" s="11" t="str">
        <f>RAW_Продажи!D451</f>
        <v xml:space="preserve">8000 ₽</v>
      </c>
      <c r="F452" s="11" t="str">
        <f>RAW_Продажи!E451</f>
        <v>C0450</v>
      </c>
      <c r="G452" s="11" t="str">
        <f>RAW_Продажи!F451</f>
        <v>P030</v>
      </c>
      <c r="H452" s="11" t="str">
        <f>RAW_Продажи!G451</f>
        <v>canceled</v>
      </c>
      <c r="I452" s="12" t="str">
        <f t="shared" si="208"/>
        <v>265-24</v>
      </c>
      <c r="J452" s="12" t="str">
        <f t="shared" si="209"/>
        <v>₽</v>
      </c>
      <c r="K452" s="12">
        <f t="shared" si="210"/>
        <v>8000</v>
      </c>
      <c r="L452" s="19">
        <f t="shared" si="211"/>
        <v>45896</v>
      </c>
      <c r="M452" s="13" t="str">
        <f t="shared" si="212"/>
        <v>АРТ-265</v>
      </c>
      <c r="N452" s="13">
        <f t="shared" si="213"/>
        <v>2</v>
      </c>
      <c r="O452" s="13" t="str">
        <f>IFERROR(VLOOKUP(J452,Справочники!$G$6:$H$8,2,0),"RUB")</f>
        <v>RUB</v>
      </c>
      <c r="P452" s="14">
        <f>ROUND(K452*IFERROR(VLOOKUP(J452,Справочники!$G$6:$I$8,3,0),1),2)</f>
        <v>8000</v>
      </c>
      <c r="Q452" s="13" t="str">
        <f>IFERROR(VLOOKUP(H452,Справочники!$D$6:$E$14,2,0),"НЕИЗВЕСТНО")</f>
        <v>Отменен</v>
      </c>
      <c r="R452" s="20">
        <f>IFERROR(INDEX(Товары_очищенные!$Q$3:$Q$503,MATCH(M452,Товары_очищенные!$L$3:$L$503,0)),"нет в каталоге")</f>
        <v>67990</v>
      </c>
      <c r="S452" s="21" t="str">
        <f>IFERROR(INDEX(Товары_очищенные!$N$3:$N$503,MATCH(M452,Товары_очищенные!$L$3:$L$503,0)),"нет в каталоге")</f>
        <v>Мониторы</v>
      </c>
      <c r="T452" s="21" t="str">
        <f t="shared" si="214"/>
        <v>OK</v>
      </c>
      <c r="U452" s="12" t="str">
        <f t="shared" si="215"/>
        <v>27/08/2025|АРТ-265|C0450</v>
      </c>
      <c r="V452" s="12" t="str">
        <f t="shared" si="216"/>
        <v>оригинал</v>
      </c>
    </row>
    <row r="453" ht="15" customHeight="1">
      <c r="A453" s="10">
        <v>451</v>
      </c>
      <c r="B453" s="11" t="str">
        <f>RAW_Продажи!A452</f>
        <v>08/28/2025</v>
      </c>
      <c r="C453" s="11" t="str">
        <f>RAW_Продажи!B452</f>
        <v>№АРТ-064</v>
      </c>
      <c r="D453" s="11" t="str">
        <f>RAW_Продажи!C452</f>
        <v>1</v>
      </c>
      <c r="E453" s="11" t="str">
        <f>RAW_Продажи!D452</f>
        <v>$95</v>
      </c>
      <c r="F453" s="11" t="str">
        <f>RAW_Продажи!E452</f>
        <v>C0451</v>
      </c>
      <c r="G453" s="11" t="str">
        <f>RAW_Продажи!F452</f>
        <v>P012</v>
      </c>
      <c r="H453" s="11" t="str">
        <f>RAW_Продажи!G452</f>
        <v>отменен</v>
      </c>
      <c r="I453" s="12" t="str">
        <f t="shared" si="208"/>
        <v>064</v>
      </c>
      <c r="J453" s="12" t="str">
        <f t="shared" si="209"/>
        <v>$</v>
      </c>
      <c r="K453" s="12">
        <f t="shared" si="210"/>
        <v>95</v>
      </c>
      <c r="L453" s="19">
        <f t="shared" si="211"/>
        <v>45897</v>
      </c>
      <c r="M453" s="13" t="str">
        <f t="shared" si="212"/>
        <v>АРТ-064</v>
      </c>
      <c r="N453" s="13">
        <f t="shared" si="213"/>
        <v>1</v>
      </c>
      <c r="O453" s="13" t="str">
        <f>IFERROR(VLOOKUP(J453,Справочники!$G$6:$H$8,2,0),"RUB")</f>
        <v>USD</v>
      </c>
      <c r="P453" s="14">
        <f>ROUND(K453*IFERROR(VLOOKUP(J453,Справочники!$G$6:$I$8,3,0),1),2)</f>
        <v>9025</v>
      </c>
      <c r="Q453" s="13" t="str">
        <f>IFERROR(VLOOKUP(H453,Справочники!$D$6:$E$14,2,0),"НЕИЗВЕСТНО")</f>
        <v>Отменен</v>
      </c>
      <c r="R453" s="20">
        <f>IFERROR(INDEX(Товары_очищенные!$Q$3:$Q$503,MATCH(M453,Товары_очищенные!$L$3:$L$503,0)),"нет в каталоге")</f>
        <v>56990</v>
      </c>
      <c r="S453" s="21" t="str">
        <f>IFERROR(INDEX(Товары_очищенные!$N$3:$N$503,MATCH(M453,Товары_очищенные!$L$3:$L$503,0)),"нет в каталоге")</f>
        <v>Смартфоны</v>
      </c>
      <c r="T453" s="21" t="str">
        <f t="shared" si="214"/>
        <v>OK</v>
      </c>
      <c r="U453" s="12" t="str">
        <f t="shared" si="215"/>
        <v>28/08/2025|АРТ-064|C0451</v>
      </c>
      <c r="V453" s="12" t="str">
        <f t="shared" si="216"/>
        <v>оригинал</v>
      </c>
    </row>
    <row r="454" ht="15" customHeight="1">
      <c r="A454" s="10">
        <v>452</v>
      </c>
      <c r="B454" s="11" t="str">
        <f>RAW_Продажи!A453</f>
        <v>08/28/2025</v>
      </c>
      <c r="C454" s="11" t="str">
        <f>RAW_Продажи!B453</f>
        <v>АРТ_491</v>
      </c>
      <c r="D454" s="11" t="str">
        <f>RAW_Продажи!C453</f>
        <v>2</v>
      </c>
      <c r="E454" s="11" t="str">
        <f>RAW_Продажи!D453</f>
        <v>€75</v>
      </c>
      <c r="F454" s="11" t="str">
        <f>RAW_Продажи!E453</f>
        <v>C0452</v>
      </c>
      <c r="G454" s="11" t="str">
        <f>RAW_Продажи!F453</f>
        <v>P007</v>
      </c>
      <c r="H454" s="11" t="str">
        <f>RAW_Продажи!G453</f>
        <v>возврат</v>
      </c>
      <c r="I454" s="12" t="str">
        <f t="shared" si="208"/>
        <v>491</v>
      </c>
      <c r="J454" s="12" t="str">
        <f t="shared" si="209"/>
        <v>€</v>
      </c>
      <c r="K454" s="12">
        <f t="shared" si="210"/>
        <v>75</v>
      </c>
      <c r="L454" s="19">
        <f t="shared" si="211"/>
        <v>45897</v>
      </c>
      <c r="M454" s="13" t="str">
        <f t="shared" si="212"/>
        <v>АРТ-491</v>
      </c>
      <c r="N454" s="13">
        <f t="shared" si="213"/>
        <v>2</v>
      </c>
      <c r="O454" s="13" t="str">
        <f>IFERROR(VLOOKUP(J454,Справочники!$G$6:$H$8,2,0),"RUB")</f>
        <v>EUR</v>
      </c>
      <c r="P454" s="14">
        <f>ROUND(K454*IFERROR(VLOOKUP(J454,Справочники!$G$6:$I$8,3,0),1),2)</f>
        <v>7500</v>
      </c>
      <c r="Q454" s="13" t="str">
        <f>IFERROR(VLOOKUP(H454,Справочники!$D$6:$E$14,2,0),"НЕИЗВЕСТНО")</f>
        <v>Возврат</v>
      </c>
      <c r="R454" s="20">
        <f>IFERROR(INDEX(Товары_очищенные!$Q$3:$Q$503,MATCH(M454,Товары_очищенные!$L$3:$L$503,0)),"нет в каталоге")</f>
        <v>59500</v>
      </c>
      <c r="S454" s="21" t="str">
        <f>IFERROR(INDEX(Товары_очищенные!$N$3:$N$503,MATCH(M454,Товары_очищенные!$L$3:$L$503,0)),"нет в каталоге")</f>
        <v>Телевизоры</v>
      </c>
      <c r="T454" s="21" t="str">
        <f t="shared" si="214"/>
        <v>OK</v>
      </c>
      <c r="U454" s="12" t="str">
        <f t="shared" si="215"/>
        <v>28/08/2025|АРТ-491|C0452</v>
      </c>
      <c r="V454" s="12" t="str">
        <f t="shared" si="216"/>
        <v>оригинал</v>
      </c>
    </row>
    <row r="455" ht="15" customHeight="1">
      <c r="A455" s="10">
        <v>453</v>
      </c>
      <c r="B455" s="11" t="str">
        <f>RAW_Продажи!A454</f>
        <v>08/29/2025</v>
      </c>
      <c r="C455" s="11" t="str">
        <f>RAW_Продажи!B454</f>
        <v>361/24</v>
      </c>
      <c r="D455" s="11" t="str">
        <f>RAW_Продажи!C454</f>
        <v xml:space="preserve">3 шт.</v>
      </c>
      <c r="E455" s="11" t="str">
        <f>RAW_Продажи!D454</f>
        <v xml:space="preserve">7000 ₽</v>
      </c>
      <c r="F455" s="11" t="str">
        <f>RAW_Продажи!E454</f>
        <v>C0453</v>
      </c>
      <c r="G455" s="11" t="str">
        <f>RAW_Продажи!F454</f>
        <v>P023</v>
      </c>
      <c r="H455" s="11" t="str">
        <f>RAW_Продажи!G454</f>
        <v>Завершен</v>
      </c>
      <c r="I455" s="12" t="str">
        <f t="shared" si="208"/>
        <v>361/24</v>
      </c>
      <c r="J455" s="12" t="str">
        <f t="shared" si="209"/>
        <v>₽</v>
      </c>
      <c r="K455" s="12">
        <f t="shared" si="210"/>
        <v>7000</v>
      </c>
      <c r="L455" s="19">
        <f t="shared" si="211"/>
        <v>45898</v>
      </c>
      <c r="M455" s="13" t="str">
        <f t="shared" si="212"/>
        <v>АРТ-361</v>
      </c>
      <c r="N455" s="13">
        <f t="shared" si="213"/>
        <v>3</v>
      </c>
      <c r="O455" s="13" t="str">
        <f>IFERROR(VLOOKUP(J455,Справочники!$G$6:$H$8,2,0),"RUB")</f>
        <v>RUB</v>
      </c>
      <c r="P455" s="14">
        <f>ROUND(K455*IFERROR(VLOOKUP(J455,Справочники!$G$6:$I$8,3,0),1),2)</f>
        <v>7000</v>
      </c>
      <c r="Q455" s="13" t="str">
        <f>IFERROR(VLOOKUP(H455,Справочники!$D$6:$E$14,2,0),"НЕИЗВЕСТНО")</f>
        <v>Завершен</v>
      </c>
      <c r="R455" s="20">
        <f>IFERROR(INDEX(Товары_очищенные!$Q$3:$Q$503,MATCH(M455,Товары_очищенные!$L$3:$L$503,0)),"нет в каталоге")</f>
        <v>145990</v>
      </c>
      <c r="S455" s="21" t="str">
        <f>IFERROR(INDEX(Товары_очищенные!$N$3:$N$503,MATCH(M455,Товары_очищенные!$L$3:$L$503,0)),"нет в каталоге")</f>
        <v>Ноутбуки</v>
      </c>
      <c r="T455" s="21" t="str">
        <f t="shared" si="214"/>
        <v>OK</v>
      </c>
      <c r="U455" s="12" t="str">
        <f t="shared" si="215"/>
        <v>29/08/2025|АРТ-361|C0453</v>
      </c>
      <c r="V455" s="12" t="str">
        <f t="shared" si="216"/>
        <v>оригинал</v>
      </c>
    </row>
    <row r="456" ht="15" customHeight="1">
      <c r="A456" s="10">
        <v>454</v>
      </c>
      <c r="B456" s="11" t="str">
        <f>RAW_Продажи!A455</f>
        <v>08/29/2025</v>
      </c>
      <c r="C456" s="11" t="str">
        <f>RAW_Продажи!B455</f>
        <v>№АРТ-206</v>
      </c>
      <c r="D456" s="11" t="str">
        <f>RAW_Продажи!C455</f>
        <v>-2</v>
      </c>
      <c r="E456" s="11" t="str">
        <f>RAW_Продажи!D455</f>
        <v>$115</v>
      </c>
      <c r="F456" s="11" t="str">
        <f>RAW_Продажи!E455</f>
        <v>C0454</v>
      </c>
      <c r="G456" s="11" t="str">
        <f>RAW_Продажи!F455</f>
        <v>P045</v>
      </c>
      <c r="H456" s="11" t="str">
        <f>RAW_Продажи!G455</f>
        <v>завершен</v>
      </c>
      <c r="I456" s="12" t="str">
        <f t="shared" si="208"/>
        <v>206</v>
      </c>
      <c r="J456" s="12" t="str">
        <f t="shared" si="209"/>
        <v>$</v>
      </c>
      <c r="K456" s="12">
        <f t="shared" si="210"/>
        <v>115</v>
      </c>
      <c r="L456" s="19">
        <f t="shared" si="211"/>
        <v>45898</v>
      </c>
      <c r="M456" s="13" t="str">
        <f t="shared" si="212"/>
        <v>АРТ-206</v>
      </c>
      <c r="N456" s="13">
        <f t="shared" si="213"/>
        <v>-2</v>
      </c>
      <c r="O456" s="13" t="str">
        <f>IFERROR(VLOOKUP(J456,Справочники!$G$6:$H$8,2,0),"RUB")</f>
        <v>USD</v>
      </c>
      <c r="P456" s="14">
        <f>ROUND(K456*IFERROR(VLOOKUP(J456,Справочники!$G$6:$I$8,3,0),1),2)</f>
        <v>10925</v>
      </c>
      <c r="Q456" s="13" t="str">
        <f>IFERROR(VLOOKUP(H456,Справочники!$D$6:$E$14,2,0),"НЕИЗВЕСТНО")</f>
        <v>Завершен</v>
      </c>
      <c r="R456" s="20">
        <f>IFERROR(INDEX(Товары_очищенные!$Q$3:$Q$503,MATCH(M456,Товары_очищенные!$L$3:$L$503,0)),"нет в каталоге")</f>
        <v>62500</v>
      </c>
      <c r="S456" s="21" t="str">
        <f>IFERROR(INDEX(Товары_очищенные!$N$3:$N$503,MATCH(M456,Товары_очищенные!$L$3:$L$503,0)),"нет в каталоге")</f>
        <v>Мониторы</v>
      </c>
      <c r="T456" s="21" t="str">
        <f t="shared" si="214"/>
        <v>OK</v>
      </c>
      <c r="U456" s="12" t="str">
        <f t="shared" si="215"/>
        <v>29/08/2025|АРТ-206|C0454</v>
      </c>
      <c r="V456" s="12" t="str">
        <f t="shared" si="216"/>
        <v>оригинал</v>
      </c>
    </row>
    <row r="457" ht="15" customHeight="1">
      <c r="A457" s="10">
        <v>455</v>
      </c>
      <c r="B457" s="11" t="str">
        <f>RAW_Продажи!A456</f>
        <v>08/30/2025</v>
      </c>
      <c r="C457" s="11" t="str">
        <f>RAW_Продажи!B456</f>
        <v>АРТ_245</v>
      </c>
      <c r="D457" s="11" t="str">
        <f>RAW_Продажи!C456</f>
        <v>1</v>
      </c>
      <c r="E457" s="11" t="str">
        <f>RAW_Продажи!D456</f>
        <v>€95</v>
      </c>
      <c r="F457" s="11" t="str">
        <f>RAW_Продажи!E456</f>
        <v>C0455</v>
      </c>
      <c r="G457" s="11" t="str">
        <f>RAW_Продажи!F456</f>
        <v>P008</v>
      </c>
      <c r="H457" s="11" t="str">
        <f>RAW_Продажи!G456</f>
        <v>completed</v>
      </c>
      <c r="I457" s="12" t="str">
        <f t="shared" si="208"/>
        <v>245</v>
      </c>
      <c r="J457" s="12" t="str">
        <f t="shared" si="209"/>
        <v>€</v>
      </c>
      <c r="K457" s="12">
        <f t="shared" si="210"/>
        <v>95</v>
      </c>
      <c r="L457" s="19">
        <f t="shared" si="211"/>
        <v>45899</v>
      </c>
      <c r="M457" s="13" t="str">
        <f t="shared" si="212"/>
        <v>АРТ-245</v>
      </c>
      <c r="N457" s="13">
        <f t="shared" si="213"/>
        <v>1</v>
      </c>
      <c r="O457" s="13" t="str">
        <f>IFERROR(VLOOKUP(J457,Справочники!$G$6:$H$8,2,0),"RUB")</f>
        <v>EUR</v>
      </c>
      <c r="P457" s="14">
        <f>ROUND(K457*IFERROR(VLOOKUP(J457,Справочники!$G$6:$I$8,3,0),1),2)</f>
        <v>9500</v>
      </c>
      <c r="Q457" s="13" t="str">
        <f>IFERROR(VLOOKUP(H457,Справочники!$D$6:$E$14,2,0),"НЕИЗВЕСТНО")</f>
        <v>Завершен</v>
      </c>
      <c r="R457" s="20">
        <f>IFERROR(INDEX(Товары_очищенные!$Q$3:$Q$503,MATCH(M457,Товары_очищенные!$L$3:$L$503,0)),"нет в каталоге")</f>
        <v>75000</v>
      </c>
      <c r="S457" s="21" t="str">
        <f>IFERROR(INDEX(Товары_очищенные!$N$3:$N$503,MATCH(M457,Товары_очищенные!$L$3:$L$503,0)),"нет в каталоге")</f>
        <v>Мониторы</v>
      </c>
      <c r="T457" s="21" t="str">
        <f t="shared" si="214"/>
        <v>OK</v>
      </c>
      <c r="U457" s="12" t="str">
        <f t="shared" si="215"/>
        <v>30/08/2025|АРТ-245|C0455</v>
      </c>
      <c r="V457" s="12" t="str">
        <f t="shared" si="216"/>
        <v>оригинал</v>
      </c>
    </row>
    <row r="458" ht="15" customHeight="1">
      <c r="A458" s="10">
        <v>456</v>
      </c>
      <c r="B458" s="11" t="str">
        <f>RAW_Продажи!A457</f>
        <v>08/30/2025</v>
      </c>
      <c r="C458" s="11" t="str">
        <f>RAW_Продажи!B457</f>
        <v>088-24</v>
      </c>
      <c r="D458" s="11" t="str">
        <f>RAW_Продажи!C457</f>
        <v>2</v>
      </c>
      <c r="E458" s="11" t="str">
        <f>RAW_Продажи!D457</f>
        <v xml:space="preserve">8500 ₽</v>
      </c>
      <c r="F458" s="11" t="str">
        <f>RAW_Продажи!E457</f>
        <v>C0456</v>
      </c>
      <c r="G458" s="11" t="str">
        <f>RAW_Продажи!F457</f>
        <v>P031</v>
      </c>
      <c r="H458" s="11" t="str">
        <f>RAW_Продажи!G457</f>
        <v>отменен</v>
      </c>
      <c r="I458" s="12" t="str">
        <f t="shared" si="208"/>
        <v>088-24</v>
      </c>
      <c r="J458" s="12" t="str">
        <f t="shared" si="209"/>
        <v>₽</v>
      </c>
      <c r="K458" s="12">
        <f t="shared" si="210"/>
        <v>8500</v>
      </c>
      <c r="L458" s="19">
        <f t="shared" si="211"/>
        <v>45899</v>
      </c>
      <c r="M458" s="13" t="str">
        <f t="shared" si="212"/>
        <v>АРТ-088</v>
      </c>
      <c r="N458" s="13">
        <f t="shared" si="213"/>
        <v>2</v>
      </c>
      <c r="O458" s="13" t="str">
        <f>IFERROR(VLOOKUP(J458,Справочники!$G$6:$H$8,2,0),"RUB")</f>
        <v>RUB</v>
      </c>
      <c r="P458" s="14">
        <f>ROUND(K458*IFERROR(VLOOKUP(J458,Справочники!$G$6:$I$8,3,0),1),2)</f>
        <v>8500</v>
      </c>
      <c r="Q458" s="13" t="str">
        <f>IFERROR(VLOOKUP(H458,Справочники!$D$6:$E$14,2,0),"НЕИЗВЕСТНО")</f>
        <v>Отменен</v>
      </c>
      <c r="R458" s="20">
        <f>IFERROR(INDEX(Товары_очищенные!$Q$3:$Q$503,MATCH(M458,Товары_очищенные!$L$3:$L$503,0)),"нет в каталоге")</f>
        <v>54999</v>
      </c>
      <c r="S458" s="21" t="str">
        <f>IFERROR(INDEX(Товары_очищенные!$N$3:$N$503,MATCH(M458,Товары_очищенные!$L$3:$L$503,0)),"нет в каталоге")</f>
        <v>Телевизоры</v>
      </c>
      <c r="T458" s="21" t="str">
        <f t="shared" si="214"/>
        <v>OK</v>
      </c>
      <c r="U458" s="12" t="str">
        <f t="shared" si="215"/>
        <v>30/08/2025|АРТ-088|C0456</v>
      </c>
      <c r="V458" s="12" t="str">
        <f t="shared" si="216"/>
        <v>оригинал</v>
      </c>
    </row>
    <row r="459" ht="15" customHeight="1">
      <c r="A459" s="10">
        <v>457</v>
      </c>
      <c r="B459" s="11" t="str">
        <f>RAW_Продажи!A458</f>
        <v>08/31/2025</v>
      </c>
      <c r="C459" s="11" t="str">
        <f>RAW_Продажи!B458</f>
        <v>№АРТ-171</v>
      </c>
      <c r="D459" s="11" t="str">
        <f>RAW_Продажи!C458</f>
        <v>3</v>
      </c>
      <c r="E459" s="11" t="str">
        <f>RAW_Продажи!D458</f>
        <v>$105</v>
      </c>
      <c r="F459" s="11" t="str">
        <f>RAW_Продажи!E458</f>
        <v>C0457</v>
      </c>
      <c r="G459" s="11" t="str">
        <f>RAW_Продажи!F458</f>
        <v>P019</v>
      </c>
      <c r="H459" s="11" t="str">
        <f>RAW_Продажи!G458</f>
        <v>canceled</v>
      </c>
      <c r="I459" s="12" t="str">
        <f t="shared" si="208"/>
        <v>171</v>
      </c>
      <c r="J459" s="12" t="str">
        <f t="shared" si="209"/>
        <v>$</v>
      </c>
      <c r="K459" s="12">
        <f t="shared" si="210"/>
        <v>105</v>
      </c>
      <c r="L459" s="19">
        <f t="shared" si="211"/>
        <v>45900</v>
      </c>
      <c r="M459" s="13" t="str">
        <f t="shared" si="212"/>
        <v>АРТ-171</v>
      </c>
      <c r="N459" s="13">
        <f t="shared" si="213"/>
        <v>3</v>
      </c>
      <c r="O459" s="13" t="str">
        <f>IFERROR(VLOOKUP(J459,Справочники!$G$6:$H$8,2,0),"RUB")</f>
        <v>USD</v>
      </c>
      <c r="P459" s="14">
        <f>ROUND(K459*IFERROR(VLOOKUP(J459,Справочники!$G$6:$I$8,3,0),1),2)</f>
        <v>9975</v>
      </c>
      <c r="Q459" s="13" t="str">
        <f>IFERROR(VLOOKUP(H459,Справочники!$D$6:$E$14,2,0),"НЕИЗВЕСТНО")</f>
        <v>Отменен</v>
      </c>
      <c r="R459" s="20">
        <f>IFERROR(INDEX(Товары_очищенные!$Q$3:$Q$503,MATCH(M459,Товары_очищенные!$L$3:$L$503,0)),"нет в каталоге")</f>
        <v>59500</v>
      </c>
      <c r="S459" s="21" t="str">
        <f>IFERROR(INDEX(Товары_очищенные!$N$3:$N$503,MATCH(M459,Товары_очищенные!$L$3:$L$503,0)),"нет в каталоге")</f>
        <v>Смартфоны</v>
      </c>
      <c r="T459" s="21" t="str">
        <f t="shared" si="214"/>
        <v>OK</v>
      </c>
      <c r="U459" s="12" t="str">
        <f t="shared" si="215"/>
        <v>31/08/2025|АРТ-171|C0457</v>
      </c>
      <c r="V459" s="12" t="str">
        <f t="shared" si="216"/>
        <v>оригинал</v>
      </c>
    </row>
    <row r="460" ht="15" customHeight="1">
      <c r="A460" s="10">
        <v>458</v>
      </c>
      <c r="B460" s="11" t="str">
        <f>RAW_Продажи!A459</f>
        <v>08/31/2025</v>
      </c>
      <c r="C460" s="11" t="str">
        <f>RAW_Продажи!B459</f>
        <v>АРТ_433</v>
      </c>
      <c r="D460" s="11" t="str">
        <f>RAW_Продажи!C459</f>
        <v>2</v>
      </c>
      <c r="E460" s="11" t="str">
        <f>RAW_Продажи!D459</f>
        <v>€85</v>
      </c>
      <c r="F460" s="11" t="str">
        <f>RAW_Продажи!E459</f>
        <v>C0458</v>
      </c>
      <c r="G460" s="11" t="str">
        <f>RAW_Продажи!F459</f>
        <v>P042</v>
      </c>
      <c r="H460" s="11" t="str">
        <f>RAW_Продажи!G459</f>
        <v>Завершен</v>
      </c>
      <c r="I460" s="12" t="str">
        <f t="shared" si="208"/>
        <v>433</v>
      </c>
      <c r="J460" s="12" t="str">
        <f t="shared" si="209"/>
        <v>€</v>
      </c>
      <c r="K460" s="12">
        <f t="shared" si="210"/>
        <v>85</v>
      </c>
      <c r="L460" s="19">
        <f t="shared" si="211"/>
        <v>45900</v>
      </c>
      <c r="M460" s="13" t="str">
        <f t="shared" si="212"/>
        <v>АРТ-433</v>
      </c>
      <c r="N460" s="13">
        <f t="shared" si="213"/>
        <v>2</v>
      </c>
      <c r="O460" s="13" t="str">
        <f>IFERROR(VLOOKUP(J460,Справочники!$G$6:$H$8,2,0),"RUB")</f>
        <v>EUR</v>
      </c>
      <c r="P460" s="14">
        <f>ROUND(K460*IFERROR(VLOOKUP(J460,Справочники!$G$6:$I$8,3,0),1),2)</f>
        <v>8500</v>
      </c>
      <c r="Q460" s="13" t="str">
        <f>IFERROR(VLOOKUP(H460,Справочники!$D$6:$E$14,2,0),"НЕИЗВЕСТНО")</f>
        <v>Завершен</v>
      </c>
      <c r="R460" s="20">
        <f>IFERROR(INDEX(Товары_очищенные!$Q$3:$Q$503,MATCH(M460,Товары_очищенные!$L$3:$L$503,0)),"нет в каталоге")</f>
        <v>43990</v>
      </c>
      <c r="S460" s="21" t="str">
        <f>IFERROR(INDEX(Товары_очищенные!$N$3:$N$503,MATCH(M460,Товары_очищенные!$L$3:$L$503,0)),"нет в каталоге")</f>
        <v>Мониторы</v>
      </c>
      <c r="T460" s="21" t="str">
        <f t="shared" si="214"/>
        <v>OK</v>
      </c>
      <c r="U460" s="12" t="str">
        <f t="shared" si="215"/>
        <v>31/08/2025|АРТ-433|C0458</v>
      </c>
      <c r="V460" s="12" t="str">
        <f t="shared" si="216"/>
        <v>оригинал</v>
      </c>
    </row>
    <row r="461" ht="15" customHeight="1">
      <c r="A461" s="10">
        <v>459</v>
      </c>
      <c r="B461" s="11" t="str">
        <f>RAW_Продажи!A460</f>
        <v>09/01/2025</v>
      </c>
      <c r="C461" s="11" t="str">
        <f>RAW_Продажи!B460</f>
        <v>315/24</v>
      </c>
      <c r="D461" s="11" t="str">
        <f>RAW_Продажи!C460</f>
        <v xml:space="preserve">1 шт.</v>
      </c>
      <c r="E461" s="11" t="str">
        <f>RAW_Продажи!D460</f>
        <v xml:space="preserve">7800 ₽</v>
      </c>
      <c r="F461" s="11" t="str">
        <f>RAW_Продажи!E460</f>
        <v>C0459</v>
      </c>
      <c r="G461" s="11" t="str">
        <f>RAW_Продажи!F460</f>
        <v>P005</v>
      </c>
      <c r="H461" s="11" t="str">
        <f>RAW_Продажи!G460</f>
        <v>возврат</v>
      </c>
      <c r="I461" s="12" t="str">
        <f t="shared" si="208"/>
        <v>315/24</v>
      </c>
      <c r="J461" s="12" t="str">
        <f t="shared" si="209"/>
        <v>₽</v>
      </c>
      <c r="K461" s="12">
        <f t="shared" si="210"/>
        <v>7800</v>
      </c>
      <c r="L461" s="19">
        <f t="shared" si="211"/>
        <v>45901</v>
      </c>
      <c r="M461" s="13" t="str">
        <f t="shared" si="212"/>
        <v>АРТ-315</v>
      </c>
      <c r="N461" s="13">
        <f t="shared" si="213"/>
        <v>1</v>
      </c>
      <c r="O461" s="13" t="str">
        <f>IFERROR(VLOOKUP(J461,Справочники!$G$6:$H$8,2,0),"RUB")</f>
        <v>RUB</v>
      </c>
      <c r="P461" s="14">
        <f>ROUND(K461*IFERROR(VLOOKUP(J461,Справочники!$G$6:$I$8,3,0),1),2)</f>
        <v>7800</v>
      </c>
      <c r="Q461" s="13" t="str">
        <f>IFERROR(VLOOKUP(H461,Справочники!$D$6:$E$14,2,0),"НЕИЗВЕСТНО")</f>
        <v>Возврат</v>
      </c>
      <c r="R461" s="20">
        <f>IFERROR(INDEX(Товары_очищенные!$Q$3:$Q$503,MATCH(M461,Товары_очищенные!$L$3:$L$503,0)),"нет в каталоге")</f>
        <v>72000</v>
      </c>
      <c r="S461" s="21" t="str">
        <f>IFERROR(INDEX(Товары_очищенные!$N$3:$N$503,MATCH(M461,Товары_очищенные!$L$3:$L$503,0)),"нет в каталоге")</f>
        <v>Смартфоны</v>
      </c>
      <c r="T461" s="21" t="str">
        <f t="shared" si="214"/>
        <v>OK</v>
      </c>
      <c r="U461" s="12" t="str">
        <f t="shared" si="215"/>
        <v>01/09/2025|АРТ-315|C0459</v>
      </c>
      <c r="V461" s="12" t="str">
        <f t="shared" si="216"/>
        <v>оригинал</v>
      </c>
    </row>
    <row r="462" ht="15" customHeight="1">
      <c r="A462" s="10">
        <v>460</v>
      </c>
      <c r="B462" s="11" t="str">
        <f>RAW_Продажи!A461</f>
        <v>09/01/2025</v>
      </c>
      <c r="C462" s="11" t="str">
        <f>RAW_Продажи!B461</f>
        <v>№АРТ-401</v>
      </c>
      <c r="D462" s="11" t="str">
        <f>RAW_Продажи!C461</f>
        <v>-3</v>
      </c>
      <c r="E462" s="11" t="str">
        <f>RAW_Продажи!D461</f>
        <v>$120</v>
      </c>
      <c r="F462" s="11" t="str">
        <f>RAW_Продажи!E461</f>
        <v>C0460</v>
      </c>
      <c r="G462" s="11" t="str">
        <f>RAW_Продажи!F461</f>
        <v>P036</v>
      </c>
      <c r="H462" s="11" t="str">
        <f>RAW_Продажи!G461</f>
        <v>завершен</v>
      </c>
      <c r="I462" s="12" t="str">
        <f t="shared" si="208"/>
        <v>401</v>
      </c>
      <c r="J462" s="12" t="str">
        <f t="shared" si="209"/>
        <v>$</v>
      </c>
      <c r="K462" s="12">
        <f t="shared" si="210"/>
        <v>120</v>
      </c>
      <c r="L462" s="19">
        <f t="shared" si="211"/>
        <v>45901</v>
      </c>
      <c r="M462" s="13" t="str">
        <f t="shared" si="212"/>
        <v>АРТ-401</v>
      </c>
      <c r="N462" s="13">
        <f t="shared" si="213"/>
        <v>-3</v>
      </c>
      <c r="O462" s="13" t="str">
        <f>IFERROR(VLOOKUP(J462,Справочники!$G$6:$H$8,2,0),"RUB")</f>
        <v>USD</v>
      </c>
      <c r="P462" s="14">
        <f>ROUND(K462*IFERROR(VLOOKUP(J462,Справочники!$G$6:$I$8,3,0),1),2)</f>
        <v>11400</v>
      </c>
      <c r="Q462" s="13" t="str">
        <f>IFERROR(VLOOKUP(H462,Справочники!$D$6:$E$14,2,0),"НЕИЗВЕСТНО")</f>
        <v>Завершен</v>
      </c>
      <c r="R462" s="20">
        <f>IFERROR(INDEX(Товары_очищенные!$Q$3:$Q$503,MATCH(M462,Товары_очищенные!$L$3:$L$503,0)),"нет в каталоге")</f>
        <v>19000</v>
      </c>
      <c r="S462" s="21" t="str">
        <f>IFERROR(INDEX(Товары_очищенные!$N$3:$N$503,MATCH(M462,Товары_очищенные!$L$3:$L$503,0)),"нет в каталоге")</f>
        <v>Смартфоны</v>
      </c>
      <c r="T462" s="21" t="str">
        <f t="shared" si="214"/>
        <v>OK</v>
      </c>
      <c r="U462" s="12" t="str">
        <f t="shared" si="215"/>
        <v>01/09/2025|АРТ-401|C0460</v>
      </c>
      <c r="V462" s="12" t="str">
        <f t="shared" si="216"/>
        <v>оригинал</v>
      </c>
    </row>
    <row r="463" ht="15" customHeight="1">
      <c r="A463" s="10">
        <v>461</v>
      </c>
      <c r="B463" s="11" t="str">
        <f>RAW_Продажи!A462</f>
        <v>09/02/2025</v>
      </c>
      <c r="C463" s="11" t="str">
        <f>RAW_Продажи!B462</f>
        <v>АРТ_312</v>
      </c>
      <c r="D463" s="11" t="str">
        <f>RAW_Продажи!C462</f>
        <v>2</v>
      </c>
      <c r="E463" s="11" t="str">
        <f>RAW_Продажи!D462</f>
        <v>€100</v>
      </c>
      <c r="F463" s="11" t="str">
        <f>RAW_Продажи!E462</f>
        <v>C0461</v>
      </c>
      <c r="G463" s="11" t="str">
        <f>RAW_Продажи!F462</f>
        <v>P014</v>
      </c>
      <c r="H463" s="11" t="str">
        <f>RAW_Продажи!G462</f>
        <v>completed</v>
      </c>
      <c r="I463" s="12" t="str">
        <f t="shared" si="208"/>
        <v>312</v>
      </c>
      <c r="J463" s="12" t="str">
        <f t="shared" si="209"/>
        <v>€</v>
      </c>
      <c r="K463" s="12">
        <f t="shared" si="210"/>
        <v>100</v>
      </c>
      <c r="L463" s="19">
        <f t="shared" si="211"/>
        <v>45902</v>
      </c>
      <c r="M463" s="13" t="str">
        <f t="shared" si="212"/>
        <v>АРТ-312</v>
      </c>
      <c r="N463" s="13">
        <f t="shared" si="213"/>
        <v>2</v>
      </c>
      <c r="O463" s="13" t="str">
        <f>IFERROR(VLOOKUP(J463,Справочники!$G$6:$H$8,2,0),"RUB")</f>
        <v>EUR</v>
      </c>
      <c r="P463" s="14">
        <f>ROUND(K463*IFERROR(VLOOKUP(J463,Справочники!$G$6:$I$8,3,0),1),2)</f>
        <v>10000</v>
      </c>
      <c r="Q463" s="13" t="str">
        <f>IFERROR(VLOOKUP(H463,Справочники!$D$6:$E$14,2,0),"НЕИЗВЕСТНО")</f>
        <v>Завершен</v>
      </c>
      <c r="R463" s="20">
        <f>IFERROR(INDEX(Товары_очищенные!$Q$3:$Q$503,MATCH(M463,Товары_очищенные!$L$3:$L$503,0)),"нет в каталоге")</f>
        <v>67000</v>
      </c>
      <c r="S463" s="21" t="str">
        <f>IFERROR(INDEX(Товары_очищенные!$N$3:$N$503,MATCH(M463,Товары_очищенные!$L$3:$L$503,0)),"нет в каталоге")</f>
        <v>Планшеты</v>
      </c>
      <c r="T463" s="21" t="str">
        <f t="shared" si="214"/>
        <v>OK</v>
      </c>
      <c r="U463" s="12" t="str">
        <f t="shared" si="215"/>
        <v>02/09/2025|АРТ-312|C0461</v>
      </c>
      <c r="V463" s="12" t="str">
        <f t="shared" si="216"/>
        <v>оригинал</v>
      </c>
    </row>
    <row r="464" ht="15" customHeight="1">
      <c r="A464" s="10">
        <v>462</v>
      </c>
      <c r="B464" s="11" t="str">
        <f>RAW_Продажи!A463</f>
        <v>09/02/2025</v>
      </c>
      <c r="C464" s="11" t="str">
        <f>RAW_Продажи!B463</f>
        <v>189-24</v>
      </c>
      <c r="D464" s="11" t="str">
        <f>RAW_Продажи!C463</f>
        <v>1</v>
      </c>
      <c r="E464" s="11" t="str">
        <f>RAW_Продажи!D463</f>
        <v xml:space="preserve">9200 ₽</v>
      </c>
      <c r="F464" s="11" t="str">
        <f>RAW_Продажи!E463</f>
        <v>C0462</v>
      </c>
      <c r="G464" s="11" t="str">
        <f>RAW_Продажи!F463</f>
        <v>P028</v>
      </c>
      <c r="H464" s="11" t="str">
        <f>RAW_Продажи!G463</f>
        <v>Завершен</v>
      </c>
      <c r="I464" s="12" t="str">
        <f t="shared" si="208"/>
        <v>189-24</v>
      </c>
      <c r="J464" s="12" t="str">
        <f t="shared" si="209"/>
        <v>₽</v>
      </c>
      <c r="K464" s="12">
        <f t="shared" si="210"/>
        <v>9200</v>
      </c>
      <c r="L464" s="19">
        <f t="shared" si="211"/>
        <v>45902</v>
      </c>
      <c r="M464" s="13" t="str">
        <f t="shared" si="212"/>
        <v>АРТ-189</v>
      </c>
      <c r="N464" s="13">
        <f t="shared" si="213"/>
        <v>1</v>
      </c>
      <c r="O464" s="13" t="str">
        <f>IFERROR(VLOOKUP(J464,Справочники!$G$6:$H$8,2,0),"RUB")</f>
        <v>RUB</v>
      </c>
      <c r="P464" s="14">
        <f>ROUND(K464*IFERROR(VLOOKUP(J464,Справочники!$G$6:$I$8,3,0),1),2)</f>
        <v>9200</v>
      </c>
      <c r="Q464" s="13" t="str">
        <f>IFERROR(VLOOKUP(H464,Справочники!$D$6:$E$14,2,0),"НЕИЗВЕСТНО")</f>
        <v>Завершен</v>
      </c>
      <c r="R464" s="20">
        <f>IFERROR(INDEX(Товары_очищенные!$Q$3:$Q$503,MATCH(M464,Товары_очищенные!$L$3:$L$503,0)),"нет в каталоге")</f>
        <v>51500</v>
      </c>
      <c r="S464" s="21" t="str">
        <f>IFERROR(INDEX(Товары_очищенные!$N$3:$N$503,MATCH(M464,Товары_очищенные!$L$3:$L$503,0)),"нет в каталоге")</f>
        <v>Часы</v>
      </c>
      <c r="T464" s="21" t="str">
        <f t="shared" si="214"/>
        <v>OK</v>
      </c>
      <c r="U464" s="12" t="str">
        <f t="shared" si="215"/>
        <v>02/09/2025|АРТ-189|C0462</v>
      </c>
      <c r="V464" s="12" t="str">
        <f t="shared" si="216"/>
        <v>оригинал</v>
      </c>
    </row>
    <row r="465" ht="15" customHeight="1">
      <c r="A465" s="10">
        <v>463</v>
      </c>
      <c r="B465" s="11" t="str">
        <f>RAW_Продажи!A464</f>
        <v>09/03/2025</v>
      </c>
      <c r="C465" s="11" t="str">
        <f>RAW_Продажи!B464</f>
        <v>№АРТ-104</v>
      </c>
      <c r="D465" s="11" t="str">
        <f>RAW_Продажи!C464</f>
        <v>3</v>
      </c>
      <c r="E465" s="11" t="str">
        <f>RAW_Продажи!D464</f>
        <v>$90</v>
      </c>
      <c r="F465" s="11" t="str">
        <f>RAW_Продажи!E464</f>
        <v>C0463</v>
      </c>
      <c r="G465" s="11" t="str">
        <f>RAW_Продажи!F464</f>
        <v>P009</v>
      </c>
      <c r="H465" s="11" t="str">
        <f>RAW_Продажи!G464</f>
        <v>canceled</v>
      </c>
      <c r="I465" s="12" t="str">
        <f t="shared" si="208"/>
        <v>104</v>
      </c>
      <c r="J465" s="12" t="str">
        <f t="shared" si="209"/>
        <v>$</v>
      </c>
      <c r="K465" s="12">
        <f t="shared" si="210"/>
        <v>90</v>
      </c>
      <c r="L465" s="19">
        <f t="shared" si="211"/>
        <v>45903</v>
      </c>
      <c r="M465" s="13" t="str">
        <f t="shared" si="212"/>
        <v>АРТ-104</v>
      </c>
      <c r="N465" s="13">
        <f t="shared" si="213"/>
        <v>3</v>
      </c>
      <c r="O465" s="13" t="str">
        <f>IFERROR(VLOOKUP(J465,Справочники!$G$6:$H$8,2,0),"RUB")</f>
        <v>USD</v>
      </c>
      <c r="P465" s="14">
        <f>ROUND(K465*IFERROR(VLOOKUP(J465,Справочники!$G$6:$I$8,3,0),1),2)</f>
        <v>8550</v>
      </c>
      <c r="Q465" s="13" t="str">
        <f>IFERROR(VLOOKUP(H465,Справочники!$D$6:$E$14,2,0),"НЕИЗВЕСТНО")</f>
        <v>Отменен</v>
      </c>
      <c r="R465" s="20">
        <f>IFERROR(INDEX(Товары_очищенные!$Q$3:$Q$503,MATCH(M465,Товары_очищенные!$L$3:$L$503,0)),"нет в каталоге")</f>
        <v>147000</v>
      </c>
      <c r="S465" s="21" t="str">
        <f>IFERROR(INDEX(Товары_очищенные!$N$3:$N$503,MATCH(M465,Товары_очищенные!$L$3:$L$503,0)),"нет в каталоге")</f>
        <v>Ноутбуки</v>
      </c>
      <c r="T465" s="21" t="str">
        <f t="shared" si="214"/>
        <v>OK</v>
      </c>
      <c r="U465" s="12" t="str">
        <f t="shared" si="215"/>
        <v>03/09/2025|АРТ-104|C0463</v>
      </c>
      <c r="V465" s="12" t="str">
        <f t="shared" si="216"/>
        <v>оригинал</v>
      </c>
    </row>
    <row r="466" ht="15" customHeight="1">
      <c r="A466" s="10">
        <v>464</v>
      </c>
      <c r="B466" s="11" t="str">
        <f>RAW_Продажи!A465</f>
        <v>09/03/2025</v>
      </c>
      <c r="C466" s="11" t="str">
        <f>RAW_Продажи!B465</f>
        <v>АРТ_460</v>
      </c>
      <c r="D466" s="11" t="str">
        <f>RAW_Продажи!C465</f>
        <v>2</v>
      </c>
      <c r="E466" s="11" t="str">
        <f>RAW_Продажи!D465</f>
        <v>€70</v>
      </c>
      <c r="F466" s="11" t="str">
        <f>RAW_Продажи!E465</f>
        <v>C0464</v>
      </c>
      <c r="G466" s="11" t="str">
        <f>RAW_Продажи!F465</f>
        <v>P041</v>
      </c>
      <c r="H466" s="11" t="str">
        <f>RAW_Продажи!G465</f>
        <v>отменен</v>
      </c>
      <c r="I466" s="12" t="str">
        <f t="shared" si="208"/>
        <v>460</v>
      </c>
      <c r="J466" s="12" t="str">
        <f t="shared" si="209"/>
        <v>€</v>
      </c>
      <c r="K466" s="12">
        <f t="shared" si="210"/>
        <v>70</v>
      </c>
      <c r="L466" s="19">
        <f t="shared" si="211"/>
        <v>45903</v>
      </c>
      <c r="M466" s="13" t="str">
        <f t="shared" si="212"/>
        <v>АРТ-460</v>
      </c>
      <c r="N466" s="13">
        <f t="shared" si="213"/>
        <v>2</v>
      </c>
      <c r="O466" s="13" t="str">
        <f>IFERROR(VLOOKUP(J466,Справочники!$G$6:$H$8,2,0),"RUB")</f>
        <v>EUR</v>
      </c>
      <c r="P466" s="14">
        <f>ROUND(K466*IFERROR(VLOOKUP(J466,Справочники!$G$6:$I$8,3,0),1),2)</f>
        <v>7000</v>
      </c>
      <c r="Q466" s="13" t="str">
        <f>IFERROR(VLOOKUP(H466,Справочники!$D$6:$E$14,2,0),"НЕИЗВЕСТНО")</f>
        <v>Отменен</v>
      </c>
      <c r="R466" s="20">
        <f>IFERROR(INDEX(Товары_очищенные!$Q$3:$Q$503,MATCH(M466,Товары_очищенные!$L$3:$L$503,0)),"нет в каталоге")</f>
        <v>47990</v>
      </c>
      <c r="S466" s="21" t="str">
        <f>IFERROR(INDEX(Товары_очищенные!$N$3:$N$503,MATCH(M466,Товары_очищенные!$L$3:$L$503,0)),"нет в каталоге")</f>
        <v>Часы</v>
      </c>
      <c r="T466" s="21" t="str">
        <f t="shared" si="214"/>
        <v>OK</v>
      </c>
      <c r="U466" s="12" t="str">
        <f t="shared" si="215"/>
        <v>03/09/2025|АРТ-460|C0464</v>
      </c>
      <c r="V466" s="12" t="str">
        <f t="shared" si="216"/>
        <v>оригинал</v>
      </c>
    </row>
    <row r="467" ht="15" customHeight="1">
      <c r="A467" s="10">
        <v>465</v>
      </c>
      <c r="B467" s="11" t="str">
        <f>RAW_Продажи!A466</f>
        <v>09/04/2025</v>
      </c>
      <c r="C467" s="11" t="str">
        <f>RAW_Продажи!B466</f>
        <v>366/24</v>
      </c>
      <c r="D467" s="11" t="str">
        <f>RAW_Продажи!C466</f>
        <v xml:space="preserve">1 шт.</v>
      </c>
      <c r="E467" s="11" t="str">
        <f>RAW_Продажи!D466</f>
        <v xml:space="preserve">6500 ₽</v>
      </c>
      <c r="F467" s="11" t="str">
        <f>RAW_Продажи!E466</f>
        <v>C0465</v>
      </c>
      <c r="G467" s="11" t="str">
        <f>RAW_Продажи!F466</f>
        <v>P017</v>
      </c>
      <c r="H467" s="11" t="str">
        <f>RAW_Продажи!G466</f>
        <v>возврат</v>
      </c>
      <c r="I467" s="12" t="str">
        <f t="shared" si="208"/>
        <v>366/24</v>
      </c>
      <c r="J467" s="12" t="str">
        <f t="shared" si="209"/>
        <v>₽</v>
      </c>
      <c r="K467" s="12">
        <f t="shared" si="210"/>
        <v>6500</v>
      </c>
      <c r="L467" s="19">
        <f t="shared" si="211"/>
        <v>45904</v>
      </c>
      <c r="M467" s="13" t="str">
        <f t="shared" si="212"/>
        <v>АРТ-366</v>
      </c>
      <c r="N467" s="13">
        <f t="shared" si="213"/>
        <v>1</v>
      </c>
      <c r="O467" s="13" t="str">
        <f>IFERROR(VLOOKUP(J467,Справочники!$G$6:$H$8,2,0),"RUB")</f>
        <v>RUB</v>
      </c>
      <c r="P467" s="14">
        <f>ROUND(K467*IFERROR(VLOOKUP(J467,Справочники!$G$6:$I$8,3,0),1),2)</f>
        <v>6500</v>
      </c>
      <c r="Q467" s="13" t="str">
        <f>IFERROR(VLOOKUP(H467,Справочники!$D$6:$E$14,2,0),"НЕИЗВЕСТНО")</f>
        <v>Возврат</v>
      </c>
      <c r="R467" s="20">
        <f>IFERROR(INDEX(Товары_очищенные!$Q$3:$Q$503,MATCH(M467,Товары_очищенные!$L$3:$L$503,0)),"нет в каталоге")</f>
        <v>142500</v>
      </c>
      <c r="S467" s="21" t="str">
        <f>IFERROR(INDEX(Товары_очищенные!$N$3:$N$503,MATCH(M467,Товары_очищенные!$L$3:$L$503,0)),"нет в каталоге")</f>
        <v>Телевизоры</v>
      </c>
      <c r="T467" s="21" t="str">
        <f t="shared" si="214"/>
        <v>OK</v>
      </c>
      <c r="U467" s="12" t="str">
        <f t="shared" si="215"/>
        <v>04/09/2025|АРТ-366|C0465</v>
      </c>
      <c r="V467" s="12" t="str">
        <f t="shared" si="216"/>
        <v>оригинал</v>
      </c>
    </row>
    <row r="468" ht="15" customHeight="1">
      <c r="A468" s="10">
        <v>466</v>
      </c>
      <c r="B468" s="11" t="str">
        <f>RAW_Продажи!A467</f>
        <v>09/04/2025</v>
      </c>
      <c r="C468" s="11" t="str">
        <f>RAW_Продажи!B467</f>
        <v>№АРТ-384</v>
      </c>
      <c r="D468" s="11" t="str">
        <f>RAW_Продажи!C467</f>
        <v>-1</v>
      </c>
      <c r="E468" s="11" t="str">
        <f>RAW_Продажи!D467</f>
        <v>$110</v>
      </c>
      <c r="F468" s="11" t="str">
        <f>RAW_Продажи!E467</f>
        <v>C0466</v>
      </c>
      <c r="G468" s="11" t="str">
        <f>RAW_Продажи!F467</f>
        <v>P032</v>
      </c>
      <c r="H468" s="11" t="str">
        <f>RAW_Продажи!G467</f>
        <v>Завершен</v>
      </c>
      <c r="I468" s="12" t="str">
        <f t="shared" si="208"/>
        <v>384</v>
      </c>
      <c r="J468" s="12" t="str">
        <f t="shared" si="209"/>
        <v>$</v>
      </c>
      <c r="K468" s="12">
        <f t="shared" si="210"/>
        <v>110</v>
      </c>
      <c r="L468" s="19">
        <f t="shared" si="211"/>
        <v>45904</v>
      </c>
      <c r="M468" s="13" t="str">
        <f t="shared" si="212"/>
        <v>АРТ-384</v>
      </c>
      <c r="N468" s="13">
        <f t="shared" si="213"/>
        <v>-1</v>
      </c>
      <c r="O468" s="13" t="str">
        <f>IFERROR(VLOOKUP(J468,Справочники!$G$6:$H$8,2,0),"RUB")</f>
        <v>USD</v>
      </c>
      <c r="P468" s="14">
        <f>ROUND(K468*IFERROR(VLOOKUP(J468,Справочники!$G$6:$I$8,3,0),1),2)</f>
        <v>10450</v>
      </c>
      <c r="Q468" s="13" t="str">
        <f>IFERROR(VLOOKUP(H468,Справочники!$D$6:$E$14,2,0),"НЕИЗВЕСТНО")</f>
        <v>Завершен</v>
      </c>
      <c r="R468" s="20">
        <f>IFERROR(INDEX(Товары_очищенные!$Q$3:$Q$503,MATCH(M468,Товары_очищенные!$L$3:$L$503,0)),"нет в каталоге")</f>
        <v>44500</v>
      </c>
      <c r="S468" s="21" t="str">
        <f>IFERROR(INDEX(Товары_очищенные!$N$3:$N$503,MATCH(M468,Товары_очищенные!$L$3:$L$503,0)),"нет в каталоге")</f>
        <v>Смартфоны</v>
      </c>
      <c r="T468" s="21" t="str">
        <f t="shared" si="214"/>
        <v>OK</v>
      </c>
      <c r="U468" s="12" t="str">
        <f t="shared" si="215"/>
        <v>04/09/2025|АРТ-384|C0466</v>
      </c>
      <c r="V468" s="12" t="str">
        <f t="shared" si="216"/>
        <v>оригинал</v>
      </c>
    </row>
    <row r="469" ht="15" customHeight="1">
      <c r="A469" s="10">
        <v>467</v>
      </c>
      <c r="B469" s="11" t="str">
        <f>RAW_Продажи!A468</f>
        <v>09/05/2025</v>
      </c>
      <c r="C469" s="11" t="str">
        <f>RAW_Продажи!B468</f>
        <v>АРТ_314</v>
      </c>
      <c r="D469" s="11" t="str">
        <f>RAW_Продажи!C468</f>
        <v>3</v>
      </c>
      <c r="E469" s="11" t="str">
        <f>RAW_Продажи!D468</f>
        <v>€90</v>
      </c>
      <c r="F469" s="11" t="str">
        <f>RAW_Продажи!E468</f>
        <v>C0467</v>
      </c>
      <c r="G469" s="11" t="str">
        <f>RAW_Продажи!F468</f>
        <v>P049</v>
      </c>
      <c r="H469" s="11" t="str">
        <f>RAW_Продажи!G468</f>
        <v>завершен</v>
      </c>
      <c r="I469" s="12" t="str">
        <f t="shared" si="208"/>
        <v>314</v>
      </c>
      <c r="J469" s="12" t="str">
        <f t="shared" si="209"/>
        <v>€</v>
      </c>
      <c r="K469" s="12">
        <f t="shared" si="210"/>
        <v>90</v>
      </c>
      <c r="L469" s="19">
        <f t="shared" si="211"/>
        <v>45905</v>
      </c>
      <c r="M469" s="13" t="str">
        <f t="shared" si="212"/>
        <v>АРТ-314</v>
      </c>
      <c r="N469" s="13">
        <f t="shared" si="213"/>
        <v>3</v>
      </c>
      <c r="O469" s="13" t="str">
        <f>IFERROR(VLOOKUP(J469,Справочники!$G$6:$H$8,2,0),"RUB")</f>
        <v>EUR</v>
      </c>
      <c r="P469" s="14">
        <f>ROUND(K469*IFERROR(VLOOKUP(J469,Справочники!$G$6:$I$8,3,0),1),2)</f>
        <v>9000</v>
      </c>
      <c r="Q469" s="13" t="str">
        <f>IFERROR(VLOOKUP(H469,Справочники!$D$6:$E$14,2,0),"НЕИЗВЕСТНО")</f>
        <v>Завершен</v>
      </c>
      <c r="R469" s="20">
        <f>IFERROR(INDEX(Товары_очищенные!$Q$3:$Q$503,MATCH(M469,Товары_очищенные!$L$3:$L$503,0)),"нет в каталоге")</f>
        <v>67500</v>
      </c>
      <c r="S469" s="21" t="str">
        <f>IFERROR(INDEX(Товары_очищенные!$N$3:$N$503,MATCH(M469,Товары_очищенные!$L$3:$L$503,0)),"нет в каталоге")</f>
        <v>Смартфоны</v>
      </c>
      <c r="T469" s="21" t="str">
        <f t="shared" si="214"/>
        <v>OK</v>
      </c>
      <c r="U469" s="12" t="str">
        <f t="shared" si="215"/>
        <v>05/09/2025|АРТ-314|C0467</v>
      </c>
      <c r="V469" s="12" t="str">
        <f t="shared" si="216"/>
        <v>оригинал</v>
      </c>
    </row>
    <row r="470" ht="15" customHeight="1">
      <c r="A470" s="10">
        <v>468</v>
      </c>
      <c r="B470" s="11" t="str">
        <f>RAW_Продажи!A469</f>
        <v>09/05/2025</v>
      </c>
      <c r="C470" s="11" t="str">
        <f>RAW_Продажи!B469</f>
        <v>299-24</v>
      </c>
      <c r="D470" s="11" t="str">
        <f>RAW_Продажи!C469</f>
        <v>2</v>
      </c>
      <c r="E470" s="11" t="str">
        <f>RAW_Продажи!D469</f>
        <v xml:space="preserve">8000 ₽</v>
      </c>
      <c r="F470" s="11" t="str">
        <f>RAW_Продажи!E469</f>
        <v>C0468</v>
      </c>
      <c r="G470" s="11" t="str">
        <f>RAW_Продажи!F469</f>
        <v>P006</v>
      </c>
      <c r="H470" s="11" t="str">
        <f>RAW_Продажи!G469</f>
        <v>completed</v>
      </c>
      <c r="I470" s="12" t="str">
        <f t="shared" si="208"/>
        <v>299-24</v>
      </c>
      <c r="J470" s="12" t="str">
        <f t="shared" si="209"/>
        <v>₽</v>
      </c>
      <c r="K470" s="12">
        <f t="shared" si="210"/>
        <v>8000</v>
      </c>
      <c r="L470" s="19">
        <f t="shared" si="211"/>
        <v>45905</v>
      </c>
      <c r="M470" s="13" t="str">
        <f t="shared" si="212"/>
        <v>АРТ-299</v>
      </c>
      <c r="N470" s="13">
        <f t="shared" si="213"/>
        <v>2</v>
      </c>
      <c r="O470" s="13" t="str">
        <f>IFERROR(VLOOKUP(J470,Справочники!$G$6:$H$8,2,0),"RUB")</f>
        <v>RUB</v>
      </c>
      <c r="P470" s="14">
        <f>ROUND(K470*IFERROR(VLOOKUP(J470,Справочники!$G$6:$I$8,3,0),1),2)</f>
        <v>8000</v>
      </c>
      <c r="Q470" s="13" t="str">
        <f>IFERROR(VLOOKUP(H470,Справочники!$D$6:$E$14,2,0),"НЕИЗВЕСТНО")</f>
        <v>Завершен</v>
      </c>
      <c r="R470" s="20">
        <f>IFERROR(INDEX(Товары_очищенные!$Q$3:$Q$503,MATCH(M470,Товары_очищенные!$L$3:$L$503,0)),"нет в каталоге")</f>
        <v>63500</v>
      </c>
      <c r="S470" s="21" t="str">
        <f>IFERROR(INDEX(Товары_очищенные!$N$3:$N$503,MATCH(M470,Товары_очищенные!$L$3:$L$503,0)),"нет в каталоге")</f>
        <v>Телевизоры</v>
      </c>
      <c r="T470" s="21" t="str">
        <f t="shared" si="214"/>
        <v>OK</v>
      </c>
      <c r="U470" s="12" t="str">
        <f t="shared" si="215"/>
        <v>05/09/2025|АРТ-299|C0468</v>
      </c>
      <c r="V470" s="12" t="str">
        <f t="shared" si="216"/>
        <v>оригинал</v>
      </c>
    </row>
    <row r="471" ht="15" customHeight="1">
      <c r="A471" s="10">
        <v>469</v>
      </c>
      <c r="B471" s="11" t="str">
        <f>RAW_Продажи!A470</f>
        <v>09/06/2025</v>
      </c>
      <c r="C471" s="11" t="str">
        <f>RAW_Продажи!B470</f>
        <v>№АРТ-001</v>
      </c>
      <c r="D471" s="11" t="str">
        <f>RAW_Продажи!C470</f>
        <v>1</v>
      </c>
      <c r="E471" s="11" t="str">
        <f>RAW_Продажи!D470</f>
        <v>$95</v>
      </c>
      <c r="F471" s="11" t="str">
        <f>RAW_Продажи!E470</f>
        <v>C0469</v>
      </c>
      <c r="G471" s="11" t="str">
        <f>RAW_Продажи!F470</f>
        <v>P024</v>
      </c>
      <c r="H471" s="11" t="str">
        <f>RAW_Продажи!G470</f>
        <v>отменен</v>
      </c>
      <c r="I471" s="12" t="str">
        <f t="shared" si="208"/>
        <v>001</v>
      </c>
      <c r="J471" s="12" t="str">
        <f t="shared" si="209"/>
        <v>$</v>
      </c>
      <c r="K471" s="12">
        <f t="shared" si="210"/>
        <v>95</v>
      </c>
      <c r="L471" s="19">
        <f t="shared" si="211"/>
        <v>45906</v>
      </c>
      <c r="M471" s="13" t="str">
        <f t="shared" si="212"/>
        <v>АРТ-001</v>
      </c>
      <c r="N471" s="13">
        <f t="shared" si="213"/>
        <v>1</v>
      </c>
      <c r="O471" s="13" t="str">
        <f>IFERROR(VLOOKUP(J471,Справочники!$G$6:$H$8,2,0),"RUB")</f>
        <v>USD</v>
      </c>
      <c r="P471" s="14">
        <f>ROUND(K471*IFERROR(VLOOKUP(J471,Справочники!$G$6:$I$8,3,0),1),2)</f>
        <v>9025</v>
      </c>
      <c r="Q471" s="13" t="str">
        <f>IFERROR(VLOOKUP(H471,Справочники!$D$6:$E$14,2,0),"НЕИЗВЕСТНО")</f>
        <v>Отменен</v>
      </c>
      <c r="R471" s="20">
        <f>IFERROR(INDEX(Товары_очищенные!$Q$3:$Q$503,MATCH(M471,Товары_очищенные!$L$3:$L$503,0)),"нет в каталоге")</f>
        <v>79990</v>
      </c>
      <c r="S471" s="21" t="str">
        <f>IFERROR(INDEX(Товары_очищенные!$N$3:$N$503,MATCH(M471,Товары_очищенные!$L$3:$L$503,0)),"нет в каталоге")</f>
        <v>Смартфоны</v>
      </c>
      <c r="T471" s="21" t="str">
        <f t="shared" si="214"/>
        <v>OK</v>
      </c>
      <c r="U471" s="12" t="str">
        <f t="shared" si="215"/>
        <v>06/09/2025|АРТ-001|C0469</v>
      </c>
      <c r="V471" s="12" t="str">
        <f t="shared" si="216"/>
        <v>оригинал</v>
      </c>
    </row>
    <row r="472" ht="15" customHeight="1">
      <c r="A472" s="10">
        <v>470</v>
      </c>
      <c r="B472" s="11" t="str">
        <f>RAW_Продажи!A471</f>
        <v>09/06/2025</v>
      </c>
      <c r="C472" s="11" t="str">
        <f>RAW_Продажи!B471</f>
        <v>АРТ_496</v>
      </c>
      <c r="D472" s="11" t="str">
        <f>RAW_Продажи!C471</f>
        <v>2</v>
      </c>
      <c r="E472" s="11" t="str">
        <f>RAW_Продажи!D471</f>
        <v>€75</v>
      </c>
      <c r="F472" s="11" t="str">
        <f>RAW_Продажи!E471</f>
        <v>C0470</v>
      </c>
      <c r="G472" s="11" t="str">
        <f>RAW_Продажи!F471</f>
        <v>P015</v>
      </c>
      <c r="H472" s="11" t="str">
        <f>RAW_Продажи!G471</f>
        <v>canceled</v>
      </c>
      <c r="I472" s="12" t="str">
        <f t="shared" si="208"/>
        <v>496</v>
      </c>
      <c r="J472" s="12" t="str">
        <f t="shared" si="209"/>
        <v>€</v>
      </c>
      <c r="K472" s="12">
        <f t="shared" si="210"/>
        <v>75</v>
      </c>
      <c r="L472" s="19">
        <f t="shared" si="211"/>
        <v>45906</v>
      </c>
      <c r="M472" s="13" t="str">
        <f t="shared" si="212"/>
        <v>АРТ-496</v>
      </c>
      <c r="N472" s="13">
        <f t="shared" si="213"/>
        <v>2</v>
      </c>
      <c r="O472" s="13" t="str">
        <f>IFERROR(VLOOKUP(J472,Справочники!$G$6:$H$8,2,0),"RUB")</f>
        <v>EUR</v>
      </c>
      <c r="P472" s="14">
        <f>ROUND(K472*IFERROR(VLOOKUP(J472,Справочники!$G$6:$I$8,3,0),1),2)</f>
        <v>7500</v>
      </c>
      <c r="Q472" s="13" t="str">
        <f>IFERROR(VLOOKUP(H472,Справочники!$D$6:$E$14,2,0),"НЕИЗВЕСТНО")</f>
        <v>Отменен</v>
      </c>
      <c r="R472" s="20">
        <f>IFERROR(INDEX(Товары_очищенные!$Q$3:$Q$503,MATCH(M472,Товары_очищенные!$L$3:$L$503,0)),"нет в каталоге")</f>
        <v>59990</v>
      </c>
      <c r="S472" s="21" t="str">
        <f>IFERROR(INDEX(Товары_очищенные!$N$3:$N$503,MATCH(M472,Товары_очищенные!$L$3:$L$503,0)),"нет в каталоге")</f>
        <v>Мониторы</v>
      </c>
      <c r="T472" s="21" t="str">
        <f t="shared" si="214"/>
        <v>OK</v>
      </c>
      <c r="U472" s="12" t="str">
        <f t="shared" si="215"/>
        <v>06/09/2025|АРТ-496|C0470</v>
      </c>
      <c r="V472" s="12" t="str">
        <f t="shared" si="216"/>
        <v>оригинал</v>
      </c>
    </row>
    <row r="473" ht="15" customHeight="1">
      <c r="A473" s="10">
        <v>471</v>
      </c>
      <c r="B473" s="11" t="str">
        <f>RAW_Продажи!A472</f>
        <v>09/07/2025</v>
      </c>
      <c r="C473" s="11" t="str">
        <f>RAW_Продажи!B472</f>
        <v>305/24</v>
      </c>
      <c r="D473" s="11" t="str">
        <f>RAW_Продажи!C472</f>
        <v xml:space="preserve">3 шт.</v>
      </c>
      <c r="E473" s="11" t="str">
        <f>RAW_Продажи!D472</f>
        <v xml:space="preserve">7000 ₽</v>
      </c>
      <c r="F473" s="11" t="str">
        <f>RAW_Продажи!E472</f>
        <v>C0471</v>
      </c>
      <c r="G473" s="11" t="str">
        <f>RAW_Продажи!F472</f>
        <v>P037</v>
      </c>
      <c r="H473" s="11" t="str">
        <f>RAW_Продажи!G472</f>
        <v>Завершен</v>
      </c>
      <c r="I473" s="12" t="str">
        <f t="shared" si="208"/>
        <v>305/24</v>
      </c>
      <c r="J473" s="12" t="str">
        <f t="shared" si="209"/>
        <v>₽</v>
      </c>
      <c r="K473" s="12">
        <f t="shared" si="210"/>
        <v>7000</v>
      </c>
      <c r="L473" s="19">
        <f t="shared" si="211"/>
        <v>45907</v>
      </c>
      <c r="M473" s="13" t="str">
        <f t="shared" si="212"/>
        <v>АРТ-305</v>
      </c>
      <c r="N473" s="13">
        <f t="shared" si="213"/>
        <v>3</v>
      </c>
      <c r="O473" s="13" t="str">
        <f>IFERROR(VLOOKUP(J473,Справочники!$G$6:$H$8,2,0),"RUB")</f>
        <v>RUB</v>
      </c>
      <c r="P473" s="14">
        <f>ROUND(K473*IFERROR(VLOOKUP(J473,Справочники!$G$6:$I$8,3,0),1),2)</f>
        <v>7000</v>
      </c>
      <c r="Q473" s="13" t="str">
        <f>IFERROR(VLOOKUP(H473,Справочники!$D$6:$E$14,2,0),"НЕИЗВЕСТНО")</f>
        <v>Завершен</v>
      </c>
      <c r="R473" s="20">
        <f>IFERROR(INDEX(Товары_очищенные!$Q$3:$Q$503,MATCH(M473,Товары_очищенные!$L$3:$L$503,0)),"нет в каталоге")</f>
        <v>57500</v>
      </c>
      <c r="S473" s="21" t="str">
        <f>IFERROR(INDEX(Товары_очищенные!$N$3:$N$503,MATCH(M473,Товары_очищенные!$L$3:$L$503,0)),"нет в каталоге")</f>
        <v>Мониторы</v>
      </c>
      <c r="T473" s="21" t="str">
        <f t="shared" si="214"/>
        <v>OK</v>
      </c>
      <c r="U473" s="12" t="str">
        <f t="shared" si="215"/>
        <v>07/09/2025|АРТ-305|C0471</v>
      </c>
      <c r="V473" s="12" t="str">
        <f t="shared" si="216"/>
        <v>оригинал</v>
      </c>
    </row>
    <row r="474" ht="15" customHeight="1">
      <c r="A474" s="10">
        <v>472</v>
      </c>
      <c r="B474" s="11" t="str">
        <f>RAW_Продажи!A473</f>
        <v>09/07/2025</v>
      </c>
      <c r="C474" s="11" t="str">
        <f>RAW_Продажи!B473</f>
        <v>№АРТ-199</v>
      </c>
      <c r="D474" s="11" t="str">
        <f>RAW_Продажи!C473</f>
        <v>-2</v>
      </c>
      <c r="E474" s="11" t="str">
        <f>RAW_Продажи!D473</f>
        <v>$115</v>
      </c>
      <c r="F474" s="11" t="str">
        <f>RAW_Продажи!E473</f>
        <v>C0472</v>
      </c>
      <c r="G474" s="11" t="str">
        <f>RAW_Продажи!F473</f>
        <v>P048</v>
      </c>
      <c r="H474" s="11" t="str">
        <f>RAW_Продажи!G473</f>
        <v>возврат</v>
      </c>
      <c r="I474" s="12" t="str">
        <f t="shared" si="208"/>
        <v>199</v>
      </c>
      <c r="J474" s="12" t="str">
        <f t="shared" si="209"/>
        <v>$</v>
      </c>
      <c r="K474" s="12">
        <f t="shared" si="210"/>
        <v>115</v>
      </c>
      <c r="L474" s="19">
        <f t="shared" si="211"/>
        <v>45907</v>
      </c>
      <c r="M474" s="13" t="str">
        <f t="shared" si="212"/>
        <v>АРТ-199</v>
      </c>
      <c r="N474" s="13">
        <f t="shared" si="213"/>
        <v>-2</v>
      </c>
      <c r="O474" s="13" t="str">
        <f>IFERROR(VLOOKUP(J474,Справочники!$G$6:$H$8,2,0),"RUB")</f>
        <v>USD</v>
      </c>
      <c r="P474" s="14">
        <f>ROUND(K474*IFERROR(VLOOKUP(J474,Справочники!$G$6:$I$8,3,0),1),2)</f>
        <v>10925</v>
      </c>
      <c r="Q474" s="13" t="str">
        <f>IFERROR(VLOOKUP(H474,Справочники!$D$6:$E$14,2,0),"НЕИЗВЕСТНО")</f>
        <v>Возврат</v>
      </c>
      <c r="R474" s="20">
        <f>IFERROR(INDEX(Товары_очищенные!$Q$3:$Q$503,MATCH(M474,Товары_очищенные!$L$3:$L$503,0)),"нет в каталоге")</f>
        <v>95990</v>
      </c>
      <c r="S474" s="21" t="str">
        <f>IFERROR(INDEX(Товары_очищенные!$N$3:$N$503,MATCH(M474,Товары_очищенные!$L$3:$L$503,0)),"нет в каталоге")</f>
        <v>Телевизоры</v>
      </c>
      <c r="T474" s="21" t="str">
        <f t="shared" si="214"/>
        <v>OK</v>
      </c>
      <c r="U474" s="12" t="str">
        <f t="shared" si="215"/>
        <v>07/09/2025|АРТ-199|C0472</v>
      </c>
      <c r="V474" s="12" t="str">
        <f t="shared" si="216"/>
        <v>оригинал</v>
      </c>
    </row>
    <row r="475" ht="15" customHeight="1">
      <c r="A475" s="10">
        <v>473</v>
      </c>
      <c r="B475" s="11" t="str">
        <f>RAW_Продажи!A474</f>
        <v>09/08/2025</v>
      </c>
      <c r="C475" s="11" t="str">
        <f>RAW_Продажи!B474</f>
        <v>АРТ_351</v>
      </c>
      <c r="D475" s="11" t="str">
        <f>RAW_Продажи!C474</f>
        <v>1</v>
      </c>
      <c r="E475" s="11" t="str">
        <f>RAW_Продажи!D474</f>
        <v>€95</v>
      </c>
      <c r="F475" s="11" t="str">
        <f>RAW_Продажи!E474</f>
        <v>C0473</v>
      </c>
      <c r="G475" s="11" t="str">
        <f>RAW_Продажи!F474</f>
        <v>P004</v>
      </c>
      <c r="H475" s="11" t="str">
        <f>RAW_Продажи!G474</f>
        <v>завершен</v>
      </c>
      <c r="I475" s="12" t="str">
        <f t="shared" si="208"/>
        <v>351</v>
      </c>
      <c r="J475" s="12" t="str">
        <f t="shared" si="209"/>
        <v>€</v>
      </c>
      <c r="K475" s="12">
        <f t="shared" si="210"/>
        <v>95</v>
      </c>
      <c r="L475" s="19">
        <f t="shared" si="211"/>
        <v>45908</v>
      </c>
      <c r="M475" s="13" t="str">
        <f t="shared" si="212"/>
        <v>АРТ-351</v>
      </c>
      <c r="N475" s="13">
        <f t="shared" si="213"/>
        <v>1</v>
      </c>
      <c r="O475" s="13" t="str">
        <f>IFERROR(VLOOKUP(J475,Справочники!$G$6:$H$8,2,0),"RUB")</f>
        <v>EUR</v>
      </c>
      <c r="P475" s="14">
        <f>ROUND(K475*IFERROR(VLOOKUP(J475,Справочники!$G$6:$I$8,3,0),1),2)</f>
        <v>9500</v>
      </c>
      <c r="Q475" s="13" t="str">
        <f>IFERROR(VLOOKUP(H475,Справочники!$D$6:$E$14,2,0),"НЕИЗВЕСТНО")</f>
        <v>Завершен</v>
      </c>
      <c r="R475" s="20">
        <f>IFERROR(INDEX(Товары_очищенные!$Q$3:$Q$503,MATCH(M475,Товары_очищенные!$L$3:$L$503,0)),"нет в каталоге")</f>
        <v>57000</v>
      </c>
      <c r="S475" s="21" t="str">
        <f>IFERROR(INDEX(Товары_очищенные!$N$3:$N$503,MATCH(M475,Товары_очищенные!$L$3:$L$503,0)),"нет в каталоге")</f>
        <v>Мониторы</v>
      </c>
      <c r="T475" s="21" t="str">
        <f t="shared" si="214"/>
        <v>OK</v>
      </c>
      <c r="U475" s="12" t="str">
        <f t="shared" si="215"/>
        <v>08/09/2025|АРТ-351|C0473</v>
      </c>
      <c r="V475" s="12" t="str">
        <f t="shared" si="216"/>
        <v>оригинал</v>
      </c>
    </row>
    <row r="476" ht="15" customHeight="1">
      <c r="A476" s="10">
        <v>474</v>
      </c>
      <c r="B476" s="11" t="str">
        <f>RAW_Продажи!A475</f>
        <v>09/08/2025</v>
      </c>
      <c r="C476" s="11" t="str">
        <f>RAW_Продажи!B475</f>
        <v>214-24</v>
      </c>
      <c r="D476" s="11" t="str">
        <f>RAW_Продажи!C475</f>
        <v>2</v>
      </c>
      <c r="E476" s="11" t="str">
        <f>RAW_Продажи!D475</f>
        <v xml:space="preserve">8500 ₽</v>
      </c>
      <c r="F476" s="11" t="str">
        <f>RAW_Продажи!E475</f>
        <v>C0474</v>
      </c>
      <c r="G476" s="11" t="str">
        <f>RAW_Продажи!F475</f>
        <v>P026</v>
      </c>
      <c r="H476" s="11" t="str">
        <f>RAW_Продажи!G475</f>
        <v>completed</v>
      </c>
      <c r="I476" s="12" t="str">
        <f t="shared" si="208"/>
        <v>214-24</v>
      </c>
      <c r="J476" s="12" t="str">
        <f t="shared" si="209"/>
        <v>₽</v>
      </c>
      <c r="K476" s="12">
        <f t="shared" si="210"/>
        <v>8500</v>
      </c>
      <c r="L476" s="19">
        <f t="shared" si="211"/>
        <v>45908</v>
      </c>
      <c r="M476" s="13" t="str">
        <f t="shared" si="212"/>
        <v>АРТ-214</v>
      </c>
      <c r="N476" s="13">
        <f t="shared" si="213"/>
        <v>2</v>
      </c>
      <c r="O476" s="13" t="str">
        <f>IFERROR(VLOOKUP(J476,Справочники!$G$6:$H$8,2,0),"RUB")</f>
        <v>RUB</v>
      </c>
      <c r="P476" s="14">
        <f>ROUND(K476*IFERROR(VLOOKUP(J476,Справочники!$G$6:$I$8,3,0),1),2)</f>
        <v>8500</v>
      </c>
      <c r="Q476" s="13" t="str">
        <f>IFERROR(VLOOKUP(H476,Справочники!$D$6:$E$14,2,0),"НЕИЗВЕСТНО")</f>
        <v>Завершен</v>
      </c>
      <c r="R476" s="20">
        <f>IFERROR(INDEX(Товары_очищенные!$Q$3:$Q$503,MATCH(M476,Товары_очищенные!$L$3:$L$503,0)),"нет в каталоге")</f>
        <v>26990</v>
      </c>
      <c r="S476" s="21" t="str">
        <f>IFERROR(INDEX(Товары_очищенные!$N$3:$N$503,MATCH(M476,Товары_очищенные!$L$3:$L$503,0)),"нет в каталоге")</f>
        <v>Планшеты</v>
      </c>
      <c r="T476" s="21" t="str">
        <f t="shared" si="214"/>
        <v>OK</v>
      </c>
      <c r="U476" s="12" t="str">
        <f t="shared" si="215"/>
        <v>08/09/2025|АРТ-214|C0474</v>
      </c>
      <c r="V476" s="12" t="str">
        <f t="shared" si="216"/>
        <v>оригинал</v>
      </c>
    </row>
    <row r="477" ht="15" customHeight="1">
      <c r="A477" s="10">
        <v>475</v>
      </c>
      <c r="B477" s="11" t="str">
        <f>RAW_Продажи!A476</f>
        <v>09/09/2025</v>
      </c>
      <c r="C477" s="11" t="str">
        <f>RAW_Продажи!B476</f>
        <v>№АРТ-135</v>
      </c>
      <c r="D477" s="11" t="str">
        <f>RAW_Продажи!C476</f>
        <v>3</v>
      </c>
      <c r="E477" s="11" t="str">
        <f>RAW_Продажи!D476</f>
        <v>$105</v>
      </c>
      <c r="F477" s="11" t="str">
        <f>RAW_Продажи!E476</f>
        <v>C0475</v>
      </c>
      <c r="G477" s="11" t="str">
        <f>RAW_Продажи!F476</f>
        <v>P013</v>
      </c>
      <c r="H477" s="11" t="str">
        <f>RAW_Продажи!G476</f>
        <v>Завершен</v>
      </c>
      <c r="I477" s="12" t="str">
        <f t="shared" si="208"/>
        <v>135</v>
      </c>
      <c r="J477" s="12" t="str">
        <f t="shared" si="209"/>
        <v>$</v>
      </c>
      <c r="K477" s="12">
        <f t="shared" si="210"/>
        <v>105</v>
      </c>
      <c r="L477" s="19">
        <f t="shared" si="211"/>
        <v>45909</v>
      </c>
      <c r="M477" s="13" t="str">
        <f t="shared" si="212"/>
        <v>АРТ-135</v>
      </c>
      <c r="N477" s="13">
        <f t="shared" si="213"/>
        <v>3</v>
      </c>
      <c r="O477" s="13" t="str">
        <f>IFERROR(VLOOKUP(J477,Справочники!$G$6:$H$8,2,0),"RUB")</f>
        <v>USD</v>
      </c>
      <c r="P477" s="14">
        <f>ROUND(K477*IFERROR(VLOOKUP(J477,Справочники!$G$6:$I$8,3,0),1),2)</f>
        <v>9975</v>
      </c>
      <c r="Q477" s="13" t="str">
        <f>IFERROR(VLOOKUP(H477,Справочники!$D$6:$E$14,2,0),"НЕИЗВЕСТНО")</f>
        <v>Завершен</v>
      </c>
      <c r="R477" s="20">
        <f>IFERROR(INDEX(Товары_очищенные!$Q$3:$Q$503,MATCH(M477,Товары_очищенные!$L$3:$L$503,0)),"нет в каталоге")</f>
        <v>129500</v>
      </c>
      <c r="S477" s="21" t="str">
        <f>IFERROR(INDEX(Товары_очищенные!$N$3:$N$503,MATCH(M477,Товары_очищенные!$L$3:$L$503,0)),"нет в каталоге")</f>
        <v>Телевизоры</v>
      </c>
      <c r="T477" s="21" t="str">
        <f t="shared" si="214"/>
        <v>OK</v>
      </c>
      <c r="U477" s="12" t="str">
        <f t="shared" si="215"/>
        <v>09/09/2025|АРТ-135|C0475</v>
      </c>
      <c r="V477" s="12" t="str">
        <f t="shared" si="216"/>
        <v>оригинал</v>
      </c>
    </row>
    <row r="478" ht="15" customHeight="1">
      <c r="A478" s="10">
        <v>476</v>
      </c>
      <c r="B478" s="11" t="str">
        <f>RAW_Продажи!A477</f>
        <v>09/09/2025</v>
      </c>
      <c r="C478" s="11" t="str">
        <f>RAW_Продажи!B477</f>
        <v>АРТ_415</v>
      </c>
      <c r="D478" s="11" t="str">
        <f>RAW_Продажи!C477</f>
        <v>2</v>
      </c>
      <c r="E478" s="11" t="str">
        <f>RAW_Продажи!D477</f>
        <v>€85</v>
      </c>
      <c r="F478" s="11" t="str">
        <f>RAW_Продажи!E477</f>
        <v>C0476</v>
      </c>
      <c r="G478" s="11" t="str">
        <f>RAW_Продажи!F477</f>
        <v>P034</v>
      </c>
      <c r="H478" s="11" t="str">
        <f>RAW_Продажи!G477</f>
        <v>canceled</v>
      </c>
      <c r="I478" s="12" t="str">
        <f t="shared" si="208"/>
        <v>415</v>
      </c>
      <c r="J478" s="12" t="str">
        <f t="shared" si="209"/>
        <v>€</v>
      </c>
      <c r="K478" s="12">
        <f t="shared" si="210"/>
        <v>85</v>
      </c>
      <c r="L478" s="19">
        <f t="shared" si="211"/>
        <v>45909</v>
      </c>
      <c r="M478" s="13" t="str">
        <f t="shared" si="212"/>
        <v>АРТ-415</v>
      </c>
      <c r="N478" s="13">
        <f t="shared" si="213"/>
        <v>2</v>
      </c>
      <c r="O478" s="13" t="str">
        <f>IFERROR(VLOOKUP(J478,Справочники!$G$6:$H$8,2,0),"RUB")</f>
        <v>EUR</v>
      </c>
      <c r="P478" s="14">
        <f>ROUND(K478*IFERROR(VLOOKUP(J478,Справочники!$G$6:$I$8,3,0),1),2)</f>
        <v>8500</v>
      </c>
      <c r="Q478" s="13" t="str">
        <f>IFERROR(VLOOKUP(H478,Справочники!$D$6:$E$14,2,0),"НЕИЗВЕСТНО")</f>
        <v>Отменен</v>
      </c>
      <c r="R478" s="20">
        <f>IFERROR(INDEX(Товары_очищенные!$Q$3:$Q$503,MATCH(M478,Товары_очищенные!$L$3:$L$503,0)),"нет в каталоге")</f>
        <v>14990</v>
      </c>
      <c r="S478" s="21" t="str">
        <f>IFERROR(INDEX(Товары_очищенные!$N$3:$N$503,MATCH(M478,Товары_очищенные!$L$3:$L$503,0)),"нет в каталоге")</f>
        <v>Аксессуары</v>
      </c>
      <c r="T478" s="21" t="str">
        <f t="shared" si="214"/>
        <v>OK</v>
      </c>
      <c r="U478" s="12" t="str">
        <f t="shared" si="215"/>
        <v>09/09/2025|АРТ-415|C0476</v>
      </c>
      <c r="V478" s="12" t="str">
        <f t="shared" si="216"/>
        <v>оригинал</v>
      </c>
    </row>
    <row r="479" ht="15" customHeight="1">
      <c r="A479" s="10">
        <v>477</v>
      </c>
      <c r="B479" s="11" t="str">
        <f>RAW_Продажи!A478</f>
        <v>09/10/2025</v>
      </c>
      <c r="C479" s="11" t="str">
        <f>RAW_Продажи!B478</f>
        <v>333/24</v>
      </c>
      <c r="D479" s="11" t="str">
        <f>RAW_Продажи!C478</f>
        <v xml:space="preserve">1 шт.</v>
      </c>
      <c r="E479" s="11" t="str">
        <f>RAW_Продажи!D478</f>
        <v xml:space="preserve">7800 ₽</v>
      </c>
      <c r="F479" s="11" t="str">
        <f>RAW_Продажи!E478</f>
        <v>C0477</v>
      </c>
      <c r="G479" s="11" t="str">
        <f>RAW_Продажи!F478</f>
        <v>P044</v>
      </c>
      <c r="H479" s="11" t="str">
        <f>RAW_Продажи!G478</f>
        <v>отменен</v>
      </c>
      <c r="I479" s="12" t="str">
        <f t="shared" si="208"/>
        <v>333/24</v>
      </c>
      <c r="J479" s="12" t="str">
        <f t="shared" si="209"/>
        <v>₽</v>
      </c>
      <c r="K479" s="12">
        <f t="shared" si="210"/>
        <v>7800</v>
      </c>
      <c r="L479" s="19">
        <f t="shared" si="211"/>
        <v>45910</v>
      </c>
      <c r="M479" s="13" t="str">
        <f t="shared" si="212"/>
        <v>АРТ-333</v>
      </c>
      <c r="N479" s="13">
        <f t="shared" si="213"/>
        <v>1</v>
      </c>
      <c r="O479" s="13" t="str">
        <f>IFERROR(VLOOKUP(J479,Справочники!$G$6:$H$8,2,0),"RUB")</f>
        <v>RUB</v>
      </c>
      <c r="P479" s="14">
        <f>ROUND(K479*IFERROR(VLOOKUP(J479,Справочники!$G$6:$I$8,3,0),1),2)</f>
        <v>7800</v>
      </c>
      <c r="Q479" s="13" t="str">
        <f>IFERROR(VLOOKUP(H479,Справочники!$D$6:$E$14,2,0),"НЕИЗВЕСТНО")</f>
        <v>Отменен</v>
      </c>
      <c r="R479" s="20">
        <f>IFERROR(INDEX(Товары_очищенные!$Q$3:$Q$503,MATCH(M479,Товары_очищенные!$L$3:$L$503,0)),"нет в каталоге")</f>
        <v>72000</v>
      </c>
      <c r="S479" s="21" t="str">
        <f>IFERROR(INDEX(Товары_очищенные!$N$3:$N$503,MATCH(M479,Товары_очищенные!$L$3:$L$503,0)),"нет в каталоге")</f>
        <v>Часы</v>
      </c>
      <c r="T479" s="21" t="str">
        <f t="shared" si="214"/>
        <v>OK</v>
      </c>
      <c r="U479" s="12" t="str">
        <f t="shared" si="215"/>
        <v>10/09/2025|АРТ-333|C0477</v>
      </c>
      <c r="V479" s="12" t="str">
        <f t="shared" si="216"/>
        <v>оригинал</v>
      </c>
    </row>
    <row r="480" ht="15" customHeight="1">
      <c r="A480" s="10">
        <v>478</v>
      </c>
      <c r="B480" s="11" t="str">
        <f>RAW_Продажи!A479</f>
        <v>09/10/2025</v>
      </c>
      <c r="C480" s="11" t="str">
        <f>RAW_Продажи!B479</f>
        <v>№АРТ-322</v>
      </c>
      <c r="D480" s="11" t="str">
        <f>RAW_Продажи!C479</f>
        <v>-3</v>
      </c>
      <c r="E480" s="11" t="str">
        <f>RAW_Продажи!D479</f>
        <v>$120</v>
      </c>
      <c r="F480" s="11" t="str">
        <f>RAW_Продажи!E479</f>
        <v>C0478</v>
      </c>
      <c r="G480" s="11" t="str">
        <f>RAW_Продажи!F479</f>
        <v>P001</v>
      </c>
      <c r="H480" s="11" t="str">
        <f>RAW_Продажи!G479</f>
        <v>возврат</v>
      </c>
      <c r="I480" s="12" t="str">
        <f t="shared" si="208"/>
        <v>322</v>
      </c>
      <c r="J480" s="12" t="str">
        <f t="shared" si="209"/>
        <v>$</v>
      </c>
      <c r="K480" s="12">
        <f t="shared" si="210"/>
        <v>120</v>
      </c>
      <c r="L480" s="19">
        <f t="shared" si="211"/>
        <v>45910</v>
      </c>
      <c r="M480" s="13" t="str">
        <f t="shared" si="212"/>
        <v>АРТ-322</v>
      </c>
      <c r="N480" s="13">
        <f t="shared" si="213"/>
        <v>-3</v>
      </c>
      <c r="O480" s="13" t="str">
        <f>IFERROR(VLOOKUP(J480,Справочники!$G$6:$H$8,2,0),"RUB")</f>
        <v>USD</v>
      </c>
      <c r="P480" s="14">
        <f>ROUND(K480*IFERROR(VLOOKUP(J480,Справочники!$G$6:$I$8,3,0),1),2)</f>
        <v>11400</v>
      </c>
      <c r="Q480" s="13" t="str">
        <f>IFERROR(VLOOKUP(H480,Справочники!$D$6:$E$14,2,0),"НЕИЗВЕСТНО")</f>
        <v>Возврат</v>
      </c>
      <c r="R480" s="20">
        <f>IFERROR(INDEX(Товары_очищенные!$Q$3:$Q$503,MATCH(M480,Товары_очищенные!$L$3:$L$503,0)),"нет в каталоге")</f>
        <v>12990</v>
      </c>
      <c r="S480" s="21" t="str">
        <f>IFERROR(INDEX(Товары_очищенные!$N$3:$N$503,MATCH(M480,Товары_очищенные!$L$3:$L$503,0)),"нет в каталоге")</f>
        <v>Наушники</v>
      </c>
      <c r="T480" s="21" t="str">
        <f t="shared" si="214"/>
        <v>OK</v>
      </c>
      <c r="U480" s="12" t="str">
        <f t="shared" si="215"/>
        <v>10/09/2025|АРТ-322|C0478</v>
      </c>
      <c r="V480" s="12" t="str">
        <f t="shared" si="216"/>
        <v>оригинал</v>
      </c>
    </row>
    <row r="481" ht="15" customHeight="1">
      <c r="A481" s="10">
        <v>479</v>
      </c>
      <c r="B481" s="11" t="str">
        <f>RAW_Продажи!A480</f>
        <v>09/11/2025</v>
      </c>
      <c r="C481" s="11" t="str">
        <f>RAW_Продажи!B480</f>
        <v>АРТ_392</v>
      </c>
      <c r="D481" s="11" t="str">
        <f>RAW_Продажи!C480</f>
        <v>2</v>
      </c>
      <c r="E481" s="11" t="str">
        <f>RAW_Продажи!D480</f>
        <v>€100</v>
      </c>
      <c r="F481" s="11" t="str">
        <f>RAW_Продажи!E480</f>
        <v>C0479</v>
      </c>
      <c r="G481" s="11" t="str">
        <f>RAW_Продажи!F480</f>
        <v>P021</v>
      </c>
      <c r="H481" s="11" t="str">
        <f>RAW_Продажи!G480</f>
        <v>Завершен</v>
      </c>
      <c r="I481" s="12" t="str">
        <f t="shared" si="208"/>
        <v>392</v>
      </c>
      <c r="J481" s="12" t="str">
        <f t="shared" si="209"/>
        <v>€</v>
      </c>
      <c r="K481" s="12">
        <f t="shared" si="210"/>
        <v>100</v>
      </c>
      <c r="L481" s="19">
        <f t="shared" si="211"/>
        <v>45911</v>
      </c>
      <c r="M481" s="13" t="str">
        <f t="shared" si="212"/>
        <v>АРТ-392</v>
      </c>
      <c r="N481" s="13">
        <f t="shared" si="213"/>
        <v>2</v>
      </c>
      <c r="O481" s="13" t="str">
        <f>IFERROR(VLOOKUP(J481,Справочники!$G$6:$H$8,2,0),"RUB")</f>
        <v>EUR</v>
      </c>
      <c r="P481" s="14">
        <f>ROUND(K481*IFERROR(VLOOKUP(J481,Справочники!$G$6:$I$8,3,0),1),2)</f>
        <v>10000</v>
      </c>
      <c r="Q481" s="13" t="str">
        <f>IFERROR(VLOOKUP(H481,Справочники!$D$6:$E$14,2,0),"НЕИЗВЕСТНО")</f>
        <v>Завершен</v>
      </c>
      <c r="R481" s="20">
        <f>IFERROR(INDEX(Товары_очищенные!$Q$3:$Q$503,MATCH(M481,Товары_очищенные!$L$3:$L$503,0)),"нет в каталоге")</f>
        <v>18000</v>
      </c>
      <c r="S481" s="21" t="str">
        <f>IFERROR(INDEX(Товары_очищенные!$N$3:$N$503,MATCH(M481,Товары_очищенные!$L$3:$L$503,0)),"нет в каталоге")</f>
        <v>Наушники</v>
      </c>
      <c r="T481" s="21" t="str">
        <f t="shared" si="214"/>
        <v>OK</v>
      </c>
      <c r="U481" s="12" t="str">
        <f t="shared" si="215"/>
        <v>11/09/2025|АРТ-392|C0479</v>
      </c>
      <c r="V481" s="12" t="str">
        <f t="shared" si="216"/>
        <v>оригинал</v>
      </c>
    </row>
    <row r="482" ht="15" customHeight="1">
      <c r="A482" s="10">
        <v>480</v>
      </c>
      <c r="B482" s="11" t="str">
        <f>RAW_Продажи!A481</f>
        <v>09/11/2025</v>
      </c>
      <c r="C482" s="11" t="str">
        <f>RAW_Продажи!B481</f>
        <v>129-24</v>
      </c>
      <c r="D482" s="11" t="str">
        <f>RAW_Продажи!C481</f>
        <v>1</v>
      </c>
      <c r="E482" s="11" t="str">
        <f>RAW_Продажи!D481</f>
        <v xml:space="preserve">9200 ₽</v>
      </c>
      <c r="F482" s="11" t="str">
        <f>RAW_Продажи!E481</f>
        <v>C0480</v>
      </c>
      <c r="G482" s="11" t="str">
        <f>RAW_Продажи!F481</f>
        <v>P039</v>
      </c>
      <c r="H482" s="11" t="str">
        <f>RAW_Продажи!G481</f>
        <v>завершен</v>
      </c>
      <c r="I482" s="12" t="str">
        <f t="shared" si="208"/>
        <v>129-24</v>
      </c>
      <c r="J482" s="12" t="str">
        <f t="shared" si="209"/>
        <v>₽</v>
      </c>
      <c r="K482" s="12">
        <f t="shared" si="210"/>
        <v>9200</v>
      </c>
      <c r="L482" s="19">
        <f t="shared" si="211"/>
        <v>45911</v>
      </c>
      <c r="M482" s="13" t="str">
        <f t="shared" si="212"/>
        <v>АРТ-129</v>
      </c>
      <c r="N482" s="13">
        <f t="shared" si="213"/>
        <v>1</v>
      </c>
      <c r="O482" s="13" t="str">
        <f>IFERROR(VLOOKUP(J482,Справочники!$G$6:$H$8,2,0),"RUB")</f>
        <v>RUB</v>
      </c>
      <c r="P482" s="14">
        <f>ROUND(K482*IFERROR(VLOOKUP(J482,Справочники!$G$6:$I$8,3,0),1),2)</f>
        <v>9200</v>
      </c>
      <c r="Q482" s="13" t="str">
        <f>IFERROR(VLOOKUP(H482,Справочники!$D$6:$E$14,2,0),"НЕИЗВЕСТНО")</f>
        <v>Завершен</v>
      </c>
      <c r="R482" s="20">
        <f>IFERROR(INDEX(Товары_очищенные!$Q$3:$Q$503,MATCH(M482,Товары_очищенные!$L$3:$L$503,0)),"нет в каталоге")</f>
        <v>53500</v>
      </c>
      <c r="S482" s="21" t="str">
        <f>IFERROR(INDEX(Товары_очищенные!$N$3:$N$503,MATCH(M482,Товары_очищенные!$L$3:$L$503,0)),"нет в каталоге")</f>
        <v>Смартфоны</v>
      </c>
      <c r="T482" s="21" t="str">
        <f t="shared" si="214"/>
        <v>OK</v>
      </c>
      <c r="U482" s="12" t="str">
        <f t="shared" si="215"/>
        <v>11/09/2025|АРТ-129|C0480</v>
      </c>
      <c r="V482" s="12" t="str">
        <f t="shared" si="216"/>
        <v>оригинал</v>
      </c>
    </row>
    <row r="483" ht="15" customHeight="1">
      <c r="A483" s="10">
        <v>481</v>
      </c>
      <c r="B483" s="11" t="str">
        <f>RAW_Продажи!A482</f>
        <v>09/12/2025</v>
      </c>
      <c r="C483" s="11" t="str">
        <f>RAW_Продажи!B482</f>
        <v>№АРТ-074</v>
      </c>
      <c r="D483" s="11" t="str">
        <f>RAW_Продажи!C482</f>
        <v>3</v>
      </c>
      <c r="E483" s="11" t="str">
        <f>RAW_Продажи!D482</f>
        <v>$90</v>
      </c>
      <c r="F483" s="11" t="str">
        <f>RAW_Продажи!E482</f>
        <v>C0481</v>
      </c>
      <c r="G483" s="11" t="str">
        <f>RAW_Продажи!F482</f>
        <v>P050</v>
      </c>
      <c r="H483" s="11" t="str">
        <f>RAW_Продажи!G482</f>
        <v>completed</v>
      </c>
      <c r="I483" s="12" t="str">
        <f t="shared" si="208"/>
        <v>074</v>
      </c>
      <c r="J483" s="12" t="str">
        <f t="shared" si="209"/>
        <v>$</v>
      </c>
      <c r="K483" s="12">
        <f t="shared" si="210"/>
        <v>90</v>
      </c>
      <c r="L483" s="19">
        <f t="shared" si="211"/>
        <v>45912</v>
      </c>
      <c r="M483" s="13" t="str">
        <f t="shared" si="212"/>
        <v>АРТ-074</v>
      </c>
      <c r="N483" s="13">
        <f t="shared" si="213"/>
        <v>3</v>
      </c>
      <c r="O483" s="13" t="str">
        <f>IFERROR(VLOOKUP(J483,Справочники!$G$6:$H$8,2,0),"RUB")</f>
        <v>USD</v>
      </c>
      <c r="P483" s="14">
        <f>ROUND(K483*IFERROR(VLOOKUP(J483,Справочники!$G$6:$I$8,3,0),1),2)</f>
        <v>8550</v>
      </c>
      <c r="Q483" s="13" t="str">
        <f>IFERROR(VLOOKUP(H483,Справочники!$D$6:$E$14,2,0),"НЕИЗВЕСТНО")</f>
        <v>Завершен</v>
      </c>
      <c r="R483" s="20">
        <f>IFERROR(INDEX(Товары_очищенные!$Q$3:$Q$503,MATCH(M483,Товары_очищенные!$L$3:$L$503,0)),"нет в каталоге")</f>
        <v>77500</v>
      </c>
      <c r="S483" s="21" t="str">
        <f>IFERROR(INDEX(Товары_очищенные!$N$3:$N$503,MATCH(M483,Товары_очищенные!$L$3:$L$503,0)),"нет в каталоге")</f>
        <v>Мониторы</v>
      </c>
      <c r="T483" s="21" t="str">
        <f t="shared" si="214"/>
        <v>OK</v>
      </c>
      <c r="U483" s="12" t="str">
        <f t="shared" si="215"/>
        <v>12/09/2025|АРТ-074|C0481</v>
      </c>
      <c r="V483" s="12" t="str">
        <f t="shared" si="216"/>
        <v>оригинал</v>
      </c>
    </row>
    <row r="484" ht="15" customHeight="1">
      <c r="A484" s="10">
        <v>482</v>
      </c>
      <c r="B484" s="11" t="str">
        <f>RAW_Продажи!A483</f>
        <v>09/12/2025</v>
      </c>
      <c r="C484" s="11" t="str">
        <f>RAW_Продажи!B483</f>
        <v>АРТ_462</v>
      </c>
      <c r="D484" s="11" t="str">
        <f>RAW_Продажи!C483</f>
        <v>2</v>
      </c>
      <c r="E484" s="11" t="str">
        <f>RAW_Продажи!D483</f>
        <v>€70</v>
      </c>
      <c r="F484" s="11" t="str">
        <f>RAW_Продажи!E483</f>
        <v>C0482</v>
      </c>
      <c r="G484" s="11" t="str">
        <f>RAW_Продажи!F483</f>
        <v>P011</v>
      </c>
      <c r="H484" s="11" t="str">
        <f>RAW_Продажи!G483</f>
        <v>отменен</v>
      </c>
      <c r="I484" s="12" t="str">
        <f t="shared" ref="I484:I547" si="217">SUBSTITUTE(SUBSTITUTE(C484,"№АРТ-",""),"АРТ_","")</f>
        <v>462</v>
      </c>
      <c r="J484" s="12" t="str">
        <f t="shared" ref="J484:J547" si="218">IF(LEFT(TRIM(E484),1)="$","$",IF(LEFT(TRIM(E484),1)="€","€","₽"))</f>
        <v>€</v>
      </c>
      <c r="K484" s="12">
        <f t="shared" ref="K484:K547" si="219">VALUE(SUBSTITUTE(SUBSTITUTE(SUBSTITUTE(SUBSTITUTE(TRIM(E484),"$",""),"€",""),"₽","")," ",""))</f>
        <v>70</v>
      </c>
      <c r="L484" s="19">
        <f t="shared" ref="L484:L547" si="220">DATE(VALUE(MID(B484,7,4)),VALUE(LEFT(B484,2)),VALUE(MID(B484,4,2)))</f>
        <v>45912</v>
      </c>
      <c r="M484" s="13" t="str">
        <f t="shared" ref="M484:M547" si="221">"АРТ-"&amp;LEFT(I484,3)</f>
        <v>АРТ-462</v>
      </c>
      <c r="N484" s="13">
        <f t="shared" ref="N484:N547" si="222">VALUE(LEFT(TRIM(D484),FIND(" ",TRIM(D484)&amp;" ")-1))</f>
        <v>2</v>
      </c>
      <c r="O484" s="13" t="str">
        <f>IFERROR(VLOOKUP(J484,Справочники!$G$6:$H$8,2,0),"RUB")</f>
        <v>EUR</v>
      </c>
      <c r="P484" s="14">
        <f>ROUND(K484*IFERROR(VLOOKUP(J484,Справочники!$G$6:$I$8,3,0),1),2)</f>
        <v>7000</v>
      </c>
      <c r="Q484" s="13" t="str">
        <f>IFERROR(VLOOKUP(H484,Справочники!$D$6:$E$14,2,0),"НЕИЗВЕСТНО")</f>
        <v>Отменен</v>
      </c>
      <c r="R484" s="20">
        <f>IFERROR(INDEX(Товары_очищенные!$Q$3:$Q$503,MATCH(M484,Товары_очищенные!$L$3:$L$503,0)),"нет в каталоге")</f>
        <v>49500</v>
      </c>
      <c r="S484" s="21" t="str">
        <f>IFERROR(INDEX(Товары_очищенные!$N$3:$N$503,MATCH(M484,Товары_очищенные!$L$3:$L$503,0)),"нет в каталоге")</f>
        <v>Часы</v>
      </c>
      <c r="T484" s="21" t="str">
        <f t="shared" ref="T484:T547" si="223">IF(ISNUMBER(R484),IF(P484&lt;=R484*1.5,"OK","Цена выше розницы"),"—")</f>
        <v>OK</v>
      </c>
      <c r="U484" s="12" t="str">
        <f t="shared" ref="U484:U547" si="224">TEXT(L484,"DD.MM.YYYY")&amp;"|"&amp;M484&amp;"|"&amp;F484</f>
        <v>12/09/2025|АРТ-462|C0482</v>
      </c>
      <c r="V484" s="12" t="str">
        <f t="shared" ref="V484:V547" si="225">IF(COUNTIF($U$3:U484,U484)&gt;1,"ДУБЛЬ","оригинал")</f>
        <v>оригинал</v>
      </c>
    </row>
    <row r="485" ht="15" customHeight="1">
      <c r="A485" s="10">
        <v>483</v>
      </c>
      <c r="B485" s="11" t="str">
        <f>RAW_Продажи!A484</f>
        <v>09/13/2025</v>
      </c>
      <c r="C485" s="11" t="str">
        <f>RAW_Продажи!B484</f>
        <v>362/24</v>
      </c>
      <c r="D485" s="11" t="str">
        <f>RAW_Продажи!C484</f>
        <v xml:space="preserve">1 шт.</v>
      </c>
      <c r="E485" s="11" t="str">
        <f>RAW_Продажи!D484</f>
        <v xml:space="preserve">6500 ₽</v>
      </c>
      <c r="F485" s="11" t="str">
        <f>RAW_Продажи!E484</f>
        <v>C0483</v>
      </c>
      <c r="G485" s="11" t="str">
        <f>RAW_Продажи!F484</f>
        <v>P027</v>
      </c>
      <c r="H485" s="11" t="str">
        <f>RAW_Продажи!G484</f>
        <v>canceled</v>
      </c>
      <c r="I485" s="12" t="str">
        <f t="shared" si="217"/>
        <v>362/24</v>
      </c>
      <c r="J485" s="12" t="str">
        <f t="shared" si="218"/>
        <v>₽</v>
      </c>
      <c r="K485" s="12">
        <f t="shared" si="219"/>
        <v>6500</v>
      </c>
      <c r="L485" s="19">
        <f t="shared" si="220"/>
        <v>45913</v>
      </c>
      <c r="M485" s="13" t="str">
        <f t="shared" si="221"/>
        <v>АРТ-362</v>
      </c>
      <c r="N485" s="13">
        <f t="shared" si="222"/>
        <v>1</v>
      </c>
      <c r="O485" s="13" t="str">
        <f>IFERROR(VLOOKUP(J485,Справочники!$G$6:$H$8,2,0),"RUB")</f>
        <v>RUB</v>
      </c>
      <c r="P485" s="14">
        <f>ROUND(K485*IFERROR(VLOOKUP(J485,Справочники!$G$6:$I$8,3,0),1),2)</f>
        <v>6500</v>
      </c>
      <c r="Q485" s="13" t="str">
        <f>IFERROR(VLOOKUP(H485,Справочники!$D$6:$E$14,2,0),"НЕИЗВЕСТНО")</f>
        <v>Отменен</v>
      </c>
      <c r="R485" s="20">
        <f>IFERROR(INDEX(Товары_очищенные!$Q$3:$Q$503,MATCH(M485,Товары_очищенные!$L$3:$L$503,0)),"нет в каталоге")</f>
        <v>142500</v>
      </c>
      <c r="S485" s="21" t="str">
        <f>IFERROR(INDEX(Товары_очищенные!$N$3:$N$503,MATCH(M485,Товары_очищенные!$L$3:$L$503,0)),"нет в каталоге")</f>
        <v>Ноутбуки</v>
      </c>
      <c r="T485" s="21" t="str">
        <f t="shared" si="223"/>
        <v>OK</v>
      </c>
      <c r="U485" s="12" t="str">
        <f t="shared" si="224"/>
        <v>13/09/2025|АРТ-362|C0483</v>
      </c>
      <c r="V485" s="12" t="str">
        <f t="shared" si="225"/>
        <v>оригинал</v>
      </c>
    </row>
    <row r="486" ht="15" customHeight="1">
      <c r="A486" s="10">
        <v>484</v>
      </c>
      <c r="B486" s="11" t="str">
        <f>RAW_Продажи!A485</f>
        <v>09/13/2025</v>
      </c>
      <c r="C486" s="11" t="str">
        <f>RAW_Продажи!B485</f>
        <v>№АРТ-383</v>
      </c>
      <c r="D486" s="11" t="str">
        <f>RAW_Продажи!C485</f>
        <v>-1</v>
      </c>
      <c r="E486" s="11" t="str">
        <f>RAW_Продажи!D485</f>
        <v>$110</v>
      </c>
      <c r="F486" s="11" t="str">
        <f>RAW_Продажи!E485</f>
        <v>C0484</v>
      </c>
      <c r="G486" s="11" t="str">
        <f>RAW_Продажи!F485</f>
        <v>P018</v>
      </c>
      <c r="H486" s="11" t="str">
        <f>RAW_Продажи!G485</f>
        <v>Завершен</v>
      </c>
      <c r="I486" s="12" t="str">
        <f t="shared" si="217"/>
        <v>383</v>
      </c>
      <c r="J486" s="12" t="str">
        <f t="shared" si="218"/>
        <v>$</v>
      </c>
      <c r="K486" s="12">
        <f t="shared" si="219"/>
        <v>110</v>
      </c>
      <c r="L486" s="19">
        <f t="shared" si="220"/>
        <v>45913</v>
      </c>
      <c r="M486" s="13" t="str">
        <f t="shared" si="221"/>
        <v>АРТ-383</v>
      </c>
      <c r="N486" s="13">
        <f t="shared" si="222"/>
        <v>-1</v>
      </c>
      <c r="O486" s="13" t="str">
        <f>IFERROR(VLOOKUP(J486,Справочники!$G$6:$H$8,2,0),"RUB")</f>
        <v>USD</v>
      </c>
      <c r="P486" s="14">
        <f>ROUND(K486*IFERROR(VLOOKUP(J486,Справочники!$G$6:$I$8,3,0),1),2)</f>
        <v>10450</v>
      </c>
      <c r="Q486" s="13" t="str">
        <f>IFERROR(VLOOKUP(H486,Справочники!$D$6:$E$14,2,0),"НЕИЗВЕСТНО")</f>
        <v>Завершен</v>
      </c>
      <c r="R486" s="20">
        <f>IFERROR(INDEX(Товары_очищенные!$Q$3:$Q$503,MATCH(M486,Товары_очищенные!$L$3:$L$503,0)),"нет в каталоге")</f>
        <v>41500</v>
      </c>
      <c r="S486" s="21" t="str">
        <f>IFERROR(INDEX(Товары_очищенные!$N$3:$N$503,MATCH(M486,Товары_очищенные!$L$3:$L$503,0)),"нет в каталоге")</f>
        <v>Смартфоны</v>
      </c>
      <c r="T486" s="21" t="str">
        <f t="shared" si="223"/>
        <v>OK</v>
      </c>
      <c r="U486" s="12" t="str">
        <f t="shared" si="224"/>
        <v>13/09/2025|АРТ-383|C0484</v>
      </c>
      <c r="V486" s="12" t="str">
        <f t="shared" si="225"/>
        <v>оригинал</v>
      </c>
    </row>
    <row r="487" ht="15" customHeight="1">
      <c r="A487" s="10">
        <v>485</v>
      </c>
      <c r="B487" s="11" t="str">
        <f>RAW_Продажи!A486</f>
        <v>09/14/2025</v>
      </c>
      <c r="C487" s="11" t="str">
        <f>RAW_Продажи!B486</f>
        <v>АРТ_284</v>
      </c>
      <c r="D487" s="11" t="str">
        <f>RAW_Продажи!C486</f>
        <v>3</v>
      </c>
      <c r="E487" s="11" t="str">
        <f>RAW_Продажи!D486</f>
        <v>€90</v>
      </c>
      <c r="F487" s="11" t="str">
        <f>RAW_Продажи!E486</f>
        <v>C0485</v>
      </c>
      <c r="G487" s="11" t="str">
        <f>RAW_Продажи!F486</f>
        <v>P040</v>
      </c>
      <c r="H487" s="11" t="str">
        <f>RAW_Продажи!G486</f>
        <v>возврат</v>
      </c>
      <c r="I487" s="12" t="str">
        <f t="shared" si="217"/>
        <v>284</v>
      </c>
      <c r="J487" s="12" t="str">
        <f t="shared" si="218"/>
        <v>€</v>
      </c>
      <c r="K487" s="12">
        <f t="shared" si="219"/>
        <v>90</v>
      </c>
      <c r="L487" s="19">
        <f t="shared" si="220"/>
        <v>45914</v>
      </c>
      <c r="M487" s="13" t="str">
        <f t="shared" si="221"/>
        <v>АРТ-284</v>
      </c>
      <c r="N487" s="13">
        <f t="shared" si="222"/>
        <v>3</v>
      </c>
      <c r="O487" s="13" t="str">
        <f>IFERROR(VLOOKUP(J487,Справочники!$G$6:$H$8,2,0),"RUB")</f>
        <v>EUR</v>
      </c>
      <c r="P487" s="14">
        <f>ROUND(K487*IFERROR(VLOOKUP(J487,Справочники!$G$6:$I$8,3,0),1),2)</f>
        <v>9000</v>
      </c>
      <c r="Q487" s="13" t="str">
        <f>IFERROR(VLOOKUP(H487,Справочники!$D$6:$E$14,2,0),"НЕИЗВЕСТНО")</f>
        <v>Возврат</v>
      </c>
      <c r="R487" s="20">
        <f>IFERROR(INDEX(Товары_очищенные!$Q$3:$Q$503,MATCH(M487,Товары_очищенные!$L$3:$L$503,0)),"нет в каталоге")</f>
        <v>82000</v>
      </c>
      <c r="S487" s="21" t="str">
        <f>IFERROR(INDEX(Товары_очищенные!$N$3:$N$503,MATCH(M487,Товары_очищенные!$L$3:$L$503,0)),"нет в каталоге")</f>
        <v>Мониторы</v>
      </c>
      <c r="T487" s="21" t="str">
        <f t="shared" si="223"/>
        <v>OK</v>
      </c>
      <c r="U487" s="12" t="str">
        <f t="shared" si="224"/>
        <v>14/09/2025|АРТ-284|C0485</v>
      </c>
      <c r="V487" s="12" t="str">
        <f t="shared" si="225"/>
        <v>оригинал</v>
      </c>
    </row>
    <row r="488" ht="15" customHeight="1">
      <c r="A488" s="10">
        <v>486</v>
      </c>
      <c r="B488" s="11" t="str">
        <f>RAW_Продажи!A487</f>
        <v>09/14/2025</v>
      </c>
      <c r="C488" s="11" t="str">
        <f>RAW_Продажи!B487</f>
        <v>276-24</v>
      </c>
      <c r="D488" s="11" t="str">
        <f>RAW_Продажи!C487</f>
        <v>2</v>
      </c>
      <c r="E488" s="11" t="str">
        <f>RAW_Продажи!D487</f>
        <v xml:space="preserve">8000 ₽</v>
      </c>
      <c r="F488" s="11" t="str">
        <f>RAW_Продажи!E487</f>
        <v>C0486</v>
      </c>
      <c r="G488" s="11" t="str">
        <f>RAW_Продажи!F487</f>
        <v>P003</v>
      </c>
      <c r="H488" s="11" t="str">
        <f>RAW_Продажи!G487</f>
        <v>завершен</v>
      </c>
      <c r="I488" s="12" t="str">
        <f t="shared" si="217"/>
        <v>276-24</v>
      </c>
      <c r="J488" s="12" t="str">
        <f t="shared" si="218"/>
        <v>₽</v>
      </c>
      <c r="K488" s="12">
        <f t="shared" si="219"/>
        <v>8000</v>
      </c>
      <c r="L488" s="19">
        <f t="shared" si="220"/>
        <v>45914</v>
      </c>
      <c r="M488" s="13" t="str">
        <f t="shared" si="221"/>
        <v>АРТ-276</v>
      </c>
      <c r="N488" s="13">
        <f t="shared" si="222"/>
        <v>2</v>
      </c>
      <c r="O488" s="13" t="str">
        <f>IFERROR(VLOOKUP(J488,Справочники!$G$6:$H$8,2,0),"RUB")</f>
        <v>RUB</v>
      </c>
      <c r="P488" s="14">
        <f>ROUND(K488*IFERROR(VLOOKUP(J488,Справочники!$G$6:$I$8,3,0),1),2)</f>
        <v>8000</v>
      </c>
      <c r="Q488" s="13" t="str">
        <f>IFERROR(VLOOKUP(H488,Справочники!$D$6:$E$14,2,0),"НЕИЗВЕСТНО")</f>
        <v>Завершен</v>
      </c>
      <c r="R488" s="20">
        <f>IFERROR(INDEX(Товары_очищенные!$Q$3:$Q$503,MATCH(M488,Товары_очищенные!$L$3:$L$503,0)),"нет в каталоге")</f>
        <v>50500</v>
      </c>
      <c r="S488" s="21" t="str">
        <f>IFERROR(INDEX(Товары_очищенные!$N$3:$N$503,MATCH(M488,Товары_очищенные!$L$3:$L$503,0)),"нет в каталоге")</f>
        <v>Планшеты</v>
      </c>
      <c r="T488" s="21" t="str">
        <f t="shared" si="223"/>
        <v>OK</v>
      </c>
      <c r="U488" s="12" t="str">
        <f t="shared" si="224"/>
        <v>14/09/2025|АРТ-276|C0486</v>
      </c>
      <c r="V488" s="12" t="str">
        <f t="shared" si="225"/>
        <v>оригинал</v>
      </c>
    </row>
    <row r="489" ht="15" customHeight="1">
      <c r="A489" s="10">
        <v>487</v>
      </c>
      <c r="B489" s="11" t="str">
        <f>RAW_Продажи!A488</f>
        <v>09/15/2025</v>
      </c>
      <c r="C489" s="11" t="str">
        <f>RAW_Продажи!B488</f>
        <v>№АРТ-047</v>
      </c>
      <c r="D489" s="11" t="str">
        <f>RAW_Продажи!C488</f>
        <v>1</v>
      </c>
      <c r="E489" s="11" t="str">
        <f>RAW_Продажи!D488</f>
        <v>$95</v>
      </c>
      <c r="F489" s="11" t="str">
        <f>RAW_Продажи!E488</f>
        <v>C0487</v>
      </c>
      <c r="G489" s="11" t="str">
        <f>RAW_Продажи!F488</f>
        <v>P025</v>
      </c>
      <c r="H489" s="11" t="str">
        <f>RAW_Продажи!G488</f>
        <v>completed</v>
      </c>
      <c r="I489" s="12" t="str">
        <f t="shared" si="217"/>
        <v>047</v>
      </c>
      <c r="J489" s="12" t="str">
        <f t="shared" si="218"/>
        <v>$</v>
      </c>
      <c r="K489" s="12">
        <f t="shared" si="219"/>
        <v>95</v>
      </c>
      <c r="L489" s="19">
        <f t="shared" si="220"/>
        <v>45915</v>
      </c>
      <c r="M489" s="13" t="str">
        <f t="shared" si="221"/>
        <v>АРТ-047</v>
      </c>
      <c r="N489" s="13">
        <f t="shared" si="222"/>
        <v>1</v>
      </c>
      <c r="O489" s="13" t="str">
        <f>IFERROR(VLOOKUP(J489,Справочники!$G$6:$H$8,2,0),"RUB")</f>
        <v>USD</v>
      </c>
      <c r="P489" s="14">
        <f>ROUND(K489*IFERROR(VLOOKUP(J489,Справочники!$G$6:$I$8,3,0),1),2)</f>
        <v>9025</v>
      </c>
      <c r="Q489" s="13" t="str">
        <f>IFERROR(VLOOKUP(H489,Справочники!$D$6:$E$14,2,0),"НЕИЗВЕСТНО")</f>
        <v>Завершен</v>
      </c>
      <c r="R489" s="20">
        <f>IFERROR(INDEX(Товары_очищенные!$Q$3:$Q$503,MATCH(M489,Товары_очищенные!$L$3:$L$503,0)),"нет в каталоге")</f>
        <v>23900</v>
      </c>
      <c r="S489" s="21" t="str">
        <f>IFERROR(INDEX(Товары_очищенные!$N$3:$N$503,MATCH(M489,Товары_очищенные!$L$3:$L$503,0)),"нет в каталоге")</f>
        <v>Наушники</v>
      </c>
      <c r="T489" s="21" t="str">
        <f t="shared" si="223"/>
        <v>OK</v>
      </c>
      <c r="U489" s="12" t="str">
        <f t="shared" si="224"/>
        <v>15/09/2025|АРТ-047|C0487</v>
      </c>
      <c r="V489" s="12" t="str">
        <f t="shared" si="225"/>
        <v>оригинал</v>
      </c>
    </row>
    <row r="490" ht="15" customHeight="1">
      <c r="A490" s="10">
        <v>488</v>
      </c>
      <c r="B490" s="11" t="str">
        <f>RAW_Продажи!A489</f>
        <v>09/15/2025</v>
      </c>
      <c r="C490" s="11" t="str">
        <f>RAW_Продажи!B489</f>
        <v>АРТ_471</v>
      </c>
      <c r="D490" s="11" t="str">
        <f>RAW_Продажи!C489</f>
        <v>2</v>
      </c>
      <c r="E490" s="11" t="str">
        <f>RAW_Продажи!D489</f>
        <v>€75</v>
      </c>
      <c r="F490" s="11" t="str">
        <f>RAW_Продажи!E489</f>
        <v>C0488</v>
      </c>
      <c r="G490" s="11" t="str">
        <f>RAW_Продажи!F489</f>
        <v>P010</v>
      </c>
      <c r="H490" s="11" t="str">
        <f>RAW_Продажи!G489</f>
        <v>Завершен</v>
      </c>
      <c r="I490" s="12" t="str">
        <f t="shared" si="217"/>
        <v>471</v>
      </c>
      <c r="J490" s="12" t="str">
        <f t="shared" si="218"/>
        <v>€</v>
      </c>
      <c r="K490" s="12">
        <f t="shared" si="219"/>
        <v>75</v>
      </c>
      <c r="L490" s="19">
        <f t="shared" si="220"/>
        <v>45915</v>
      </c>
      <c r="M490" s="13" t="str">
        <f t="shared" si="221"/>
        <v>АРТ-471</v>
      </c>
      <c r="N490" s="13">
        <f t="shared" si="222"/>
        <v>2</v>
      </c>
      <c r="O490" s="13" t="str">
        <f>IFERROR(VLOOKUP(J490,Справочники!$G$6:$H$8,2,0),"RUB")</f>
        <v>EUR</v>
      </c>
      <c r="P490" s="14">
        <f>ROUND(K490*IFERROR(VLOOKUP(J490,Справочники!$G$6:$I$8,3,0),1),2)</f>
        <v>7500</v>
      </c>
      <c r="Q490" s="13" t="str">
        <f>IFERROR(VLOOKUP(H490,Справочники!$D$6:$E$14,2,0),"НЕИЗВЕСТНО")</f>
        <v>Завершен</v>
      </c>
      <c r="R490" s="20">
        <f>IFERROR(INDEX(Товары_очищенные!$Q$3:$Q$503,MATCH(M490,Товары_очищенные!$L$3:$L$503,0)),"нет в каталоге")</f>
        <v>61000</v>
      </c>
      <c r="S490" s="21" t="str">
        <f>IFERROR(INDEX(Товары_очищенные!$N$3:$N$503,MATCH(M490,Товары_очищенные!$L$3:$L$503,0)),"нет в каталоге")</f>
        <v>Телевизоры</v>
      </c>
      <c r="T490" s="21" t="str">
        <f t="shared" si="223"/>
        <v>OK</v>
      </c>
      <c r="U490" s="12" t="str">
        <f t="shared" si="224"/>
        <v>15/09/2025|АРТ-471|C0488</v>
      </c>
      <c r="V490" s="12" t="str">
        <f t="shared" si="225"/>
        <v>оригинал</v>
      </c>
    </row>
    <row r="491" ht="15" customHeight="1">
      <c r="A491" s="10">
        <v>489</v>
      </c>
      <c r="B491" s="11" t="str">
        <f>RAW_Продажи!A490</f>
        <v>09/16/2025</v>
      </c>
      <c r="C491" s="11" t="str">
        <f>RAW_Продажи!B490</f>
        <v>308/24</v>
      </c>
      <c r="D491" s="11" t="str">
        <f>RAW_Продажи!C490</f>
        <v xml:space="preserve">3 шт.</v>
      </c>
      <c r="E491" s="11" t="str">
        <f>RAW_Продажи!D490</f>
        <v xml:space="preserve">7000 ₽</v>
      </c>
      <c r="F491" s="11" t="str">
        <f>RAW_Продажи!E490</f>
        <v>C0489</v>
      </c>
      <c r="G491" s="11" t="str">
        <f>RAW_Продажи!F490</f>
        <v>P033</v>
      </c>
      <c r="H491" s="11" t="str">
        <f>RAW_Продажи!G490</f>
        <v>canceled</v>
      </c>
      <c r="I491" s="12" t="str">
        <f t="shared" si="217"/>
        <v>308/24</v>
      </c>
      <c r="J491" s="12" t="str">
        <f t="shared" si="218"/>
        <v>₽</v>
      </c>
      <c r="K491" s="12">
        <f t="shared" si="219"/>
        <v>7000</v>
      </c>
      <c r="L491" s="19">
        <f t="shared" si="220"/>
        <v>45916</v>
      </c>
      <c r="M491" s="13" t="str">
        <f t="shared" si="221"/>
        <v>АРТ-308</v>
      </c>
      <c r="N491" s="13">
        <f t="shared" si="222"/>
        <v>3</v>
      </c>
      <c r="O491" s="13" t="str">
        <f>IFERROR(VLOOKUP(J491,Справочники!$G$6:$H$8,2,0),"RUB")</f>
        <v>RUB</v>
      </c>
      <c r="P491" s="14">
        <f>ROUND(K491*IFERROR(VLOOKUP(J491,Справочники!$G$6:$I$8,3,0),1),2)</f>
        <v>7000</v>
      </c>
      <c r="Q491" s="13" t="str">
        <f>IFERROR(VLOOKUP(H491,Справочники!$D$6:$E$14,2,0),"НЕИЗВЕСТНО")</f>
        <v>Отменен</v>
      </c>
      <c r="R491" s="20">
        <f>IFERROR(INDEX(Товары_очищенные!$Q$3:$Q$503,MATCH(M491,Товары_очищенные!$L$3:$L$503,0)),"нет в каталоге")</f>
        <v>8500</v>
      </c>
      <c r="S491" s="21" t="str">
        <f>IFERROR(INDEX(Товары_очищенные!$N$3:$N$503,MATCH(M491,Товары_очищенные!$L$3:$L$503,0)),"нет в каталоге")</f>
        <v>Аксессуары</v>
      </c>
      <c r="T491" s="21" t="str">
        <f t="shared" si="223"/>
        <v>OK</v>
      </c>
      <c r="U491" s="12" t="str">
        <f t="shared" si="224"/>
        <v>16/09/2025|АРТ-308|C0489</v>
      </c>
      <c r="V491" s="12" t="str">
        <f t="shared" si="225"/>
        <v>оригинал</v>
      </c>
    </row>
    <row r="492" ht="15" customHeight="1">
      <c r="A492" s="10">
        <v>490</v>
      </c>
      <c r="B492" s="11" t="str">
        <f>RAW_Продажи!A491</f>
        <v>09/16/2025</v>
      </c>
      <c r="C492" s="11" t="str">
        <f>RAW_Продажи!B491</f>
        <v>№АРТ-102</v>
      </c>
      <c r="D492" s="11" t="str">
        <f>RAW_Продажи!C491</f>
        <v>-2</v>
      </c>
      <c r="E492" s="11" t="str">
        <f>RAW_Продажи!D491</f>
        <v>$115</v>
      </c>
      <c r="F492" s="11" t="str">
        <f>RAW_Продажи!E491</f>
        <v>C0490</v>
      </c>
      <c r="G492" s="11" t="str">
        <f>RAW_Продажи!F491</f>
        <v>P047</v>
      </c>
      <c r="H492" s="11" t="str">
        <f>RAW_Продажи!G491</f>
        <v>отменен</v>
      </c>
      <c r="I492" s="12" t="str">
        <f t="shared" si="217"/>
        <v>102</v>
      </c>
      <c r="J492" s="12" t="str">
        <f t="shared" si="218"/>
        <v>$</v>
      </c>
      <c r="K492" s="12">
        <f t="shared" si="219"/>
        <v>115</v>
      </c>
      <c r="L492" s="19">
        <f t="shared" si="220"/>
        <v>45916</v>
      </c>
      <c r="M492" s="13" t="str">
        <f t="shared" si="221"/>
        <v>АРТ-102</v>
      </c>
      <c r="N492" s="13">
        <f t="shared" si="222"/>
        <v>-2</v>
      </c>
      <c r="O492" s="13" t="str">
        <f>IFERROR(VLOOKUP(J492,Справочники!$G$6:$H$8,2,0),"RUB")</f>
        <v>USD</v>
      </c>
      <c r="P492" s="14">
        <f>ROUND(K492*IFERROR(VLOOKUP(J492,Справочники!$G$6:$I$8,3,0),1),2)</f>
        <v>10925</v>
      </c>
      <c r="Q492" s="13" t="str">
        <f>IFERROR(VLOOKUP(H492,Справочники!$D$6:$E$14,2,0),"НЕИЗВЕСТНО")</f>
        <v>Отменен</v>
      </c>
      <c r="R492" s="20">
        <f>IFERROR(INDEX(Товары_очищенные!$Q$3:$Q$503,MATCH(M492,Товары_очищенные!$L$3:$L$503,0)),"нет в каталоге")</f>
        <v>58500</v>
      </c>
      <c r="S492" s="21" t="str">
        <f>IFERROR(INDEX(Товары_очищенные!$N$3:$N$503,MATCH(M492,Товары_очищенные!$L$3:$L$503,0)),"нет в каталоге")</f>
        <v>Планшеты</v>
      </c>
      <c r="T492" s="21" t="str">
        <f t="shared" si="223"/>
        <v>OK</v>
      </c>
      <c r="U492" s="12" t="str">
        <f t="shared" si="224"/>
        <v>16/09/2025|АРТ-102|C0490</v>
      </c>
      <c r="V492" s="12" t="str">
        <f t="shared" si="225"/>
        <v>оригинал</v>
      </c>
    </row>
    <row r="493" ht="15" customHeight="1">
      <c r="A493" s="10">
        <v>491</v>
      </c>
      <c r="B493" s="11" t="str">
        <f>RAW_Продажи!A492</f>
        <v>09/17/2025</v>
      </c>
      <c r="C493" s="11" t="str">
        <f>RAW_Продажи!B492</f>
        <v>АРТ_290</v>
      </c>
      <c r="D493" s="11" t="str">
        <f>RAW_Продажи!C492</f>
        <v>1</v>
      </c>
      <c r="E493" s="11" t="str">
        <f>RAW_Продажи!D492</f>
        <v>€95</v>
      </c>
      <c r="F493" s="11" t="str">
        <f>RAW_Продажи!E492</f>
        <v>C0491</v>
      </c>
      <c r="G493" s="11" t="str">
        <f>RAW_Продажи!F492</f>
        <v>P020</v>
      </c>
      <c r="H493" s="11" t="str">
        <f>RAW_Продажи!G492</f>
        <v>возврат</v>
      </c>
      <c r="I493" s="12" t="str">
        <f t="shared" si="217"/>
        <v>290</v>
      </c>
      <c r="J493" s="12" t="str">
        <f t="shared" si="218"/>
        <v>€</v>
      </c>
      <c r="K493" s="12">
        <f t="shared" si="219"/>
        <v>95</v>
      </c>
      <c r="L493" s="19">
        <f t="shared" si="220"/>
        <v>45917</v>
      </c>
      <c r="M493" s="13" t="str">
        <f t="shared" si="221"/>
        <v>АРТ-290</v>
      </c>
      <c r="N493" s="13">
        <f t="shared" si="222"/>
        <v>1</v>
      </c>
      <c r="O493" s="13" t="str">
        <f>IFERROR(VLOOKUP(J493,Справочники!$G$6:$H$8,2,0),"RUB")</f>
        <v>EUR</v>
      </c>
      <c r="P493" s="14">
        <f>ROUND(K493*IFERROR(VLOOKUP(J493,Справочники!$G$6:$I$8,3,0),1),2)</f>
        <v>9500</v>
      </c>
      <c r="Q493" s="13" t="str">
        <f>IFERROR(VLOOKUP(H493,Справочники!$D$6:$E$14,2,0),"НЕИЗВЕСТНО")</f>
        <v>Возврат</v>
      </c>
      <c r="R493" s="20">
        <f>IFERROR(INDEX(Товары_очищенные!$Q$3:$Q$503,MATCH(M493,Товары_очищенные!$L$3:$L$503,0)),"нет в каталоге")</f>
        <v>60500</v>
      </c>
      <c r="S493" s="21" t="str">
        <f>IFERROR(INDEX(Товары_очищенные!$N$3:$N$503,MATCH(M493,Товары_очищенные!$L$3:$L$503,0)),"нет в каталоге")</f>
        <v>Часы</v>
      </c>
      <c r="T493" s="21" t="str">
        <f t="shared" si="223"/>
        <v>OK</v>
      </c>
      <c r="U493" s="12" t="str">
        <f t="shared" si="224"/>
        <v>17/09/2025|АРТ-290|C0491</v>
      </c>
      <c r="V493" s="12" t="str">
        <f t="shared" si="225"/>
        <v>оригинал</v>
      </c>
    </row>
    <row r="494" ht="15" customHeight="1">
      <c r="A494" s="10">
        <v>492</v>
      </c>
      <c r="B494" s="11" t="str">
        <f>RAW_Продажи!A493</f>
        <v>09/17/2025</v>
      </c>
      <c r="C494" s="11" t="str">
        <f>RAW_Продажи!B493</f>
        <v>063-24</v>
      </c>
      <c r="D494" s="11" t="str">
        <f>RAW_Продажи!C493</f>
        <v>2</v>
      </c>
      <c r="E494" s="11" t="str">
        <f>RAW_Продажи!D493</f>
        <v xml:space="preserve">8500 ₽</v>
      </c>
      <c r="F494" s="11" t="str">
        <f>RAW_Продажи!E493</f>
        <v>C0492</v>
      </c>
      <c r="G494" s="11" t="str">
        <f>RAW_Продажи!F493</f>
        <v>P002</v>
      </c>
      <c r="H494" s="11" t="str">
        <f>RAW_Продажи!G493</f>
        <v>Завершен</v>
      </c>
      <c r="I494" s="12" t="str">
        <f t="shared" si="217"/>
        <v>063-24</v>
      </c>
      <c r="J494" s="12" t="str">
        <f t="shared" si="218"/>
        <v>₽</v>
      </c>
      <c r="K494" s="12">
        <f t="shared" si="219"/>
        <v>8500</v>
      </c>
      <c r="L494" s="19">
        <f t="shared" si="220"/>
        <v>45917</v>
      </c>
      <c r="M494" s="13" t="str">
        <f t="shared" si="221"/>
        <v>АРТ-063</v>
      </c>
      <c r="N494" s="13">
        <f t="shared" si="222"/>
        <v>2</v>
      </c>
      <c r="O494" s="13" t="str">
        <f>IFERROR(VLOOKUP(J494,Справочники!$G$6:$H$8,2,0),"RUB")</f>
        <v>RUB</v>
      </c>
      <c r="P494" s="14">
        <f>ROUND(K494*IFERROR(VLOOKUP(J494,Справочники!$G$6:$I$8,3,0),1),2)</f>
        <v>8500</v>
      </c>
      <c r="Q494" s="13" t="str">
        <f>IFERROR(VLOOKUP(H494,Справочники!$D$6:$E$14,2,0),"НЕИЗВЕСТНО")</f>
        <v>Завершен</v>
      </c>
      <c r="R494" s="20">
        <f>IFERROR(INDEX(Товары_очищенные!$Q$3:$Q$503,MATCH(M494,Товары_очищенные!$L$3:$L$503,0)),"нет в каталоге")</f>
        <v>127000</v>
      </c>
      <c r="S494" s="21" t="str">
        <f>IFERROR(INDEX(Товары_очищенные!$N$3:$N$503,MATCH(M494,Товары_очищенные!$L$3:$L$503,0)),"нет в каталоге")</f>
        <v>Ноутбуки</v>
      </c>
      <c r="T494" s="21" t="str">
        <f t="shared" si="223"/>
        <v>OK</v>
      </c>
      <c r="U494" s="12" t="str">
        <f t="shared" si="224"/>
        <v>17/09/2025|АРТ-063|C0492</v>
      </c>
      <c r="V494" s="12" t="str">
        <f t="shared" si="225"/>
        <v>оригинал</v>
      </c>
    </row>
    <row r="495" ht="15" customHeight="1">
      <c r="A495" s="10">
        <v>493</v>
      </c>
      <c r="B495" s="11" t="str">
        <f>RAW_Продажи!A494</f>
        <v>09/18/2025</v>
      </c>
      <c r="C495" s="11" t="str">
        <f>RAW_Продажи!B494</f>
        <v>№АРТ-154</v>
      </c>
      <c r="D495" s="11" t="str">
        <f>RAW_Продажи!C494</f>
        <v>3</v>
      </c>
      <c r="E495" s="11" t="str">
        <f>RAW_Продажи!D494</f>
        <v>$105</v>
      </c>
      <c r="F495" s="11" t="str">
        <f>RAW_Продажи!E494</f>
        <v>C0493</v>
      </c>
      <c r="G495" s="11" t="str">
        <f>RAW_Продажи!F494</f>
        <v>P038</v>
      </c>
      <c r="H495" s="11" t="str">
        <f>RAW_Продажи!G494</f>
        <v>завершен</v>
      </c>
      <c r="I495" s="12" t="str">
        <f t="shared" si="217"/>
        <v>154</v>
      </c>
      <c r="J495" s="12" t="str">
        <f t="shared" si="218"/>
        <v>$</v>
      </c>
      <c r="K495" s="12">
        <f t="shared" si="219"/>
        <v>105</v>
      </c>
      <c r="L495" s="19">
        <f t="shared" si="220"/>
        <v>45918</v>
      </c>
      <c r="M495" s="13" t="str">
        <f t="shared" si="221"/>
        <v>АРТ-154</v>
      </c>
      <c r="N495" s="13">
        <f t="shared" si="222"/>
        <v>3</v>
      </c>
      <c r="O495" s="13" t="str">
        <f>IFERROR(VLOOKUP(J495,Справочники!$G$6:$H$8,2,0),"RUB")</f>
        <v>USD</v>
      </c>
      <c r="P495" s="14">
        <f>ROUND(K495*IFERROR(VLOOKUP(J495,Справочники!$G$6:$I$8,3,0),1),2)</f>
        <v>9975</v>
      </c>
      <c r="Q495" s="13" t="str">
        <f>IFERROR(VLOOKUP(H495,Справочники!$D$6:$E$14,2,0),"НЕИЗВЕСТНО")</f>
        <v>Завершен</v>
      </c>
      <c r="R495" s="20">
        <f>IFERROR(INDEX(Товары_очищенные!$Q$3:$Q$503,MATCH(M495,Товары_очищенные!$L$3:$L$503,0)),"нет в каталоге")</f>
        <v>16990</v>
      </c>
      <c r="S495" s="21" t="str">
        <f>IFERROR(INDEX(Товары_очищенные!$N$3:$N$503,MATCH(M495,Товары_очищенные!$L$3:$L$503,0)),"нет в каталоге")</f>
        <v>Наушники</v>
      </c>
      <c r="T495" s="21" t="str">
        <f t="shared" si="223"/>
        <v>OK</v>
      </c>
      <c r="U495" s="12" t="str">
        <f t="shared" si="224"/>
        <v>18/09/2025|АРТ-154|C0493</v>
      </c>
      <c r="V495" s="12" t="str">
        <f t="shared" si="225"/>
        <v>оригинал</v>
      </c>
    </row>
    <row r="496" ht="15" customHeight="1">
      <c r="A496" s="10">
        <v>494</v>
      </c>
      <c r="B496" s="11" t="str">
        <f>RAW_Продажи!A495</f>
        <v>09/18/2025</v>
      </c>
      <c r="C496" s="11" t="str">
        <f>RAW_Продажи!B495</f>
        <v>АРТ_498</v>
      </c>
      <c r="D496" s="11" t="str">
        <f>RAW_Продажи!C495</f>
        <v>2</v>
      </c>
      <c r="E496" s="11" t="str">
        <f>RAW_Продажи!D495</f>
        <v>€85</v>
      </c>
      <c r="F496" s="11" t="str">
        <f>RAW_Продажи!E495</f>
        <v>C0494</v>
      </c>
      <c r="G496" s="11" t="str">
        <f>RAW_Продажи!F495</f>
        <v>P016</v>
      </c>
      <c r="H496" s="11" t="str">
        <f>RAW_Продажи!G495</f>
        <v>completed</v>
      </c>
      <c r="I496" s="12" t="str">
        <f t="shared" si="217"/>
        <v>498</v>
      </c>
      <c r="J496" s="12" t="str">
        <f t="shared" si="218"/>
        <v>€</v>
      </c>
      <c r="K496" s="12">
        <f t="shared" si="219"/>
        <v>85</v>
      </c>
      <c r="L496" s="19">
        <f t="shared" si="220"/>
        <v>45918</v>
      </c>
      <c r="M496" s="13" t="str">
        <f t="shared" si="221"/>
        <v>АРТ-498</v>
      </c>
      <c r="N496" s="13">
        <f t="shared" si="222"/>
        <v>2</v>
      </c>
      <c r="O496" s="13" t="str">
        <f>IFERROR(VLOOKUP(J496,Справочники!$G$6:$H$8,2,0),"RUB")</f>
        <v>EUR</v>
      </c>
      <c r="P496" s="14">
        <f>ROUND(K496*IFERROR(VLOOKUP(J496,Справочники!$G$6:$I$8,3,0),1),2)</f>
        <v>8500</v>
      </c>
      <c r="Q496" s="13" t="str">
        <f>IFERROR(VLOOKUP(H496,Справочники!$D$6:$E$14,2,0),"НЕИЗВЕСТНО")</f>
        <v>Завершен</v>
      </c>
      <c r="R496" s="20">
        <f>IFERROR(INDEX(Товары_очищенные!$Q$3:$Q$503,MATCH(M496,Товары_очищенные!$L$3:$L$503,0)),"нет в каталоге")</f>
        <v>62000</v>
      </c>
      <c r="S496" s="21" t="str">
        <f>IFERROR(INDEX(Товары_очищенные!$N$3:$N$503,MATCH(M496,Товары_очищенные!$L$3:$L$503,0)),"нет в каталоге")</f>
        <v>Мониторы</v>
      </c>
      <c r="T496" s="21" t="str">
        <f t="shared" si="223"/>
        <v>OK</v>
      </c>
      <c r="U496" s="12" t="str">
        <f t="shared" si="224"/>
        <v>18/09/2025|АРТ-498|C0494</v>
      </c>
      <c r="V496" s="12" t="str">
        <f t="shared" si="225"/>
        <v>оригинал</v>
      </c>
    </row>
    <row r="497" ht="15" customHeight="1">
      <c r="A497" s="10">
        <v>495</v>
      </c>
      <c r="B497" s="11" t="str">
        <f>RAW_Продажи!A496</f>
        <v>09/19/2025</v>
      </c>
      <c r="C497" s="11" t="str">
        <f>RAW_Продажи!B496</f>
        <v>309/24</v>
      </c>
      <c r="D497" s="11" t="str">
        <f>RAW_Продажи!C496</f>
        <v xml:space="preserve">1 шт.</v>
      </c>
      <c r="E497" s="11" t="str">
        <f>RAW_Продажи!D496</f>
        <v xml:space="preserve">7800 ₽</v>
      </c>
      <c r="F497" s="11" t="str">
        <f>RAW_Продажи!E496</f>
        <v>C0495</v>
      </c>
      <c r="G497" s="11" t="str">
        <f>RAW_Продажи!F496</f>
        <v>P029</v>
      </c>
      <c r="H497" s="11" t="str">
        <f>RAW_Продажи!G496</f>
        <v>отменен</v>
      </c>
      <c r="I497" s="12" t="str">
        <f t="shared" si="217"/>
        <v>309/24</v>
      </c>
      <c r="J497" s="12" t="str">
        <f t="shared" si="218"/>
        <v>₽</v>
      </c>
      <c r="K497" s="12">
        <f t="shared" si="219"/>
        <v>7800</v>
      </c>
      <c r="L497" s="19">
        <f t="shared" si="220"/>
        <v>45919</v>
      </c>
      <c r="M497" s="13" t="str">
        <f t="shared" si="221"/>
        <v>АРТ-309</v>
      </c>
      <c r="N497" s="13">
        <f t="shared" si="222"/>
        <v>1</v>
      </c>
      <c r="O497" s="13" t="str">
        <f>IFERROR(VLOOKUP(J497,Справочники!$G$6:$H$8,2,0),"RUB")</f>
        <v>RUB</v>
      </c>
      <c r="P497" s="14">
        <f>ROUND(K497*IFERROR(VLOOKUP(J497,Справочники!$G$6:$I$8,3,0),1),2)</f>
        <v>7800</v>
      </c>
      <c r="Q497" s="13" t="str">
        <f>IFERROR(VLOOKUP(H497,Справочники!$D$6:$E$14,2,0),"НЕИЗВЕСТНО")</f>
        <v>Отменен</v>
      </c>
      <c r="R497" s="20">
        <f>IFERROR(INDEX(Товары_очищенные!$Q$3:$Q$503,MATCH(M497,Товары_очищенные!$L$3:$L$503,0)),"нет в каталоге")</f>
        <v>9800</v>
      </c>
      <c r="S497" s="21" t="str">
        <f>IFERROR(INDEX(Товары_очищенные!$N$3:$N$503,MATCH(M497,Товары_очищенные!$L$3:$L$503,0)),"нет в каталоге")</f>
        <v>Аксессуары</v>
      </c>
      <c r="T497" s="21" t="str">
        <f t="shared" si="223"/>
        <v>OK</v>
      </c>
      <c r="U497" s="12" t="str">
        <f t="shared" si="224"/>
        <v>19/09/2025|АРТ-309|C0495</v>
      </c>
      <c r="V497" s="12" t="str">
        <f t="shared" si="225"/>
        <v>оригинал</v>
      </c>
    </row>
    <row r="498" ht="15" customHeight="1">
      <c r="A498" s="10">
        <v>496</v>
      </c>
      <c r="B498" s="11" t="str">
        <f>RAW_Продажи!A497</f>
        <v>09/19/2025</v>
      </c>
      <c r="C498" s="11" t="str">
        <f>RAW_Продажи!B497</f>
        <v>№АРТ-259</v>
      </c>
      <c r="D498" s="11" t="str">
        <f>RAW_Продажи!C497</f>
        <v>-3</v>
      </c>
      <c r="E498" s="11" t="str">
        <f>RAW_Продажи!D497</f>
        <v>$120</v>
      </c>
      <c r="F498" s="11" t="str">
        <f>RAW_Продажи!E497</f>
        <v>C0496</v>
      </c>
      <c r="G498" s="11" t="str">
        <f>RAW_Продажи!F497</f>
        <v>P035</v>
      </c>
      <c r="H498" s="11" t="str">
        <f>RAW_Продажи!G497</f>
        <v>canceled</v>
      </c>
      <c r="I498" s="12" t="str">
        <f t="shared" si="217"/>
        <v>259</v>
      </c>
      <c r="J498" s="12" t="str">
        <f t="shared" si="218"/>
        <v>$</v>
      </c>
      <c r="K498" s="12">
        <f t="shared" si="219"/>
        <v>120</v>
      </c>
      <c r="L498" s="19">
        <f t="shared" si="220"/>
        <v>45919</v>
      </c>
      <c r="M498" s="13" t="str">
        <f t="shared" si="221"/>
        <v>АРТ-259</v>
      </c>
      <c r="N498" s="13">
        <f t="shared" si="222"/>
        <v>-3</v>
      </c>
      <c r="O498" s="13" t="str">
        <f>IFERROR(VLOOKUP(J498,Справочники!$G$6:$H$8,2,0),"RUB")</f>
        <v>USD</v>
      </c>
      <c r="P498" s="14">
        <f>ROUND(K498*IFERROR(VLOOKUP(J498,Справочники!$G$6:$I$8,3,0),1),2)</f>
        <v>11400</v>
      </c>
      <c r="Q498" s="13" t="str">
        <f>IFERROR(VLOOKUP(H498,Справочники!$D$6:$E$14,2,0),"НЕИЗВЕСТНО")</f>
        <v>Отменен</v>
      </c>
      <c r="R498" s="20">
        <f>IFERROR(INDEX(Товары_очищенные!$Q$3:$Q$503,MATCH(M498,Товары_очищенные!$L$3:$L$503,0)),"нет в каталоге")</f>
        <v>92990</v>
      </c>
      <c r="S498" s="21" t="str">
        <f>IFERROR(INDEX(Товары_очищенные!$N$3:$N$503,MATCH(M498,Товары_очищенные!$L$3:$L$503,0)),"нет в каталоге")</f>
        <v>Телевизоры</v>
      </c>
      <c r="T498" s="21" t="str">
        <f t="shared" si="223"/>
        <v>OK</v>
      </c>
      <c r="U498" s="12" t="str">
        <f t="shared" si="224"/>
        <v>19/09/2025|АРТ-259|C0496</v>
      </c>
      <c r="V498" s="12" t="str">
        <f t="shared" si="225"/>
        <v>оригинал</v>
      </c>
    </row>
    <row r="499" ht="15" customHeight="1">
      <c r="A499" s="10">
        <v>497</v>
      </c>
      <c r="B499" s="11" t="str">
        <f>RAW_Продажи!A498</f>
        <v>09/20/2025</v>
      </c>
      <c r="C499" s="11" t="str">
        <f>RAW_Продажи!B498</f>
        <v>АРТ_326</v>
      </c>
      <c r="D499" s="11" t="str">
        <f>RAW_Продажи!C498</f>
        <v>2</v>
      </c>
      <c r="E499" s="11" t="str">
        <f>RAW_Продажи!D498</f>
        <v>€100</v>
      </c>
      <c r="F499" s="11" t="str">
        <f>RAW_Продажи!E498</f>
        <v>C0497</v>
      </c>
      <c r="G499" s="11" t="str">
        <f>RAW_Продажи!F498</f>
        <v>P046</v>
      </c>
      <c r="H499" s="11" t="str">
        <f>RAW_Продажи!G498</f>
        <v>Завершен</v>
      </c>
      <c r="I499" s="12" t="str">
        <f t="shared" si="217"/>
        <v>326</v>
      </c>
      <c r="J499" s="12" t="str">
        <f t="shared" si="218"/>
        <v>€</v>
      </c>
      <c r="K499" s="12">
        <f t="shared" si="219"/>
        <v>100</v>
      </c>
      <c r="L499" s="19">
        <f t="shared" si="220"/>
        <v>45920</v>
      </c>
      <c r="M499" s="13" t="str">
        <f t="shared" si="221"/>
        <v>АРТ-326</v>
      </c>
      <c r="N499" s="13">
        <f t="shared" si="222"/>
        <v>2</v>
      </c>
      <c r="O499" s="13" t="str">
        <f>IFERROR(VLOOKUP(J499,Справочники!$G$6:$H$8,2,0),"RUB")</f>
        <v>EUR</v>
      </c>
      <c r="P499" s="14">
        <f>ROUND(K499*IFERROR(VLOOKUP(J499,Справочники!$G$6:$I$8,3,0),1),2)</f>
        <v>10000</v>
      </c>
      <c r="Q499" s="13" t="str">
        <f>IFERROR(VLOOKUP(H499,Справочники!$D$6:$E$14,2,0),"НЕИЗВЕСТНО")</f>
        <v>Завершен</v>
      </c>
      <c r="R499" s="20">
        <f>IFERROR(INDEX(Товары_очищенные!$Q$3:$Q$503,MATCH(M499,Товары_очищенные!$L$3:$L$503,0)),"нет в каталоге")</f>
        <v>64500</v>
      </c>
      <c r="S499" s="21" t="str">
        <f>IFERROR(INDEX(Товары_очищенные!$N$3:$N$503,MATCH(M499,Товары_очищенные!$L$3:$L$503,0)),"нет в каталоге")</f>
        <v>Мониторы</v>
      </c>
      <c r="T499" s="21" t="str">
        <f t="shared" si="223"/>
        <v>OK</v>
      </c>
      <c r="U499" s="12" t="str">
        <f t="shared" si="224"/>
        <v>20/09/2025|АРТ-326|C0497</v>
      </c>
      <c r="V499" s="12" t="str">
        <f t="shared" si="225"/>
        <v>оригинал</v>
      </c>
    </row>
    <row r="500" ht="15" customHeight="1">
      <c r="A500" s="10">
        <v>498</v>
      </c>
      <c r="B500" s="11" t="str">
        <f>RAW_Продажи!A499</f>
        <v>09/20/2025</v>
      </c>
      <c r="C500" s="11" t="str">
        <f>RAW_Продажи!B499</f>
        <v>145-24</v>
      </c>
      <c r="D500" s="11" t="str">
        <f>RAW_Продажи!C499</f>
        <v>1</v>
      </c>
      <c r="E500" s="11" t="str">
        <f>RAW_Продажи!D499</f>
        <v xml:space="preserve">9200 ₽</v>
      </c>
      <c r="F500" s="11" t="str">
        <f>RAW_Продажи!E499</f>
        <v>C0498</v>
      </c>
      <c r="G500" s="11" t="str">
        <f>RAW_Продажи!F499</f>
        <v>P022</v>
      </c>
      <c r="H500" s="11" t="str">
        <f>RAW_Продажи!G499</f>
        <v>возврат</v>
      </c>
      <c r="I500" s="12" t="str">
        <f t="shared" si="217"/>
        <v>145-24</v>
      </c>
      <c r="J500" s="12" t="str">
        <f t="shared" si="218"/>
        <v>₽</v>
      </c>
      <c r="K500" s="12">
        <f t="shared" si="219"/>
        <v>9200</v>
      </c>
      <c r="L500" s="19">
        <f t="shared" si="220"/>
        <v>45920</v>
      </c>
      <c r="M500" s="13" t="str">
        <f t="shared" si="221"/>
        <v>АРТ-145</v>
      </c>
      <c r="N500" s="13">
        <f t="shared" si="222"/>
        <v>1</v>
      </c>
      <c r="O500" s="13" t="str">
        <f>IFERROR(VLOOKUP(J500,Справочники!$G$6:$H$8,2,0),"RUB")</f>
        <v>RUB</v>
      </c>
      <c r="P500" s="14">
        <f>ROUND(K500*IFERROR(VLOOKUP(J500,Справочники!$G$6:$I$8,3,0),1),2)</f>
        <v>9200</v>
      </c>
      <c r="Q500" s="13" t="str">
        <f>IFERROR(VLOOKUP(H500,Справочники!$D$6:$E$14,2,0),"НЕИЗВЕСТНО")</f>
        <v>Возврат</v>
      </c>
      <c r="R500" s="20">
        <f>IFERROR(INDEX(Товары_очищенные!$Q$3:$Q$503,MATCH(M500,Товары_очищенные!$L$3:$L$503,0)),"нет в каталоге")</f>
        <v>45990</v>
      </c>
      <c r="S500" s="21" t="str">
        <f>IFERROR(INDEX(Товары_очищенные!$N$3:$N$503,MATCH(M500,Товары_очищенные!$L$3:$L$503,0)),"нет в каталоге")</f>
        <v>Смартфоны</v>
      </c>
      <c r="T500" s="21" t="str">
        <f t="shared" si="223"/>
        <v>OK</v>
      </c>
      <c r="U500" s="12" t="str">
        <f t="shared" si="224"/>
        <v>20/09/2025|АРТ-145|C0498</v>
      </c>
      <c r="V500" s="12" t="str">
        <f t="shared" si="225"/>
        <v>оригинал</v>
      </c>
    </row>
    <row r="501" ht="15" customHeight="1">
      <c r="A501" s="10">
        <v>499</v>
      </c>
      <c r="B501" s="11" t="str">
        <f>RAW_Продажи!A500</f>
        <v>09/21/2025</v>
      </c>
      <c r="C501" s="11" t="str">
        <f>RAW_Продажи!B500</f>
        <v>№АРТ-020</v>
      </c>
      <c r="D501" s="11" t="str">
        <f>RAW_Продажи!C500</f>
        <v>3</v>
      </c>
      <c r="E501" s="11" t="str">
        <f>RAW_Продажи!D500</f>
        <v>$90</v>
      </c>
      <c r="F501" s="11" t="str">
        <f>RAW_Продажи!E500</f>
        <v>C0499</v>
      </c>
      <c r="G501" s="11" t="str">
        <f>RAW_Продажи!F500</f>
        <v>P043</v>
      </c>
      <c r="H501" s="11" t="str">
        <f>RAW_Продажи!G500</f>
        <v>завершен</v>
      </c>
      <c r="I501" s="12" t="str">
        <f t="shared" si="217"/>
        <v>020</v>
      </c>
      <c r="J501" s="12" t="str">
        <f t="shared" si="218"/>
        <v>$</v>
      </c>
      <c r="K501" s="12">
        <f t="shared" si="219"/>
        <v>90</v>
      </c>
      <c r="L501" s="19">
        <f t="shared" si="220"/>
        <v>45921</v>
      </c>
      <c r="M501" s="13" t="str">
        <f t="shared" si="221"/>
        <v>АРТ-020</v>
      </c>
      <c r="N501" s="13">
        <f t="shared" si="222"/>
        <v>3</v>
      </c>
      <c r="O501" s="13" t="str">
        <f>IFERROR(VLOOKUP(J501,Справочники!$G$6:$H$8,2,0),"RUB")</f>
        <v>USD</v>
      </c>
      <c r="P501" s="14">
        <f>ROUND(K501*IFERROR(VLOOKUP(J501,Справочники!$G$6:$I$8,3,0),1),2)</f>
        <v>8550</v>
      </c>
      <c r="Q501" s="13" t="str">
        <f>IFERROR(VLOOKUP(H501,Справочники!$D$6:$E$14,2,0),"НЕИЗВЕСТНО")</f>
        <v>Завершен</v>
      </c>
      <c r="R501" s="20">
        <f>IFERROR(INDEX(Товары_очищенные!$Q$3:$Q$503,MATCH(M501,Товары_очищенные!$L$3:$L$503,0)),"нет в каталоге")</f>
        <v>133500</v>
      </c>
      <c r="S501" s="21" t="str">
        <f>IFERROR(INDEX(Товары_очищенные!$N$3:$N$503,MATCH(M501,Товары_очищенные!$L$3:$L$503,0)),"нет в каталоге")</f>
        <v>Ноутбуки</v>
      </c>
      <c r="T501" s="21" t="str">
        <f t="shared" si="223"/>
        <v>OK</v>
      </c>
      <c r="U501" s="12" t="str">
        <f t="shared" si="224"/>
        <v>21/09/2025|АРТ-020|C0499</v>
      </c>
      <c r="V501" s="12" t="str">
        <f t="shared" si="225"/>
        <v>оригинал</v>
      </c>
    </row>
    <row r="502" ht="15" customHeight="1">
      <c r="A502" s="10">
        <v>500</v>
      </c>
      <c r="B502" s="11" t="str">
        <f>RAW_Продажи!A501</f>
        <v>09/21/2025</v>
      </c>
      <c r="C502" s="11" t="str">
        <f>RAW_Продажи!B501</f>
        <v>АРТ_479</v>
      </c>
      <c r="D502" s="11" t="str">
        <f>RAW_Продажи!C501</f>
        <v>2</v>
      </c>
      <c r="E502" s="11" t="str">
        <f>RAW_Продажи!D501</f>
        <v>€70</v>
      </c>
      <c r="F502" s="11" t="str">
        <f>RAW_Продажи!E501</f>
        <v>C0500</v>
      </c>
      <c r="G502" s="11" t="str">
        <f>RAW_Продажи!F501</f>
        <v>P030</v>
      </c>
      <c r="H502" s="11" t="str">
        <f>RAW_Продажи!G501</f>
        <v>completed</v>
      </c>
      <c r="I502" s="12" t="str">
        <f t="shared" si="217"/>
        <v>479</v>
      </c>
      <c r="J502" s="12" t="str">
        <f t="shared" si="218"/>
        <v>€</v>
      </c>
      <c r="K502" s="12">
        <f t="shared" si="219"/>
        <v>70</v>
      </c>
      <c r="L502" s="19">
        <f t="shared" si="220"/>
        <v>45921</v>
      </c>
      <c r="M502" s="13" t="str">
        <f t="shared" si="221"/>
        <v>АРТ-479</v>
      </c>
      <c r="N502" s="13">
        <f t="shared" si="222"/>
        <v>2</v>
      </c>
      <c r="O502" s="13" t="str">
        <f>IFERROR(VLOOKUP(J502,Справочники!$G$6:$H$8,2,0),"RUB")</f>
        <v>EUR</v>
      </c>
      <c r="P502" s="14">
        <f>ROUND(K502*IFERROR(VLOOKUP(J502,Справочники!$G$6:$I$8,3,0),1),2)</f>
        <v>7000</v>
      </c>
      <c r="Q502" s="13" t="str">
        <f>IFERROR(VLOOKUP(H502,Справочники!$D$6:$E$14,2,0),"НЕИЗВЕСТНО")</f>
        <v>Завершен</v>
      </c>
      <c r="R502" s="20">
        <f>IFERROR(INDEX(Товары_очищенные!$Q$3:$Q$503,MATCH(M502,Товары_очищенные!$L$3:$L$503,0)),"нет в каталоге")</f>
        <v>12500</v>
      </c>
      <c r="S502" s="21" t="str">
        <f>IFERROR(INDEX(Товары_очищенные!$N$3:$N$503,MATCH(M502,Товары_очищенные!$L$3:$L$503,0)),"нет в каталоге")</f>
        <v>Аксессуары</v>
      </c>
      <c r="T502" s="21" t="str">
        <f t="shared" si="223"/>
        <v>OK</v>
      </c>
      <c r="U502" s="12" t="str">
        <f t="shared" si="224"/>
        <v>21/09/2025|АРТ-479|C0500</v>
      </c>
      <c r="V502" s="12" t="str">
        <f t="shared" si="225"/>
        <v>оригинал</v>
      </c>
    </row>
    <row r="503" ht="15" customHeight="1">
      <c r="A503" s="10">
        <v>501</v>
      </c>
      <c r="B503" s="11" t="str">
        <f>RAW_Продажи!A502</f>
        <v>09/22/2025</v>
      </c>
      <c r="C503" s="11" t="str">
        <f>RAW_Продажи!B502</f>
        <v>376/24</v>
      </c>
      <c r="D503" s="11" t="str">
        <f>RAW_Продажи!C502</f>
        <v xml:space="preserve">1 шт.</v>
      </c>
      <c r="E503" s="11" t="str">
        <f>RAW_Продажи!D502</f>
        <v xml:space="preserve">6500 ₽</v>
      </c>
      <c r="F503" s="11" t="str">
        <f>RAW_Продажи!E502</f>
        <v>C0501</v>
      </c>
      <c r="G503" s="11" t="str">
        <f>RAW_Продажи!F502</f>
        <v>P012</v>
      </c>
      <c r="H503" s="11" t="str">
        <f>RAW_Продажи!G502</f>
        <v>Завершен</v>
      </c>
      <c r="I503" s="12" t="str">
        <f t="shared" si="217"/>
        <v>376/24</v>
      </c>
      <c r="J503" s="12" t="str">
        <f t="shared" si="218"/>
        <v>₽</v>
      </c>
      <c r="K503" s="12">
        <f t="shared" si="219"/>
        <v>6500</v>
      </c>
      <c r="L503" s="19">
        <f t="shared" si="220"/>
        <v>45922</v>
      </c>
      <c r="M503" s="13" t="str">
        <f t="shared" si="221"/>
        <v>АРТ-376</v>
      </c>
      <c r="N503" s="13">
        <f t="shared" si="222"/>
        <v>1</v>
      </c>
      <c r="O503" s="13" t="str">
        <f>IFERROR(VLOOKUP(J503,Справочники!$G$6:$H$8,2,0),"RUB")</f>
        <v>RUB</v>
      </c>
      <c r="P503" s="14">
        <f>ROUND(K503*IFERROR(VLOOKUP(J503,Справочники!$G$6:$I$8,3,0),1),2)</f>
        <v>6500</v>
      </c>
      <c r="Q503" s="13" t="str">
        <f>IFERROR(VLOOKUP(H503,Справочники!$D$6:$E$14,2,0),"НЕИЗВЕСТНО")</f>
        <v>Завершен</v>
      </c>
      <c r="R503" s="20">
        <f>IFERROR(INDEX(Товары_очищенные!$Q$3:$Q$503,MATCH(M503,Товары_очищенные!$L$3:$L$503,0)),"нет в каталоге")</f>
        <v>24990</v>
      </c>
      <c r="S503" s="21" t="str">
        <f>IFERROR(INDEX(Товары_очищенные!$N$3:$N$503,MATCH(M503,Товары_очищенные!$L$3:$L$503,0)),"нет в каталоге")</f>
        <v>Часы</v>
      </c>
      <c r="T503" s="21" t="str">
        <f t="shared" si="223"/>
        <v>OK</v>
      </c>
      <c r="U503" s="12" t="str">
        <f t="shared" si="224"/>
        <v>22/09/2025|АРТ-376|C0501</v>
      </c>
      <c r="V503" s="12" t="str">
        <f t="shared" si="225"/>
        <v>оригинал</v>
      </c>
    </row>
    <row r="504" ht="15" customHeight="1">
      <c r="A504" s="10">
        <v>502</v>
      </c>
      <c r="B504" s="11" t="str">
        <f>RAW_Продажи!A503</f>
        <v>09/22/2025</v>
      </c>
      <c r="C504" s="11" t="str">
        <f>RAW_Продажи!B503</f>
        <v>№АРТ-364</v>
      </c>
      <c r="D504" s="11" t="str">
        <f>RAW_Продажи!C503</f>
        <v>-1</v>
      </c>
      <c r="E504" s="11" t="str">
        <f>RAW_Продажи!D503</f>
        <v>$110</v>
      </c>
      <c r="F504" s="11" t="str">
        <f>RAW_Продажи!E503</f>
        <v>C0502</v>
      </c>
      <c r="G504" s="11" t="str">
        <f>RAW_Продажи!F503</f>
        <v>P007</v>
      </c>
      <c r="H504" s="11" t="str">
        <f>RAW_Продажи!G503</f>
        <v>canceled</v>
      </c>
      <c r="I504" s="12" t="str">
        <f t="shared" si="217"/>
        <v>364</v>
      </c>
      <c r="J504" s="12" t="str">
        <f t="shared" si="218"/>
        <v>$</v>
      </c>
      <c r="K504" s="12">
        <f t="shared" si="219"/>
        <v>110</v>
      </c>
      <c r="L504" s="19">
        <f t="shared" si="220"/>
        <v>45922</v>
      </c>
      <c r="M504" s="13" t="str">
        <f t="shared" si="221"/>
        <v>АРТ-364</v>
      </c>
      <c r="N504" s="13">
        <f t="shared" si="222"/>
        <v>-1</v>
      </c>
      <c r="O504" s="13" t="str">
        <f>IFERROR(VLOOKUP(J504,Справочники!$G$6:$H$8,2,0),"RUB")</f>
        <v>USD</v>
      </c>
      <c r="P504" s="14">
        <f>ROUND(K504*IFERROR(VLOOKUP(J504,Справочники!$G$6:$I$8,3,0),1),2)</f>
        <v>10450</v>
      </c>
      <c r="Q504" s="13" t="str">
        <f>IFERROR(VLOOKUP(H504,Справочники!$D$6:$E$14,2,0),"НЕИЗВЕСТНО")</f>
        <v>Отменен</v>
      </c>
      <c r="R504" s="20">
        <f>IFERROR(INDEX(Товары_очищенные!$Q$3:$Q$503,MATCH(M504,Товары_очищенные!$L$3:$L$503,0)),"нет в каталоге")</f>
        <v>139990</v>
      </c>
      <c r="S504" s="21" t="str">
        <f>IFERROR(INDEX(Товары_очищенные!$N$3:$N$503,MATCH(M504,Товары_очищенные!$L$3:$L$503,0)),"нет в каталоге")</f>
        <v>Телевизоры</v>
      </c>
      <c r="T504" s="21" t="str">
        <f t="shared" si="223"/>
        <v>OK</v>
      </c>
      <c r="U504" s="12" t="str">
        <f t="shared" si="224"/>
        <v>22/09/2025|АРТ-364|C0502</v>
      </c>
      <c r="V504" s="12" t="str">
        <f t="shared" si="225"/>
        <v>оригинал</v>
      </c>
    </row>
    <row r="505" ht="15" customHeight="1">
      <c r="A505" s="10">
        <v>503</v>
      </c>
      <c r="B505" s="11" t="str">
        <f>RAW_Продажи!A504</f>
        <v>09/23/2025</v>
      </c>
      <c r="C505" s="11" t="str">
        <f>RAW_Продажи!B504</f>
        <v>АРТ_309</v>
      </c>
      <c r="D505" s="11" t="str">
        <f>RAW_Продажи!C504</f>
        <v>3</v>
      </c>
      <c r="E505" s="11" t="str">
        <f>RAW_Продажи!D504</f>
        <v>€90</v>
      </c>
      <c r="F505" s="11" t="str">
        <f>RAW_Продажи!E504</f>
        <v>C0503</v>
      </c>
      <c r="G505" s="11" t="str">
        <f>RAW_Продажи!F504</f>
        <v>P023</v>
      </c>
      <c r="H505" s="11" t="str">
        <f>RAW_Продажи!G504</f>
        <v>отменен</v>
      </c>
      <c r="I505" s="12" t="str">
        <f t="shared" si="217"/>
        <v>309</v>
      </c>
      <c r="J505" s="12" t="str">
        <f t="shared" si="218"/>
        <v>€</v>
      </c>
      <c r="K505" s="12">
        <f t="shared" si="219"/>
        <v>90</v>
      </c>
      <c r="L505" s="19">
        <f t="shared" si="220"/>
        <v>45923</v>
      </c>
      <c r="M505" s="13" t="str">
        <f t="shared" si="221"/>
        <v>АРТ-309</v>
      </c>
      <c r="N505" s="13">
        <f t="shared" si="222"/>
        <v>3</v>
      </c>
      <c r="O505" s="13" t="str">
        <f>IFERROR(VLOOKUP(J505,Справочники!$G$6:$H$8,2,0),"RUB")</f>
        <v>EUR</v>
      </c>
      <c r="P505" s="14">
        <f>ROUND(K505*IFERROR(VLOOKUP(J505,Справочники!$G$6:$I$8,3,0),1),2)</f>
        <v>9000</v>
      </c>
      <c r="Q505" s="13" t="str">
        <f>IFERROR(VLOOKUP(H505,Справочники!$D$6:$E$14,2,0),"НЕИЗВЕСТНО")</f>
        <v>Отменен</v>
      </c>
      <c r="R505" s="20">
        <f>IFERROR(INDEX(Товары_очищенные!$Q$3:$Q$503,MATCH(M505,Товары_очищенные!$L$3:$L$503,0)),"нет в каталоге")</f>
        <v>9800</v>
      </c>
      <c r="S505" s="21" t="str">
        <f>IFERROR(INDEX(Товары_очищенные!$N$3:$N$503,MATCH(M505,Товары_очищенные!$L$3:$L$503,0)),"нет в каталоге")</f>
        <v>Аксессуары</v>
      </c>
      <c r="T505" s="21" t="str">
        <f t="shared" si="223"/>
        <v>OK</v>
      </c>
      <c r="U505" s="12" t="str">
        <f t="shared" si="224"/>
        <v>23/09/2025|АРТ-309|C0503</v>
      </c>
      <c r="V505" s="12" t="str">
        <f t="shared" si="225"/>
        <v>оригинал</v>
      </c>
    </row>
    <row r="506" ht="15" customHeight="1">
      <c r="A506" s="10">
        <v>504</v>
      </c>
      <c r="B506" s="11" t="str">
        <f>RAW_Продажи!A505</f>
        <v>09/23/2025</v>
      </c>
      <c r="C506" s="11" t="str">
        <f>RAW_Продажи!B505</f>
        <v>251-24</v>
      </c>
      <c r="D506" s="11" t="str">
        <f>RAW_Продажи!C505</f>
        <v>2</v>
      </c>
      <c r="E506" s="11" t="str">
        <f>RAW_Продажи!D505</f>
        <v xml:space="preserve">8000 ₽</v>
      </c>
      <c r="F506" s="11" t="str">
        <f>RAW_Продажи!E505</f>
        <v>C0504</v>
      </c>
      <c r="G506" s="11" t="str">
        <f>RAW_Продажи!F505</f>
        <v>P045</v>
      </c>
      <c r="H506" s="11" t="str">
        <f>RAW_Продажи!G505</f>
        <v>возврат</v>
      </c>
      <c r="I506" s="12" t="str">
        <f t="shared" si="217"/>
        <v>251-24</v>
      </c>
      <c r="J506" s="12" t="str">
        <f t="shared" si="218"/>
        <v>₽</v>
      </c>
      <c r="K506" s="12">
        <f t="shared" si="219"/>
        <v>8000</v>
      </c>
      <c r="L506" s="19">
        <f t="shared" si="220"/>
        <v>45923</v>
      </c>
      <c r="M506" s="13" t="str">
        <f t="shared" si="221"/>
        <v>АРТ-251</v>
      </c>
      <c r="N506" s="13">
        <f t="shared" si="222"/>
        <v>2</v>
      </c>
      <c r="O506" s="13" t="str">
        <f>IFERROR(VLOOKUP(J506,Справочники!$G$6:$H$8,2,0),"RUB")</f>
        <v>RUB</v>
      </c>
      <c r="P506" s="14">
        <f>ROUND(K506*IFERROR(VLOOKUP(J506,Справочники!$G$6:$I$8,3,0),1),2)</f>
        <v>8000</v>
      </c>
      <c r="Q506" s="13" t="str">
        <f>IFERROR(VLOOKUP(H506,Справочники!$D$6:$E$14,2,0),"НЕИЗВЕСТНО")</f>
        <v>Возврат</v>
      </c>
      <c r="R506" s="20">
        <f>IFERROR(INDEX(Товары_очищенные!$Q$3:$Q$503,MATCH(M506,Товары_очищенные!$L$3:$L$503,0)),"нет в каталоге")</f>
        <v>53500</v>
      </c>
      <c r="S506" s="21" t="str">
        <f>IFERROR(INDEX(Товары_очищенные!$N$3:$N$503,MATCH(M506,Товары_очищенные!$L$3:$L$503,0)),"нет в каталоге")</f>
        <v>Часы</v>
      </c>
      <c r="T506" s="21" t="str">
        <f t="shared" si="223"/>
        <v>OK</v>
      </c>
      <c r="U506" s="12" t="str">
        <f t="shared" si="224"/>
        <v>23/09/2025|АРТ-251|C0504</v>
      </c>
      <c r="V506" s="12" t="str">
        <f t="shared" si="225"/>
        <v>оригинал</v>
      </c>
    </row>
    <row r="507" ht="15" customHeight="1">
      <c r="A507" s="10">
        <v>505</v>
      </c>
      <c r="B507" s="11" t="str">
        <f>RAW_Продажи!A506</f>
        <v>09/24/2025</v>
      </c>
      <c r="C507" s="11" t="str">
        <f>RAW_Продажи!B506</f>
        <v>№АРТ-074</v>
      </c>
      <c r="D507" s="11" t="str">
        <f>RAW_Продажи!C506</f>
        <v>1</v>
      </c>
      <c r="E507" s="11" t="str">
        <f>RAW_Продажи!D506</f>
        <v>$95</v>
      </c>
      <c r="F507" s="11" t="str">
        <f>RAW_Продажи!E506</f>
        <v>C0505</v>
      </c>
      <c r="G507" s="11" t="str">
        <f>RAW_Продажи!F506</f>
        <v>P008</v>
      </c>
      <c r="H507" s="11" t="str">
        <f>RAW_Продажи!G506</f>
        <v>Завершен</v>
      </c>
      <c r="I507" s="12" t="str">
        <f t="shared" si="217"/>
        <v>074</v>
      </c>
      <c r="J507" s="12" t="str">
        <f t="shared" si="218"/>
        <v>$</v>
      </c>
      <c r="K507" s="12">
        <f t="shared" si="219"/>
        <v>95</v>
      </c>
      <c r="L507" s="19">
        <f t="shared" si="220"/>
        <v>45924</v>
      </c>
      <c r="M507" s="13" t="str">
        <f t="shared" si="221"/>
        <v>АРТ-074</v>
      </c>
      <c r="N507" s="13">
        <f t="shared" si="222"/>
        <v>1</v>
      </c>
      <c r="O507" s="13" t="str">
        <f>IFERROR(VLOOKUP(J507,Справочники!$G$6:$H$8,2,0),"RUB")</f>
        <v>USD</v>
      </c>
      <c r="P507" s="14">
        <f>ROUND(K507*IFERROR(VLOOKUP(J507,Справочники!$G$6:$I$8,3,0),1),2)</f>
        <v>9025</v>
      </c>
      <c r="Q507" s="13" t="str">
        <f>IFERROR(VLOOKUP(H507,Справочники!$D$6:$E$14,2,0),"НЕИЗВЕСТНО")</f>
        <v>Завершен</v>
      </c>
      <c r="R507" s="20">
        <f>IFERROR(INDEX(Товары_очищенные!$Q$3:$Q$503,MATCH(M507,Товары_очищенные!$L$3:$L$503,0)),"нет в каталоге")</f>
        <v>77500</v>
      </c>
      <c r="S507" s="21" t="str">
        <f>IFERROR(INDEX(Товары_очищенные!$N$3:$N$503,MATCH(M507,Товары_очищенные!$L$3:$L$503,0)),"нет в каталоге")</f>
        <v>Мониторы</v>
      </c>
      <c r="T507" s="21" t="str">
        <f t="shared" si="223"/>
        <v>OK</v>
      </c>
      <c r="U507" s="12" t="str">
        <f t="shared" si="224"/>
        <v>24/09/2025|АРТ-074|C0505</v>
      </c>
      <c r="V507" s="12" t="str">
        <f t="shared" si="225"/>
        <v>оригинал</v>
      </c>
    </row>
    <row r="508" ht="15" customHeight="1">
      <c r="A508" s="10">
        <v>506</v>
      </c>
      <c r="B508" s="11" t="str">
        <f>RAW_Продажи!A507</f>
        <v>09/24/2025</v>
      </c>
      <c r="C508" s="11" t="str">
        <f>RAW_Продажи!B507</f>
        <v>АРТ_481</v>
      </c>
      <c r="D508" s="11" t="str">
        <f>RAW_Продажи!C507</f>
        <v>2</v>
      </c>
      <c r="E508" s="11" t="str">
        <f>RAW_Продажи!D507</f>
        <v>€75</v>
      </c>
      <c r="F508" s="11" t="str">
        <f>RAW_Продажи!E507</f>
        <v>C0506</v>
      </c>
      <c r="G508" s="11" t="str">
        <f>RAW_Продажи!F507</f>
        <v>P031</v>
      </c>
      <c r="H508" s="11" t="str">
        <f>RAW_Продажи!G507</f>
        <v>завершен</v>
      </c>
      <c r="I508" s="12" t="str">
        <f t="shared" si="217"/>
        <v>481</v>
      </c>
      <c r="J508" s="12" t="str">
        <f t="shared" si="218"/>
        <v>€</v>
      </c>
      <c r="K508" s="12">
        <f t="shared" si="219"/>
        <v>75</v>
      </c>
      <c r="L508" s="19">
        <f t="shared" si="220"/>
        <v>45924</v>
      </c>
      <c r="M508" s="13" t="str">
        <f t="shared" si="221"/>
        <v>АРТ-481</v>
      </c>
      <c r="N508" s="13">
        <f t="shared" si="222"/>
        <v>2</v>
      </c>
      <c r="O508" s="13" t="str">
        <f>IFERROR(VLOOKUP(J508,Справочники!$G$6:$H$8,2,0),"RUB")</f>
        <v>EUR</v>
      </c>
      <c r="P508" s="14">
        <f>ROUND(K508*IFERROR(VLOOKUP(J508,Справочники!$G$6:$I$8,3,0),1),2)</f>
        <v>7500</v>
      </c>
      <c r="Q508" s="13" t="str">
        <f>IFERROR(VLOOKUP(H508,Справочники!$D$6:$E$14,2,0),"НЕИЗВЕСТНО")</f>
        <v>Завершен</v>
      </c>
      <c r="R508" s="20">
        <f>IFERROR(INDEX(Товары_очищенные!$Q$3:$Q$503,MATCH(M508,Товары_очищенные!$L$3:$L$503,0)),"нет в каталоге")</f>
        <v>39990</v>
      </c>
      <c r="S508" s="21" t="str">
        <f>IFERROR(INDEX(Товары_очищенные!$N$3:$N$503,MATCH(M508,Товары_очищенные!$L$3:$L$503,0)),"нет в каталоге")</f>
        <v>Планшеты</v>
      </c>
      <c r="T508" s="21" t="str">
        <f t="shared" si="223"/>
        <v>OK</v>
      </c>
      <c r="U508" s="12" t="str">
        <f t="shared" si="224"/>
        <v>24/09/2025|АРТ-481|C0506</v>
      </c>
      <c r="V508" s="12" t="str">
        <f t="shared" si="225"/>
        <v>оригинал</v>
      </c>
    </row>
    <row r="509" ht="15" customHeight="1">
      <c r="A509" s="10">
        <v>507</v>
      </c>
      <c r="B509" s="11" t="str">
        <f>RAW_Продажи!A508</f>
        <v>09/25/2025</v>
      </c>
      <c r="C509" s="11" t="str">
        <f>RAW_Продажи!B508</f>
        <v>335/24</v>
      </c>
      <c r="D509" s="11" t="str">
        <f>RAW_Продажи!C508</f>
        <v xml:space="preserve">3 шт.</v>
      </c>
      <c r="E509" s="11" t="str">
        <f>RAW_Продажи!D508</f>
        <v xml:space="preserve">7000 ₽</v>
      </c>
      <c r="F509" s="11" t="str">
        <f>RAW_Продажи!E508</f>
        <v>C0507</v>
      </c>
      <c r="G509" s="11" t="str">
        <f>RAW_Продажи!F508</f>
        <v>P019</v>
      </c>
      <c r="H509" s="11" t="str">
        <f>RAW_Продажи!G508</f>
        <v>completed</v>
      </c>
      <c r="I509" s="12" t="str">
        <f t="shared" si="217"/>
        <v>335/24</v>
      </c>
      <c r="J509" s="12" t="str">
        <f t="shared" si="218"/>
        <v>₽</v>
      </c>
      <c r="K509" s="12">
        <f t="shared" si="219"/>
        <v>7000</v>
      </c>
      <c r="L509" s="19">
        <f t="shared" si="220"/>
        <v>45925</v>
      </c>
      <c r="M509" s="13" t="str">
        <f t="shared" si="221"/>
        <v>АРТ-335</v>
      </c>
      <c r="N509" s="13">
        <f t="shared" si="222"/>
        <v>3</v>
      </c>
      <c r="O509" s="13" t="str">
        <f>IFERROR(VLOOKUP(J509,Справочники!$G$6:$H$8,2,0),"RUB")</f>
        <v>RUB</v>
      </c>
      <c r="P509" s="14">
        <f>ROUND(K509*IFERROR(VLOOKUP(J509,Справочники!$G$6:$I$8,3,0),1),2)</f>
        <v>7000</v>
      </c>
      <c r="Q509" s="13" t="str">
        <f>IFERROR(VLOOKUP(H509,Справочники!$D$6:$E$14,2,0),"НЕИЗВЕСТНО")</f>
        <v>Завершен</v>
      </c>
      <c r="R509" s="20">
        <f>IFERROR(INDEX(Товары_очищенные!$Q$3:$Q$503,MATCH(M509,Товары_очищенные!$L$3:$L$503,0)),"нет в каталоге")</f>
        <v>47000</v>
      </c>
      <c r="S509" s="21" t="str">
        <f>IFERROR(INDEX(Товары_очищенные!$N$3:$N$503,MATCH(M509,Товары_очищенные!$L$3:$L$503,0)),"нет в каталоге")</f>
        <v>Планшеты</v>
      </c>
      <c r="T509" s="21" t="str">
        <f t="shared" si="223"/>
        <v>OK</v>
      </c>
      <c r="U509" s="12" t="str">
        <f t="shared" si="224"/>
        <v>25/09/2025|АРТ-335|C0507</v>
      </c>
      <c r="V509" s="12" t="str">
        <f t="shared" si="225"/>
        <v>оригинал</v>
      </c>
    </row>
    <row r="510" ht="15" customHeight="1">
      <c r="A510" s="10">
        <v>508</v>
      </c>
      <c r="B510" s="11" t="str">
        <f>RAW_Продажи!A509</f>
        <v>09/25/2025</v>
      </c>
      <c r="C510" s="11" t="str">
        <f>RAW_Продажи!B509</f>
        <v>№АРТ-201</v>
      </c>
      <c r="D510" s="11" t="str">
        <f>RAW_Продажи!C509</f>
        <v>-2</v>
      </c>
      <c r="E510" s="11" t="str">
        <f>RAW_Продажи!D509</f>
        <v>$115</v>
      </c>
      <c r="F510" s="11" t="str">
        <f>RAW_Продажи!E509</f>
        <v>C0508</v>
      </c>
      <c r="G510" s="11" t="str">
        <f>RAW_Продажи!F509</f>
        <v>P042</v>
      </c>
      <c r="H510" s="11" t="str">
        <f>RAW_Продажи!G509</f>
        <v>отменен</v>
      </c>
      <c r="I510" s="12" t="str">
        <f t="shared" si="217"/>
        <v>201</v>
      </c>
      <c r="J510" s="12" t="str">
        <f t="shared" si="218"/>
        <v>$</v>
      </c>
      <c r="K510" s="12">
        <f t="shared" si="219"/>
        <v>115</v>
      </c>
      <c r="L510" s="19">
        <f t="shared" si="220"/>
        <v>45925</v>
      </c>
      <c r="M510" s="13" t="str">
        <f t="shared" si="221"/>
        <v>АРТ-201</v>
      </c>
      <c r="N510" s="13">
        <f t="shared" si="222"/>
        <v>-2</v>
      </c>
      <c r="O510" s="13" t="str">
        <f>IFERROR(VLOOKUP(J510,Справочники!$G$6:$H$8,2,0),"RUB")</f>
        <v>USD</v>
      </c>
      <c r="P510" s="14">
        <f>ROUND(K510*IFERROR(VLOOKUP(J510,Справочники!$G$6:$I$8,3,0),1),2)</f>
        <v>10925</v>
      </c>
      <c r="Q510" s="13" t="str">
        <f>IFERROR(VLOOKUP(H510,Справочники!$D$6:$E$14,2,0),"НЕИЗВЕСТНО")</f>
        <v>Отменен</v>
      </c>
      <c r="R510" s="20">
        <f>IFERROR(INDEX(Товары_очищенные!$Q$3:$Q$503,MATCH(M510,Товары_очищенные!$L$3:$L$503,0)),"нет в каталоге")</f>
        <v>98500</v>
      </c>
      <c r="S510" s="21" t="str">
        <f>IFERROR(INDEX(Товары_очищенные!$N$3:$N$503,MATCH(M510,Товары_очищенные!$L$3:$L$503,0)),"нет в каталоге")</f>
        <v>Телевизоры</v>
      </c>
      <c r="T510" s="21" t="str">
        <f t="shared" si="223"/>
        <v>OK</v>
      </c>
      <c r="U510" s="12" t="str">
        <f t="shared" si="224"/>
        <v>25/09/2025|АРТ-201|C0508</v>
      </c>
      <c r="V510" s="12" t="str">
        <f t="shared" si="225"/>
        <v>оригинал</v>
      </c>
    </row>
    <row r="511" ht="15" customHeight="1">
      <c r="A511" s="10">
        <v>509</v>
      </c>
      <c r="B511" s="11" t="str">
        <f>RAW_Продажи!A510</f>
        <v>09/26/2025</v>
      </c>
      <c r="C511" s="11" t="str">
        <f>RAW_Продажи!B510</f>
        <v>АРТ_367</v>
      </c>
      <c r="D511" s="11" t="str">
        <f>RAW_Продажи!C510</f>
        <v>1</v>
      </c>
      <c r="E511" s="11" t="str">
        <f>RAW_Продажи!D510</f>
        <v>€95</v>
      </c>
      <c r="F511" s="11" t="str">
        <f>RAW_Продажи!E510</f>
        <v>C0509</v>
      </c>
      <c r="G511" s="11" t="str">
        <f>RAW_Продажи!F510</f>
        <v>P005</v>
      </c>
      <c r="H511" s="11" t="str">
        <f>RAW_Продажи!G510</f>
        <v>canceled</v>
      </c>
      <c r="I511" s="12" t="str">
        <f t="shared" si="217"/>
        <v>367</v>
      </c>
      <c r="J511" s="12" t="str">
        <f t="shared" si="218"/>
        <v>€</v>
      </c>
      <c r="K511" s="12">
        <f t="shared" si="219"/>
        <v>95</v>
      </c>
      <c r="L511" s="19">
        <f t="shared" si="220"/>
        <v>45926</v>
      </c>
      <c r="M511" s="13" t="str">
        <f t="shared" si="221"/>
        <v>АРТ-367</v>
      </c>
      <c r="N511" s="13">
        <f t="shared" si="222"/>
        <v>1</v>
      </c>
      <c r="O511" s="13" t="str">
        <f>IFERROR(VLOOKUP(J511,Справочники!$G$6:$H$8,2,0),"RUB")</f>
        <v>EUR</v>
      </c>
      <c r="P511" s="14">
        <f>ROUND(K511*IFERROR(VLOOKUP(J511,Справочники!$G$6:$I$8,3,0),1),2)</f>
        <v>9500</v>
      </c>
      <c r="Q511" s="13" t="str">
        <f>IFERROR(VLOOKUP(H511,Справочники!$D$6:$E$14,2,0),"НЕИЗВЕСТНО")</f>
        <v>Отменен</v>
      </c>
      <c r="R511" s="20">
        <f>IFERROR(INDEX(Товары_очищенные!$Q$3:$Q$503,MATCH(M511,Товары_очищенные!$L$3:$L$503,0)),"нет в каталоге")</f>
        <v>19990</v>
      </c>
      <c r="S511" s="21" t="str">
        <f>IFERROR(INDEX(Товары_очищенные!$N$3:$N$503,MATCH(M511,Товары_очищенные!$L$3:$L$503,0)),"нет в каталоге")</f>
        <v>Наушники</v>
      </c>
      <c r="T511" s="21" t="str">
        <f t="shared" si="223"/>
        <v>OK</v>
      </c>
      <c r="U511" s="12" t="str">
        <f t="shared" si="224"/>
        <v>26/09/2025|АРТ-367|C0509</v>
      </c>
      <c r="V511" s="12" t="str">
        <f t="shared" si="225"/>
        <v>оригинал</v>
      </c>
    </row>
    <row r="512" ht="15" customHeight="1">
      <c r="A512" s="10">
        <v>510</v>
      </c>
      <c r="B512" s="11" t="str">
        <f>RAW_Продажи!A511</f>
        <v>09/26/2025</v>
      </c>
      <c r="C512" s="11" t="str">
        <f>RAW_Продажи!B511</f>
        <v>112-24</v>
      </c>
      <c r="D512" s="11" t="str">
        <f>RAW_Продажи!C511</f>
        <v>2</v>
      </c>
      <c r="E512" s="11" t="str">
        <f>RAW_Продажи!D511</f>
        <v xml:space="preserve">8500 ₽</v>
      </c>
      <c r="F512" s="11" t="str">
        <f>RAW_Продажи!E511</f>
        <v>C0510</v>
      </c>
      <c r="G512" s="11" t="str">
        <f>RAW_Продажи!F511</f>
        <v>P036</v>
      </c>
      <c r="H512" s="11" t="str">
        <f>RAW_Продажи!G511</f>
        <v>Завершен</v>
      </c>
      <c r="I512" s="12" t="str">
        <f t="shared" si="217"/>
        <v>112-24</v>
      </c>
      <c r="J512" s="12" t="str">
        <f t="shared" si="218"/>
        <v>₽</v>
      </c>
      <c r="K512" s="12">
        <f t="shared" si="219"/>
        <v>8500</v>
      </c>
      <c r="L512" s="19">
        <f t="shared" si="220"/>
        <v>45926</v>
      </c>
      <c r="M512" s="13" t="str">
        <f t="shared" si="221"/>
        <v>АРТ-112</v>
      </c>
      <c r="N512" s="13">
        <f t="shared" si="222"/>
        <v>2</v>
      </c>
      <c r="O512" s="13" t="str">
        <f>IFERROR(VLOOKUP(J512,Справочники!$G$6:$H$8,2,0),"RUB")</f>
        <v>RUB</v>
      </c>
      <c r="P512" s="14">
        <f>ROUND(K512*IFERROR(VLOOKUP(J512,Справочники!$G$6:$I$8,3,0),1),2)</f>
        <v>8500</v>
      </c>
      <c r="Q512" s="13" t="str">
        <f>IFERROR(VLOOKUP(H512,Справочники!$D$6:$E$14,2,0),"НЕИЗВЕСТНО")</f>
        <v>Завершен</v>
      </c>
      <c r="R512" s="20">
        <f>IFERROR(INDEX(Товары_очищенные!$Q$3:$Q$503,MATCH(M512,Товары_очищенные!$L$3:$L$503,0)),"нет в каталоге")</f>
        <v>34990</v>
      </c>
      <c r="S512" s="21" t="str">
        <f>IFERROR(INDEX(Товары_очищенные!$N$3:$N$503,MATCH(M512,Товары_очищенные!$L$3:$L$503,0)),"нет в каталоге")</f>
        <v>Наушники</v>
      </c>
      <c r="T512" s="21" t="str">
        <f t="shared" si="223"/>
        <v>OK</v>
      </c>
      <c r="U512" s="12" t="str">
        <f t="shared" si="224"/>
        <v>26/09/2025|АРТ-112|C0510</v>
      </c>
      <c r="V512" s="12" t="str">
        <f t="shared" si="225"/>
        <v>оригинал</v>
      </c>
    </row>
    <row r="513" ht="15" customHeight="1">
      <c r="A513" s="10">
        <v>511</v>
      </c>
      <c r="B513" s="11" t="str">
        <f>RAW_Продажи!A512</f>
        <v>09/27/2025</v>
      </c>
      <c r="C513" s="11" t="str">
        <f>RAW_Продажи!B512</f>
        <v>№АРТ-050</v>
      </c>
      <c r="D513" s="11" t="str">
        <f>RAW_Продажи!C512</f>
        <v>3</v>
      </c>
      <c r="E513" s="11" t="str">
        <f>RAW_Продажи!D512</f>
        <v>$105</v>
      </c>
      <c r="F513" s="11" t="str">
        <f>RAW_Продажи!E512</f>
        <v>C0511</v>
      </c>
      <c r="G513" s="11" t="str">
        <f>RAW_Продажи!F512</f>
        <v>P014</v>
      </c>
      <c r="H513" s="11" t="str">
        <f>RAW_Продажи!G512</f>
        <v>возврат</v>
      </c>
      <c r="I513" s="12" t="str">
        <f t="shared" si="217"/>
        <v>050</v>
      </c>
      <c r="J513" s="12" t="str">
        <f t="shared" si="218"/>
        <v>$</v>
      </c>
      <c r="K513" s="12">
        <f t="shared" si="219"/>
        <v>105</v>
      </c>
      <c r="L513" s="19">
        <f t="shared" si="220"/>
        <v>45927</v>
      </c>
      <c r="M513" s="13" t="str">
        <f t="shared" si="221"/>
        <v>АРТ-050</v>
      </c>
      <c r="N513" s="13">
        <f t="shared" si="222"/>
        <v>3</v>
      </c>
      <c r="O513" s="13" t="str">
        <f>IFERROR(VLOOKUP(J513,Справочники!$G$6:$H$8,2,0),"RUB")</f>
        <v>USD</v>
      </c>
      <c r="P513" s="14">
        <f>ROUND(K513*IFERROR(VLOOKUP(J513,Справочники!$G$6:$I$8,3,0),1),2)</f>
        <v>9975</v>
      </c>
      <c r="Q513" s="13" t="str">
        <f>IFERROR(VLOOKUP(H513,Справочники!$D$6:$E$14,2,0),"НЕИЗВЕСТНО")</f>
        <v>Возврат</v>
      </c>
      <c r="R513" s="20">
        <f>IFERROR(INDEX(Товары_очищенные!$Q$3:$Q$503,MATCH(M513,Товары_очищенные!$L$3:$L$503,0)),"нет в каталоге")</f>
        <v>53500</v>
      </c>
      <c r="S513" s="21" t="str">
        <f>IFERROR(INDEX(Товары_очищенные!$N$3:$N$503,MATCH(M513,Товары_очищенные!$L$3:$L$503,0)),"нет в каталоге")</f>
        <v>Смартфоны</v>
      </c>
      <c r="T513" s="21" t="str">
        <f t="shared" si="223"/>
        <v>OK</v>
      </c>
      <c r="U513" s="12" t="str">
        <f t="shared" si="224"/>
        <v>27/09/2025|АРТ-050|C0511</v>
      </c>
      <c r="V513" s="12" t="str">
        <f t="shared" si="225"/>
        <v>оригинал</v>
      </c>
    </row>
    <row r="514" ht="15" customHeight="1">
      <c r="A514" s="10">
        <v>512</v>
      </c>
      <c r="B514" s="11" t="str">
        <f>RAW_Продажи!A513</f>
        <v>09/27/2025</v>
      </c>
      <c r="C514" s="11" t="str">
        <f>RAW_Продажи!B513</f>
        <v>АРТ_443</v>
      </c>
      <c r="D514" s="11" t="str">
        <f>RAW_Продажи!C513</f>
        <v>2</v>
      </c>
      <c r="E514" s="11" t="str">
        <f>RAW_Продажи!D513</f>
        <v>€85</v>
      </c>
      <c r="F514" s="11" t="str">
        <f>RAW_Продажи!E513</f>
        <v>C0512</v>
      </c>
      <c r="G514" s="11" t="str">
        <f>RAW_Продажи!F513</f>
        <v>P028</v>
      </c>
      <c r="H514" s="11" t="str">
        <f>RAW_Продажи!G513</f>
        <v>завершен</v>
      </c>
      <c r="I514" s="12" t="str">
        <f t="shared" si="217"/>
        <v>443</v>
      </c>
      <c r="J514" s="12" t="str">
        <f t="shared" si="218"/>
        <v>€</v>
      </c>
      <c r="K514" s="12">
        <f t="shared" si="219"/>
        <v>85</v>
      </c>
      <c r="L514" s="19">
        <f t="shared" si="220"/>
        <v>45927</v>
      </c>
      <c r="M514" s="13" t="str">
        <f t="shared" si="221"/>
        <v>АРТ-443</v>
      </c>
      <c r="N514" s="13">
        <f t="shared" si="222"/>
        <v>2</v>
      </c>
      <c r="O514" s="13" t="str">
        <f>IFERROR(VLOOKUP(J514,Справочники!$G$6:$H$8,2,0),"RUB")</f>
        <v>EUR</v>
      </c>
      <c r="P514" s="14">
        <f>ROUND(K514*IFERROR(VLOOKUP(J514,Справочники!$G$6:$I$8,3,0),1),2)</f>
        <v>8500</v>
      </c>
      <c r="Q514" s="13" t="str">
        <f>IFERROR(VLOOKUP(H514,Справочники!$D$6:$E$14,2,0),"НЕИЗВЕСТНО")</f>
        <v>Завершен</v>
      </c>
      <c r="R514" s="20">
        <f>IFERROR(INDEX(Товары_очищенные!$Q$3:$Q$503,MATCH(M514,Товары_очищенные!$L$3:$L$503,0)),"нет в каталоге")</f>
        <v>23500</v>
      </c>
      <c r="S514" s="21" t="str">
        <f>IFERROR(INDEX(Товары_очищенные!$N$3:$N$503,MATCH(M514,Товары_очищенные!$L$3:$L$503,0)),"нет в каталоге")</f>
        <v>Смартфоны</v>
      </c>
      <c r="T514" s="21" t="str">
        <f t="shared" si="223"/>
        <v>OK</v>
      </c>
      <c r="U514" s="12" t="str">
        <f t="shared" si="224"/>
        <v>27/09/2025|АРТ-443|C0512</v>
      </c>
      <c r="V514" s="12" t="str">
        <f t="shared" si="225"/>
        <v>оригинал</v>
      </c>
    </row>
    <row r="515" ht="15" customHeight="1">
      <c r="A515" s="10">
        <v>513</v>
      </c>
      <c r="B515" s="11" t="str">
        <f>RAW_Продажи!A514</f>
        <v>09/28/2025</v>
      </c>
      <c r="C515" s="11" t="str">
        <f>RAW_Продажи!B514</f>
        <v>322/24</v>
      </c>
      <c r="D515" s="11" t="str">
        <f>RAW_Продажи!C514</f>
        <v xml:space="preserve">1 шт.</v>
      </c>
      <c r="E515" s="11" t="str">
        <f>RAW_Продажи!D514</f>
        <v xml:space="preserve">7800 ₽</v>
      </c>
      <c r="F515" s="11" t="str">
        <f>RAW_Продажи!E514</f>
        <v>C0513</v>
      </c>
      <c r="G515" s="11" t="str">
        <f>RAW_Продажи!F514</f>
        <v>P009</v>
      </c>
      <c r="H515" s="11" t="str">
        <f>RAW_Продажи!G514</f>
        <v>completed</v>
      </c>
      <c r="I515" s="12" t="str">
        <f t="shared" si="217"/>
        <v>322/24</v>
      </c>
      <c r="J515" s="12" t="str">
        <f t="shared" si="218"/>
        <v>₽</v>
      </c>
      <c r="K515" s="12">
        <f t="shared" si="219"/>
        <v>7800</v>
      </c>
      <c r="L515" s="19">
        <f t="shared" si="220"/>
        <v>45928</v>
      </c>
      <c r="M515" s="13" t="str">
        <f t="shared" si="221"/>
        <v>АРТ-322</v>
      </c>
      <c r="N515" s="13">
        <f t="shared" si="222"/>
        <v>1</v>
      </c>
      <c r="O515" s="13" t="str">
        <f>IFERROR(VLOOKUP(J515,Справочники!$G$6:$H$8,2,0),"RUB")</f>
        <v>RUB</v>
      </c>
      <c r="P515" s="14">
        <f>ROUND(K515*IFERROR(VLOOKUP(J515,Справочники!$G$6:$I$8,3,0),1),2)</f>
        <v>7800</v>
      </c>
      <c r="Q515" s="13" t="str">
        <f>IFERROR(VLOOKUP(H515,Справочники!$D$6:$E$14,2,0),"НЕИЗВЕСТНО")</f>
        <v>Завершен</v>
      </c>
      <c r="R515" s="20">
        <f>IFERROR(INDEX(Товары_очищенные!$Q$3:$Q$503,MATCH(M515,Товары_очищенные!$L$3:$L$503,0)),"нет в каталоге")</f>
        <v>12990</v>
      </c>
      <c r="S515" s="21" t="str">
        <f>IFERROR(INDEX(Товары_очищенные!$N$3:$N$503,MATCH(M515,Товары_очищенные!$L$3:$L$503,0)),"нет в каталоге")</f>
        <v>Наушники</v>
      </c>
      <c r="T515" s="21" t="str">
        <f t="shared" si="223"/>
        <v>OK</v>
      </c>
      <c r="U515" s="12" t="str">
        <f t="shared" si="224"/>
        <v>28/09/2025|АРТ-322|C0513</v>
      </c>
      <c r="V515" s="12" t="str">
        <f t="shared" si="225"/>
        <v>оригинал</v>
      </c>
    </row>
    <row r="516" ht="15" customHeight="1">
      <c r="A516" s="10">
        <v>514</v>
      </c>
      <c r="B516" s="11" t="str">
        <f>RAW_Продажи!A515</f>
        <v>09/28/2025</v>
      </c>
      <c r="C516" s="11" t="str">
        <f>RAW_Продажи!B515</f>
        <v>№АРТ-398</v>
      </c>
      <c r="D516" s="11" t="str">
        <f>RAW_Продажи!C515</f>
        <v>-3</v>
      </c>
      <c r="E516" s="11" t="str">
        <f>RAW_Продажи!D515</f>
        <v>$120</v>
      </c>
      <c r="F516" s="11" t="str">
        <f>RAW_Продажи!E515</f>
        <v>C0514</v>
      </c>
      <c r="G516" s="11" t="str">
        <f>RAW_Продажи!F515</f>
        <v>P041</v>
      </c>
      <c r="H516" s="11" t="str">
        <f>RAW_Продажи!G515</f>
        <v>Завершен</v>
      </c>
      <c r="I516" s="12" t="str">
        <f t="shared" si="217"/>
        <v>398</v>
      </c>
      <c r="J516" s="12" t="str">
        <f t="shared" si="218"/>
        <v>$</v>
      </c>
      <c r="K516" s="12">
        <f t="shared" si="219"/>
        <v>120</v>
      </c>
      <c r="L516" s="19">
        <f t="shared" si="220"/>
        <v>45928</v>
      </c>
      <c r="M516" s="13" t="str">
        <f t="shared" si="221"/>
        <v>АРТ-398</v>
      </c>
      <c r="N516" s="13">
        <f t="shared" si="222"/>
        <v>-3</v>
      </c>
      <c r="O516" s="13" t="str">
        <f>IFERROR(VLOOKUP(J516,Справочники!$G$6:$H$8,2,0),"RUB")</f>
        <v>USD</v>
      </c>
      <c r="P516" s="14">
        <f>ROUND(K516*IFERROR(VLOOKUP(J516,Справочники!$G$6:$I$8,3,0),1),2)</f>
        <v>11400</v>
      </c>
      <c r="Q516" s="13" t="str">
        <f>IFERROR(VLOOKUP(H516,Справочники!$D$6:$E$14,2,0),"НЕИЗВЕСТНО")</f>
        <v>Завершен</v>
      </c>
      <c r="R516" s="20">
        <f>IFERROR(INDEX(Товары_очищенные!$Q$3:$Q$503,MATCH(M516,Товары_очищенные!$L$3:$L$503,0)),"нет в каталоге")</f>
        <v>7500</v>
      </c>
      <c r="S516" s="21" t="str">
        <f>IFERROR(INDEX(Товары_очищенные!$N$3:$N$503,MATCH(M516,Товары_очищенные!$L$3:$L$503,0)),"нет в каталоге")</f>
        <v>Аксессуары</v>
      </c>
      <c r="T516" s="21" t="str">
        <f t="shared" si="223"/>
        <v xml:space="preserve">Цена выше розницы</v>
      </c>
      <c r="U516" s="12" t="str">
        <f t="shared" si="224"/>
        <v>28/09/2025|АРТ-398|C0514</v>
      </c>
      <c r="V516" s="12" t="str">
        <f t="shared" si="225"/>
        <v>оригинал</v>
      </c>
    </row>
    <row r="517" ht="15" customHeight="1">
      <c r="A517" s="10">
        <v>515</v>
      </c>
      <c r="B517" s="11" t="str">
        <f>RAW_Продажи!A516</f>
        <v>09/29/2025</v>
      </c>
      <c r="C517" s="11" t="str">
        <f>RAW_Продажи!B516</f>
        <v>АРТ_258</v>
      </c>
      <c r="D517" s="11" t="str">
        <f>RAW_Продажи!C516</f>
        <v>2</v>
      </c>
      <c r="E517" s="11" t="str">
        <f>RAW_Продажи!D516</f>
        <v>€100</v>
      </c>
      <c r="F517" s="11" t="str">
        <f>RAW_Продажи!E516</f>
        <v>C0515</v>
      </c>
      <c r="G517" s="11" t="str">
        <f>RAW_Продажи!F516</f>
        <v>P017</v>
      </c>
      <c r="H517" s="11" t="str">
        <f>RAW_Продажи!G516</f>
        <v>canceled</v>
      </c>
      <c r="I517" s="12" t="str">
        <f t="shared" si="217"/>
        <v>258</v>
      </c>
      <c r="J517" s="12" t="str">
        <f t="shared" si="218"/>
        <v>€</v>
      </c>
      <c r="K517" s="12">
        <f t="shared" si="219"/>
        <v>100</v>
      </c>
      <c r="L517" s="19">
        <f t="shared" si="220"/>
        <v>45929</v>
      </c>
      <c r="M517" s="13" t="str">
        <f t="shared" si="221"/>
        <v>АРТ-258</v>
      </c>
      <c r="N517" s="13">
        <f t="shared" si="222"/>
        <v>2</v>
      </c>
      <c r="O517" s="13" t="str">
        <f>IFERROR(VLOOKUP(J517,Справочники!$G$6:$H$8,2,0),"RUB")</f>
        <v>EUR</v>
      </c>
      <c r="P517" s="14">
        <f>ROUND(K517*IFERROR(VLOOKUP(J517,Справочники!$G$6:$I$8,3,0),1),2)</f>
        <v>10000</v>
      </c>
      <c r="Q517" s="13" t="str">
        <f>IFERROR(VLOOKUP(H517,Справочники!$D$6:$E$14,2,0),"НЕИЗВЕСТНО")</f>
        <v>Отменен</v>
      </c>
      <c r="R517" s="20">
        <f>IFERROR(INDEX(Товары_очищенные!$Q$3:$Q$503,MATCH(M517,Товары_очищенные!$L$3:$L$503,0)),"нет в каталоге")</f>
        <v>39500</v>
      </c>
      <c r="S517" s="21" t="str">
        <f>IFERROR(INDEX(Товары_очищенные!$N$3:$N$503,MATCH(M517,Товары_очищенные!$L$3:$L$503,0)),"нет в каталоге")</f>
        <v>Смартфоны</v>
      </c>
      <c r="T517" s="21" t="str">
        <f t="shared" si="223"/>
        <v>OK</v>
      </c>
      <c r="U517" s="12" t="str">
        <f t="shared" si="224"/>
        <v>29/09/2025|АРТ-258|C0515</v>
      </c>
      <c r="V517" s="12" t="str">
        <f t="shared" si="225"/>
        <v>оригинал</v>
      </c>
    </row>
    <row r="518" ht="15" customHeight="1">
      <c r="A518" s="10">
        <v>516</v>
      </c>
      <c r="B518" s="11" t="str">
        <f>RAW_Продажи!A517</f>
        <v>09/29/2025</v>
      </c>
      <c r="C518" s="11" t="str">
        <f>RAW_Продажи!B517</f>
        <v>284-24</v>
      </c>
      <c r="D518" s="11" t="str">
        <f>RAW_Продажи!C517</f>
        <v>1</v>
      </c>
      <c r="E518" s="11" t="str">
        <f>RAW_Продажи!D517</f>
        <v xml:space="preserve">9200 ₽</v>
      </c>
      <c r="F518" s="11" t="str">
        <f>RAW_Продажи!E517</f>
        <v>C0516</v>
      </c>
      <c r="G518" s="11" t="str">
        <f>RAW_Продажи!F517</f>
        <v>P032</v>
      </c>
      <c r="H518" s="11" t="str">
        <f>RAW_Продажи!G517</f>
        <v>отменен</v>
      </c>
      <c r="I518" s="12" t="str">
        <f t="shared" si="217"/>
        <v>284-24</v>
      </c>
      <c r="J518" s="12" t="str">
        <f t="shared" si="218"/>
        <v>₽</v>
      </c>
      <c r="K518" s="12">
        <f t="shared" si="219"/>
        <v>9200</v>
      </c>
      <c r="L518" s="19">
        <f t="shared" si="220"/>
        <v>45929</v>
      </c>
      <c r="M518" s="13" t="str">
        <f t="shared" si="221"/>
        <v>АРТ-284</v>
      </c>
      <c r="N518" s="13">
        <f t="shared" si="222"/>
        <v>1</v>
      </c>
      <c r="O518" s="13" t="str">
        <f>IFERROR(VLOOKUP(J518,Справочники!$G$6:$H$8,2,0),"RUB")</f>
        <v>RUB</v>
      </c>
      <c r="P518" s="14">
        <f>ROUND(K518*IFERROR(VLOOKUP(J518,Справочники!$G$6:$I$8,3,0),1),2)</f>
        <v>9200</v>
      </c>
      <c r="Q518" s="13" t="str">
        <f>IFERROR(VLOOKUP(H518,Справочники!$D$6:$E$14,2,0),"НЕИЗВЕСТНО")</f>
        <v>Отменен</v>
      </c>
      <c r="R518" s="20">
        <f>IFERROR(INDEX(Товары_очищенные!$Q$3:$Q$503,MATCH(M518,Товары_очищенные!$L$3:$L$503,0)),"нет в каталоге")</f>
        <v>82000</v>
      </c>
      <c r="S518" s="21" t="str">
        <f>IFERROR(INDEX(Товары_очищенные!$N$3:$N$503,MATCH(M518,Товары_очищенные!$L$3:$L$503,0)),"нет в каталоге")</f>
        <v>Мониторы</v>
      </c>
      <c r="T518" s="21" t="str">
        <f t="shared" si="223"/>
        <v>OK</v>
      </c>
      <c r="U518" s="12" t="str">
        <f t="shared" si="224"/>
        <v>29/09/2025|АРТ-284|C0516</v>
      </c>
      <c r="V518" s="12" t="str">
        <f t="shared" si="225"/>
        <v>оригинал</v>
      </c>
    </row>
    <row r="519" ht="15" customHeight="1">
      <c r="A519" s="10">
        <v>517</v>
      </c>
      <c r="B519" s="11" t="str">
        <f>RAW_Продажи!A518</f>
        <v>09/30/2025</v>
      </c>
      <c r="C519" s="11" t="str">
        <f>RAW_Продажи!B518</f>
        <v>№АРТ-093</v>
      </c>
      <c r="D519" s="11" t="str">
        <f>RAW_Продажи!C518</f>
        <v>3</v>
      </c>
      <c r="E519" s="11" t="str">
        <f>RAW_Продажи!D518</f>
        <v>$90</v>
      </c>
      <c r="F519" s="11" t="str">
        <f>RAW_Продажи!E518</f>
        <v>C0517</v>
      </c>
      <c r="G519" s="11" t="str">
        <f>RAW_Продажи!F518</f>
        <v>P049</v>
      </c>
      <c r="H519" s="11" t="str">
        <f>RAW_Продажи!G518</f>
        <v>возврат</v>
      </c>
      <c r="I519" s="12" t="str">
        <f t="shared" si="217"/>
        <v>093</v>
      </c>
      <c r="J519" s="12" t="str">
        <f t="shared" si="218"/>
        <v>$</v>
      </c>
      <c r="K519" s="12">
        <f t="shared" si="219"/>
        <v>90</v>
      </c>
      <c r="L519" s="19">
        <f t="shared" si="220"/>
        <v>45930</v>
      </c>
      <c r="M519" s="13" t="str">
        <f t="shared" si="221"/>
        <v>АРТ-093</v>
      </c>
      <c r="N519" s="13">
        <f t="shared" si="222"/>
        <v>3</v>
      </c>
      <c r="O519" s="13" t="str">
        <f>IFERROR(VLOOKUP(J519,Справочники!$G$6:$H$8,2,0),"RUB")</f>
        <v>USD</v>
      </c>
      <c r="P519" s="14">
        <f>ROUND(K519*IFERROR(VLOOKUP(J519,Справочники!$G$6:$I$8,3,0),1),2)</f>
        <v>8550</v>
      </c>
      <c r="Q519" s="13" t="str">
        <f>IFERROR(VLOOKUP(H519,Справочники!$D$6:$E$14,2,0),"НЕИЗВЕСТНО")</f>
        <v>Возврат</v>
      </c>
      <c r="R519" s="20">
        <f>IFERROR(INDEX(Товары_очищенные!$Q$3:$Q$503,MATCH(M519,Товары_очищенные!$L$3:$L$503,0)),"нет в каталоге")</f>
        <v>10500</v>
      </c>
      <c r="S519" s="21" t="str">
        <f>IFERROR(INDEX(Товары_очищенные!$N$3:$N$503,MATCH(M519,Товары_очищенные!$L$3:$L$503,0)),"нет в каталоге")</f>
        <v>Наушники</v>
      </c>
      <c r="T519" s="21" t="str">
        <f t="shared" si="223"/>
        <v>OK</v>
      </c>
      <c r="U519" s="12" t="str">
        <f t="shared" si="224"/>
        <v>30/09/2025|АРТ-093|C0517</v>
      </c>
      <c r="V519" s="12" t="str">
        <f t="shared" si="225"/>
        <v>оригинал</v>
      </c>
    </row>
    <row r="520" ht="15" customHeight="1">
      <c r="A520" s="10">
        <v>518</v>
      </c>
      <c r="B520" s="11" t="str">
        <f>RAW_Продажи!A519</f>
        <v>09/30/2025</v>
      </c>
      <c r="C520" s="11" t="str">
        <f>RAW_Продажи!B519</f>
        <v>АРТ_488</v>
      </c>
      <c r="D520" s="11" t="str">
        <f>RAW_Продажи!C519</f>
        <v>2</v>
      </c>
      <c r="E520" s="11" t="str">
        <f>RAW_Продажи!D519</f>
        <v>€70</v>
      </c>
      <c r="F520" s="11" t="str">
        <f>RAW_Продажи!E519</f>
        <v>C0518</v>
      </c>
      <c r="G520" s="11" t="str">
        <f>RAW_Продажи!F519</f>
        <v>P006</v>
      </c>
      <c r="H520" s="11" t="str">
        <f>RAW_Продажи!G519</f>
        <v>Завершен</v>
      </c>
      <c r="I520" s="12" t="str">
        <f t="shared" si="217"/>
        <v>488</v>
      </c>
      <c r="J520" s="12" t="str">
        <f t="shared" si="218"/>
        <v>€</v>
      </c>
      <c r="K520" s="12">
        <f t="shared" si="219"/>
        <v>70</v>
      </c>
      <c r="L520" s="19">
        <f t="shared" si="220"/>
        <v>45930</v>
      </c>
      <c r="M520" s="13" t="str">
        <f t="shared" si="221"/>
        <v>АРТ-488</v>
      </c>
      <c r="N520" s="13">
        <f t="shared" si="222"/>
        <v>2</v>
      </c>
      <c r="O520" s="13" t="str">
        <f>IFERROR(VLOOKUP(J520,Справочники!$G$6:$H$8,2,0),"RUB")</f>
        <v>EUR</v>
      </c>
      <c r="P520" s="14">
        <f>ROUND(K520*IFERROR(VLOOKUP(J520,Справочники!$G$6:$I$8,3,0),1),2)</f>
        <v>7000</v>
      </c>
      <c r="Q520" s="13" t="str">
        <f>IFERROR(VLOOKUP(H520,Справочники!$D$6:$E$14,2,0),"НЕИЗВЕСТНО")</f>
        <v>Завершен</v>
      </c>
      <c r="R520" s="20">
        <f>IFERROR(INDEX(Товары_очищенные!$Q$3:$Q$503,MATCH(M520,Товары_очищенные!$L$3:$L$503,0)),"нет в каталоге")</f>
        <v>108000</v>
      </c>
      <c r="S520" s="21" t="str">
        <f>IFERROR(INDEX(Товары_очищенные!$N$3:$N$503,MATCH(M520,Товары_очищенные!$L$3:$L$503,0)),"нет в каталоге")</f>
        <v>Ноутбуки</v>
      </c>
      <c r="T520" s="21" t="str">
        <f t="shared" si="223"/>
        <v>OK</v>
      </c>
      <c r="U520" s="12" t="str">
        <f t="shared" si="224"/>
        <v>30/09/2025|АРТ-488|C0518</v>
      </c>
      <c r="V520" s="12" t="str">
        <f t="shared" si="225"/>
        <v>оригинал</v>
      </c>
    </row>
    <row r="521" ht="15" customHeight="1">
      <c r="A521" s="10">
        <v>519</v>
      </c>
      <c r="B521" s="11" t="str">
        <f>RAW_Продажи!A520</f>
        <v>10/01/2025</v>
      </c>
      <c r="C521" s="11" t="str">
        <f>RAW_Продажи!B520</f>
        <v>345/24</v>
      </c>
      <c r="D521" s="11" t="str">
        <f>RAW_Продажи!C520</f>
        <v xml:space="preserve">1 шт.</v>
      </c>
      <c r="E521" s="11" t="str">
        <f>RAW_Продажи!D520</f>
        <v xml:space="preserve">6500 ₽</v>
      </c>
      <c r="F521" s="11" t="str">
        <f>RAW_Продажи!E520</f>
        <v>C0519</v>
      </c>
      <c r="G521" s="11" t="str">
        <f>RAW_Продажи!F520</f>
        <v>P024</v>
      </c>
      <c r="H521" s="11" t="str">
        <f>RAW_Продажи!G520</f>
        <v>завершен</v>
      </c>
      <c r="I521" s="12" t="str">
        <f t="shared" si="217"/>
        <v>345/24</v>
      </c>
      <c r="J521" s="12" t="str">
        <f t="shared" si="218"/>
        <v>₽</v>
      </c>
      <c r="K521" s="12">
        <f t="shared" si="219"/>
        <v>6500</v>
      </c>
      <c r="L521" s="19">
        <f t="shared" si="220"/>
        <v>45931</v>
      </c>
      <c r="M521" s="13" t="str">
        <f t="shared" si="221"/>
        <v>АРТ-345</v>
      </c>
      <c r="N521" s="13">
        <f t="shared" si="222"/>
        <v>1</v>
      </c>
      <c r="O521" s="13" t="str">
        <f>IFERROR(VLOOKUP(J521,Справочники!$G$6:$H$8,2,0),"RUB")</f>
        <v>RUB</v>
      </c>
      <c r="P521" s="14">
        <f>ROUND(K521*IFERROR(VLOOKUP(J521,Справочники!$G$6:$I$8,3,0),1),2)</f>
        <v>6500</v>
      </c>
      <c r="Q521" s="13" t="str">
        <f>IFERROR(VLOOKUP(H521,Справочники!$D$6:$E$14,2,0),"НЕИЗВЕСТНО")</f>
        <v>Завершен</v>
      </c>
      <c r="R521" s="20">
        <f>IFERROR(INDEX(Товары_очищенные!$Q$3:$Q$503,MATCH(M521,Товары_очищенные!$L$3:$L$503,0)),"нет в каталоге")</f>
        <v>87500</v>
      </c>
      <c r="S521" s="21" t="str">
        <f>IFERROR(INDEX(Товары_очищенные!$N$3:$N$503,MATCH(M521,Товары_очищенные!$L$3:$L$503,0)),"нет в каталоге")</f>
        <v>Телевизоры</v>
      </c>
      <c r="T521" s="21" t="str">
        <f t="shared" si="223"/>
        <v>OK</v>
      </c>
      <c r="U521" s="12" t="str">
        <f t="shared" si="224"/>
        <v>01/10/2025|АРТ-345|C0519</v>
      </c>
      <c r="V521" s="12" t="str">
        <f t="shared" si="225"/>
        <v>оригинал</v>
      </c>
    </row>
    <row r="522" ht="15" customHeight="1">
      <c r="A522" s="10">
        <v>520</v>
      </c>
      <c r="B522" s="11" t="str">
        <f>RAW_Продажи!A521</f>
        <v>10/01/2025</v>
      </c>
      <c r="C522" s="11" t="str">
        <f>RAW_Продажи!B521</f>
        <v>№АРТ-398</v>
      </c>
      <c r="D522" s="11" t="str">
        <f>RAW_Продажи!C521</f>
        <v>-1</v>
      </c>
      <c r="E522" s="11" t="str">
        <f>RAW_Продажи!D521</f>
        <v>$110</v>
      </c>
      <c r="F522" s="11" t="str">
        <f>RAW_Продажи!E521</f>
        <v>C0520</v>
      </c>
      <c r="G522" s="11" t="str">
        <f>RAW_Продажи!F521</f>
        <v>P015</v>
      </c>
      <c r="H522" s="11" t="str">
        <f>RAW_Продажи!G521</f>
        <v>completed</v>
      </c>
      <c r="I522" s="12" t="str">
        <f t="shared" si="217"/>
        <v>398</v>
      </c>
      <c r="J522" s="12" t="str">
        <f t="shared" si="218"/>
        <v>$</v>
      </c>
      <c r="K522" s="12">
        <f t="shared" si="219"/>
        <v>110</v>
      </c>
      <c r="L522" s="19">
        <f t="shared" si="220"/>
        <v>45931</v>
      </c>
      <c r="M522" s="13" t="str">
        <f t="shared" si="221"/>
        <v>АРТ-398</v>
      </c>
      <c r="N522" s="13">
        <f t="shared" si="222"/>
        <v>-1</v>
      </c>
      <c r="O522" s="13" t="str">
        <f>IFERROR(VLOOKUP(J522,Справочники!$G$6:$H$8,2,0),"RUB")</f>
        <v>USD</v>
      </c>
      <c r="P522" s="14">
        <f>ROUND(K522*IFERROR(VLOOKUP(J522,Справочники!$G$6:$I$8,3,0),1),2)</f>
        <v>10450</v>
      </c>
      <c r="Q522" s="13" t="str">
        <f>IFERROR(VLOOKUP(H522,Справочники!$D$6:$E$14,2,0),"НЕИЗВЕСТНО")</f>
        <v>Завершен</v>
      </c>
      <c r="R522" s="20">
        <f>IFERROR(INDEX(Товары_очищенные!$Q$3:$Q$503,MATCH(M522,Товары_очищенные!$L$3:$L$503,0)),"нет в каталоге")</f>
        <v>7500</v>
      </c>
      <c r="S522" s="21" t="str">
        <f>IFERROR(INDEX(Товары_очищенные!$N$3:$N$503,MATCH(M522,Товары_очищенные!$L$3:$L$503,0)),"нет в каталоге")</f>
        <v>Аксессуары</v>
      </c>
      <c r="T522" s="21" t="str">
        <f t="shared" si="223"/>
        <v>OK</v>
      </c>
      <c r="U522" s="12" t="str">
        <f t="shared" si="224"/>
        <v>01/10/2025|АРТ-398|C0520</v>
      </c>
      <c r="V522" s="12" t="str">
        <f t="shared" si="225"/>
        <v>оригинал</v>
      </c>
    </row>
    <row r="523" ht="15" customHeight="1">
      <c r="A523" s="10">
        <v>521</v>
      </c>
      <c r="B523" s="11" t="str">
        <f>RAW_Продажи!A522</f>
        <v>10/02/2025</v>
      </c>
      <c r="C523" s="11" t="str">
        <f>RAW_Продажи!B522</f>
        <v>АРТ_357</v>
      </c>
      <c r="D523" s="11" t="str">
        <f>RAW_Продажи!C522</f>
        <v>3</v>
      </c>
      <c r="E523" s="11" t="str">
        <f>RAW_Продажи!D522</f>
        <v>€90</v>
      </c>
      <c r="F523" s="11" t="str">
        <f>RAW_Продажи!E522</f>
        <v>C0521</v>
      </c>
      <c r="G523" s="11" t="str">
        <f>RAW_Продажи!F522</f>
        <v>P037</v>
      </c>
      <c r="H523" s="11" t="str">
        <f>RAW_Продажи!G522</f>
        <v>отменен</v>
      </c>
      <c r="I523" s="12" t="str">
        <f t="shared" si="217"/>
        <v>357</v>
      </c>
      <c r="J523" s="12" t="str">
        <f t="shared" si="218"/>
        <v>€</v>
      </c>
      <c r="K523" s="12">
        <f t="shared" si="219"/>
        <v>90</v>
      </c>
      <c r="L523" s="19">
        <f t="shared" si="220"/>
        <v>45932</v>
      </c>
      <c r="M523" s="13" t="str">
        <f t="shared" si="221"/>
        <v>АРТ-357</v>
      </c>
      <c r="N523" s="13">
        <f t="shared" si="222"/>
        <v>3</v>
      </c>
      <c r="O523" s="13" t="str">
        <f>IFERROR(VLOOKUP(J523,Справочники!$G$6:$H$8,2,0),"RUB")</f>
        <v>EUR</v>
      </c>
      <c r="P523" s="14">
        <f>ROUND(K523*IFERROR(VLOOKUP(J523,Справочники!$G$6:$I$8,3,0),1),2)</f>
        <v>9000</v>
      </c>
      <c r="Q523" s="13" t="str">
        <f>IFERROR(VLOOKUP(H523,Справочники!$D$6:$E$14,2,0),"НЕИЗВЕСТНО")</f>
        <v>Отменен</v>
      </c>
      <c r="R523" s="20">
        <f>IFERROR(INDEX(Товары_очищенные!$Q$3:$Q$503,MATCH(M523,Товары_очищенные!$L$3:$L$503,0)),"нет в каталоге")</f>
        <v>88000</v>
      </c>
      <c r="S523" s="21" t="str">
        <f>IFERROR(INDEX(Товары_очищенные!$N$3:$N$503,MATCH(M523,Товары_очищенные!$L$3:$L$503,0)),"нет в каталоге")</f>
        <v>Смартфоны</v>
      </c>
      <c r="T523" s="21" t="str">
        <f t="shared" si="223"/>
        <v>OK</v>
      </c>
      <c r="U523" s="12" t="str">
        <f t="shared" si="224"/>
        <v>02/10/2025|АРТ-357|C0521</v>
      </c>
      <c r="V523" s="12" t="str">
        <f t="shared" si="225"/>
        <v>оригинал</v>
      </c>
    </row>
    <row r="524" ht="15" customHeight="1">
      <c r="A524" s="10">
        <v>522</v>
      </c>
      <c r="B524" s="11" t="str">
        <f>RAW_Продажи!A523</f>
        <v>10/02/2025</v>
      </c>
      <c r="C524" s="11" t="str">
        <f>RAW_Продажи!B523</f>
        <v>225-24</v>
      </c>
      <c r="D524" s="11" t="str">
        <f>RAW_Продажи!C523</f>
        <v>2</v>
      </c>
      <c r="E524" s="11" t="str">
        <f>RAW_Продажи!D523</f>
        <v xml:space="preserve">8000 ₽</v>
      </c>
      <c r="F524" s="11" t="str">
        <f>RAW_Продажи!E523</f>
        <v>C0522</v>
      </c>
      <c r="G524" s="11" t="str">
        <f>RAW_Продажи!F523</f>
        <v>P048</v>
      </c>
      <c r="H524" s="11" t="str">
        <f>RAW_Продажи!G523</f>
        <v>canceled</v>
      </c>
      <c r="I524" s="12" t="str">
        <f t="shared" si="217"/>
        <v>225-24</v>
      </c>
      <c r="J524" s="12" t="str">
        <f t="shared" si="218"/>
        <v>₽</v>
      </c>
      <c r="K524" s="12">
        <f t="shared" si="219"/>
        <v>8000</v>
      </c>
      <c r="L524" s="19">
        <f t="shared" si="220"/>
        <v>45932</v>
      </c>
      <c r="M524" s="13" t="str">
        <f t="shared" si="221"/>
        <v>АРТ-225</v>
      </c>
      <c r="N524" s="13">
        <f t="shared" si="222"/>
        <v>2</v>
      </c>
      <c r="O524" s="13" t="str">
        <f>IFERROR(VLOOKUP(J524,Справочники!$G$6:$H$8,2,0),"RUB")</f>
        <v>RUB</v>
      </c>
      <c r="P524" s="14">
        <f>ROUND(K524*IFERROR(VLOOKUP(J524,Справочники!$G$6:$I$8,3,0),1),2)</f>
        <v>8000</v>
      </c>
      <c r="Q524" s="13" t="str">
        <f>IFERROR(VLOOKUP(H524,Справочники!$D$6:$E$14,2,0),"НЕИЗВЕСТНО")</f>
        <v>Отменен</v>
      </c>
      <c r="R524" s="20">
        <f>IFERROR(INDEX(Товары_очищенные!$Q$3:$Q$503,MATCH(M524,Товары_очищенные!$L$3:$L$503,0)),"нет в каталоге")</f>
        <v>57000</v>
      </c>
      <c r="S524" s="21" t="str">
        <f>IFERROR(INDEX(Товары_очищенные!$N$3:$N$503,MATCH(M524,Товары_очищенные!$L$3:$L$503,0)),"нет в каталоге")</f>
        <v>Мониторы</v>
      </c>
      <c r="T524" s="21" t="str">
        <f t="shared" si="223"/>
        <v>OK</v>
      </c>
      <c r="U524" s="12" t="str">
        <f t="shared" si="224"/>
        <v>02/10/2025|АРТ-225|C0522</v>
      </c>
      <c r="V524" s="12" t="str">
        <f t="shared" si="225"/>
        <v>оригинал</v>
      </c>
    </row>
    <row r="525" ht="15" customHeight="1">
      <c r="A525" s="10">
        <v>523</v>
      </c>
      <c r="B525" s="11" t="str">
        <f>RAW_Продажи!A524</f>
        <v>10/03/2025</v>
      </c>
      <c r="C525" s="11" t="str">
        <f>RAW_Продажи!B524</f>
        <v>№АРТ-144</v>
      </c>
      <c r="D525" s="11" t="str">
        <f>RAW_Продажи!C524</f>
        <v>1</v>
      </c>
      <c r="E525" s="11" t="str">
        <f>RAW_Продажи!D524</f>
        <v>$95</v>
      </c>
      <c r="F525" s="11" t="str">
        <f>RAW_Продажи!E524</f>
        <v>C0523</v>
      </c>
      <c r="G525" s="11" t="str">
        <f>RAW_Продажи!F524</f>
        <v>P004</v>
      </c>
      <c r="H525" s="11" t="str">
        <f>RAW_Продажи!G524</f>
        <v>Завершен</v>
      </c>
      <c r="I525" s="12" t="str">
        <f t="shared" si="217"/>
        <v>144</v>
      </c>
      <c r="J525" s="12" t="str">
        <f t="shared" si="218"/>
        <v>$</v>
      </c>
      <c r="K525" s="12">
        <f t="shared" si="219"/>
        <v>95</v>
      </c>
      <c r="L525" s="19">
        <f t="shared" si="220"/>
        <v>45933</v>
      </c>
      <c r="M525" s="13" t="str">
        <f t="shared" si="221"/>
        <v>АРТ-144</v>
      </c>
      <c r="N525" s="13">
        <f t="shared" si="222"/>
        <v>1</v>
      </c>
      <c r="O525" s="13" t="str">
        <f>IFERROR(VLOOKUP(J525,Справочники!$G$6:$H$8,2,0),"RUB")</f>
        <v>USD</v>
      </c>
      <c r="P525" s="14">
        <f>ROUND(K525*IFERROR(VLOOKUP(J525,Справочники!$G$6:$I$8,3,0),1),2)</f>
        <v>9025</v>
      </c>
      <c r="Q525" s="13" t="str">
        <f>IFERROR(VLOOKUP(H525,Справочники!$D$6:$E$14,2,0),"НЕИЗВЕСТНО")</f>
        <v>Завершен</v>
      </c>
      <c r="R525" s="20">
        <f>IFERROR(INDEX(Товары_очищенные!$Q$3:$Q$503,MATCH(M525,Товары_очищенные!$L$3:$L$503,0)),"нет в каталоге")</f>
        <v>8500</v>
      </c>
      <c r="S525" s="21" t="str">
        <f>IFERROR(INDEX(Товары_очищенные!$N$3:$N$503,MATCH(M525,Товары_очищенные!$L$3:$L$503,0)),"нет в каталоге")</f>
        <v>Аксессуары</v>
      </c>
      <c r="T525" s="21" t="str">
        <f t="shared" si="223"/>
        <v>OK</v>
      </c>
      <c r="U525" s="12" t="str">
        <f t="shared" si="224"/>
        <v>03/10/2025|АРТ-144|C0523</v>
      </c>
      <c r="V525" s="12" t="str">
        <f t="shared" si="225"/>
        <v>оригинал</v>
      </c>
    </row>
    <row r="526" ht="15" customHeight="1">
      <c r="A526" s="10">
        <v>524</v>
      </c>
      <c r="B526" s="11" t="str">
        <f>RAW_Продажи!A525</f>
        <v>10/03/2025</v>
      </c>
      <c r="C526" s="11" t="str">
        <f>RAW_Продажи!B525</f>
        <v>АРТ_455</v>
      </c>
      <c r="D526" s="11" t="str">
        <f>RAW_Продажи!C525</f>
        <v>2</v>
      </c>
      <c r="E526" s="11" t="str">
        <f>RAW_Продажи!D525</f>
        <v>€75</v>
      </c>
      <c r="F526" s="11" t="str">
        <f>RAW_Продажи!E525</f>
        <v>C0524</v>
      </c>
      <c r="G526" s="11" t="str">
        <f>RAW_Продажи!F525</f>
        <v>P026</v>
      </c>
      <c r="H526" s="11" t="str">
        <f>RAW_Продажи!G525</f>
        <v>возврат</v>
      </c>
      <c r="I526" s="12" t="str">
        <f t="shared" si="217"/>
        <v>455</v>
      </c>
      <c r="J526" s="12" t="str">
        <f t="shared" si="218"/>
        <v>€</v>
      </c>
      <c r="K526" s="12">
        <f t="shared" si="219"/>
        <v>75</v>
      </c>
      <c r="L526" s="19">
        <f t="shared" si="220"/>
        <v>45933</v>
      </c>
      <c r="M526" s="13" t="str">
        <f t="shared" si="221"/>
        <v>АРТ-455</v>
      </c>
      <c r="N526" s="13">
        <f t="shared" si="222"/>
        <v>2</v>
      </c>
      <c r="O526" s="13" t="str">
        <f>IFERROR(VLOOKUP(J526,Справочники!$G$6:$H$8,2,0),"RUB")</f>
        <v>EUR</v>
      </c>
      <c r="P526" s="14">
        <f>ROUND(K526*IFERROR(VLOOKUP(J526,Справочники!$G$6:$I$8,3,0),1),2)</f>
        <v>7500</v>
      </c>
      <c r="Q526" s="13" t="str">
        <f>IFERROR(VLOOKUP(H526,Справочники!$D$6:$E$14,2,0),"НЕИЗВЕСТНО")</f>
        <v>Возврат</v>
      </c>
      <c r="R526" s="20">
        <f>IFERROR(INDEX(Товары_очищенные!$Q$3:$Q$503,MATCH(M526,Товары_очищенные!$L$3:$L$503,0)),"нет в каталоге")</f>
        <v>72000</v>
      </c>
      <c r="S526" s="21" t="str">
        <f>IFERROR(INDEX(Товары_очищенные!$N$3:$N$503,MATCH(M526,Товары_очищенные!$L$3:$L$503,0)),"нет в каталоге")</f>
        <v>Мониторы</v>
      </c>
      <c r="T526" s="21" t="str">
        <f t="shared" si="223"/>
        <v>OK</v>
      </c>
      <c r="U526" s="12" t="str">
        <f t="shared" si="224"/>
        <v>03/10/2025|АРТ-455|C0524</v>
      </c>
      <c r="V526" s="12" t="str">
        <f t="shared" si="225"/>
        <v>оригинал</v>
      </c>
    </row>
    <row r="527" ht="15" customHeight="1">
      <c r="A527" s="10">
        <v>525</v>
      </c>
      <c r="B527" s="11" t="str">
        <f>RAW_Продажи!A526</f>
        <v>10/04/2025</v>
      </c>
      <c r="C527" s="11" t="str">
        <f>RAW_Продажи!B526</f>
        <v>331/24</v>
      </c>
      <c r="D527" s="11" t="str">
        <f>RAW_Продажи!C526</f>
        <v xml:space="preserve">3 шт.</v>
      </c>
      <c r="E527" s="11" t="str">
        <f>RAW_Продажи!D526</f>
        <v xml:space="preserve">7000 ₽</v>
      </c>
      <c r="F527" s="11" t="str">
        <f>RAW_Продажи!E526</f>
        <v>C0525</v>
      </c>
      <c r="G527" s="11" t="str">
        <f>RAW_Продажи!F526</f>
        <v>P013</v>
      </c>
      <c r="H527" s="11" t="str">
        <f>RAW_Продажи!G526</f>
        <v>завершен</v>
      </c>
      <c r="I527" s="12" t="str">
        <f t="shared" si="217"/>
        <v>331/24</v>
      </c>
      <c r="J527" s="12" t="str">
        <f t="shared" si="218"/>
        <v>₽</v>
      </c>
      <c r="K527" s="12">
        <f t="shared" si="219"/>
        <v>7000</v>
      </c>
      <c r="L527" s="19">
        <f t="shared" si="220"/>
        <v>45934</v>
      </c>
      <c r="M527" s="13" t="str">
        <f t="shared" si="221"/>
        <v>АРТ-331</v>
      </c>
      <c r="N527" s="13">
        <f t="shared" si="222"/>
        <v>3</v>
      </c>
      <c r="O527" s="13" t="str">
        <f>IFERROR(VLOOKUP(J527,Справочники!$G$6:$H$8,2,0),"RUB")</f>
        <v>RUB</v>
      </c>
      <c r="P527" s="14">
        <f>ROUND(K527*IFERROR(VLOOKUP(J527,Справочники!$G$6:$I$8,3,0),1),2)</f>
        <v>7000</v>
      </c>
      <c r="Q527" s="13" t="str">
        <f>IFERROR(VLOOKUP(H527,Справочники!$D$6:$E$14,2,0),"НЕИЗВЕСТНО")</f>
        <v>Завершен</v>
      </c>
      <c r="R527" s="20">
        <f>IFERROR(INDEX(Товары_очищенные!$Q$3:$Q$503,MATCH(M527,Товары_очищенные!$L$3:$L$503,0)),"нет в каталоге")</f>
        <v>69990</v>
      </c>
      <c r="S527" s="21" t="str">
        <f>IFERROR(INDEX(Товары_очищенные!$N$3:$N$503,MATCH(M527,Товары_очищенные!$L$3:$L$503,0)),"нет в каталоге")</f>
        <v>Часы</v>
      </c>
      <c r="T527" s="21" t="str">
        <f t="shared" si="223"/>
        <v>OK</v>
      </c>
      <c r="U527" s="12" t="str">
        <f t="shared" si="224"/>
        <v>04/10/2025|АРТ-331|C0525</v>
      </c>
      <c r="V527" s="12" t="str">
        <f t="shared" si="225"/>
        <v>оригинал</v>
      </c>
    </row>
    <row r="528" ht="15" customHeight="1">
      <c r="A528" s="10">
        <v>526</v>
      </c>
      <c r="B528" s="11" t="str">
        <f>RAW_Продажи!A527</f>
        <v>10/04/2025</v>
      </c>
      <c r="C528" s="11" t="str">
        <f>RAW_Продажи!B527</f>
        <v>№АРТ-301</v>
      </c>
      <c r="D528" s="11" t="str">
        <f>RAW_Продажи!C527</f>
        <v>-2</v>
      </c>
      <c r="E528" s="11" t="str">
        <f>RAW_Продажи!D527</f>
        <v>$115</v>
      </c>
      <c r="F528" s="11" t="str">
        <f>RAW_Продажи!E527</f>
        <v>C0526</v>
      </c>
      <c r="G528" s="11" t="str">
        <f>RAW_Продажи!F527</f>
        <v>P034</v>
      </c>
      <c r="H528" s="11" t="str">
        <f>RAW_Продажи!G527</f>
        <v>completed</v>
      </c>
      <c r="I528" s="12" t="str">
        <f t="shared" si="217"/>
        <v>301</v>
      </c>
      <c r="J528" s="12" t="str">
        <f t="shared" si="218"/>
        <v>$</v>
      </c>
      <c r="K528" s="12">
        <f t="shared" si="219"/>
        <v>115</v>
      </c>
      <c r="L528" s="19">
        <f t="shared" si="220"/>
        <v>45934</v>
      </c>
      <c r="M528" s="13" t="str">
        <f t="shared" si="221"/>
        <v>АРТ-301</v>
      </c>
      <c r="N528" s="13">
        <f t="shared" si="222"/>
        <v>-2</v>
      </c>
      <c r="O528" s="13" t="str">
        <f>IFERROR(VLOOKUP(J528,Справочники!$G$6:$H$8,2,0),"RUB")</f>
        <v>USD</v>
      </c>
      <c r="P528" s="14">
        <f>ROUND(K528*IFERROR(VLOOKUP(J528,Справочники!$G$6:$I$8,3,0),1),2)</f>
        <v>10925</v>
      </c>
      <c r="Q528" s="13" t="str">
        <f>IFERROR(VLOOKUP(H528,Справочники!$D$6:$E$14,2,0),"НЕИЗВЕСТНО")</f>
        <v>Завершен</v>
      </c>
      <c r="R528" s="20">
        <f>IFERROR(INDEX(Товары_очищенные!$Q$3:$Q$503,MATCH(M528,Товары_очищенные!$L$3:$L$503,0)),"нет в каталоге")</f>
        <v>7990</v>
      </c>
      <c r="S528" s="21" t="str">
        <f>IFERROR(INDEX(Товары_очищенные!$N$3:$N$503,MATCH(M528,Товары_очищенные!$L$3:$L$503,0)),"нет в каталоге")</f>
        <v>Наушники</v>
      </c>
      <c r="T528" s="21" t="str">
        <f t="shared" si="223"/>
        <v>OK</v>
      </c>
      <c r="U528" s="12" t="str">
        <f t="shared" si="224"/>
        <v>04/10/2025|АРТ-301|C0526</v>
      </c>
      <c r="V528" s="12" t="str">
        <f t="shared" si="225"/>
        <v>оригинал</v>
      </c>
    </row>
    <row r="529" ht="15" customHeight="1">
      <c r="A529" s="10">
        <v>527</v>
      </c>
      <c r="B529" s="11" t="str">
        <f>RAW_Продажи!A528</f>
        <v>10/05/2025</v>
      </c>
      <c r="C529" s="11" t="str">
        <f>RAW_Продажи!B528</f>
        <v>АРТ_338</v>
      </c>
      <c r="D529" s="11" t="str">
        <f>RAW_Продажи!C528</f>
        <v>1</v>
      </c>
      <c r="E529" s="11" t="str">
        <f>RAW_Продажи!D528</f>
        <v>€95</v>
      </c>
      <c r="F529" s="11" t="str">
        <f>RAW_Продажи!E528</f>
        <v>C0527</v>
      </c>
      <c r="G529" s="11" t="str">
        <f>RAW_Продажи!F528</f>
        <v>P044</v>
      </c>
      <c r="H529" s="11" t="str">
        <f>RAW_Продажи!G528</f>
        <v>Завершен</v>
      </c>
      <c r="I529" s="12" t="str">
        <f t="shared" si="217"/>
        <v>338</v>
      </c>
      <c r="J529" s="12" t="str">
        <f t="shared" si="218"/>
        <v>€</v>
      </c>
      <c r="K529" s="12">
        <f t="shared" si="219"/>
        <v>95</v>
      </c>
      <c r="L529" s="19">
        <f t="shared" si="220"/>
        <v>45935</v>
      </c>
      <c r="M529" s="13" t="str">
        <f t="shared" si="221"/>
        <v>АРТ-338</v>
      </c>
      <c r="N529" s="13">
        <f t="shared" si="222"/>
        <v>1</v>
      </c>
      <c r="O529" s="13" t="str">
        <f>IFERROR(VLOOKUP(J529,Справочники!$G$6:$H$8,2,0),"RUB")</f>
        <v>EUR</v>
      </c>
      <c r="P529" s="14">
        <f>ROUND(K529*IFERROR(VLOOKUP(J529,Справочники!$G$6:$I$8,3,0),1),2)</f>
        <v>9500</v>
      </c>
      <c r="Q529" s="13" t="str">
        <f>IFERROR(VLOOKUP(H529,Справочники!$D$6:$E$14,2,0),"НЕИЗВЕСТНО")</f>
        <v>Завершен</v>
      </c>
      <c r="R529" s="20">
        <f>IFERROR(INDEX(Товары_очищенные!$Q$3:$Q$503,MATCH(M529,Товары_очищенные!$L$3:$L$503,0)),"нет в каталоге")</f>
        <v>62500</v>
      </c>
      <c r="S529" s="21" t="str">
        <f>IFERROR(INDEX(Товары_очищенные!$N$3:$N$503,MATCH(M529,Товары_очищенные!$L$3:$L$503,0)),"нет в каталоге")</f>
        <v>Смартфоны</v>
      </c>
      <c r="T529" s="21" t="str">
        <f t="shared" si="223"/>
        <v>OK</v>
      </c>
      <c r="U529" s="12" t="str">
        <f t="shared" si="224"/>
        <v>05/10/2025|АРТ-338|C0527</v>
      </c>
      <c r="V529" s="12" t="str">
        <f t="shared" si="225"/>
        <v>оригинал</v>
      </c>
    </row>
    <row r="530" ht="15" customHeight="1">
      <c r="A530" s="10">
        <v>528</v>
      </c>
      <c r="B530" s="11" t="str">
        <f>RAW_Продажи!A529</f>
        <v>10/05/2025</v>
      </c>
      <c r="C530" s="11" t="str">
        <f>RAW_Продажи!B529</f>
        <v>267-24</v>
      </c>
      <c r="D530" s="11" t="str">
        <f>RAW_Продажи!C529</f>
        <v>2</v>
      </c>
      <c r="E530" s="11" t="str">
        <f>RAW_Продажи!D529</f>
        <v xml:space="preserve">8500 ₽</v>
      </c>
      <c r="F530" s="11" t="str">
        <f>RAW_Продажи!E529</f>
        <v>C0528</v>
      </c>
      <c r="G530" s="11" t="str">
        <f>RAW_Продажи!F529</f>
        <v>P001</v>
      </c>
      <c r="H530" s="11" t="str">
        <f>RAW_Продажи!G529</f>
        <v>canceled</v>
      </c>
      <c r="I530" s="12" t="str">
        <f t="shared" si="217"/>
        <v>267-24</v>
      </c>
      <c r="J530" s="12" t="str">
        <f t="shared" si="218"/>
        <v>₽</v>
      </c>
      <c r="K530" s="12">
        <f t="shared" si="219"/>
        <v>8500</v>
      </c>
      <c r="L530" s="19">
        <f t="shared" si="220"/>
        <v>45935</v>
      </c>
      <c r="M530" s="13" t="str">
        <f t="shared" si="221"/>
        <v>АРТ-267</v>
      </c>
      <c r="N530" s="13">
        <f t="shared" si="222"/>
        <v>2</v>
      </c>
      <c r="O530" s="13" t="str">
        <f>IFERROR(VLOOKUP(J530,Справочники!$G$6:$H$8,2,0),"RUB")</f>
        <v>RUB</v>
      </c>
      <c r="P530" s="14">
        <f>ROUND(K530*IFERROR(VLOOKUP(J530,Справочники!$G$6:$I$8,3,0),1),2)</f>
        <v>8500</v>
      </c>
      <c r="Q530" s="13" t="str">
        <f>IFERROR(VLOOKUP(H530,Справочники!$D$6:$E$14,2,0),"НЕИЗВЕСТНО")</f>
        <v>Отменен</v>
      </c>
      <c r="R530" s="20">
        <f>IFERROR(INDEX(Товары_очищенные!$Q$3:$Q$503,MATCH(M530,Товары_очищенные!$L$3:$L$503,0)),"нет в каталоге")</f>
        <v>70000</v>
      </c>
      <c r="S530" s="21" t="str">
        <f>IFERROR(INDEX(Товары_очищенные!$N$3:$N$503,MATCH(M530,Товары_очищенные!$L$3:$L$503,0)),"нет в каталоге")</f>
        <v>Мониторы</v>
      </c>
      <c r="T530" s="21" t="str">
        <f t="shared" si="223"/>
        <v>OK</v>
      </c>
      <c r="U530" s="12" t="str">
        <f t="shared" si="224"/>
        <v>05/10/2025|АРТ-267|C0528</v>
      </c>
      <c r="V530" s="12" t="str">
        <f t="shared" si="225"/>
        <v>оригинал</v>
      </c>
    </row>
    <row r="531" ht="15" customHeight="1">
      <c r="A531" s="10">
        <v>529</v>
      </c>
      <c r="B531" s="11" t="str">
        <f>RAW_Продажи!A530</f>
        <v>10/06/2025</v>
      </c>
      <c r="C531" s="11" t="str">
        <f>RAW_Продажи!B530</f>
        <v>№АРТ-080</v>
      </c>
      <c r="D531" s="11" t="str">
        <f>RAW_Продажи!C530</f>
        <v>3</v>
      </c>
      <c r="E531" s="11" t="str">
        <f>RAW_Продажи!D530</f>
        <v>$105</v>
      </c>
      <c r="F531" s="11" t="str">
        <f>RAW_Продажи!E530</f>
        <v>C0529</v>
      </c>
      <c r="G531" s="11" t="str">
        <f>RAW_Продажи!F530</f>
        <v>P021</v>
      </c>
      <c r="H531" s="11" t="str">
        <f>RAW_Продажи!G530</f>
        <v>отменен</v>
      </c>
      <c r="I531" s="12" t="str">
        <f t="shared" si="217"/>
        <v>080</v>
      </c>
      <c r="J531" s="12" t="str">
        <f t="shared" si="218"/>
        <v>$</v>
      </c>
      <c r="K531" s="12">
        <f t="shared" si="219"/>
        <v>105</v>
      </c>
      <c r="L531" s="19">
        <f t="shared" si="220"/>
        <v>45936</v>
      </c>
      <c r="M531" s="13" t="str">
        <f t="shared" si="221"/>
        <v>АРТ-080</v>
      </c>
      <c r="N531" s="13">
        <f t="shared" si="222"/>
        <v>3</v>
      </c>
      <c r="O531" s="13" t="str">
        <f>IFERROR(VLOOKUP(J531,Справочники!$G$6:$H$8,2,0),"RUB")</f>
        <v>USD</v>
      </c>
      <c r="P531" s="14">
        <f>ROUND(K531*IFERROR(VLOOKUP(J531,Справочники!$G$6:$I$8,3,0),1),2)</f>
        <v>9975</v>
      </c>
      <c r="Q531" s="13" t="str">
        <f>IFERROR(VLOOKUP(H531,Справочники!$D$6:$E$14,2,0),"НЕИЗВЕСТНО")</f>
        <v>Отменен</v>
      </c>
      <c r="R531" s="20">
        <f>IFERROR(INDEX(Товары_очищенные!$Q$3:$Q$503,MATCH(M531,Товары_очищенные!$L$3:$L$503,0)),"нет в каталоге")</f>
        <v>44500</v>
      </c>
      <c r="S531" s="21" t="str">
        <f>IFERROR(INDEX(Товары_очищенные!$N$3:$N$503,MATCH(M531,Товары_очищенные!$L$3:$L$503,0)),"нет в каталоге")</f>
        <v>Планшеты</v>
      </c>
      <c r="T531" s="21" t="str">
        <f t="shared" si="223"/>
        <v>OK</v>
      </c>
      <c r="U531" s="12" t="str">
        <f t="shared" si="224"/>
        <v>06/10/2025|АРТ-080|C0529</v>
      </c>
      <c r="V531" s="12" t="str">
        <f t="shared" si="225"/>
        <v>оригинал</v>
      </c>
    </row>
    <row r="532" ht="15" customHeight="1">
      <c r="A532" s="10">
        <v>530</v>
      </c>
      <c r="B532" s="11" t="str">
        <f>RAW_Продажи!A531</f>
        <v>10/06/2025</v>
      </c>
      <c r="C532" s="11" t="str">
        <f>RAW_Продажи!B531</f>
        <v>АРТ_445</v>
      </c>
      <c r="D532" s="11" t="str">
        <f>RAW_Продажи!C531</f>
        <v>2</v>
      </c>
      <c r="E532" s="11" t="str">
        <f>RAW_Продажи!D531</f>
        <v>€85</v>
      </c>
      <c r="F532" s="11" t="str">
        <f>RAW_Продажи!E531</f>
        <v>C0530</v>
      </c>
      <c r="G532" s="11" t="str">
        <f>RAW_Продажи!F531</f>
        <v>P039</v>
      </c>
      <c r="H532" s="11" t="str">
        <f>RAW_Продажи!G531</f>
        <v>возврат</v>
      </c>
      <c r="I532" s="12" t="str">
        <f t="shared" si="217"/>
        <v>445</v>
      </c>
      <c r="J532" s="12" t="str">
        <f t="shared" si="218"/>
        <v>€</v>
      </c>
      <c r="K532" s="12">
        <f t="shared" si="219"/>
        <v>85</v>
      </c>
      <c r="L532" s="19">
        <f t="shared" si="220"/>
        <v>45936</v>
      </c>
      <c r="M532" s="13" t="str">
        <f t="shared" si="221"/>
        <v>АРТ-445</v>
      </c>
      <c r="N532" s="13">
        <f t="shared" si="222"/>
        <v>2</v>
      </c>
      <c r="O532" s="13" t="str">
        <f>IFERROR(VLOOKUP(J532,Справочники!$G$6:$H$8,2,0),"RUB")</f>
        <v>EUR</v>
      </c>
      <c r="P532" s="14">
        <f>ROUND(K532*IFERROR(VLOOKUP(J532,Справочники!$G$6:$I$8,3,0),1),2)</f>
        <v>8500</v>
      </c>
      <c r="Q532" s="13" t="str">
        <f>IFERROR(VLOOKUP(H532,Справочники!$D$6:$E$14,2,0),"НЕИЗВЕСТНО")</f>
        <v>Возврат</v>
      </c>
      <c r="R532" s="20">
        <f>IFERROR(INDEX(Товары_очищенные!$Q$3:$Q$503,MATCH(M532,Товары_очищенные!$L$3:$L$503,0)),"нет в каталоге")</f>
        <v>141990</v>
      </c>
      <c r="S532" s="21" t="str">
        <f>IFERROR(INDEX(Товары_очищенные!$N$3:$N$503,MATCH(M532,Товары_очищенные!$L$3:$L$503,0)),"нет в каталоге")</f>
        <v>Ноутбуки</v>
      </c>
      <c r="T532" s="21" t="str">
        <f t="shared" si="223"/>
        <v>OK</v>
      </c>
      <c r="U532" s="12" t="str">
        <f t="shared" si="224"/>
        <v>06/10/2025|АРТ-445|C0530</v>
      </c>
      <c r="V532" s="12" t="str">
        <f t="shared" si="225"/>
        <v>оригинал</v>
      </c>
    </row>
    <row r="533" ht="15" customHeight="1">
      <c r="A533" s="10">
        <v>531</v>
      </c>
      <c r="B533" s="11" t="str">
        <f>RAW_Продажи!A532</f>
        <v>10/07/2025</v>
      </c>
      <c r="C533" s="11" t="str">
        <f>RAW_Продажи!B532</f>
        <v>288/24</v>
      </c>
      <c r="D533" s="11" t="str">
        <f>RAW_Продажи!C532</f>
        <v xml:space="preserve">1 шт.</v>
      </c>
      <c r="E533" s="11" t="str">
        <f>RAW_Продажи!D532</f>
        <v xml:space="preserve">7800 ₽</v>
      </c>
      <c r="F533" s="11" t="str">
        <f>RAW_Продажи!E532</f>
        <v>C0531</v>
      </c>
      <c r="G533" s="11" t="str">
        <f>RAW_Продажи!F532</f>
        <v>P050</v>
      </c>
      <c r="H533" s="11" t="str">
        <f>RAW_Продажи!G532</f>
        <v>Завершен</v>
      </c>
      <c r="I533" s="12" t="str">
        <f t="shared" si="217"/>
        <v>288/24</v>
      </c>
      <c r="J533" s="12" t="str">
        <f t="shared" si="218"/>
        <v>₽</v>
      </c>
      <c r="K533" s="12">
        <f t="shared" si="219"/>
        <v>7800</v>
      </c>
      <c r="L533" s="19">
        <f t="shared" si="220"/>
        <v>45937</v>
      </c>
      <c r="M533" s="13" t="str">
        <f t="shared" si="221"/>
        <v>АРТ-288</v>
      </c>
      <c r="N533" s="13">
        <f t="shared" si="222"/>
        <v>1</v>
      </c>
      <c r="O533" s="13" t="str">
        <f>IFERROR(VLOOKUP(J533,Справочники!$G$6:$H$8,2,0),"RUB")</f>
        <v>RUB</v>
      </c>
      <c r="P533" s="14">
        <f>ROUND(K533*IFERROR(VLOOKUP(J533,Справочники!$G$6:$I$8,3,0),1),2)</f>
        <v>7800</v>
      </c>
      <c r="Q533" s="13" t="str">
        <f>IFERROR(VLOOKUP(H533,Справочники!$D$6:$E$14,2,0),"НЕИЗВЕСТНО")</f>
        <v>Завершен</v>
      </c>
      <c r="R533" s="20">
        <f>IFERROR(INDEX(Товары_очищенные!$Q$3:$Q$503,MATCH(M533,Товары_очищенные!$L$3:$L$503,0)),"нет в каталоге")</f>
        <v>8000</v>
      </c>
      <c r="S533" s="21" t="str">
        <f>IFERROR(INDEX(Товары_очищенные!$N$3:$N$503,MATCH(M533,Товары_очищенные!$L$3:$L$503,0)),"нет в каталоге")</f>
        <v>Аксессуары</v>
      </c>
      <c r="T533" s="21" t="str">
        <f t="shared" si="223"/>
        <v>OK</v>
      </c>
      <c r="U533" s="12" t="str">
        <f t="shared" si="224"/>
        <v>07/10/2025|АРТ-288|C0531</v>
      </c>
      <c r="V533" s="12" t="str">
        <f t="shared" si="225"/>
        <v>оригинал</v>
      </c>
    </row>
    <row r="534" ht="15" customHeight="1">
      <c r="A534" s="10">
        <v>532</v>
      </c>
      <c r="B534" s="11" t="str">
        <f>RAW_Продажи!A533</f>
        <v>10/07/2025</v>
      </c>
      <c r="C534" s="11" t="str">
        <f>RAW_Продажи!B533</f>
        <v>№АРТ-377</v>
      </c>
      <c r="D534" s="11" t="str">
        <f>RAW_Продажи!C533</f>
        <v>-3</v>
      </c>
      <c r="E534" s="11" t="str">
        <f>RAW_Продажи!D533</f>
        <v>$120</v>
      </c>
      <c r="F534" s="11" t="str">
        <f>RAW_Продажи!E533</f>
        <v>C0532</v>
      </c>
      <c r="G534" s="11" t="str">
        <f>RAW_Продажи!F533</f>
        <v>P011</v>
      </c>
      <c r="H534" s="11" t="str">
        <f>RAW_Продажи!G533</f>
        <v>завершен</v>
      </c>
      <c r="I534" s="12" t="str">
        <f t="shared" si="217"/>
        <v>377</v>
      </c>
      <c r="J534" s="12" t="str">
        <f t="shared" si="218"/>
        <v>$</v>
      </c>
      <c r="K534" s="12">
        <f t="shared" si="219"/>
        <v>120</v>
      </c>
      <c r="L534" s="19">
        <f t="shared" si="220"/>
        <v>45937</v>
      </c>
      <c r="M534" s="13" t="str">
        <f t="shared" si="221"/>
        <v>АРТ-377</v>
      </c>
      <c r="N534" s="13">
        <f t="shared" si="222"/>
        <v>-3</v>
      </c>
      <c r="O534" s="13" t="str">
        <f>IFERROR(VLOOKUP(J534,Справочники!$G$6:$H$8,2,0),"RUB")</f>
        <v>USD</v>
      </c>
      <c r="P534" s="14">
        <f>ROUND(K534*IFERROR(VLOOKUP(J534,Справочники!$G$6:$I$8,3,0),1),2)</f>
        <v>11400</v>
      </c>
      <c r="Q534" s="13" t="str">
        <f>IFERROR(VLOOKUP(H534,Справочники!$D$6:$E$14,2,0),"НЕИЗВЕСТНО")</f>
        <v>Завершен</v>
      </c>
      <c r="R534" s="20">
        <f>IFERROR(INDEX(Товары_очищенные!$Q$3:$Q$503,MATCH(M534,Товары_очищенные!$L$3:$L$503,0)),"нет в каталоге")</f>
        <v>23500</v>
      </c>
      <c r="S534" s="21" t="str">
        <f>IFERROR(INDEX(Товары_очищенные!$N$3:$N$503,MATCH(M534,Товары_очищенные!$L$3:$L$503,0)),"нет в каталоге")</f>
        <v>Часы</v>
      </c>
      <c r="T534" s="21" t="str">
        <f t="shared" si="223"/>
        <v>OK</v>
      </c>
      <c r="U534" s="12" t="str">
        <f t="shared" si="224"/>
        <v>07/10/2025|АРТ-377|C0532</v>
      </c>
      <c r="V534" s="12" t="str">
        <f t="shared" si="225"/>
        <v>оригинал</v>
      </c>
    </row>
    <row r="535" ht="15" customHeight="1">
      <c r="A535" s="10">
        <v>533</v>
      </c>
      <c r="B535" s="11" t="str">
        <f>RAW_Продажи!A534</f>
        <v>10/08/2025</v>
      </c>
      <c r="C535" s="11" t="str">
        <f>RAW_Продажи!B534</f>
        <v>АРТ_296</v>
      </c>
      <c r="D535" s="11" t="str">
        <f>RAW_Продажи!C534</f>
        <v>2</v>
      </c>
      <c r="E535" s="11" t="str">
        <f>RAW_Продажи!D534</f>
        <v>€100</v>
      </c>
      <c r="F535" s="11" t="str">
        <f>RAW_Продажи!E534</f>
        <v>C0533</v>
      </c>
      <c r="G535" s="11" t="str">
        <f>RAW_Продажи!F534</f>
        <v>P027</v>
      </c>
      <c r="H535" s="11" t="str">
        <f>RAW_Продажи!G534</f>
        <v>completed</v>
      </c>
      <c r="I535" s="12" t="str">
        <f t="shared" si="217"/>
        <v>296</v>
      </c>
      <c r="J535" s="12" t="str">
        <f t="shared" si="218"/>
        <v>€</v>
      </c>
      <c r="K535" s="12">
        <f t="shared" si="219"/>
        <v>100</v>
      </c>
      <c r="L535" s="19">
        <f t="shared" si="220"/>
        <v>45938</v>
      </c>
      <c r="M535" s="13" t="str">
        <f t="shared" si="221"/>
        <v>АРТ-296</v>
      </c>
      <c r="N535" s="13">
        <f t="shared" si="222"/>
        <v>2</v>
      </c>
      <c r="O535" s="13" t="str">
        <f>IFERROR(VLOOKUP(J535,Справочники!$G$6:$H$8,2,0),"RUB")</f>
        <v>EUR</v>
      </c>
      <c r="P535" s="14">
        <f>ROUND(K535*IFERROR(VLOOKUP(J535,Справочники!$G$6:$I$8,3,0),1),2)</f>
        <v>10000</v>
      </c>
      <c r="Q535" s="13" t="str">
        <f>IFERROR(VLOOKUP(H535,Справочники!$D$6:$E$14,2,0),"НЕИЗВЕСТНО")</f>
        <v>Завершен</v>
      </c>
      <c r="R535" s="20">
        <f>IFERROR(INDEX(Товары_очищенные!$Q$3:$Q$503,MATCH(M535,Товары_очищенные!$L$3:$L$503,0)),"нет в каталоге")</f>
        <v>33500</v>
      </c>
      <c r="S535" s="21" t="str">
        <f>IFERROR(INDEX(Товары_очищенные!$N$3:$N$503,MATCH(M535,Товары_очищенные!$L$3:$L$503,0)),"нет в каталоге")</f>
        <v>Смартфоны</v>
      </c>
      <c r="T535" s="21" t="str">
        <f t="shared" si="223"/>
        <v>OK</v>
      </c>
      <c r="U535" s="12" t="str">
        <f t="shared" si="224"/>
        <v>08/10/2025|АРТ-296|C0533</v>
      </c>
      <c r="V535" s="12" t="str">
        <f t="shared" si="225"/>
        <v>оригинал</v>
      </c>
    </row>
    <row r="536" ht="15" customHeight="1">
      <c r="A536" s="10">
        <v>534</v>
      </c>
      <c r="B536" s="11" t="str">
        <f>RAW_Продажи!A535</f>
        <v>10/08/2025</v>
      </c>
      <c r="C536" s="11" t="str">
        <f>RAW_Продажи!B535</f>
        <v>225-24</v>
      </c>
      <c r="D536" s="11" t="str">
        <f>RAW_Продажи!C535</f>
        <v>1</v>
      </c>
      <c r="E536" s="11" t="str">
        <f>RAW_Продажи!D535</f>
        <v xml:space="preserve">9200 ₽</v>
      </c>
      <c r="F536" s="11" t="str">
        <f>RAW_Продажи!E535</f>
        <v>C0534</v>
      </c>
      <c r="G536" s="11" t="str">
        <f>RAW_Продажи!F535</f>
        <v>P018</v>
      </c>
      <c r="H536" s="11" t="str">
        <f>RAW_Продажи!G535</f>
        <v>отменен</v>
      </c>
      <c r="I536" s="12" t="str">
        <f t="shared" si="217"/>
        <v>225-24</v>
      </c>
      <c r="J536" s="12" t="str">
        <f t="shared" si="218"/>
        <v>₽</v>
      </c>
      <c r="K536" s="12">
        <f t="shared" si="219"/>
        <v>9200</v>
      </c>
      <c r="L536" s="19">
        <f t="shared" si="220"/>
        <v>45938</v>
      </c>
      <c r="M536" s="13" t="str">
        <f t="shared" si="221"/>
        <v>АРТ-225</v>
      </c>
      <c r="N536" s="13">
        <f t="shared" si="222"/>
        <v>1</v>
      </c>
      <c r="O536" s="13" t="str">
        <f>IFERROR(VLOOKUP(J536,Справочники!$G$6:$H$8,2,0),"RUB")</f>
        <v>RUB</v>
      </c>
      <c r="P536" s="14">
        <f>ROUND(K536*IFERROR(VLOOKUP(J536,Справочники!$G$6:$I$8,3,0),1),2)</f>
        <v>9200</v>
      </c>
      <c r="Q536" s="13" t="str">
        <f>IFERROR(VLOOKUP(H536,Справочники!$D$6:$E$14,2,0),"НЕИЗВЕСТНО")</f>
        <v>Отменен</v>
      </c>
      <c r="R536" s="20">
        <f>IFERROR(INDEX(Товары_очищенные!$Q$3:$Q$503,MATCH(M536,Товары_очищенные!$L$3:$L$503,0)),"нет в каталоге")</f>
        <v>57000</v>
      </c>
      <c r="S536" s="21" t="str">
        <f>IFERROR(INDEX(Товары_очищенные!$N$3:$N$503,MATCH(M536,Товары_очищенные!$L$3:$L$503,0)),"нет в каталоге")</f>
        <v>Мониторы</v>
      </c>
      <c r="T536" s="21" t="str">
        <f t="shared" si="223"/>
        <v>OK</v>
      </c>
      <c r="U536" s="12" t="str">
        <f t="shared" si="224"/>
        <v>08/10/2025|АРТ-225|C0534</v>
      </c>
      <c r="V536" s="12" t="str">
        <f t="shared" si="225"/>
        <v>оригинал</v>
      </c>
    </row>
    <row r="537" ht="15" customHeight="1">
      <c r="A537" s="10">
        <v>535</v>
      </c>
      <c r="B537" s="11" t="str">
        <f>RAW_Продажи!A536</f>
        <v>10/09/2025</v>
      </c>
      <c r="C537" s="11" t="str">
        <f>RAW_Продажи!B536</f>
        <v>№АРТ-064</v>
      </c>
      <c r="D537" s="11" t="str">
        <f>RAW_Продажи!C536</f>
        <v>3</v>
      </c>
      <c r="E537" s="11" t="str">
        <f>RAW_Продажи!D536</f>
        <v>$90</v>
      </c>
      <c r="F537" s="11" t="str">
        <f>RAW_Продажи!E536</f>
        <v>C0535</v>
      </c>
      <c r="G537" s="11" t="str">
        <f>RAW_Продажи!F536</f>
        <v>P040</v>
      </c>
      <c r="H537" s="11" t="str">
        <f>RAW_Продажи!G536</f>
        <v>canceled</v>
      </c>
      <c r="I537" s="12" t="str">
        <f t="shared" si="217"/>
        <v>064</v>
      </c>
      <c r="J537" s="12" t="str">
        <f t="shared" si="218"/>
        <v>$</v>
      </c>
      <c r="K537" s="12">
        <f t="shared" si="219"/>
        <v>90</v>
      </c>
      <c r="L537" s="19">
        <f t="shared" si="220"/>
        <v>45939</v>
      </c>
      <c r="M537" s="13" t="str">
        <f t="shared" si="221"/>
        <v>АРТ-064</v>
      </c>
      <c r="N537" s="13">
        <f t="shared" si="222"/>
        <v>3</v>
      </c>
      <c r="O537" s="13" t="str">
        <f>IFERROR(VLOOKUP(J537,Справочники!$G$6:$H$8,2,0),"RUB")</f>
        <v>USD</v>
      </c>
      <c r="P537" s="14">
        <f>ROUND(K537*IFERROR(VLOOKUP(J537,Справочники!$G$6:$I$8,3,0),1),2)</f>
        <v>8550</v>
      </c>
      <c r="Q537" s="13" t="str">
        <f>IFERROR(VLOOKUP(H537,Справочники!$D$6:$E$14,2,0),"НЕИЗВЕСТНО")</f>
        <v>Отменен</v>
      </c>
      <c r="R537" s="20">
        <f>IFERROR(INDEX(Товары_очищенные!$Q$3:$Q$503,MATCH(M537,Товары_очищенные!$L$3:$L$503,0)),"нет в каталоге")</f>
        <v>56990</v>
      </c>
      <c r="S537" s="21" t="str">
        <f>IFERROR(INDEX(Товары_очищенные!$N$3:$N$503,MATCH(M537,Товары_очищенные!$L$3:$L$503,0)),"нет в каталоге")</f>
        <v>Смартфоны</v>
      </c>
      <c r="T537" s="21" t="str">
        <f t="shared" si="223"/>
        <v>OK</v>
      </c>
      <c r="U537" s="12" t="str">
        <f t="shared" si="224"/>
        <v>09/10/2025|АРТ-064|C0535</v>
      </c>
      <c r="V537" s="12" t="str">
        <f t="shared" si="225"/>
        <v>оригинал</v>
      </c>
    </row>
    <row r="538" ht="15" customHeight="1">
      <c r="A538" s="10">
        <v>536</v>
      </c>
      <c r="B538" s="11" t="str">
        <f>RAW_Продажи!A537</f>
        <v>10/09/2025</v>
      </c>
      <c r="C538" s="11" t="str">
        <f>RAW_Продажи!B537</f>
        <v>АРТ_490</v>
      </c>
      <c r="D538" s="11" t="str">
        <f>RAW_Продажи!C537</f>
        <v>2</v>
      </c>
      <c r="E538" s="11" t="str">
        <f>RAW_Продажи!D537</f>
        <v>€70</v>
      </c>
      <c r="F538" s="11" t="str">
        <f>RAW_Продажи!E537</f>
        <v>C0536</v>
      </c>
      <c r="G538" s="11" t="str">
        <f>RAW_Продажи!F537</f>
        <v>P003</v>
      </c>
      <c r="H538" s="11" t="str">
        <f>RAW_Продажи!G537</f>
        <v>Завершен</v>
      </c>
      <c r="I538" s="12" t="str">
        <f t="shared" si="217"/>
        <v>490</v>
      </c>
      <c r="J538" s="12" t="str">
        <f t="shared" si="218"/>
        <v>€</v>
      </c>
      <c r="K538" s="12">
        <f t="shared" si="219"/>
        <v>70</v>
      </c>
      <c r="L538" s="19">
        <f t="shared" si="220"/>
        <v>45939</v>
      </c>
      <c r="M538" s="13" t="str">
        <f t="shared" si="221"/>
        <v>АРТ-490</v>
      </c>
      <c r="N538" s="13">
        <f t="shared" si="222"/>
        <v>2</v>
      </c>
      <c r="O538" s="13" t="str">
        <f>IFERROR(VLOOKUP(J538,Справочники!$G$6:$H$8,2,0),"RUB")</f>
        <v>EUR</v>
      </c>
      <c r="P538" s="14">
        <f>ROUND(K538*IFERROR(VLOOKUP(J538,Справочники!$G$6:$I$8,3,0),1),2)</f>
        <v>7000</v>
      </c>
      <c r="Q538" s="13" t="str">
        <f>IFERROR(VLOOKUP(H538,Справочники!$D$6:$E$14,2,0),"НЕИЗВЕСТНО")</f>
        <v>Завершен</v>
      </c>
      <c r="R538" s="20">
        <f>IFERROR(INDEX(Товары_очищенные!$Q$3:$Q$503,MATCH(M538,Товары_очищенные!$L$3:$L$503,0)),"нет в каталоге")</f>
        <v>61990</v>
      </c>
      <c r="S538" s="21" t="str">
        <f>IFERROR(INDEX(Товары_очищенные!$N$3:$N$503,MATCH(M538,Товары_очищенные!$L$3:$L$503,0)),"нет в каталоге")</f>
        <v>Телевизоры</v>
      </c>
      <c r="T538" s="21" t="str">
        <f t="shared" si="223"/>
        <v>OK</v>
      </c>
      <c r="U538" s="12" t="str">
        <f t="shared" si="224"/>
        <v>09/10/2025|АРТ-490|C0536</v>
      </c>
      <c r="V538" s="12" t="str">
        <f t="shared" si="225"/>
        <v>оригинал</v>
      </c>
    </row>
    <row r="539" ht="15" customHeight="1">
      <c r="A539" s="10">
        <v>537</v>
      </c>
      <c r="B539" s="11" t="str">
        <f>RAW_Продажи!A538</f>
        <v>10/10/2025</v>
      </c>
      <c r="C539" s="11" t="str">
        <f>RAW_Продажи!B538</f>
        <v>386/24</v>
      </c>
      <c r="D539" s="11" t="str">
        <f>RAW_Продажи!C538</f>
        <v xml:space="preserve">1 шт.</v>
      </c>
      <c r="E539" s="11" t="str">
        <f>RAW_Продажи!D538</f>
        <v xml:space="preserve">6500 ₽</v>
      </c>
      <c r="F539" s="11" t="str">
        <f>RAW_Продажи!E538</f>
        <v>C0537</v>
      </c>
      <c r="G539" s="11" t="str">
        <f>RAW_Продажи!F538</f>
        <v>P025</v>
      </c>
      <c r="H539" s="11" t="str">
        <f>RAW_Продажи!G538</f>
        <v>возврат</v>
      </c>
      <c r="I539" s="12" t="str">
        <f t="shared" si="217"/>
        <v>386/24</v>
      </c>
      <c r="J539" s="12" t="str">
        <f t="shared" si="218"/>
        <v>₽</v>
      </c>
      <c r="K539" s="12">
        <f t="shared" si="219"/>
        <v>6500</v>
      </c>
      <c r="L539" s="19">
        <f t="shared" si="220"/>
        <v>45940</v>
      </c>
      <c r="M539" s="13" t="str">
        <f t="shared" si="221"/>
        <v>АРТ-386</v>
      </c>
      <c r="N539" s="13">
        <f t="shared" si="222"/>
        <v>1</v>
      </c>
      <c r="O539" s="13" t="str">
        <f>IFERROR(VLOOKUP(J539,Справочники!$G$6:$H$8,2,0),"RUB")</f>
        <v>RUB</v>
      </c>
      <c r="P539" s="14">
        <f>ROUND(K539*IFERROR(VLOOKUP(J539,Справочники!$G$6:$I$8,3,0),1),2)</f>
        <v>6500</v>
      </c>
      <c r="Q539" s="13" t="str">
        <f>IFERROR(VLOOKUP(H539,Справочники!$D$6:$E$14,2,0),"НЕИЗВЕСТНО")</f>
        <v>Возврат</v>
      </c>
      <c r="R539" s="20">
        <f>IFERROR(INDEX(Товары_очищенные!$Q$3:$Q$503,MATCH(M539,Товары_очищенные!$L$3:$L$503,0)),"нет в каталоге")</f>
        <v>114000</v>
      </c>
      <c r="S539" s="21" t="str">
        <f>IFERROR(INDEX(Товары_очищенные!$N$3:$N$503,MATCH(M539,Товары_очищенные!$L$3:$L$503,0)),"нет в каталоге")</f>
        <v>Ноутбуки</v>
      </c>
      <c r="T539" s="21" t="str">
        <f t="shared" si="223"/>
        <v>OK</v>
      </c>
      <c r="U539" s="12" t="str">
        <f t="shared" si="224"/>
        <v>10/10/2025|АРТ-386|C0537</v>
      </c>
      <c r="V539" s="12" t="str">
        <f t="shared" si="225"/>
        <v>оригинал</v>
      </c>
    </row>
    <row r="540" ht="15" customHeight="1">
      <c r="A540" s="10">
        <v>538</v>
      </c>
      <c r="B540" s="11" t="str">
        <f>RAW_Продажи!A539</f>
        <v>10/10/2025</v>
      </c>
      <c r="C540" s="11" t="str">
        <f>RAW_Продажи!B539</f>
        <v>№АРТ-299</v>
      </c>
      <c r="D540" s="11" t="str">
        <f>RAW_Продажи!C539</f>
        <v>-1</v>
      </c>
      <c r="E540" s="11" t="str">
        <f>RAW_Продажи!D539</f>
        <v>$110</v>
      </c>
      <c r="F540" s="11" t="str">
        <f>RAW_Продажи!E539</f>
        <v>C0538</v>
      </c>
      <c r="G540" s="11" t="str">
        <f>RAW_Продажи!F539</f>
        <v>P010</v>
      </c>
      <c r="H540" s="11" t="str">
        <f>RAW_Продажи!G539</f>
        <v>завершен</v>
      </c>
      <c r="I540" s="12" t="str">
        <f t="shared" si="217"/>
        <v>299</v>
      </c>
      <c r="J540" s="12" t="str">
        <f t="shared" si="218"/>
        <v>$</v>
      </c>
      <c r="K540" s="12">
        <f t="shared" si="219"/>
        <v>110</v>
      </c>
      <c r="L540" s="19">
        <f t="shared" si="220"/>
        <v>45940</v>
      </c>
      <c r="M540" s="13" t="str">
        <f t="shared" si="221"/>
        <v>АРТ-299</v>
      </c>
      <c r="N540" s="13">
        <f t="shared" si="222"/>
        <v>-1</v>
      </c>
      <c r="O540" s="13" t="str">
        <f>IFERROR(VLOOKUP(J540,Справочники!$G$6:$H$8,2,0),"RUB")</f>
        <v>USD</v>
      </c>
      <c r="P540" s="14">
        <f>ROUND(K540*IFERROR(VLOOKUP(J540,Справочники!$G$6:$I$8,3,0),1),2)</f>
        <v>10450</v>
      </c>
      <c r="Q540" s="13" t="str">
        <f>IFERROR(VLOOKUP(H540,Справочники!$D$6:$E$14,2,0),"НЕИЗВЕСТНО")</f>
        <v>Завершен</v>
      </c>
      <c r="R540" s="20">
        <f>IFERROR(INDEX(Товары_очищенные!$Q$3:$Q$503,MATCH(M540,Товары_очищенные!$L$3:$L$503,0)),"нет в каталоге")</f>
        <v>63500</v>
      </c>
      <c r="S540" s="21" t="str">
        <f>IFERROR(INDEX(Товары_очищенные!$N$3:$N$503,MATCH(M540,Товары_очищенные!$L$3:$L$503,0)),"нет в каталоге")</f>
        <v>Телевизоры</v>
      </c>
      <c r="T540" s="21" t="str">
        <f t="shared" si="223"/>
        <v>OK</v>
      </c>
      <c r="U540" s="12" t="str">
        <f t="shared" si="224"/>
        <v>10/10/2025|АРТ-299|C0538</v>
      </c>
      <c r="V540" s="12" t="str">
        <f t="shared" si="225"/>
        <v>оригинал</v>
      </c>
    </row>
    <row r="541" ht="15" customHeight="1">
      <c r="A541" s="10">
        <v>539</v>
      </c>
      <c r="B541" s="11" t="str">
        <f>RAW_Продажи!A540</f>
        <v>10/11/2025</v>
      </c>
      <c r="C541" s="11" t="str">
        <f>RAW_Продажи!B540</f>
        <v>АРТ_419</v>
      </c>
      <c r="D541" s="11" t="str">
        <f>RAW_Продажи!C540</f>
        <v>3</v>
      </c>
      <c r="E541" s="11" t="str">
        <f>RAW_Продажи!D540</f>
        <v>€90</v>
      </c>
      <c r="F541" s="11" t="str">
        <f>RAW_Продажи!E540</f>
        <v>C0539</v>
      </c>
      <c r="G541" s="11" t="str">
        <f>RAW_Продажи!F540</f>
        <v>P033</v>
      </c>
      <c r="H541" s="11" t="str">
        <f>RAW_Продажи!G540</f>
        <v>completed</v>
      </c>
      <c r="I541" s="12" t="str">
        <f t="shared" si="217"/>
        <v>419</v>
      </c>
      <c r="J541" s="12" t="str">
        <f t="shared" si="218"/>
        <v>€</v>
      </c>
      <c r="K541" s="12">
        <f t="shared" si="219"/>
        <v>90</v>
      </c>
      <c r="L541" s="19">
        <f t="shared" si="220"/>
        <v>45941</v>
      </c>
      <c r="M541" s="13" t="str">
        <f t="shared" si="221"/>
        <v>АРТ-419</v>
      </c>
      <c r="N541" s="13">
        <f t="shared" si="222"/>
        <v>3</v>
      </c>
      <c r="O541" s="13" t="str">
        <f>IFERROR(VLOOKUP(J541,Справочники!$G$6:$H$8,2,0),"RUB")</f>
        <v>EUR</v>
      </c>
      <c r="P541" s="14">
        <f>ROUND(K541*IFERROR(VLOOKUP(J541,Справочники!$G$6:$I$8,3,0),1),2)</f>
        <v>9000</v>
      </c>
      <c r="Q541" s="13" t="str">
        <f>IFERROR(VLOOKUP(H541,Справочники!$D$6:$E$14,2,0),"НЕИЗВЕСТНО")</f>
        <v>Завершен</v>
      </c>
      <c r="R541" s="20">
        <f>IFERROR(INDEX(Товары_очищенные!$Q$3:$Q$503,MATCH(M541,Товары_очищенные!$L$3:$L$503,0)),"нет в каталоге")</f>
        <v>28500</v>
      </c>
      <c r="S541" s="21" t="str">
        <f>IFERROR(INDEX(Товары_очищенные!$N$3:$N$503,MATCH(M541,Товары_очищенные!$L$3:$L$503,0)),"нет в каталоге")</f>
        <v>Часы</v>
      </c>
      <c r="T541" s="21" t="str">
        <f t="shared" si="223"/>
        <v>OK</v>
      </c>
      <c r="U541" s="12" t="str">
        <f t="shared" si="224"/>
        <v>11/10/2025|АРТ-419|C0539</v>
      </c>
      <c r="V541" s="12" t="str">
        <f t="shared" si="225"/>
        <v>оригинал</v>
      </c>
    </row>
    <row r="542" ht="15" customHeight="1">
      <c r="A542" s="10">
        <v>540</v>
      </c>
      <c r="B542" s="11" t="str">
        <f>RAW_Продажи!A541</f>
        <v>10/11/2025</v>
      </c>
      <c r="C542" s="11" t="str">
        <f>RAW_Продажи!B541</f>
        <v>320-24</v>
      </c>
      <c r="D542" s="11" t="str">
        <f>RAW_Продажи!C541</f>
        <v>2</v>
      </c>
      <c r="E542" s="11" t="str">
        <f>RAW_Продажи!D541</f>
        <v xml:space="preserve">8000 ₽</v>
      </c>
      <c r="F542" s="11" t="str">
        <f>RAW_Продажи!E541</f>
        <v>C0540</v>
      </c>
      <c r="G542" s="11" t="str">
        <f>RAW_Продажи!F541</f>
        <v>P047</v>
      </c>
      <c r="H542" s="11" t="str">
        <f>RAW_Продажи!G541</f>
        <v>Завершен</v>
      </c>
      <c r="I542" s="12" t="str">
        <f t="shared" si="217"/>
        <v>320-24</v>
      </c>
      <c r="J542" s="12" t="str">
        <f t="shared" si="218"/>
        <v>₽</v>
      </c>
      <c r="K542" s="12">
        <f t="shared" si="219"/>
        <v>8000</v>
      </c>
      <c r="L542" s="19">
        <f t="shared" si="220"/>
        <v>45941</v>
      </c>
      <c r="M542" s="13" t="str">
        <f t="shared" si="221"/>
        <v>АРТ-320</v>
      </c>
      <c r="N542" s="13">
        <f t="shared" si="222"/>
        <v>2</v>
      </c>
      <c r="O542" s="13" t="str">
        <f>IFERROR(VLOOKUP(J542,Справочники!$G$6:$H$8,2,0),"RUB")</f>
        <v>RUB</v>
      </c>
      <c r="P542" s="14">
        <f>ROUND(K542*IFERROR(VLOOKUP(J542,Справочники!$G$6:$I$8,3,0),1),2)</f>
        <v>8000</v>
      </c>
      <c r="Q542" s="13" t="str">
        <f>IFERROR(VLOOKUP(H542,Справочники!$D$6:$E$14,2,0),"НЕИЗВЕСТНО")</f>
        <v>Завершен</v>
      </c>
      <c r="R542" s="20">
        <f>IFERROR(INDEX(Товары_очищенные!$Q$3:$Q$503,MATCH(M542,Товары_очищенные!$L$3:$L$503,0)),"нет в каталоге")</f>
        <v>181500</v>
      </c>
      <c r="S542" s="21" t="str">
        <f>IFERROR(INDEX(Товары_очищенные!$N$3:$N$503,MATCH(M542,Товары_очищенные!$L$3:$L$503,0)),"нет в каталоге")</f>
        <v>Телевизоры</v>
      </c>
      <c r="T542" s="21" t="str">
        <f t="shared" si="223"/>
        <v>OK</v>
      </c>
      <c r="U542" s="12" t="str">
        <f t="shared" si="224"/>
        <v>11/10/2025|АРТ-320|C0540</v>
      </c>
      <c r="V542" s="12" t="str">
        <f t="shared" si="225"/>
        <v>оригинал</v>
      </c>
    </row>
    <row r="543" ht="15" customHeight="1">
      <c r="A543" s="10">
        <v>541</v>
      </c>
      <c r="B543" s="11" t="str">
        <f>RAW_Продажи!A542</f>
        <v>10/12/2025</v>
      </c>
      <c r="C543" s="11" t="str">
        <f>RAW_Продажи!B542</f>
        <v>№АРТ-040</v>
      </c>
      <c r="D543" s="11" t="str">
        <f>RAW_Продажи!C542</f>
        <v>1</v>
      </c>
      <c r="E543" s="11" t="str">
        <f>RAW_Продажи!D542</f>
        <v>$95</v>
      </c>
      <c r="F543" s="11" t="str">
        <f>RAW_Продажи!E542</f>
        <v>C0541</v>
      </c>
      <c r="G543" s="11" t="str">
        <f>RAW_Продажи!F542</f>
        <v>P020</v>
      </c>
      <c r="H543" s="11" t="str">
        <f>RAW_Продажи!G542</f>
        <v>canceled</v>
      </c>
      <c r="I543" s="12" t="str">
        <f t="shared" si="217"/>
        <v>040</v>
      </c>
      <c r="J543" s="12" t="str">
        <f t="shared" si="218"/>
        <v>$</v>
      </c>
      <c r="K543" s="12">
        <f t="shared" si="219"/>
        <v>95</v>
      </c>
      <c r="L543" s="19">
        <f t="shared" si="220"/>
        <v>45942</v>
      </c>
      <c r="M543" s="13" t="str">
        <f t="shared" si="221"/>
        <v>АРТ-040</v>
      </c>
      <c r="N543" s="13">
        <f t="shared" si="222"/>
        <v>1</v>
      </c>
      <c r="O543" s="13" t="str">
        <f>IFERROR(VLOOKUP(J543,Справочники!$G$6:$H$8,2,0),"RUB")</f>
        <v>USD</v>
      </c>
      <c r="P543" s="14">
        <f>ROUND(K543*IFERROR(VLOOKUP(J543,Справочники!$G$6:$I$8,3,0),1),2)</f>
        <v>9025</v>
      </c>
      <c r="Q543" s="13" t="str">
        <f>IFERROR(VLOOKUP(H543,Справочники!$D$6:$E$14,2,0),"НЕИЗВЕСТНО")</f>
        <v>Отменен</v>
      </c>
      <c r="R543" s="20">
        <f>IFERROR(INDEX(Товары_очищенные!$Q$3:$Q$503,MATCH(M543,Товары_очищенные!$L$3:$L$503,0)),"нет в каталоге")</f>
        <v>142000</v>
      </c>
      <c r="S543" s="21" t="str">
        <f>IFERROR(INDEX(Товары_очищенные!$N$3:$N$503,MATCH(M543,Товары_очищенные!$L$3:$L$503,0)),"нет в каталоге")</f>
        <v>Ноутбуки</v>
      </c>
      <c r="T543" s="21" t="str">
        <f t="shared" si="223"/>
        <v>OK</v>
      </c>
      <c r="U543" s="12" t="str">
        <f t="shared" si="224"/>
        <v>12/10/2025|АРТ-040|C0541</v>
      </c>
      <c r="V543" s="12" t="str">
        <f t="shared" si="225"/>
        <v>оригинал</v>
      </c>
    </row>
    <row r="544" ht="15" customHeight="1">
      <c r="A544" s="10">
        <v>542</v>
      </c>
      <c r="B544" s="11" t="str">
        <f>RAW_Продажи!A543</f>
        <v>10/12/2025</v>
      </c>
      <c r="C544" s="11" t="str">
        <f>RAW_Продажи!B543</f>
        <v>АРТ_462</v>
      </c>
      <c r="D544" s="11" t="str">
        <f>RAW_Продажи!C543</f>
        <v>2</v>
      </c>
      <c r="E544" s="11" t="str">
        <f>RAW_Продажи!D543</f>
        <v>€75</v>
      </c>
      <c r="F544" s="11" t="str">
        <f>RAW_Продажи!E543</f>
        <v>C0542</v>
      </c>
      <c r="G544" s="11" t="str">
        <f>RAW_Продажи!F543</f>
        <v>P002</v>
      </c>
      <c r="H544" s="11" t="str">
        <f>RAW_Продажи!G543</f>
        <v>отменен</v>
      </c>
      <c r="I544" s="12" t="str">
        <f t="shared" si="217"/>
        <v>462</v>
      </c>
      <c r="J544" s="12" t="str">
        <f t="shared" si="218"/>
        <v>€</v>
      </c>
      <c r="K544" s="12">
        <f t="shared" si="219"/>
        <v>75</v>
      </c>
      <c r="L544" s="19">
        <f t="shared" si="220"/>
        <v>45942</v>
      </c>
      <c r="M544" s="13" t="str">
        <f t="shared" si="221"/>
        <v>АРТ-462</v>
      </c>
      <c r="N544" s="13">
        <f t="shared" si="222"/>
        <v>2</v>
      </c>
      <c r="O544" s="13" t="str">
        <f>IFERROR(VLOOKUP(J544,Справочники!$G$6:$H$8,2,0),"RUB")</f>
        <v>EUR</v>
      </c>
      <c r="P544" s="14">
        <f>ROUND(K544*IFERROR(VLOOKUP(J544,Справочники!$G$6:$I$8,3,0),1),2)</f>
        <v>7500</v>
      </c>
      <c r="Q544" s="13" t="str">
        <f>IFERROR(VLOOKUP(H544,Справочники!$D$6:$E$14,2,0),"НЕИЗВЕСТНО")</f>
        <v>Отменен</v>
      </c>
      <c r="R544" s="20">
        <f>IFERROR(INDEX(Товары_очищенные!$Q$3:$Q$503,MATCH(M544,Товары_очищенные!$L$3:$L$503,0)),"нет в каталоге")</f>
        <v>49500</v>
      </c>
      <c r="S544" s="21" t="str">
        <f>IFERROR(INDEX(Товары_очищенные!$N$3:$N$503,MATCH(M544,Товары_очищенные!$L$3:$L$503,0)),"нет в каталоге")</f>
        <v>Часы</v>
      </c>
      <c r="T544" s="21" t="str">
        <f t="shared" si="223"/>
        <v>OK</v>
      </c>
      <c r="U544" s="12" t="str">
        <f t="shared" si="224"/>
        <v>12/10/2025|АРТ-462|C0542</v>
      </c>
      <c r="V544" s="12" t="str">
        <f t="shared" si="225"/>
        <v>оригинал</v>
      </c>
    </row>
    <row r="545" ht="15" customHeight="1">
      <c r="A545" s="10">
        <v>543</v>
      </c>
      <c r="B545" s="11" t="str">
        <f>RAW_Продажи!A544</f>
        <v>10/13/2025</v>
      </c>
      <c r="C545" s="11" t="str">
        <f>RAW_Продажи!B544</f>
        <v>346/24</v>
      </c>
      <c r="D545" s="11" t="str">
        <f>RAW_Продажи!C544</f>
        <v xml:space="preserve">3 шт.</v>
      </c>
      <c r="E545" s="11" t="str">
        <f>RAW_Продажи!D544</f>
        <v xml:space="preserve">7000 ₽</v>
      </c>
      <c r="F545" s="11" t="str">
        <f>RAW_Продажи!E544</f>
        <v>C0543</v>
      </c>
      <c r="G545" s="11" t="str">
        <f>RAW_Продажи!F544</f>
        <v>P038</v>
      </c>
      <c r="H545" s="11" t="str">
        <f>RAW_Продажи!G544</f>
        <v>возврат</v>
      </c>
      <c r="I545" s="12" t="str">
        <f t="shared" si="217"/>
        <v>346/24</v>
      </c>
      <c r="J545" s="12" t="str">
        <f t="shared" si="218"/>
        <v>₽</v>
      </c>
      <c r="K545" s="12">
        <f t="shared" si="219"/>
        <v>7000</v>
      </c>
      <c r="L545" s="19">
        <f t="shared" si="220"/>
        <v>45943</v>
      </c>
      <c r="M545" s="13" t="str">
        <f t="shared" si="221"/>
        <v>АРТ-346</v>
      </c>
      <c r="N545" s="13">
        <f t="shared" si="222"/>
        <v>3</v>
      </c>
      <c r="O545" s="13" t="str">
        <f>IFERROR(VLOOKUP(J545,Справочники!$G$6:$H$8,2,0),"RUB")</f>
        <v>RUB</v>
      </c>
      <c r="P545" s="14">
        <f>ROUND(K545*IFERROR(VLOOKUP(J545,Справочники!$G$6:$I$8,3,0),1),2)</f>
        <v>7000</v>
      </c>
      <c r="Q545" s="13" t="str">
        <f>IFERROR(VLOOKUP(H545,Справочники!$D$6:$E$14,2,0),"НЕИЗВЕСТНО")</f>
        <v>Возврат</v>
      </c>
      <c r="R545" s="20">
        <f>IFERROR(INDEX(Товары_очищенные!$Q$3:$Q$503,MATCH(M545,Товары_очищенные!$L$3:$L$503,0)),"нет в каталоге")</f>
        <v>19990</v>
      </c>
      <c r="S545" s="21" t="str">
        <f>IFERROR(INDEX(Товары_очищенные!$N$3:$N$503,MATCH(M545,Товары_очищенные!$L$3:$L$503,0)),"нет в каталоге")</f>
        <v>Наушники</v>
      </c>
      <c r="T545" s="21" t="str">
        <f t="shared" si="223"/>
        <v>OK</v>
      </c>
      <c r="U545" s="12" t="str">
        <f t="shared" si="224"/>
        <v>13/10/2025|АРТ-346|C0543</v>
      </c>
      <c r="V545" s="12" t="str">
        <f t="shared" si="225"/>
        <v>оригинал</v>
      </c>
    </row>
    <row r="546" ht="15" customHeight="1">
      <c r="A546" s="10">
        <v>544</v>
      </c>
      <c r="B546" s="11" t="str">
        <f>RAW_Продажи!A545</f>
        <v>10/13/2025</v>
      </c>
      <c r="C546" s="11" t="str">
        <f>RAW_Продажи!B545</f>
        <v>№АРТ-310</v>
      </c>
      <c r="D546" s="11" t="str">
        <f>RAW_Продажи!C545</f>
        <v>-2</v>
      </c>
      <c r="E546" s="11" t="str">
        <f>RAW_Продажи!D545</f>
        <v>$115</v>
      </c>
      <c r="F546" s="11" t="str">
        <f>RAW_Продажи!E545</f>
        <v>C0544</v>
      </c>
      <c r="G546" s="11" t="str">
        <f>RAW_Продажи!F545</f>
        <v>P016</v>
      </c>
      <c r="H546" s="11" t="str">
        <f>RAW_Продажи!G545</f>
        <v>Завершен</v>
      </c>
      <c r="I546" s="12" t="str">
        <f t="shared" si="217"/>
        <v>310</v>
      </c>
      <c r="J546" s="12" t="str">
        <f t="shared" si="218"/>
        <v>$</v>
      </c>
      <c r="K546" s="12">
        <f t="shared" si="219"/>
        <v>115</v>
      </c>
      <c r="L546" s="19">
        <f t="shared" si="220"/>
        <v>45943</v>
      </c>
      <c r="M546" s="13" t="str">
        <f t="shared" si="221"/>
        <v>АРТ-310</v>
      </c>
      <c r="N546" s="13">
        <f t="shared" si="222"/>
        <v>-2</v>
      </c>
      <c r="O546" s="13" t="str">
        <f>IFERROR(VLOOKUP(J546,Справочники!$G$6:$H$8,2,0),"RUB")</f>
        <v>USD</v>
      </c>
      <c r="P546" s="14">
        <f>ROUND(K546*IFERROR(VLOOKUP(J546,Справочники!$G$6:$I$8,3,0),1),2)</f>
        <v>10925</v>
      </c>
      <c r="Q546" s="13" t="str">
        <f>IFERROR(VLOOKUP(H546,Справочники!$D$6:$E$14,2,0),"НЕИЗВЕСТНО")</f>
        <v>Завершен</v>
      </c>
      <c r="R546" s="20">
        <f>IFERROR(INDEX(Товары_очищенные!$Q$3:$Q$503,MATCH(M546,Товары_очищенные!$L$3:$L$503,0)),"нет в каталоге")</f>
        <v>64990</v>
      </c>
      <c r="S546" s="21" t="str">
        <f>IFERROR(INDEX(Товары_очищенные!$N$3:$N$503,MATCH(M546,Товары_очищенные!$L$3:$L$503,0)),"нет в каталоге")</f>
        <v>Планшеты</v>
      </c>
      <c r="T546" s="21" t="str">
        <f t="shared" si="223"/>
        <v>OK</v>
      </c>
      <c r="U546" s="12" t="str">
        <f t="shared" si="224"/>
        <v>13/10/2025|АРТ-310|C0544</v>
      </c>
      <c r="V546" s="12" t="str">
        <f t="shared" si="225"/>
        <v>оригинал</v>
      </c>
    </row>
    <row r="547" ht="15" customHeight="1">
      <c r="A547" s="10">
        <v>545</v>
      </c>
      <c r="B547" s="11" t="str">
        <f>RAW_Продажи!A546</f>
        <v>10/14/2025</v>
      </c>
      <c r="C547" s="11" t="str">
        <f>RAW_Продажи!B546</f>
        <v>АРТ_276</v>
      </c>
      <c r="D547" s="11" t="str">
        <f>RAW_Продажи!C546</f>
        <v>1</v>
      </c>
      <c r="E547" s="11" t="str">
        <f>RAW_Продажи!D546</f>
        <v>€95</v>
      </c>
      <c r="F547" s="11" t="str">
        <f>RAW_Продажи!E546</f>
        <v>C0545</v>
      </c>
      <c r="G547" s="11" t="str">
        <f>RAW_Продажи!F546</f>
        <v>P029</v>
      </c>
      <c r="H547" s="11" t="str">
        <f>RAW_Продажи!G546</f>
        <v>завершен</v>
      </c>
      <c r="I547" s="12" t="str">
        <f t="shared" si="217"/>
        <v>276</v>
      </c>
      <c r="J547" s="12" t="str">
        <f t="shared" si="218"/>
        <v>€</v>
      </c>
      <c r="K547" s="12">
        <f t="shared" si="219"/>
        <v>95</v>
      </c>
      <c r="L547" s="19">
        <f t="shared" si="220"/>
        <v>45944</v>
      </c>
      <c r="M547" s="13" t="str">
        <f t="shared" si="221"/>
        <v>АРТ-276</v>
      </c>
      <c r="N547" s="13">
        <f t="shared" si="222"/>
        <v>1</v>
      </c>
      <c r="O547" s="13" t="str">
        <f>IFERROR(VLOOKUP(J547,Справочники!$G$6:$H$8,2,0),"RUB")</f>
        <v>EUR</v>
      </c>
      <c r="P547" s="14">
        <f>ROUND(K547*IFERROR(VLOOKUP(J547,Справочники!$G$6:$I$8,3,0),1),2)</f>
        <v>9500</v>
      </c>
      <c r="Q547" s="13" t="str">
        <f>IFERROR(VLOOKUP(H547,Справочники!$D$6:$E$14,2,0),"НЕИЗВЕСТНО")</f>
        <v>Завершен</v>
      </c>
      <c r="R547" s="20">
        <f>IFERROR(INDEX(Товары_очищенные!$Q$3:$Q$503,MATCH(M547,Товары_очищенные!$L$3:$L$503,0)),"нет в каталоге")</f>
        <v>50500</v>
      </c>
      <c r="S547" s="21" t="str">
        <f>IFERROR(INDEX(Товары_очищенные!$N$3:$N$503,MATCH(M547,Товары_очищенные!$L$3:$L$503,0)),"нет в каталоге")</f>
        <v>Планшеты</v>
      </c>
      <c r="T547" s="21" t="str">
        <f t="shared" si="223"/>
        <v>OK</v>
      </c>
      <c r="U547" s="12" t="str">
        <f t="shared" si="224"/>
        <v>14/10/2025|АРТ-276|C0545</v>
      </c>
      <c r="V547" s="12" t="str">
        <f t="shared" si="225"/>
        <v>оригинал</v>
      </c>
    </row>
    <row r="548" ht="15" customHeight="1">
      <c r="A548" s="10">
        <v>546</v>
      </c>
      <c r="B548" s="11" t="str">
        <f>RAW_Продажи!A547</f>
        <v>10/14/2025</v>
      </c>
      <c r="C548" s="11" t="str">
        <f>RAW_Продажи!B547</f>
        <v>083-24</v>
      </c>
      <c r="D548" s="11" t="str">
        <f>RAW_Продажи!C547</f>
        <v>2</v>
      </c>
      <c r="E548" s="11" t="str">
        <f>RAW_Продажи!D547</f>
        <v xml:space="preserve">8500 ₽</v>
      </c>
      <c r="F548" s="11" t="str">
        <f>RAW_Продажи!E547</f>
        <v>C0546</v>
      </c>
      <c r="G548" s="11" t="str">
        <f>RAW_Продажи!F547</f>
        <v>P035</v>
      </c>
      <c r="H548" s="11" t="str">
        <f>RAW_Продажи!G547</f>
        <v>completed</v>
      </c>
      <c r="I548" s="12" t="str">
        <f t="shared" ref="I548:I611" si="226">SUBSTITUTE(SUBSTITUTE(C548,"№АРТ-",""),"АРТ_","")</f>
        <v>083-24</v>
      </c>
      <c r="J548" s="12" t="str">
        <f t="shared" ref="J548:J611" si="227">IF(LEFT(TRIM(E548),1)="$","$",IF(LEFT(TRIM(E548),1)="€","€","₽"))</f>
        <v>₽</v>
      </c>
      <c r="K548" s="12">
        <f t="shared" ref="K548:K611" si="228">VALUE(SUBSTITUTE(SUBSTITUTE(SUBSTITUTE(SUBSTITUTE(TRIM(E548),"$",""),"€",""),"₽","")," ",""))</f>
        <v>8500</v>
      </c>
      <c r="L548" s="19">
        <f t="shared" ref="L548:L611" si="229">DATE(VALUE(MID(B548,7,4)),VALUE(LEFT(B548,2)),VALUE(MID(B548,4,2)))</f>
        <v>45944</v>
      </c>
      <c r="M548" s="13" t="str">
        <f t="shared" ref="M548:M611" si="230">"АРТ-"&amp;LEFT(I548,3)</f>
        <v>АРТ-083</v>
      </c>
      <c r="N548" s="13">
        <f t="shared" ref="N548:N611" si="231">VALUE(LEFT(TRIM(D548),FIND(" ",TRIM(D548)&amp;" ")-1))</f>
        <v>2</v>
      </c>
      <c r="O548" s="13" t="str">
        <f>IFERROR(VLOOKUP(J548,Справочники!$G$6:$H$8,2,0),"RUB")</f>
        <v>RUB</v>
      </c>
      <c r="P548" s="14">
        <f>ROUND(K548*IFERROR(VLOOKUP(J548,Справочники!$G$6:$I$8,3,0),1),2)</f>
        <v>8500</v>
      </c>
      <c r="Q548" s="13" t="str">
        <f>IFERROR(VLOOKUP(H548,Справочники!$D$6:$E$14,2,0),"НЕИЗВЕСТНО")</f>
        <v>Завершен</v>
      </c>
      <c r="R548" s="20">
        <f>IFERROR(INDEX(Товары_очищенные!$Q$3:$Q$503,MATCH(M548,Товары_очищенные!$L$3:$L$503,0)),"нет в каталоге")</f>
        <v>38500</v>
      </c>
      <c r="S548" s="21" t="str">
        <f>IFERROR(INDEX(Товары_очищенные!$N$3:$N$503,MATCH(M548,Товары_очищенные!$L$3:$L$503,0)),"нет в каталоге")</f>
        <v>Часы</v>
      </c>
      <c r="T548" s="21" t="str">
        <f t="shared" ref="T548:T611" si="232">IF(ISNUMBER(R548),IF(P548&lt;=R548*1.5,"OK","Цена выше розницы"),"—")</f>
        <v>OK</v>
      </c>
      <c r="U548" s="12" t="str">
        <f t="shared" ref="U548:U611" si="233">TEXT(L548,"DD.MM.YYYY")&amp;"|"&amp;M548&amp;"|"&amp;F548</f>
        <v>14/10/2025|АРТ-083|C0546</v>
      </c>
      <c r="V548" s="12" t="str">
        <f t="shared" ref="V548:V611" si="234">IF(COUNTIF($U$3:U548,U548)&gt;1,"ДУБЛЬ","оригинал")</f>
        <v>оригинал</v>
      </c>
    </row>
    <row r="549" ht="15" customHeight="1">
      <c r="A549" s="10">
        <v>547</v>
      </c>
      <c r="B549" s="11" t="str">
        <f>RAW_Продажи!A548</f>
        <v>10/15/2025</v>
      </c>
      <c r="C549" s="11" t="str">
        <f>RAW_Продажи!B548</f>
        <v>№АРТ-138</v>
      </c>
      <c r="D549" s="11" t="str">
        <f>RAW_Продажи!C548</f>
        <v>3</v>
      </c>
      <c r="E549" s="11" t="str">
        <f>RAW_Продажи!D548</f>
        <v>$105</v>
      </c>
      <c r="F549" s="11" t="str">
        <f>RAW_Продажи!E548</f>
        <v>C0547</v>
      </c>
      <c r="G549" s="11" t="str">
        <f>RAW_Продажи!F548</f>
        <v>P046</v>
      </c>
      <c r="H549" s="11" t="str">
        <f>RAW_Продажи!G548</f>
        <v>отменен</v>
      </c>
      <c r="I549" s="12" t="str">
        <f t="shared" si="226"/>
        <v>138</v>
      </c>
      <c r="J549" s="12" t="str">
        <f t="shared" si="227"/>
        <v>$</v>
      </c>
      <c r="K549" s="12">
        <f t="shared" si="228"/>
        <v>105</v>
      </c>
      <c r="L549" s="19">
        <f t="shared" si="229"/>
        <v>45945</v>
      </c>
      <c r="M549" s="13" t="str">
        <f t="shared" si="230"/>
        <v>АРТ-138</v>
      </c>
      <c r="N549" s="13">
        <f t="shared" si="231"/>
        <v>3</v>
      </c>
      <c r="O549" s="13" t="str">
        <f>IFERROR(VLOOKUP(J549,Справочники!$G$6:$H$8,2,0),"RUB")</f>
        <v>USD</v>
      </c>
      <c r="P549" s="14">
        <f>ROUND(K549*IFERROR(VLOOKUP(J549,Справочники!$G$6:$I$8,3,0),1),2)</f>
        <v>9975</v>
      </c>
      <c r="Q549" s="13" t="str">
        <f>IFERROR(VLOOKUP(H549,Справочники!$D$6:$E$14,2,0),"НЕИЗВЕСТНО")</f>
        <v>Отменен</v>
      </c>
      <c r="R549" s="20">
        <f>IFERROR(INDEX(Товары_очищенные!$Q$3:$Q$503,MATCH(M549,Товары_очищенные!$L$3:$L$503,0)),"нет в каталоге")</f>
        <v>24000</v>
      </c>
      <c r="S549" s="21" t="str">
        <f>IFERROR(INDEX(Товары_очищенные!$N$3:$N$503,MATCH(M549,Товары_очищенные!$L$3:$L$503,0)),"нет в каталоге")</f>
        <v>Наушники</v>
      </c>
      <c r="T549" s="21" t="str">
        <f t="shared" si="232"/>
        <v>OK</v>
      </c>
      <c r="U549" s="12" t="str">
        <f t="shared" si="233"/>
        <v>15/10/2025|АРТ-138|C0547</v>
      </c>
      <c r="V549" s="12" t="str">
        <f t="shared" si="234"/>
        <v>оригинал</v>
      </c>
    </row>
    <row r="550" ht="15" customHeight="1">
      <c r="A550" s="10">
        <v>548</v>
      </c>
      <c r="B550" s="11" t="str">
        <f>RAW_Продажи!A549</f>
        <v>10/15/2025</v>
      </c>
      <c r="C550" s="11" t="str">
        <f>RAW_Продажи!B549</f>
        <v>АРТ_443</v>
      </c>
      <c r="D550" s="11" t="str">
        <f>RAW_Продажи!C549</f>
        <v>2</v>
      </c>
      <c r="E550" s="11" t="str">
        <f>RAW_Продажи!D549</f>
        <v>€85</v>
      </c>
      <c r="F550" s="11" t="str">
        <f>RAW_Продажи!E549</f>
        <v>C0548</v>
      </c>
      <c r="G550" s="11" t="str">
        <f>RAW_Продажи!F549</f>
        <v>P022</v>
      </c>
      <c r="H550" s="11" t="str">
        <f>RAW_Продажи!G549</f>
        <v>canceled</v>
      </c>
      <c r="I550" s="12" t="str">
        <f t="shared" si="226"/>
        <v>443</v>
      </c>
      <c r="J550" s="12" t="str">
        <f t="shared" si="227"/>
        <v>€</v>
      </c>
      <c r="K550" s="12">
        <f t="shared" si="228"/>
        <v>85</v>
      </c>
      <c r="L550" s="19">
        <f t="shared" si="229"/>
        <v>45945</v>
      </c>
      <c r="M550" s="13" t="str">
        <f t="shared" si="230"/>
        <v>АРТ-443</v>
      </c>
      <c r="N550" s="13">
        <f t="shared" si="231"/>
        <v>2</v>
      </c>
      <c r="O550" s="13" t="str">
        <f>IFERROR(VLOOKUP(J550,Справочники!$G$6:$H$8,2,0),"RUB")</f>
        <v>EUR</v>
      </c>
      <c r="P550" s="14">
        <f>ROUND(K550*IFERROR(VLOOKUP(J550,Справочники!$G$6:$I$8,3,0),1),2)</f>
        <v>8500</v>
      </c>
      <c r="Q550" s="13" t="str">
        <f>IFERROR(VLOOKUP(H550,Справочники!$D$6:$E$14,2,0),"НЕИЗВЕСТНО")</f>
        <v>Отменен</v>
      </c>
      <c r="R550" s="20">
        <f>IFERROR(INDEX(Товары_очищенные!$Q$3:$Q$503,MATCH(M550,Товары_очищенные!$L$3:$L$503,0)),"нет в каталоге")</f>
        <v>23500</v>
      </c>
      <c r="S550" s="21" t="str">
        <f>IFERROR(INDEX(Товары_очищенные!$N$3:$N$503,MATCH(M550,Товары_очищенные!$L$3:$L$503,0)),"нет в каталоге")</f>
        <v>Смартфоны</v>
      </c>
      <c r="T550" s="21" t="str">
        <f t="shared" si="232"/>
        <v>OK</v>
      </c>
      <c r="U550" s="12" t="str">
        <f t="shared" si="233"/>
        <v>15/10/2025|АРТ-443|C0548</v>
      </c>
      <c r="V550" s="12" t="str">
        <f t="shared" si="234"/>
        <v>оригинал</v>
      </c>
    </row>
    <row r="551" ht="15" customHeight="1">
      <c r="A551" s="10">
        <v>549</v>
      </c>
      <c r="B551" s="11" t="str">
        <f>RAW_Продажи!A550</f>
        <v>10/16/2025</v>
      </c>
      <c r="C551" s="11" t="str">
        <f>RAW_Продажи!B550</f>
        <v>330/24</v>
      </c>
      <c r="D551" s="11" t="str">
        <f>RAW_Продажи!C550</f>
        <v xml:space="preserve">1 шт.</v>
      </c>
      <c r="E551" s="11" t="str">
        <f>RAW_Продажи!D550</f>
        <v xml:space="preserve">7800 ₽</v>
      </c>
      <c r="F551" s="11" t="str">
        <f>RAW_Продажи!E550</f>
        <v>C0549</v>
      </c>
      <c r="G551" s="11" t="str">
        <f>RAW_Продажи!F550</f>
        <v>P043</v>
      </c>
      <c r="H551" s="11" t="str">
        <f>RAW_Продажи!G550</f>
        <v>Завершен</v>
      </c>
      <c r="I551" s="12" t="str">
        <f t="shared" si="226"/>
        <v>330/24</v>
      </c>
      <c r="J551" s="12" t="str">
        <f t="shared" si="227"/>
        <v>₽</v>
      </c>
      <c r="K551" s="12">
        <f t="shared" si="228"/>
        <v>7800</v>
      </c>
      <c r="L551" s="19">
        <f t="shared" si="229"/>
        <v>45946</v>
      </c>
      <c r="M551" s="13" t="str">
        <f t="shared" si="230"/>
        <v>АРТ-330</v>
      </c>
      <c r="N551" s="13">
        <f t="shared" si="231"/>
        <v>1</v>
      </c>
      <c r="O551" s="13" t="str">
        <f>IFERROR(VLOOKUP(J551,Справочники!$G$6:$H$8,2,0),"RUB")</f>
        <v>RUB</v>
      </c>
      <c r="P551" s="14">
        <f>ROUND(K551*IFERROR(VLOOKUP(J551,Справочники!$G$6:$I$8,3,0),1),2)</f>
        <v>7800</v>
      </c>
      <c r="Q551" s="13" t="str">
        <f>IFERROR(VLOOKUP(H551,Справочники!$D$6:$E$14,2,0),"НЕИЗВЕСТНО")</f>
        <v>Завершен</v>
      </c>
      <c r="R551" s="20">
        <f>IFERROR(INDEX(Товары_очищенные!$Q$3:$Q$503,MATCH(M551,Товары_очищенные!$L$3:$L$503,0)),"нет в каталоге")</f>
        <v>12800</v>
      </c>
      <c r="S551" s="21" t="str">
        <f>IFERROR(INDEX(Товары_очищенные!$N$3:$N$503,MATCH(M551,Товары_очищенные!$L$3:$L$503,0)),"нет в каталоге")</f>
        <v>Аксессуары</v>
      </c>
      <c r="T551" s="21" t="str">
        <f t="shared" si="232"/>
        <v>OK</v>
      </c>
      <c r="U551" s="12" t="str">
        <f t="shared" si="233"/>
        <v>16/10/2025|АРТ-330|C0549</v>
      </c>
      <c r="V551" s="12" t="str">
        <f t="shared" si="234"/>
        <v>оригинал</v>
      </c>
    </row>
    <row r="552" ht="15" customHeight="1">
      <c r="A552" s="10">
        <v>550</v>
      </c>
      <c r="B552" s="11" t="str">
        <f>RAW_Продажи!A551</f>
        <v>10/16/2025</v>
      </c>
      <c r="C552" s="11" t="str">
        <f>RAW_Продажи!B551</f>
        <v>№АРТ-296</v>
      </c>
      <c r="D552" s="11" t="str">
        <f>RAW_Продажи!C551</f>
        <v>-3</v>
      </c>
      <c r="E552" s="11" t="str">
        <f>RAW_Продажи!D551</f>
        <v>$120</v>
      </c>
      <c r="F552" s="11" t="str">
        <f>RAW_Продажи!E551</f>
        <v>C0550</v>
      </c>
      <c r="G552" s="11" t="str">
        <f>RAW_Продажи!F551</f>
        <v>P030</v>
      </c>
      <c r="H552" s="11" t="str">
        <f>RAW_Продажи!G551</f>
        <v>возврат</v>
      </c>
      <c r="I552" s="12" t="str">
        <f t="shared" si="226"/>
        <v>296</v>
      </c>
      <c r="J552" s="12" t="str">
        <f t="shared" si="227"/>
        <v>$</v>
      </c>
      <c r="K552" s="12">
        <f t="shared" si="228"/>
        <v>120</v>
      </c>
      <c r="L552" s="19">
        <f t="shared" si="229"/>
        <v>45946</v>
      </c>
      <c r="M552" s="13" t="str">
        <f t="shared" si="230"/>
        <v>АРТ-296</v>
      </c>
      <c r="N552" s="13">
        <f t="shared" si="231"/>
        <v>-3</v>
      </c>
      <c r="O552" s="13" t="str">
        <f>IFERROR(VLOOKUP(J552,Справочники!$G$6:$H$8,2,0),"RUB")</f>
        <v>USD</v>
      </c>
      <c r="P552" s="14">
        <f>ROUND(K552*IFERROR(VLOOKUP(J552,Справочники!$G$6:$I$8,3,0),1),2)</f>
        <v>11400</v>
      </c>
      <c r="Q552" s="13" t="str">
        <f>IFERROR(VLOOKUP(H552,Справочники!$D$6:$E$14,2,0),"НЕИЗВЕСТНО")</f>
        <v>Возврат</v>
      </c>
      <c r="R552" s="20">
        <f>IFERROR(INDEX(Товары_очищенные!$Q$3:$Q$503,MATCH(M552,Товары_очищенные!$L$3:$L$503,0)),"нет в каталоге")</f>
        <v>33500</v>
      </c>
      <c r="S552" s="21" t="str">
        <f>IFERROR(INDEX(Товары_очищенные!$N$3:$N$503,MATCH(M552,Товары_очищенные!$L$3:$L$503,0)),"нет в каталоге")</f>
        <v>Смартфоны</v>
      </c>
      <c r="T552" s="21" t="str">
        <f t="shared" si="232"/>
        <v>OK</v>
      </c>
      <c r="U552" s="12" t="str">
        <f t="shared" si="233"/>
        <v>16/10/2025|АРТ-296|C0550</v>
      </c>
      <c r="V552" s="12" t="str">
        <f t="shared" si="234"/>
        <v>оригинал</v>
      </c>
    </row>
    <row r="553" ht="15" customHeight="1">
      <c r="A553" s="10">
        <v>551</v>
      </c>
      <c r="B553" s="11" t="str">
        <f>RAW_Продажи!A552</f>
        <v>10/17/2025</v>
      </c>
      <c r="C553" s="11" t="str">
        <f>RAW_Продажи!B552</f>
        <v>АРТ_354</v>
      </c>
      <c r="D553" s="11" t="str">
        <f>RAW_Продажи!C552</f>
        <v>2</v>
      </c>
      <c r="E553" s="11" t="str">
        <f>RAW_Продажи!D552</f>
        <v>€100</v>
      </c>
      <c r="F553" s="11" t="str">
        <f>RAW_Продажи!E552</f>
        <v>C0551</v>
      </c>
      <c r="G553" s="11" t="str">
        <f>RAW_Продажи!F552</f>
        <v>P012</v>
      </c>
      <c r="H553" s="11" t="str">
        <f>RAW_Продажи!G552</f>
        <v>завершен</v>
      </c>
      <c r="I553" s="12" t="str">
        <f t="shared" si="226"/>
        <v>354</v>
      </c>
      <c r="J553" s="12" t="str">
        <f t="shared" si="227"/>
        <v>€</v>
      </c>
      <c r="K553" s="12">
        <f t="shared" si="228"/>
        <v>100</v>
      </c>
      <c r="L553" s="19">
        <f t="shared" si="229"/>
        <v>45947</v>
      </c>
      <c r="M553" s="13" t="str">
        <f t="shared" si="230"/>
        <v>АРТ-354</v>
      </c>
      <c r="N553" s="13">
        <f t="shared" si="231"/>
        <v>2</v>
      </c>
      <c r="O553" s="13" t="str">
        <f>IFERROR(VLOOKUP(J553,Справочники!$G$6:$H$8,2,0),"RUB")</f>
        <v>EUR</v>
      </c>
      <c r="P553" s="14">
        <f>ROUND(K553*IFERROR(VLOOKUP(J553,Справочники!$G$6:$I$8,3,0),1),2)</f>
        <v>10000</v>
      </c>
      <c r="Q553" s="13" t="str">
        <f>IFERROR(VLOOKUP(H553,Справочники!$D$6:$E$14,2,0),"НЕИЗВЕСТНО")</f>
        <v>Завершен</v>
      </c>
      <c r="R553" s="20">
        <f>IFERROR(INDEX(Товары_очищенные!$Q$3:$Q$503,MATCH(M553,Товары_очищенные!$L$3:$L$503,0)),"нет в каталоге")</f>
        <v>7800</v>
      </c>
      <c r="S553" s="21" t="str">
        <f>IFERROR(INDEX(Товары_очищенные!$N$3:$N$503,MATCH(M553,Товары_очищенные!$L$3:$L$503,0)),"нет в каталоге")</f>
        <v>Аксессуары</v>
      </c>
      <c r="T553" s="21" t="str">
        <f t="shared" si="232"/>
        <v>OK</v>
      </c>
      <c r="U553" s="12" t="str">
        <f t="shared" si="233"/>
        <v>17/10/2025|АРТ-354|C0551</v>
      </c>
      <c r="V553" s="12" t="str">
        <f t="shared" si="234"/>
        <v>оригинал</v>
      </c>
    </row>
    <row r="554" ht="15" customHeight="1">
      <c r="A554" s="10">
        <v>552</v>
      </c>
      <c r="B554" s="11" t="str">
        <f>RAW_Продажи!A553</f>
        <v>10/17/2025</v>
      </c>
      <c r="C554" s="11" t="str">
        <f>RAW_Продажи!B553</f>
        <v>198-24</v>
      </c>
      <c r="D554" s="11" t="str">
        <f>RAW_Продажи!C553</f>
        <v>1</v>
      </c>
      <c r="E554" s="11" t="str">
        <f>RAW_Продажи!D553</f>
        <v xml:space="preserve">9200 ₽</v>
      </c>
      <c r="F554" s="11" t="str">
        <f>RAW_Продажи!E553</f>
        <v>C0552</v>
      </c>
      <c r="G554" s="11" t="str">
        <f>RAW_Продажи!F553</f>
        <v>P007</v>
      </c>
      <c r="H554" s="11" t="str">
        <f>RAW_Продажи!G553</f>
        <v>completed</v>
      </c>
      <c r="I554" s="12" t="str">
        <f t="shared" si="226"/>
        <v>198-24</v>
      </c>
      <c r="J554" s="12" t="str">
        <f t="shared" si="227"/>
        <v>₽</v>
      </c>
      <c r="K554" s="12">
        <f t="shared" si="228"/>
        <v>9200</v>
      </c>
      <c r="L554" s="19">
        <f t="shared" si="229"/>
        <v>45947</v>
      </c>
      <c r="M554" s="13" t="str">
        <f t="shared" si="230"/>
        <v>АРТ-198</v>
      </c>
      <c r="N554" s="13">
        <f t="shared" si="231"/>
        <v>1</v>
      </c>
      <c r="O554" s="13" t="str">
        <f>IFERROR(VLOOKUP(J554,Справочники!$G$6:$H$8,2,0),"RUB")</f>
        <v>RUB</v>
      </c>
      <c r="P554" s="14">
        <f>ROUND(K554*IFERROR(VLOOKUP(J554,Справочники!$G$6:$I$8,3,0),1),2)</f>
        <v>9200</v>
      </c>
      <c r="Q554" s="13" t="str">
        <f>IFERROR(VLOOKUP(H554,Справочники!$D$6:$E$14,2,0),"НЕИЗВЕСТНО")</f>
        <v>Завершен</v>
      </c>
      <c r="R554" s="20">
        <f>IFERROR(INDEX(Товары_очищенные!$Q$3:$Q$503,MATCH(M554,Товары_очищенные!$L$3:$L$503,0)),"нет в каталоге")</f>
        <v>55500</v>
      </c>
      <c r="S554" s="21" t="str">
        <f>IFERROR(INDEX(Товары_очищенные!$N$3:$N$503,MATCH(M554,Товары_очищенные!$L$3:$L$503,0)),"нет в каталоге")</f>
        <v>Смартфоны</v>
      </c>
      <c r="T554" s="21" t="str">
        <f t="shared" si="232"/>
        <v>OK</v>
      </c>
      <c r="U554" s="12" t="str">
        <f t="shared" si="233"/>
        <v>17/10/2025|АРТ-198|C0552</v>
      </c>
      <c r="V554" s="12" t="str">
        <f t="shared" si="234"/>
        <v>оригинал</v>
      </c>
    </row>
    <row r="555" ht="15" customHeight="1">
      <c r="A555" s="10">
        <v>553</v>
      </c>
      <c r="B555" s="11" t="str">
        <f>RAW_Продажи!A554</f>
        <v>10/18/2025</v>
      </c>
      <c r="C555" s="11" t="str">
        <f>RAW_Продажи!B554</f>
        <v>№АРТ-154</v>
      </c>
      <c r="D555" s="11" t="str">
        <f>RAW_Продажи!C554</f>
        <v>3</v>
      </c>
      <c r="E555" s="11" t="str">
        <f>RAW_Продажи!D554</f>
        <v>$90</v>
      </c>
      <c r="F555" s="11" t="str">
        <f>RAW_Продажи!E554</f>
        <v>C0553</v>
      </c>
      <c r="G555" s="11" t="str">
        <f>RAW_Продажи!F554</f>
        <v>P023</v>
      </c>
      <c r="H555" s="11" t="str">
        <f>RAW_Продажи!G554</f>
        <v>Завершен</v>
      </c>
      <c r="I555" s="12" t="str">
        <f t="shared" si="226"/>
        <v>154</v>
      </c>
      <c r="J555" s="12" t="str">
        <f t="shared" si="227"/>
        <v>$</v>
      </c>
      <c r="K555" s="12">
        <f t="shared" si="228"/>
        <v>90</v>
      </c>
      <c r="L555" s="19">
        <f t="shared" si="229"/>
        <v>45948</v>
      </c>
      <c r="M555" s="13" t="str">
        <f t="shared" si="230"/>
        <v>АРТ-154</v>
      </c>
      <c r="N555" s="13">
        <f t="shared" si="231"/>
        <v>3</v>
      </c>
      <c r="O555" s="13" t="str">
        <f>IFERROR(VLOOKUP(J555,Справочники!$G$6:$H$8,2,0),"RUB")</f>
        <v>USD</v>
      </c>
      <c r="P555" s="14">
        <f>ROUND(K555*IFERROR(VLOOKUP(J555,Справочники!$G$6:$I$8,3,0),1),2)</f>
        <v>8550</v>
      </c>
      <c r="Q555" s="13" t="str">
        <f>IFERROR(VLOOKUP(H555,Справочники!$D$6:$E$14,2,0),"НЕИЗВЕСТНО")</f>
        <v>Завершен</v>
      </c>
      <c r="R555" s="20">
        <f>IFERROR(INDEX(Товары_очищенные!$Q$3:$Q$503,MATCH(M555,Товары_очищенные!$L$3:$L$503,0)),"нет в каталоге")</f>
        <v>16990</v>
      </c>
      <c r="S555" s="21" t="str">
        <f>IFERROR(INDEX(Товары_очищенные!$N$3:$N$503,MATCH(M555,Товары_очищенные!$L$3:$L$503,0)),"нет в каталоге")</f>
        <v>Наушники</v>
      </c>
      <c r="T555" s="21" t="str">
        <f t="shared" si="232"/>
        <v>OK</v>
      </c>
      <c r="U555" s="12" t="str">
        <f t="shared" si="233"/>
        <v>18/10/2025|АРТ-154|C0553</v>
      </c>
      <c r="V555" s="12" t="str">
        <f t="shared" si="234"/>
        <v>оригинал</v>
      </c>
    </row>
    <row r="556" ht="15" customHeight="1">
      <c r="A556" s="10">
        <v>554</v>
      </c>
      <c r="B556" s="11" t="str">
        <f>RAW_Продажи!A555</f>
        <v>10/18/2025</v>
      </c>
      <c r="C556" s="11" t="str">
        <f>RAW_Продажи!B555</f>
        <v>АРТ_471</v>
      </c>
      <c r="D556" s="11" t="str">
        <f>RAW_Продажи!C555</f>
        <v>2</v>
      </c>
      <c r="E556" s="11" t="str">
        <f>RAW_Продажи!D555</f>
        <v>€70</v>
      </c>
      <c r="F556" s="11" t="str">
        <f>RAW_Продажи!E555</f>
        <v>C0554</v>
      </c>
      <c r="G556" s="11" t="str">
        <f>RAW_Продажи!F555</f>
        <v>P045</v>
      </c>
      <c r="H556" s="11" t="str">
        <f>RAW_Продажи!G555</f>
        <v>canceled</v>
      </c>
      <c r="I556" s="12" t="str">
        <f t="shared" si="226"/>
        <v>471</v>
      </c>
      <c r="J556" s="12" t="str">
        <f t="shared" si="227"/>
        <v>€</v>
      </c>
      <c r="K556" s="12">
        <f t="shared" si="228"/>
        <v>70</v>
      </c>
      <c r="L556" s="19">
        <f t="shared" si="229"/>
        <v>45948</v>
      </c>
      <c r="M556" s="13" t="str">
        <f t="shared" si="230"/>
        <v>АРТ-471</v>
      </c>
      <c r="N556" s="13">
        <f t="shared" si="231"/>
        <v>2</v>
      </c>
      <c r="O556" s="13" t="str">
        <f>IFERROR(VLOOKUP(J556,Справочники!$G$6:$H$8,2,0),"RUB")</f>
        <v>EUR</v>
      </c>
      <c r="P556" s="14">
        <f>ROUND(K556*IFERROR(VLOOKUP(J556,Справочники!$G$6:$I$8,3,0),1),2)</f>
        <v>7000</v>
      </c>
      <c r="Q556" s="13" t="str">
        <f>IFERROR(VLOOKUP(H556,Справочники!$D$6:$E$14,2,0),"НЕИЗВЕСТНО")</f>
        <v>Отменен</v>
      </c>
      <c r="R556" s="20">
        <f>IFERROR(INDEX(Товары_очищенные!$Q$3:$Q$503,MATCH(M556,Товары_очищенные!$L$3:$L$503,0)),"нет в каталоге")</f>
        <v>61000</v>
      </c>
      <c r="S556" s="21" t="str">
        <f>IFERROR(INDEX(Товары_очищенные!$N$3:$N$503,MATCH(M556,Товары_очищенные!$L$3:$L$503,0)),"нет в каталоге")</f>
        <v>Телевизоры</v>
      </c>
      <c r="T556" s="21" t="str">
        <f t="shared" si="232"/>
        <v>OK</v>
      </c>
      <c r="U556" s="12" t="str">
        <f t="shared" si="233"/>
        <v>18/10/2025|АРТ-471|C0554</v>
      </c>
      <c r="V556" s="12" t="str">
        <f t="shared" si="234"/>
        <v>оригинал</v>
      </c>
    </row>
    <row r="557" ht="15" customHeight="1">
      <c r="A557" s="10">
        <v>555</v>
      </c>
      <c r="B557" s="11" t="str">
        <f>RAW_Продажи!A556</f>
        <v>10/19/2025</v>
      </c>
      <c r="C557" s="11" t="str">
        <f>RAW_Продажи!B556</f>
        <v>363/24</v>
      </c>
      <c r="D557" s="11" t="str">
        <f>RAW_Продажи!C556</f>
        <v xml:space="preserve">1 шт.</v>
      </c>
      <c r="E557" s="11" t="str">
        <f>RAW_Продажи!D556</f>
        <v xml:space="preserve">6500 ₽</v>
      </c>
      <c r="F557" s="11" t="str">
        <f>RAW_Продажи!E556</f>
        <v>C0555</v>
      </c>
      <c r="G557" s="11" t="str">
        <f>RAW_Продажи!F556</f>
        <v>P008</v>
      </c>
      <c r="H557" s="11" t="str">
        <f>RAW_Продажи!G556</f>
        <v>отменен</v>
      </c>
      <c r="I557" s="12" t="str">
        <f t="shared" si="226"/>
        <v>363/24</v>
      </c>
      <c r="J557" s="12" t="str">
        <f t="shared" si="227"/>
        <v>₽</v>
      </c>
      <c r="K557" s="12">
        <f t="shared" si="228"/>
        <v>6500</v>
      </c>
      <c r="L557" s="19">
        <f t="shared" si="229"/>
        <v>45949</v>
      </c>
      <c r="M557" s="13" t="str">
        <f t="shared" si="230"/>
        <v>АРТ-363</v>
      </c>
      <c r="N557" s="13">
        <f t="shared" si="231"/>
        <v>1</v>
      </c>
      <c r="O557" s="13" t="str">
        <f>IFERROR(VLOOKUP(J557,Справочники!$G$6:$H$8,2,0),"RUB")</f>
        <v>RUB</v>
      </c>
      <c r="P557" s="14">
        <f>ROUND(K557*IFERROR(VLOOKUP(J557,Справочники!$G$6:$I$8,3,0),1),2)</f>
        <v>6500</v>
      </c>
      <c r="Q557" s="13" t="str">
        <f>IFERROR(VLOOKUP(H557,Справочники!$D$6:$E$14,2,0),"НЕИЗВЕСТНО")</f>
        <v>Отменен</v>
      </c>
      <c r="R557" s="20">
        <f>IFERROR(INDEX(Товары_очищенные!$Q$3:$Q$503,MATCH(M557,Товары_очищенные!$L$3:$L$503,0)),"нет в каталоге")</f>
        <v>149000</v>
      </c>
      <c r="S557" s="21" t="str">
        <f>IFERROR(INDEX(Товары_очищенные!$N$3:$N$503,MATCH(M557,Товары_очищенные!$L$3:$L$503,0)),"нет в каталоге")</f>
        <v>Ноутбуки</v>
      </c>
      <c r="T557" s="21" t="str">
        <f t="shared" si="232"/>
        <v>OK</v>
      </c>
      <c r="U557" s="12" t="str">
        <f t="shared" si="233"/>
        <v>19/10/2025|АРТ-363|C0555</v>
      </c>
      <c r="V557" s="12" t="str">
        <f t="shared" si="234"/>
        <v>оригинал</v>
      </c>
    </row>
    <row r="558" ht="15" customHeight="1">
      <c r="A558" s="10">
        <v>556</v>
      </c>
      <c r="B558" s="11" t="str">
        <f>RAW_Продажи!A557</f>
        <v>10/19/2025</v>
      </c>
      <c r="C558" s="11" t="str">
        <f>RAW_Продажи!B557</f>
        <v>№АРТ-370</v>
      </c>
      <c r="D558" s="11" t="str">
        <f>RAW_Продажи!C557</f>
        <v>-1</v>
      </c>
      <c r="E558" s="11" t="str">
        <f>RAW_Продажи!D557</f>
        <v>$110</v>
      </c>
      <c r="F558" s="11" t="str">
        <f>RAW_Продажи!E557</f>
        <v>C0556</v>
      </c>
      <c r="G558" s="11" t="str">
        <f>RAW_Продажи!F557</f>
        <v>P031</v>
      </c>
      <c r="H558" s="11" t="str">
        <f>RAW_Продажи!G557</f>
        <v>возврат</v>
      </c>
      <c r="I558" s="12" t="str">
        <f t="shared" si="226"/>
        <v>370</v>
      </c>
      <c r="J558" s="12" t="str">
        <f t="shared" si="227"/>
        <v>$</v>
      </c>
      <c r="K558" s="12">
        <f t="shared" si="228"/>
        <v>110</v>
      </c>
      <c r="L558" s="19">
        <f t="shared" si="229"/>
        <v>45949</v>
      </c>
      <c r="M558" s="13" t="str">
        <f t="shared" si="230"/>
        <v>АРТ-370</v>
      </c>
      <c r="N558" s="13">
        <f t="shared" si="231"/>
        <v>-1</v>
      </c>
      <c r="O558" s="13" t="str">
        <f>IFERROR(VLOOKUP(J558,Справочники!$G$6:$H$8,2,0),"RUB")</f>
        <v>USD</v>
      </c>
      <c r="P558" s="14">
        <f>ROUND(K558*IFERROR(VLOOKUP(J558,Справочники!$G$6:$I$8,3,0),1),2)</f>
        <v>10450</v>
      </c>
      <c r="Q558" s="13" t="str">
        <f>IFERROR(VLOOKUP(H558,Справочники!$D$6:$E$14,2,0),"НЕИЗВЕСТНО")</f>
        <v>Возврат</v>
      </c>
      <c r="R558" s="20">
        <f>IFERROR(INDEX(Товары_очищенные!$Q$3:$Q$503,MATCH(M558,Товары_очищенные!$L$3:$L$503,0)),"нет в каталоге")</f>
        <v>49990</v>
      </c>
      <c r="S558" s="21" t="str">
        <f>IFERROR(INDEX(Товары_очищенные!$N$3:$N$503,MATCH(M558,Товары_очищенные!$L$3:$L$503,0)),"нет в каталоге")</f>
        <v>Мониторы</v>
      </c>
      <c r="T558" s="21" t="str">
        <f t="shared" si="232"/>
        <v>OK</v>
      </c>
      <c r="U558" s="12" t="str">
        <f t="shared" si="233"/>
        <v>19/10/2025|АРТ-370|C0556</v>
      </c>
      <c r="V558" s="12" t="str">
        <f t="shared" si="234"/>
        <v>оригинал</v>
      </c>
    </row>
    <row r="559" ht="15" customHeight="1">
      <c r="A559" s="10">
        <v>557</v>
      </c>
      <c r="B559" s="11" t="str">
        <f>RAW_Продажи!A558</f>
        <v>10/20/2025</v>
      </c>
      <c r="C559" s="11" t="str">
        <f>RAW_Продажи!B558</f>
        <v>АРТ_332</v>
      </c>
      <c r="D559" s="11" t="str">
        <f>RAW_Продажи!C558</f>
        <v>3</v>
      </c>
      <c r="E559" s="11" t="str">
        <f>RAW_Продажи!D558</f>
        <v>€90</v>
      </c>
      <c r="F559" s="11" t="str">
        <f>RAW_Продажи!E558</f>
        <v>C0557</v>
      </c>
      <c r="G559" s="11" t="str">
        <f>RAW_Продажи!F558</f>
        <v>P019</v>
      </c>
      <c r="H559" s="11" t="str">
        <f>RAW_Продажи!G558</f>
        <v>Завершен</v>
      </c>
      <c r="I559" s="12" t="str">
        <f t="shared" si="226"/>
        <v>332</v>
      </c>
      <c r="J559" s="12" t="str">
        <f t="shared" si="227"/>
        <v>€</v>
      </c>
      <c r="K559" s="12">
        <f t="shared" si="228"/>
        <v>90</v>
      </c>
      <c r="L559" s="19">
        <f t="shared" si="229"/>
        <v>45950</v>
      </c>
      <c r="M559" s="13" t="str">
        <f t="shared" si="230"/>
        <v>АРТ-332</v>
      </c>
      <c r="N559" s="13">
        <f t="shared" si="231"/>
        <v>3</v>
      </c>
      <c r="O559" s="13" t="str">
        <f>IFERROR(VLOOKUP(J559,Справочники!$G$6:$H$8,2,0),"RUB")</f>
        <v>EUR</v>
      </c>
      <c r="P559" s="14">
        <f>ROUND(K559*IFERROR(VLOOKUP(J559,Справочники!$G$6:$I$8,3,0),1),2)</f>
        <v>9000</v>
      </c>
      <c r="Q559" s="13" t="str">
        <f>IFERROR(VLOOKUP(H559,Справочники!$D$6:$E$14,2,0),"НЕИЗВЕСТНО")</f>
        <v>Завершен</v>
      </c>
      <c r="R559" s="20">
        <f>IFERROR(INDEX(Товары_очищенные!$Q$3:$Q$503,MATCH(M559,Товары_очищенные!$L$3:$L$503,0)),"нет в каталоге")</f>
        <v>67500</v>
      </c>
      <c r="S559" s="21" t="str">
        <f>IFERROR(INDEX(Товары_очищенные!$N$3:$N$503,MATCH(M559,Товары_очищенные!$L$3:$L$503,0)),"нет в каталоге")</f>
        <v>Часы</v>
      </c>
      <c r="T559" s="21" t="str">
        <f t="shared" si="232"/>
        <v>OK</v>
      </c>
      <c r="U559" s="12" t="str">
        <f t="shared" si="233"/>
        <v>20/10/2025|АРТ-332|C0557</v>
      </c>
      <c r="V559" s="12" t="str">
        <f t="shared" si="234"/>
        <v>оригинал</v>
      </c>
    </row>
    <row r="560" ht="15" customHeight="1">
      <c r="A560" s="10">
        <v>558</v>
      </c>
      <c r="B560" s="11" t="str">
        <f>RAW_Продажи!A559</f>
        <v>10/20/2025</v>
      </c>
      <c r="C560" s="11" t="str">
        <f>RAW_Продажи!B559</f>
        <v>144-24</v>
      </c>
      <c r="D560" s="11" t="str">
        <f>RAW_Продажи!C559</f>
        <v>2</v>
      </c>
      <c r="E560" s="11" t="str">
        <f>RAW_Продажи!D559</f>
        <v xml:space="preserve">8000 ₽</v>
      </c>
      <c r="F560" s="11" t="str">
        <f>RAW_Продажи!E559</f>
        <v>C0558</v>
      </c>
      <c r="G560" s="11" t="str">
        <f>RAW_Продажи!F559</f>
        <v>P042</v>
      </c>
      <c r="H560" s="11" t="str">
        <f>RAW_Продажи!G559</f>
        <v>завершен</v>
      </c>
      <c r="I560" s="12" t="str">
        <f t="shared" si="226"/>
        <v>144-24</v>
      </c>
      <c r="J560" s="12" t="str">
        <f t="shared" si="227"/>
        <v>₽</v>
      </c>
      <c r="K560" s="12">
        <f t="shared" si="228"/>
        <v>8000</v>
      </c>
      <c r="L560" s="19">
        <f t="shared" si="229"/>
        <v>45950</v>
      </c>
      <c r="M560" s="13" t="str">
        <f t="shared" si="230"/>
        <v>АРТ-144</v>
      </c>
      <c r="N560" s="13">
        <f t="shared" si="231"/>
        <v>2</v>
      </c>
      <c r="O560" s="13" t="str">
        <f>IFERROR(VLOOKUP(J560,Справочники!$G$6:$H$8,2,0),"RUB")</f>
        <v>RUB</v>
      </c>
      <c r="P560" s="14">
        <f>ROUND(K560*IFERROR(VLOOKUP(J560,Справочники!$G$6:$I$8,3,0),1),2)</f>
        <v>8000</v>
      </c>
      <c r="Q560" s="13" t="str">
        <f>IFERROR(VLOOKUP(H560,Справочники!$D$6:$E$14,2,0),"НЕИЗВЕСТНО")</f>
        <v>Завершен</v>
      </c>
      <c r="R560" s="20">
        <f>IFERROR(INDEX(Товары_очищенные!$Q$3:$Q$503,MATCH(M560,Товары_очищенные!$L$3:$L$503,0)),"нет в каталоге")</f>
        <v>8500</v>
      </c>
      <c r="S560" s="21" t="str">
        <f>IFERROR(INDEX(Товары_очищенные!$N$3:$N$503,MATCH(M560,Товары_очищенные!$L$3:$L$503,0)),"нет в каталоге")</f>
        <v>Аксессуары</v>
      </c>
      <c r="T560" s="21" t="str">
        <f t="shared" si="232"/>
        <v>OK</v>
      </c>
      <c r="U560" s="12" t="str">
        <f t="shared" si="233"/>
        <v>20/10/2025|АРТ-144|C0558</v>
      </c>
      <c r="V560" s="12" t="str">
        <f t="shared" si="234"/>
        <v>оригинал</v>
      </c>
    </row>
    <row r="561" ht="15" customHeight="1">
      <c r="A561" s="10">
        <v>559</v>
      </c>
      <c r="B561" s="11" t="str">
        <f>RAW_Продажи!A560</f>
        <v>10/21/2025</v>
      </c>
      <c r="C561" s="11" t="str">
        <f>RAW_Продажи!B560</f>
        <v>№АРТ-050</v>
      </c>
      <c r="D561" s="11" t="str">
        <f>RAW_Продажи!C560</f>
        <v>1</v>
      </c>
      <c r="E561" s="11" t="str">
        <f>RAW_Продажи!D560</f>
        <v>$95</v>
      </c>
      <c r="F561" s="11" t="str">
        <f>RAW_Продажи!E560</f>
        <v>C0559</v>
      </c>
      <c r="G561" s="11" t="str">
        <f>RAW_Продажи!F560</f>
        <v>P005</v>
      </c>
      <c r="H561" s="11" t="str">
        <f>RAW_Продажи!G560</f>
        <v>completed</v>
      </c>
      <c r="I561" s="12" t="str">
        <f t="shared" si="226"/>
        <v>050</v>
      </c>
      <c r="J561" s="12" t="str">
        <f t="shared" si="227"/>
        <v>$</v>
      </c>
      <c r="K561" s="12">
        <f t="shared" si="228"/>
        <v>95</v>
      </c>
      <c r="L561" s="19">
        <f t="shared" si="229"/>
        <v>45951</v>
      </c>
      <c r="M561" s="13" t="str">
        <f t="shared" si="230"/>
        <v>АРТ-050</v>
      </c>
      <c r="N561" s="13">
        <f t="shared" si="231"/>
        <v>1</v>
      </c>
      <c r="O561" s="13" t="str">
        <f>IFERROR(VLOOKUP(J561,Справочники!$G$6:$H$8,2,0),"RUB")</f>
        <v>USD</v>
      </c>
      <c r="P561" s="14">
        <f>ROUND(K561*IFERROR(VLOOKUP(J561,Справочники!$G$6:$I$8,3,0),1),2)</f>
        <v>9025</v>
      </c>
      <c r="Q561" s="13" t="str">
        <f>IFERROR(VLOOKUP(H561,Справочники!$D$6:$E$14,2,0),"НЕИЗВЕСТНО")</f>
        <v>Завершен</v>
      </c>
      <c r="R561" s="20">
        <f>IFERROR(INDEX(Товары_очищенные!$Q$3:$Q$503,MATCH(M561,Товары_очищенные!$L$3:$L$503,0)),"нет в каталоге")</f>
        <v>53500</v>
      </c>
      <c r="S561" s="21" t="str">
        <f>IFERROR(INDEX(Товары_очищенные!$N$3:$N$503,MATCH(M561,Товары_очищенные!$L$3:$L$503,0)),"нет в каталоге")</f>
        <v>Смартфоны</v>
      </c>
      <c r="T561" s="21" t="str">
        <f t="shared" si="232"/>
        <v>OK</v>
      </c>
      <c r="U561" s="12" t="str">
        <f t="shared" si="233"/>
        <v>21/10/2025|АРТ-050|C0559</v>
      </c>
      <c r="V561" s="12" t="str">
        <f t="shared" si="234"/>
        <v>оригинал</v>
      </c>
    </row>
    <row r="562" ht="15" customHeight="1">
      <c r="A562" s="10">
        <v>560</v>
      </c>
      <c r="B562" s="11" t="str">
        <f>RAW_Продажи!A561</f>
        <v>10/21/2025</v>
      </c>
      <c r="C562" s="11" t="str">
        <f>RAW_Продажи!B561</f>
        <v>АРТ_498</v>
      </c>
      <c r="D562" s="11" t="str">
        <f>RAW_Продажи!C561</f>
        <v>2</v>
      </c>
      <c r="E562" s="11" t="str">
        <f>RAW_Продажи!D561</f>
        <v>€75</v>
      </c>
      <c r="F562" s="11" t="str">
        <f>RAW_Продажи!E561</f>
        <v>C0560</v>
      </c>
      <c r="G562" s="11" t="str">
        <f>RAW_Продажи!F561</f>
        <v>P036</v>
      </c>
      <c r="H562" s="11" t="str">
        <f>RAW_Продажи!G561</f>
        <v>отменен</v>
      </c>
      <c r="I562" s="12" t="str">
        <f t="shared" si="226"/>
        <v>498</v>
      </c>
      <c r="J562" s="12" t="str">
        <f t="shared" si="227"/>
        <v>€</v>
      </c>
      <c r="K562" s="12">
        <f t="shared" si="228"/>
        <v>75</v>
      </c>
      <c r="L562" s="19">
        <f t="shared" si="229"/>
        <v>45951</v>
      </c>
      <c r="M562" s="13" t="str">
        <f t="shared" si="230"/>
        <v>АРТ-498</v>
      </c>
      <c r="N562" s="13">
        <f t="shared" si="231"/>
        <v>2</v>
      </c>
      <c r="O562" s="13" t="str">
        <f>IFERROR(VLOOKUP(J562,Справочники!$G$6:$H$8,2,0),"RUB")</f>
        <v>EUR</v>
      </c>
      <c r="P562" s="14">
        <f>ROUND(K562*IFERROR(VLOOKUP(J562,Справочники!$G$6:$I$8,3,0),1),2)</f>
        <v>7500</v>
      </c>
      <c r="Q562" s="13" t="str">
        <f>IFERROR(VLOOKUP(H562,Справочники!$D$6:$E$14,2,0),"НЕИЗВЕСТНО")</f>
        <v>Отменен</v>
      </c>
      <c r="R562" s="20">
        <f>IFERROR(INDEX(Товары_очищенные!$Q$3:$Q$503,MATCH(M562,Товары_очищенные!$L$3:$L$503,0)),"нет в каталоге")</f>
        <v>62000</v>
      </c>
      <c r="S562" s="21" t="str">
        <f>IFERROR(INDEX(Товары_очищенные!$N$3:$N$503,MATCH(M562,Товары_очищенные!$L$3:$L$503,0)),"нет в каталоге")</f>
        <v>Мониторы</v>
      </c>
      <c r="T562" s="21" t="str">
        <f t="shared" si="232"/>
        <v>OK</v>
      </c>
      <c r="U562" s="12" t="str">
        <f t="shared" si="233"/>
        <v>21/10/2025|АРТ-498|C0560</v>
      </c>
      <c r="V562" s="12" t="str">
        <f t="shared" si="234"/>
        <v>оригинал</v>
      </c>
    </row>
    <row r="563" ht="15" customHeight="1">
      <c r="A563" s="10">
        <v>561</v>
      </c>
      <c r="B563" s="11" t="str">
        <f>RAW_Продажи!A562</f>
        <v>10/22/2025</v>
      </c>
      <c r="C563" s="11" t="str">
        <f>RAW_Продажи!B562</f>
        <v>342/24</v>
      </c>
      <c r="D563" s="11" t="str">
        <f>RAW_Продажи!C562</f>
        <v xml:space="preserve">3 шт.</v>
      </c>
      <c r="E563" s="11" t="str">
        <f>RAW_Продажи!D562</f>
        <v xml:space="preserve">7000 ₽</v>
      </c>
      <c r="F563" s="11" t="str">
        <f>RAW_Продажи!E562</f>
        <v>C0561</v>
      </c>
      <c r="G563" s="11" t="str">
        <f>RAW_Продажи!F562</f>
        <v>P014</v>
      </c>
      <c r="H563" s="11" t="str">
        <f>RAW_Продажи!G562</f>
        <v>canceled</v>
      </c>
      <c r="I563" s="12" t="str">
        <f t="shared" si="226"/>
        <v>342/24</v>
      </c>
      <c r="J563" s="12" t="str">
        <f t="shared" si="227"/>
        <v>₽</v>
      </c>
      <c r="K563" s="12">
        <f t="shared" si="228"/>
        <v>7000</v>
      </c>
      <c r="L563" s="19">
        <f t="shared" si="229"/>
        <v>45952</v>
      </c>
      <c r="M563" s="13" t="str">
        <f t="shared" si="230"/>
        <v>АРТ-342</v>
      </c>
      <c r="N563" s="13">
        <f t="shared" si="231"/>
        <v>3</v>
      </c>
      <c r="O563" s="13" t="str">
        <f>IFERROR(VLOOKUP(J563,Справочники!$G$6:$H$8,2,0),"RUB")</f>
        <v>RUB</v>
      </c>
      <c r="P563" s="14">
        <f>ROUND(K563*IFERROR(VLOOKUP(J563,Справочники!$G$6:$I$8,3,0),1),2)</f>
        <v>7000</v>
      </c>
      <c r="Q563" s="13" t="str">
        <f>IFERROR(VLOOKUP(H563,Справочники!$D$6:$E$14,2,0),"НЕИЗВЕСТНО")</f>
        <v>Отменен</v>
      </c>
      <c r="R563" s="20">
        <f>IFERROR(INDEX(Товары_очищенные!$Q$3:$Q$503,MATCH(M563,Товары_очищенные!$L$3:$L$503,0)),"нет в каталоге")</f>
        <v>137500</v>
      </c>
      <c r="S563" s="21" t="str">
        <f>IFERROR(INDEX(Товары_очищенные!$N$3:$N$503,MATCH(M563,Товары_очищенные!$L$3:$L$503,0)),"нет в каталоге")</f>
        <v>Ноутбуки</v>
      </c>
      <c r="T563" s="21" t="str">
        <f t="shared" si="232"/>
        <v>OK</v>
      </c>
      <c r="U563" s="12" t="str">
        <f t="shared" si="233"/>
        <v>22/10/2025|АРТ-342|C0561</v>
      </c>
      <c r="V563" s="12" t="str">
        <f t="shared" si="234"/>
        <v>оригинал</v>
      </c>
    </row>
    <row r="564" ht="15" customHeight="1">
      <c r="A564" s="10">
        <v>562</v>
      </c>
      <c r="B564" s="11" t="str">
        <f>RAW_Продажи!A563</f>
        <v>10/22/2025</v>
      </c>
      <c r="C564" s="11" t="str">
        <f>RAW_Продажи!B563</f>
        <v>№АРТ-192</v>
      </c>
      <c r="D564" s="11" t="str">
        <f>RAW_Продажи!C563</f>
        <v>-2</v>
      </c>
      <c r="E564" s="11" t="str">
        <f>RAW_Продажи!D563</f>
        <v>$115</v>
      </c>
      <c r="F564" s="11" t="str">
        <f>RAW_Продажи!E563</f>
        <v>C0562</v>
      </c>
      <c r="G564" s="11" t="str">
        <f>RAW_Продажи!F563</f>
        <v>P028</v>
      </c>
      <c r="H564" s="11" t="str">
        <f>RAW_Продажи!G563</f>
        <v>Завершен</v>
      </c>
      <c r="I564" s="12" t="str">
        <f t="shared" si="226"/>
        <v>192</v>
      </c>
      <c r="J564" s="12" t="str">
        <f t="shared" si="227"/>
        <v>$</v>
      </c>
      <c r="K564" s="12">
        <f t="shared" si="228"/>
        <v>115</v>
      </c>
      <c r="L564" s="19">
        <f t="shared" si="229"/>
        <v>45952</v>
      </c>
      <c r="M564" s="13" t="str">
        <f t="shared" si="230"/>
        <v>АРТ-192</v>
      </c>
      <c r="N564" s="13">
        <f t="shared" si="231"/>
        <v>-2</v>
      </c>
      <c r="O564" s="13" t="str">
        <f>IFERROR(VLOOKUP(J564,Справочники!$G$6:$H$8,2,0),"RUB")</f>
        <v>USD</v>
      </c>
      <c r="P564" s="14">
        <f>ROUND(K564*IFERROR(VLOOKUP(J564,Справочники!$G$6:$I$8,3,0),1),2)</f>
        <v>10925</v>
      </c>
      <c r="Q564" s="13" t="str">
        <f>IFERROR(VLOOKUP(H564,Справочники!$D$6:$E$14,2,0),"НЕИЗВЕСТНО")</f>
        <v>Завершен</v>
      </c>
      <c r="R564" s="20">
        <f>IFERROR(INDEX(Товары_очищенные!$Q$3:$Q$503,MATCH(M564,Товары_очищенные!$L$3:$L$503,0)),"нет в каталоге")</f>
        <v>26500</v>
      </c>
      <c r="S564" s="21" t="str">
        <f>IFERROR(INDEX(Товары_очищенные!$N$3:$N$503,MATCH(M564,Товары_очищенные!$L$3:$L$503,0)),"нет в каталоге")</f>
        <v>Планшеты</v>
      </c>
      <c r="T564" s="21" t="str">
        <f t="shared" si="232"/>
        <v>OK</v>
      </c>
      <c r="U564" s="12" t="str">
        <f t="shared" si="233"/>
        <v>22/10/2025|АРТ-192|C0562</v>
      </c>
      <c r="V564" s="12" t="str">
        <f t="shared" si="234"/>
        <v>оригинал</v>
      </c>
    </row>
    <row r="565" ht="15" customHeight="1">
      <c r="A565" s="10">
        <v>563</v>
      </c>
      <c r="B565" s="11" t="str">
        <f>RAW_Продажи!A564</f>
        <v>10/23/2025</v>
      </c>
      <c r="C565" s="11" t="str">
        <f>RAW_Продажи!B564</f>
        <v>АРТ_303</v>
      </c>
      <c r="D565" s="11" t="str">
        <f>RAW_Продажи!C564</f>
        <v>1</v>
      </c>
      <c r="E565" s="11" t="str">
        <f>RAW_Продажи!D564</f>
        <v>€95</v>
      </c>
      <c r="F565" s="11" t="str">
        <f>RAW_Продажи!E564</f>
        <v>C0563</v>
      </c>
      <c r="G565" s="11" t="str">
        <f>RAW_Продажи!F564</f>
        <v>P009</v>
      </c>
      <c r="H565" s="11" t="str">
        <f>RAW_Продажи!G564</f>
        <v>возврат</v>
      </c>
      <c r="I565" s="12" t="str">
        <f t="shared" si="226"/>
        <v>303</v>
      </c>
      <c r="J565" s="12" t="str">
        <f t="shared" si="227"/>
        <v>€</v>
      </c>
      <c r="K565" s="12">
        <f t="shared" si="228"/>
        <v>95</v>
      </c>
      <c r="L565" s="19">
        <f t="shared" si="229"/>
        <v>45953</v>
      </c>
      <c r="M565" s="13" t="str">
        <f t="shared" si="230"/>
        <v>АРТ-303</v>
      </c>
      <c r="N565" s="13">
        <f t="shared" si="231"/>
        <v>1</v>
      </c>
      <c r="O565" s="13" t="str">
        <f>IFERROR(VLOOKUP(J565,Справочники!$G$6:$H$8,2,0),"RUB")</f>
        <v>EUR</v>
      </c>
      <c r="P565" s="14">
        <f>ROUND(K565*IFERROR(VLOOKUP(J565,Справочники!$G$6:$I$8,3,0),1),2)</f>
        <v>9500</v>
      </c>
      <c r="Q565" s="13" t="str">
        <f>IFERROR(VLOOKUP(H565,Справочники!$D$6:$E$14,2,0),"НЕИЗВЕСТНО")</f>
        <v>Возврат</v>
      </c>
      <c r="R565" s="20">
        <f>IFERROR(INDEX(Товары_очищенные!$Q$3:$Q$503,MATCH(M565,Товары_очищенные!$L$3:$L$503,0)),"нет в каталоге")</f>
        <v>8800</v>
      </c>
      <c r="S565" s="21" t="str">
        <f>IFERROR(INDEX(Товары_очищенные!$N$3:$N$503,MATCH(M565,Товары_очищенные!$L$3:$L$503,0)),"нет в каталоге")</f>
        <v>Наушники</v>
      </c>
      <c r="T565" s="21" t="str">
        <f t="shared" si="232"/>
        <v>OK</v>
      </c>
      <c r="U565" s="12" t="str">
        <f t="shared" si="233"/>
        <v>23/10/2025|АРТ-303|C0563</v>
      </c>
      <c r="V565" s="12" t="str">
        <f t="shared" si="234"/>
        <v>оригинал</v>
      </c>
    </row>
    <row r="566" ht="15" customHeight="1">
      <c r="A566" s="10">
        <v>564</v>
      </c>
      <c r="B566" s="11" t="str">
        <f>RAW_Продажи!A565</f>
        <v>10/23/2025</v>
      </c>
      <c r="C566" s="11" t="str">
        <f>RAW_Продажи!B565</f>
        <v>256-24</v>
      </c>
      <c r="D566" s="11" t="str">
        <f>RAW_Продажи!C565</f>
        <v>2</v>
      </c>
      <c r="E566" s="11" t="str">
        <f>RAW_Продажи!D565</f>
        <v xml:space="preserve">8500 ₽</v>
      </c>
      <c r="F566" s="11" t="str">
        <f>RAW_Продажи!E565</f>
        <v>C0564</v>
      </c>
      <c r="G566" s="11" t="str">
        <f>RAW_Продажи!F565</f>
        <v>P041</v>
      </c>
      <c r="H566" s="11" t="str">
        <f>RAW_Продажи!G565</f>
        <v>завершен</v>
      </c>
      <c r="I566" s="12" t="str">
        <f t="shared" si="226"/>
        <v>256-24</v>
      </c>
      <c r="J566" s="12" t="str">
        <f t="shared" si="227"/>
        <v>₽</v>
      </c>
      <c r="K566" s="12">
        <f t="shared" si="228"/>
        <v>8500</v>
      </c>
      <c r="L566" s="19">
        <f t="shared" si="229"/>
        <v>45953</v>
      </c>
      <c r="M566" s="13" t="str">
        <f t="shared" si="230"/>
        <v>АРТ-256</v>
      </c>
      <c r="N566" s="13">
        <f t="shared" si="231"/>
        <v>2</v>
      </c>
      <c r="O566" s="13" t="str">
        <f>IFERROR(VLOOKUP(J566,Справочники!$G$6:$H$8,2,0),"RUB")</f>
        <v>RUB</v>
      </c>
      <c r="P566" s="14">
        <f>ROUND(K566*IFERROR(VLOOKUP(J566,Справочники!$G$6:$I$8,3,0),1),2)</f>
        <v>8500</v>
      </c>
      <c r="Q566" s="13" t="str">
        <f>IFERROR(VLOOKUP(H566,Справочники!$D$6:$E$14,2,0),"НЕИЗВЕСТНО")</f>
        <v>Завершен</v>
      </c>
      <c r="R566" s="20">
        <f>IFERROR(INDEX(Товары_очищенные!$Q$3:$Q$503,MATCH(M566,Товары_очищенные!$L$3:$L$503,0)),"нет в каталоге")</f>
        <v>37990</v>
      </c>
      <c r="S566" s="21" t="str">
        <f>IFERROR(INDEX(Товары_очищенные!$N$3:$N$503,MATCH(M566,Товары_очищенные!$L$3:$L$503,0)),"нет в каталоге")</f>
        <v>Смартфоны</v>
      </c>
      <c r="T566" s="21" t="str">
        <f t="shared" si="232"/>
        <v>OK</v>
      </c>
      <c r="U566" s="12" t="str">
        <f t="shared" si="233"/>
        <v>23/10/2025|АРТ-256|C0564</v>
      </c>
      <c r="V566" s="12" t="str">
        <f t="shared" si="234"/>
        <v>оригинал</v>
      </c>
    </row>
    <row r="567" ht="15" customHeight="1">
      <c r="A567" s="10">
        <v>565</v>
      </c>
      <c r="B567" s="11" t="str">
        <f>RAW_Продажи!A566</f>
        <v>10/24/2025</v>
      </c>
      <c r="C567" s="11" t="str">
        <f>RAW_Продажи!B566</f>
        <v>№АРТ-087</v>
      </c>
      <c r="D567" s="11" t="str">
        <f>RAW_Продажи!C566</f>
        <v>3</v>
      </c>
      <c r="E567" s="11" t="str">
        <f>RAW_Продажи!D566</f>
        <v>$105</v>
      </c>
      <c r="F567" s="11" t="str">
        <f>RAW_Продажи!E566</f>
        <v>C0565</v>
      </c>
      <c r="G567" s="11" t="str">
        <f>RAW_Продажи!F566</f>
        <v>P017</v>
      </c>
      <c r="H567" s="11" t="str">
        <f>RAW_Продажи!G566</f>
        <v>completed</v>
      </c>
      <c r="I567" s="12" t="str">
        <f t="shared" si="226"/>
        <v>087</v>
      </c>
      <c r="J567" s="12" t="str">
        <f t="shared" si="227"/>
        <v>$</v>
      </c>
      <c r="K567" s="12">
        <f t="shared" si="228"/>
        <v>105</v>
      </c>
      <c r="L567" s="19">
        <f t="shared" si="229"/>
        <v>45954</v>
      </c>
      <c r="M567" s="13" t="str">
        <f t="shared" si="230"/>
        <v>АРТ-087</v>
      </c>
      <c r="N567" s="13">
        <f t="shared" si="231"/>
        <v>3</v>
      </c>
      <c r="O567" s="13" t="str">
        <f>IFERROR(VLOOKUP(J567,Справочники!$G$6:$H$8,2,0),"RUB")</f>
        <v>USD</v>
      </c>
      <c r="P567" s="14">
        <f>ROUND(K567*IFERROR(VLOOKUP(J567,Справочники!$G$6:$I$8,3,0),1),2)</f>
        <v>9975</v>
      </c>
      <c r="Q567" s="13" t="str">
        <f>IFERROR(VLOOKUP(H567,Справочники!$D$6:$E$14,2,0),"НЕИЗВЕСТНО")</f>
        <v>Завершен</v>
      </c>
      <c r="R567" s="20">
        <f>IFERROR(INDEX(Товары_очищенные!$Q$3:$Q$503,MATCH(M567,Товары_очищенные!$L$3:$L$503,0)),"нет в каталоге")</f>
        <v>112000</v>
      </c>
      <c r="S567" s="21" t="str">
        <f>IFERROR(INDEX(Товары_очищенные!$N$3:$N$503,MATCH(M567,Товары_очищенные!$L$3:$L$503,0)),"нет в каталоге")</f>
        <v>Ноутбуки</v>
      </c>
      <c r="T567" s="21" t="str">
        <f t="shared" si="232"/>
        <v>OK</v>
      </c>
      <c r="U567" s="12" t="str">
        <f t="shared" si="233"/>
        <v>24/10/2025|АРТ-087|C0565</v>
      </c>
      <c r="V567" s="12" t="str">
        <f t="shared" si="234"/>
        <v>оригинал</v>
      </c>
    </row>
    <row r="568" ht="15" customHeight="1">
      <c r="A568" s="10">
        <v>566</v>
      </c>
      <c r="B568" s="11" t="str">
        <f>RAW_Продажи!A567</f>
        <v>10/24/2025</v>
      </c>
      <c r="C568" s="11" t="str">
        <f>RAW_Продажи!B567</f>
        <v>АРТ_422</v>
      </c>
      <c r="D568" s="11" t="str">
        <f>RAW_Продажи!C567</f>
        <v>2</v>
      </c>
      <c r="E568" s="11" t="str">
        <f>RAW_Продажи!D567</f>
        <v>€85</v>
      </c>
      <c r="F568" s="11" t="str">
        <f>RAW_Продажи!E567</f>
        <v>C0566</v>
      </c>
      <c r="G568" s="11" t="str">
        <f>RAW_Продажи!F567</f>
        <v>P032</v>
      </c>
      <c r="H568" s="11" t="str">
        <f>RAW_Продажи!G567</f>
        <v>Завершен</v>
      </c>
      <c r="I568" s="12" t="str">
        <f t="shared" si="226"/>
        <v>422</v>
      </c>
      <c r="J568" s="12" t="str">
        <f t="shared" si="227"/>
        <v>€</v>
      </c>
      <c r="K568" s="12">
        <f t="shared" si="228"/>
        <v>85</v>
      </c>
      <c r="L568" s="19">
        <f t="shared" si="229"/>
        <v>45954</v>
      </c>
      <c r="M568" s="13" t="str">
        <f t="shared" si="230"/>
        <v>АРТ-422</v>
      </c>
      <c r="N568" s="13">
        <f t="shared" si="231"/>
        <v>2</v>
      </c>
      <c r="O568" s="13" t="str">
        <f>IFERROR(VLOOKUP(J568,Справочники!$G$6:$H$8,2,0),"RUB")</f>
        <v>EUR</v>
      </c>
      <c r="P568" s="14">
        <f>ROUND(K568*IFERROR(VLOOKUP(J568,Справочники!$G$6:$I$8,3,0),1),2)</f>
        <v>8500</v>
      </c>
      <c r="Q568" s="13" t="str">
        <f>IFERROR(VLOOKUP(H568,Справочники!$D$6:$E$14,2,0),"НЕИЗВЕСТНО")</f>
        <v>Завершен</v>
      </c>
      <c r="R568" s="20">
        <f>IFERROR(INDEX(Товары_очищенные!$Q$3:$Q$503,MATCH(M568,Товары_очищенные!$L$3:$L$503,0)),"нет в каталоге")</f>
        <v>124000</v>
      </c>
      <c r="S568" s="21" t="str">
        <f>IFERROR(INDEX(Товары_очищенные!$N$3:$N$503,MATCH(M568,Товары_очищенные!$L$3:$L$503,0)),"нет в каталоге")</f>
        <v>Ноутбуки</v>
      </c>
      <c r="T568" s="21" t="str">
        <f t="shared" si="232"/>
        <v>OK</v>
      </c>
      <c r="U568" s="12" t="str">
        <f t="shared" si="233"/>
        <v>24/10/2025|АРТ-422|C0566</v>
      </c>
      <c r="V568" s="12" t="str">
        <f t="shared" si="234"/>
        <v>оригинал</v>
      </c>
    </row>
    <row r="569" ht="15" customHeight="1">
      <c r="A569" s="10">
        <v>567</v>
      </c>
      <c r="B569" s="11" t="str">
        <f>RAW_Продажи!A568</f>
        <v>10/25/2025</v>
      </c>
      <c r="C569" s="11" t="str">
        <f>RAW_Продажи!B568</f>
        <v>327/24</v>
      </c>
      <c r="D569" s="11" t="str">
        <f>RAW_Продажи!C568</f>
        <v xml:space="preserve">1 шт.</v>
      </c>
      <c r="E569" s="11" t="str">
        <f>RAW_Продажи!D568</f>
        <v xml:space="preserve">7800 ₽</v>
      </c>
      <c r="F569" s="11" t="str">
        <f>RAW_Продажи!E568</f>
        <v>C0567</v>
      </c>
      <c r="G569" s="11" t="str">
        <f>RAW_Продажи!F568</f>
        <v>P049</v>
      </c>
      <c r="H569" s="11" t="str">
        <f>RAW_Продажи!G568</f>
        <v>canceled</v>
      </c>
      <c r="I569" s="12" t="str">
        <f t="shared" si="226"/>
        <v>327/24</v>
      </c>
      <c r="J569" s="12" t="str">
        <f t="shared" si="227"/>
        <v>₽</v>
      </c>
      <c r="K569" s="12">
        <f t="shared" si="228"/>
        <v>7800</v>
      </c>
      <c r="L569" s="19">
        <f t="shared" si="229"/>
        <v>45955</v>
      </c>
      <c r="M569" s="13" t="str">
        <f t="shared" si="230"/>
        <v>АРТ-327</v>
      </c>
      <c r="N569" s="13">
        <f t="shared" si="231"/>
        <v>1</v>
      </c>
      <c r="O569" s="13" t="str">
        <f>IFERROR(VLOOKUP(J569,Справочники!$G$6:$H$8,2,0),"RUB")</f>
        <v>RUB</v>
      </c>
      <c r="P569" s="14">
        <f>ROUND(K569*IFERROR(VLOOKUP(J569,Справочники!$G$6:$I$8,3,0),1),2)</f>
        <v>7800</v>
      </c>
      <c r="Q569" s="13" t="str">
        <f>IFERROR(VLOOKUP(H569,Справочники!$D$6:$E$14,2,0),"НЕИЗВЕСТНО")</f>
        <v>Отменен</v>
      </c>
      <c r="R569" s="20">
        <f>IFERROR(INDEX(Товары_очищенные!$Q$3:$Q$503,MATCH(M569,Товары_очищенные!$L$3:$L$503,0)),"нет в каталоге")</f>
        <v>69000</v>
      </c>
      <c r="S569" s="21" t="str">
        <f>IFERROR(INDEX(Товары_очищенные!$N$3:$N$503,MATCH(M569,Товары_очищенные!$L$3:$L$503,0)),"нет в каталоге")</f>
        <v>Мониторы</v>
      </c>
      <c r="T569" s="21" t="str">
        <f t="shared" si="232"/>
        <v>OK</v>
      </c>
      <c r="U569" s="12" t="str">
        <f t="shared" si="233"/>
        <v>25/10/2025|АРТ-327|C0567</v>
      </c>
      <c r="V569" s="12" t="str">
        <f t="shared" si="234"/>
        <v>оригинал</v>
      </c>
    </row>
    <row r="570" ht="15" customHeight="1">
      <c r="A570" s="10">
        <v>568</v>
      </c>
      <c r="B570" s="11" t="str">
        <f>RAW_Продажи!A569</f>
        <v>10/25/2025</v>
      </c>
      <c r="C570" s="11" t="str">
        <f>RAW_Продажи!B569</f>
        <v>№АРТ-226</v>
      </c>
      <c r="D570" s="11" t="str">
        <f>RAW_Продажи!C569</f>
        <v>-3</v>
      </c>
      <c r="E570" s="11" t="str">
        <f>RAW_Продажи!D569</f>
        <v>$120</v>
      </c>
      <c r="F570" s="11" t="str">
        <f>RAW_Продажи!E569</f>
        <v>C0568</v>
      </c>
      <c r="G570" s="11" t="str">
        <f>RAW_Продажи!F569</f>
        <v>P006</v>
      </c>
      <c r="H570" s="11" t="str">
        <f>RAW_Продажи!G569</f>
        <v>отменен</v>
      </c>
      <c r="I570" s="12" t="str">
        <f t="shared" si="226"/>
        <v>226</v>
      </c>
      <c r="J570" s="12" t="str">
        <f t="shared" si="227"/>
        <v>$</v>
      </c>
      <c r="K570" s="12">
        <f t="shared" si="228"/>
        <v>120</v>
      </c>
      <c r="L570" s="19">
        <f t="shared" si="229"/>
        <v>45955</v>
      </c>
      <c r="M570" s="13" t="str">
        <f t="shared" si="230"/>
        <v>АРТ-226</v>
      </c>
      <c r="N570" s="13">
        <f t="shared" si="231"/>
        <v>-3</v>
      </c>
      <c r="O570" s="13" t="str">
        <f>IFERROR(VLOOKUP(J570,Справочники!$G$6:$H$8,2,0),"RUB")</f>
        <v>USD</v>
      </c>
      <c r="P570" s="14">
        <f>ROUND(K570*IFERROR(VLOOKUP(J570,Справочники!$G$6:$I$8,3,0),1),2)</f>
        <v>11400</v>
      </c>
      <c r="Q570" s="13" t="str">
        <f>IFERROR(VLOOKUP(H570,Справочники!$D$6:$E$14,2,0),"НЕИЗВЕСТНО")</f>
        <v>Отменен</v>
      </c>
      <c r="R570" s="20">
        <f>IFERROR(INDEX(Товары_очищенные!$Q$3:$Q$503,MATCH(M570,Товары_очищенные!$L$3:$L$503,0)),"нет в каталоге")</f>
        <v>5990</v>
      </c>
      <c r="S570" s="21" t="str">
        <f>IFERROR(INDEX(Товары_очищенные!$N$3:$N$503,MATCH(M570,Товары_очищенные!$L$3:$L$503,0)),"нет в каталоге")</f>
        <v>Аксессуары</v>
      </c>
      <c r="T570" s="21" t="str">
        <f t="shared" si="232"/>
        <v xml:space="preserve">Цена выше розницы</v>
      </c>
      <c r="U570" s="12" t="str">
        <f t="shared" si="233"/>
        <v>25/10/2025|АРТ-226|C0568</v>
      </c>
      <c r="V570" s="12" t="str">
        <f t="shared" si="234"/>
        <v>оригинал</v>
      </c>
    </row>
    <row r="571" ht="15" customHeight="1">
      <c r="A571" s="10">
        <v>569</v>
      </c>
      <c r="B571" s="11" t="str">
        <f>RAW_Продажи!A570</f>
        <v>10/26/2025</v>
      </c>
      <c r="C571" s="11" t="str">
        <f>RAW_Продажи!B570</f>
        <v>АРТ_396</v>
      </c>
      <c r="D571" s="11" t="str">
        <f>RAW_Продажи!C570</f>
        <v>2</v>
      </c>
      <c r="E571" s="11" t="str">
        <f>RAW_Продажи!D570</f>
        <v>€100</v>
      </c>
      <c r="F571" s="11" t="str">
        <f>RAW_Продажи!E570</f>
        <v>C0569</v>
      </c>
      <c r="G571" s="11" t="str">
        <f>RAW_Продажи!F570</f>
        <v>P024</v>
      </c>
      <c r="H571" s="11" t="str">
        <f>RAW_Продажи!G570</f>
        <v>возврат</v>
      </c>
      <c r="I571" s="12" t="str">
        <f t="shared" si="226"/>
        <v>396</v>
      </c>
      <c r="J571" s="12" t="str">
        <f t="shared" si="227"/>
        <v>€</v>
      </c>
      <c r="K571" s="12">
        <f t="shared" si="228"/>
        <v>100</v>
      </c>
      <c r="L571" s="19">
        <f t="shared" si="229"/>
        <v>45956</v>
      </c>
      <c r="M571" s="13" t="str">
        <f t="shared" si="230"/>
        <v>АРТ-396</v>
      </c>
      <c r="N571" s="13">
        <f t="shared" si="231"/>
        <v>2</v>
      </c>
      <c r="O571" s="13" t="str">
        <f>IFERROR(VLOOKUP(J571,Справочники!$G$6:$H$8,2,0),"RUB")</f>
        <v>EUR</v>
      </c>
      <c r="P571" s="14">
        <f>ROUND(K571*IFERROR(VLOOKUP(J571,Справочники!$G$6:$I$8,3,0),1),2)</f>
        <v>10000</v>
      </c>
      <c r="Q571" s="13" t="str">
        <f>IFERROR(VLOOKUP(H571,Справочники!$D$6:$E$14,2,0),"НЕИЗВЕСТНО")</f>
        <v>Возврат</v>
      </c>
      <c r="R571" s="20">
        <f>IFERROR(INDEX(Товары_очищенные!$Q$3:$Q$503,MATCH(M571,Товары_очищенные!$L$3:$L$503,0)),"нет в каталоге")</f>
        <v>67000</v>
      </c>
      <c r="S571" s="21" t="str">
        <f>IFERROR(INDEX(Товары_очищенные!$N$3:$N$503,MATCH(M571,Товары_очищенные!$L$3:$L$503,0)),"нет в каталоге")</f>
        <v>Мониторы</v>
      </c>
      <c r="T571" s="21" t="str">
        <f t="shared" si="232"/>
        <v>OK</v>
      </c>
      <c r="U571" s="12" t="str">
        <f t="shared" si="233"/>
        <v>26/10/2025|АРТ-396|C0569</v>
      </c>
      <c r="V571" s="12" t="str">
        <f t="shared" si="234"/>
        <v>оригинал</v>
      </c>
    </row>
    <row r="572" ht="15" customHeight="1">
      <c r="A572" s="10">
        <v>570</v>
      </c>
      <c r="B572" s="11" t="str">
        <f>RAW_Продажи!A571</f>
        <v>10/26/2025</v>
      </c>
      <c r="C572" s="11" t="str">
        <f>RAW_Продажи!B571</f>
        <v>253-24</v>
      </c>
      <c r="D572" s="11" t="str">
        <f>RAW_Продажи!C571</f>
        <v>1</v>
      </c>
      <c r="E572" s="11" t="str">
        <f>RAW_Продажи!D571</f>
        <v xml:space="preserve">9200 ₽</v>
      </c>
      <c r="F572" s="11" t="str">
        <f>RAW_Продажи!E571</f>
        <v>C0570</v>
      </c>
      <c r="G572" s="11" t="str">
        <f>RAW_Продажи!F571</f>
        <v>P015</v>
      </c>
      <c r="H572" s="11" t="str">
        <f>RAW_Продажи!G571</f>
        <v>Завершен</v>
      </c>
      <c r="I572" s="12" t="str">
        <f t="shared" si="226"/>
        <v>253-24</v>
      </c>
      <c r="J572" s="12" t="str">
        <f t="shared" si="227"/>
        <v>₽</v>
      </c>
      <c r="K572" s="12">
        <f t="shared" si="228"/>
        <v>9200</v>
      </c>
      <c r="L572" s="19">
        <f t="shared" si="229"/>
        <v>45956</v>
      </c>
      <c r="M572" s="13" t="str">
        <f t="shared" si="230"/>
        <v>АРТ-253</v>
      </c>
      <c r="N572" s="13">
        <f t="shared" si="231"/>
        <v>1</v>
      </c>
      <c r="O572" s="13" t="str">
        <f>IFERROR(VLOOKUP(J572,Справочники!$G$6:$H$8,2,0),"RUB")</f>
        <v>RUB</v>
      </c>
      <c r="P572" s="14">
        <f>ROUND(K572*IFERROR(VLOOKUP(J572,Справочники!$G$6:$I$8,3,0),1),2)</f>
        <v>9200</v>
      </c>
      <c r="Q572" s="13" t="str">
        <f>IFERROR(VLOOKUP(H572,Справочники!$D$6:$E$14,2,0),"НЕИЗВЕСТНО")</f>
        <v>Завершен</v>
      </c>
      <c r="R572" s="20">
        <f>IFERROR(INDEX(Товары_очищенные!$Q$3:$Q$503,MATCH(M572,Товары_очищенные!$L$3:$L$503,0)),"нет в каталоге")</f>
        <v>159990</v>
      </c>
      <c r="S572" s="21" t="str">
        <f>IFERROR(INDEX(Товары_очищенные!$N$3:$N$503,MATCH(M572,Товары_очищенные!$L$3:$L$503,0)),"нет в каталоге")</f>
        <v>Ноутбуки</v>
      </c>
      <c r="T572" s="21" t="str">
        <f t="shared" si="232"/>
        <v>OK</v>
      </c>
      <c r="U572" s="12" t="str">
        <f t="shared" si="233"/>
        <v>26/10/2025|АРТ-253|C0570</v>
      </c>
      <c r="V572" s="12" t="str">
        <f t="shared" si="234"/>
        <v>оригинал</v>
      </c>
    </row>
    <row r="573" ht="15" customHeight="1">
      <c r="A573" s="10">
        <v>571</v>
      </c>
      <c r="B573" s="11" t="str">
        <f>RAW_Продажи!A572</f>
        <v>10/27/2025</v>
      </c>
      <c r="C573" s="11" t="str">
        <f>RAW_Продажи!B572</f>
        <v>№АРТ-061</v>
      </c>
      <c r="D573" s="11" t="str">
        <f>RAW_Продажи!C572</f>
        <v>3</v>
      </c>
      <c r="E573" s="11" t="str">
        <f>RAW_Продажи!D572</f>
        <v>$90</v>
      </c>
      <c r="F573" s="11" t="str">
        <f>RAW_Продажи!E572</f>
        <v>C0571</v>
      </c>
      <c r="G573" s="11" t="str">
        <f>RAW_Продажи!F572</f>
        <v>P037</v>
      </c>
      <c r="H573" s="11" t="str">
        <f>RAW_Продажи!G572</f>
        <v>завершен</v>
      </c>
      <c r="I573" s="12" t="str">
        <f t="shared" si="226"/>
        <v>061</v>
      </c>
      <c r="J573" s="12" t="str">
        <f t="shared" si="227"/>
        <v>$</v>
      </c>
      <c r="K573" s="12">
        <f t="shared" si="228"/>
        <v>90</v>
      </c>
      <c r="L573" s="19">
        <f t="shared" si="229"/>
        <v>45957</v>
      </c>
      <c r="M573" s="13" t="str">
        <f t="shared" si="230"/>
        <v>АРТ-061</v>
      </c>
      <c r="N573" s="13">
        <f t="shared" si="231"/>
        <v>3</v>
      </c>
      <c r="O573" s="13" t="str">
        <f>IFERROR(VLOOKUP(J573,Справочники!$G$6:$H$8,2,0),"RUB")</f>
        <v>USD</v>
      </c>
      <c r="P573" s="14">
        <f>ROUND(K573*IFERROR(VLOOKUP(J573,Справочники!$G$6:$I$8,3,0),1),2)</f>
        <v>8550</v>
      </c>
      <c r="Q573" s="13" t="str">
        <f>IFERROR(VLOOKUP(H573,Справочники!$D$6:$E$14,2,0),"НЕИЗВЕСТНО")</f>
        <v>Завершен</v>
      </c>
      <c r="R573" s="20">
        <f>IFERROR(INDEX(Товары_очищенные!$Q$3:$Q$503,MATCH(M573,Товары_очищенные!$L$3:$L$503,0)),"нет в каталоге")</f>
        <v>124999</v>
      </c>
      <c r="S573" s="21" t="str">
        <f>IFERROR(INDEX(Товары_очищенные!$N$3:$N$503,MATCH(M573,Товары_очищенные!$L$3:$L$503,0)),"нет в каталоге")</f>
        <v>Ноутбуки</v>
      </c>
      <c r="T573" s="21" t="str">
        <f t="shared" si="232"/>
        <v>OK</v>
      </c>
      <c r="U573" s="12" t="str">
        <f t="shared" si="233"/>
        <v>27/10/2025|АРТ-061|C0571</v>
      </c>
      <c r="V573" s="12" t="str">
        <f t="shared" si="234"/>
        <v>оригинал</v>
      </c>
    </row>
    <row r="574" ht="15" customHeight="1">
      <c r="A574" s="10">
        <v>572</v>
      </c>
      <c r="B574" s="11" t="str">
        <f>RAW_Продажи!A573</f>
        <v>10/27/2025</v>
      </c>
      <c r="C574" s="11" t="str">
        <f>RAW_Продажи!B573</f>
        <v>АРТ_484</v>
      </c>
      <c r="D574" s="11" t="str">
        <f>RAW_Продажи!C573</f>
        <v>2</v>
      </c>
      <c r="E574" s="11" t="str">
        <f>RAW_Продажи!D573</f>
        <v>€70</v>
      </c>
      <c r="F574" s="11" t="str">
        <f>RAW_Продажи!E573</f>
        <v>C0572</v>
      </c>
      <c r="G574" s="11" t="str">
        <f>RAW_Продажи!F573</f>
        <v>P048</v>
      </c>
      <c r="H574" s="11" t="str">
        <f>RAW_Продажи!G573</f>
        <v>completed</v>
      </c>
      <c r="I574" s="12" t="str">
        <f t="shared" si="226"/>
        <v>484</v>
      </c>
      <c r="J574" s="12" t="str">
        <f t="shared" si="227"/>
        <v>€</v>
      </c>
      <c r="K574" s="12">
        <f t="shared" si="228"/>
        <v>70</v>
      </c>
      <c r="L574" s="19">
        <f t="shared" si="229"/>
        <v>45957</v>
      </c>
      <c r="M574" s="13" t="str">
        <f t="shared" si="230"/>
        <v>АРТ-484</v>
      </c>
      <c r="N574" s="13">
        <f t="shared" si="231"/>
        <v>2</v>
      </c>
      <c r="O574" s="13" t="str">
        <f>IFERROR(VLOOKUP(J574,Справочники!$G$6:$H$8,2,0),"RUB")</f>
        <v>EUR</v>
      </c>
      <c r="P574" s="14">
        <f>ROUND(K574*IFERROR(VLOOKUP(J574,Справочники!$G$6:$I$8,3,0),1),2)</f>
        <v>7000</v>
      </c>
      <c r="Q574" s="13" t="str">
        <f>IFERROR(VLOOKUP(H574,Справочники!$D$6:$E$14,2,0),"НЕИЗВЕСТНО")</f>
        <v>Завершен</v>
      </c>
      <c r="R574" s="20">
        <f>IFERROR(INDEX(Товары_очищенные!$Q$3:$Q$503,MATCH(M574,Товары_очищенные!$L$3:$L$503,0)),"нет в каталоге")</f>
        <v>33990</v>
      </c>
      <c r="S574" s="21" t="str">
        <f>IFERROR(INDEX(Товары_очищенные!$N$3:$N$503,MATCH(M574,Товары_очищенные!$L$3:$L$503,0)),"нет в каталоге")</f>
        <v>Смартфоны</v>
      </c>
      <c r="T574" s="21" t="str">
        <f t="shared" si="232"/>
        <v>OK</v>
      </c>
      <c r="U574" s="12" t="str">
        <f t="shared" si="233"/>
        <v>27/10/2025|АРТ-484|C0572</v>
      </c>
      <c r="V574" s="12" t="str">
        <f t="shared" si="234"/>
        <v>оригинал</v>
      </c>
    </row>
    <row r="575" ht="15" customHeight="1">
      <c r="A575" s="10">
        <v>573</v>
      </c>
      <c r="B575" s="11" t="str">
        <f>RAW_Продажи!A574</f>
        <v>10/28/2025</v>
      </c>
      <c r="C575" s="11" t="str">
        <f>RAW_Продажи!B574</f>
        <v>389/24</v>
      </c>
      <c r="D575" s="11" t="str">
        <f>RAW_Продажи!C574</f>
        <v xml:space="preserve">1 шт.</v>
      </c>
      <c r="E575" s="11" t="str">
        <f>RAW_Продажи!D574</f>
        <v xml:space="preserve">6500 ₽</v>
      </c>
      <c r="F575" s="11" t="str">
        <f>RAW_Продажи!E574</f>
        <v>C0573</v>
      </c>
      <c r="G575" s="11" t="str">
        <f>RAW_Продажи!F574</f>
        <v>P004</v>
      </c>
      <c r="H575" s="11" t="str">
        <f>RAW_Продажи!G574</f>
        <v>отменен</v>
      </c>
      <c r="I575" s="12" t="str">
        <f t="shared" si="226"/>
        <v>389/24</v>
      </c>
      <c r="J575" s="12" t="str">
        <f t="shared" si="227"/>
        <v>₽</v>
      </c>
      <c r="K575" s="12">
        <f t="shared" si="228"/>
        <v>6500</v>
      </c>
      <c r="L575" s="19">
        <f t="shared" si="229"/>
        <v>45958</v>
      </c>
      <c r="M575" s="13" t="str">
        <f t="shared" si="230"/>
        <v>АРТ-389</v>
      </c>
      <c r="N575" s="13">
        <f t="shared" si="231"/>
        <v>1</v>
      </c>
      <c r="O575" s="13" t="str">
        <f>IFERROR(VLOOKUP(J575,Справочники!$G$6:$H$8,2,0),"RUB")</f>
        <v>RUB</v>
      </c>
      <c r="P575" s="14">
        <f>ROUND(K575*IFERROR(VLOOKUP(J575,Справочники!$G$6:$I$8,3,0),1),2)</f>
        <v>6500</v>
      </c>
      <c r="Q575" s="13" t="str">
        <f>IFERROR(VLOOKUP(H575,Справочники!$D$6:$E$14,2,0),"НЕИЗВЕСТНО")</f>
        <v>Отменен</v>
      </c>
      <c r="R575" s="20">
        <f>IFERROR(INDEX(Товары_очищенные!$Q$3:$Q$503,MATCH(M575,Товары_очищенные!$L$3:$L$503,0)),"нет в каталоге")</f>
        <v>75000</v>
      </c>
      <c r="S575" s="21" t="str">
        <f>IFERROR(INDEX(Товары_очищенные!$N$3:$N$503,MATCH(M575,Товары_очищенные!$L$3:$L$503,0)),"нет в каталоге")</f>
        <v>Телевизоры</v>
      </c>
      <c r="T575" s="21" t="str">
        <f t="shared" si="232"/>
        <v>OK</v>
      </c>
      <c r="U575" s="12" t="str">
        <f t="shared" si="233"/>
        <v>28/10/2025|АРТ-389|C0573</v>
      </c>
      <c r="V575" s="12" t="str">
        <f t="shared" si="234"/>
        <v>оригинал</v>
      </c>
    </row>
    <row r="576" ht="15" customHeight="1">
      <c r="A576" s="10">
        <v>574</v>
      </c>
      <c r="B576" s="11" t="str">
        <f>RAW_Продажи!A575</f>
        <v>10/28/2025</v>
      </c>
      <c r="C576" s="11" t="str">
        <f>RAW_Продажи!B575</f>
        <v>№АРТ-280</v>
      </c>
      <c r="D576" s="11" t="str">
        <f>RAW_Продажи!C575</f>
        <v>-1</v>
      </c>
      <c r="E576" s="11" t="str">
        <f>RAW_Продажи!D575</f>
        <v>$110</v>
      </c>
      <c r="F576" s="11" t="str">
        <f>RAW_Продажи!E575</f>
        <v>C0574</v>
      </c>
      <c r="G576" s="11" t="str">
        <f>RAW_Продажи!F575</f>
        <v>P026</v>
      </c>
      <c r="H576" s="11" t="str">
        <f>RAW_Продажи!G575</f>
        <v>canceled</v>
      </c>
      <c r="I576" s="12" t="str">
        <f t="shared" si="226"/>
        <v>280</v>
      </c>
      <c r="J576" s="12" t="str">
        <f t="shared" si="227"/>
        <v>$</v>
      </c>
      <c r="K576" s="12">
        <f t="shared" si="228"/>
        <v>110</v>
      </c>
      <c r="L576" s="19">
        <f t="shared" si="229"/>
        <v>45958</v>
      </c>
      <c r="M576" s="13" t="str">
        <f t="shared" si="230"/>
        <v>АРТ-280</v>
      </c>
      <c r="N576" s="13">
        <f t="shared" si="231"/>
        <v>-1</v>
      </c>
      <c r="O576" s="13" t="str">
        <f>IFERROR(VLOOKUP(J576,Справочники!$G$6:$H$8,2,0),"RUB")</f>
        <v>USD</v>
      </c>
      <c r="P576" s="14">
        <f>ROUND(K576*IFERROR(VLOOKUP(J576,Справочники!$G$6:$I$8,3,0),1),2)</f>
        <v>10450</v>
      </c>
      <c r="Q576" s="13" t="str">
        <f>IFERROR(VLOOKUP(H576,Справочники!$D$6:$E$14,2,0),"НЕИЗВЕСТНО")</f>
        <v>Отменен</v>
      </c>
      <c r="R576" s="20">
        <f>IFERROR(INDEX(Товары_очищенные!$Q$3:$Q$503,MATCH(M576,Товары_очищенные!$L$3:$L$503,0)),"нет в каталоге")</f>
        <v>32990</v>
      </c>
      <c r="S576" s="21" t="str">
        <f>IFERROR(INDEX(Товары_очищенные!$N$3:$N$503,MATCH(M576,Товары_очищенные!$L$3:$L$503,0)),"нет в каталоге")</f>
        <v>Наушники</v>
      </c>
      <c r="T576" s="21" t="str">
        <f t="shared" si="232"/>
        <v>OK</v>
      </c>
      <c r="U576" s="12" t="str">
        <f t="shared" si="233"/>
        <v>28/10/2025|АРТ-280|C0574</v>
      </c>
      <c r="V576" s="12" t="str">
        <f t="shared" si="234"/>
        <v>оригинал</v>
      </c>
    </row>
    <row r="577" ht="15" customHeight="1">
      <c r="A577" s="10">
        <v>575</v>
      </c>
      <c r="B577" s="11" t="str">
        <f>RAW_Продажи!A576</f>
        <v>10/29/2025</v>
      </c>
      <c r="C577" s="11" t="str">
        <f>RAW_Продажи!B576</f>
        <v>АРТ_348</v>
      </c>
      <c r="D577" s="11" t="str">
        <f>RAW_Продажи!C576</f>
        <v>3</v>
      </c>
      <c r="E577" s="11" t="str">
        <f>RAW_Продажи!D576</f>
        <v>€90</v>
      </c>
      <c r="F577" s="11" t="str">
        <f>RAW_Продажи!E576</f>
        <v>C0575</v>
      </c>
      <c r="G577" s="11" t="str">
        <f>RAW_Продажи!F576</f>
        <v>P013</v>
      </c>
      <c r="H577" s="11" t="str">
        <f>RAW_Продажи!G576</f>
        <v>Завершен</v>
      </c>
      <c r="I577" s="12" t="str">
        <f t="shared" si="226"/>
        <v>348</v>
      </c>
      <c r="J577" s="12" t="str">
        <f t="shared" si="227"/>
        <v>€</v>
      </c>
      <c r="K577" s="12">
        <f t="shared" si="228"/>
        <v>90</v>
      </c>
      <c r="L577" s="19">
        <f t="shared" si="229"/>
        <v>45959</v>
      </c>
      <c r="M577" s="13" t="str">
        <f t="shared" si="230"/>
        <v>АРТ-348</v>
      </c>
      <c r="N577" s="13">
        <f t="shared" si="231"/>
        <v>3</v>
      </c>
      <c r="O577" s="13" t="str">
        <f>IFERROR(VLOOKUP(J577,Справочники!$G$6:$H$8,2,0),"RUB")</f>
        <v>EUR</v>
      </c>
      <c r="P577" s="14">
        <f>ROUND(K577*IFERROR(VLOOKUP(J577,Справочники!$G$6:$I$8,3,0),1),2)</f>
        <v>9000</v>
      </c>
      <c r="Q577" s="13" t="str">
        <f>IFERROR(VLOOKUP(H577,Справочники!$D$6:$E$14,2,0),"НЕИЗВЕСТНО")</f>
        <v>Завершен</v>
      </c>
      <c r="R577" s="20">
        <f>IFERROR(INDEX(Товары_очищенные!$Q$3:$Q$503,MATCH(M577,Товары_очищенные!$L$3:$L$503,0)),"нет в каталоге")</f>
        <v>20800</v>
      </c>
      <c r="S577" s="21" t="str">
        <f>IFERROR(INDEX(Товары_очищенные!$N$3:$N$503,MATCH(M577,Товары_очищенные!$L$3:$L$503,0)),"нет в каталоге")</f>
        <v>Наушники</v>
      </c>
      <c r="T577" s="21" t="str">
        <f t="shared" si="232"/>
        <v>OK</v>
      </c>
      <c r="U577" s="12" t="str">
        <f t="shared" si="233"/>
        <v>29/10/2025|АРТ-348|C0575</v>
      </c>
      <c r="V577" s="12" t="str">
        <f t="shared" si="234"/>
        <v>оригинал</v>
      </c>
    </row>
    <row r="578" ht="15" customHeight="1">
      <c r="A578" s="10">
        <v>576</v>
      </c>
      <c r="B578" s="11" t="str">
        <f>RAW_Продажи!A577</f>
        <v>10/29/2025</v>
      </c>
      <c r="C578" s="11" t="str">
        <f>RAW_Продажи!B577</f>
        <v>141-24</v>
      </c>
      <c r="D578" s="11" t="str">
        <f>RAW_Продажи!C577</f>
        <v>2</v>
      </c>
      <c r="E578" s="11" t="str">
        <f>RAW_Продажи!D577</f>
        <v xml:space="preserve">8000 ₽</v>
      </c>
      <c r="F578" s="11" t="str">
        <f>RAW_Продажи!E577</f>
        <v>C0576</v>
      </c>
      <c r="G578" s="11" t="str">
        <f>RAW_Продажи!F577</f>
        <v>P034</v>
      </c>
      <c r="H578" s="11" t="str">
        <f>RAW_Продажи!G577</f>
        <v>возврат</v>
      </c>
      <c r="I578" s="12" t="str">
        <f t="shared" si="226"/>
        <v>141-24</v>
      </c>
      <c r="J578" s="12" t="str">
        <f t="shared" si="227"/>
        <v>₽</v>
      </c>
      <c r="K578" s="12">
        <f t="shared" si="228"/>
        <v>8000</v>
      </c>
      <c r="L578" s="19">
        <f t="shared" si="229"/>
        <v>45959</v>
      </c>
      <c r="M578" s="13" t="str">
        <f t="shared" si="230"/>
        <v>АРТ-141</v>
      </c>
      <c r="N578" s="13">
        <f t="shared" si="231"/>
        <v>2</v>
      </c>
      <c r="O578" s="13" t="str">
        <f>IFERROR(VLOOKUP(J578,Справочники!$G$6:$H$8,2,0),"RUB")</f>
        <v>RUB</v>
      </c>
      <c r="P578" s="14">
        <f>ROUND(K578*IFERROR(VLOOKUP(J578,Справочники!$G$6:$I$8,3,0),1),2)</f>
        <v>8000</v>
      </c>
      <c r="Q578" s="13" t="str">
        <f>IFERROR(VLOOKUP(H578,Справочники!$D$6:$E$14,2,0),"НЕИЗВЕСТНО")</f>
        <v>Возврат</v>
      </c>
      <c r="R578" s="20">
        <f>IFERROR(INDEX(Товары_очищенные!$Q$3:$Q$503,MATCH(M578,Товары_очищенные!$L$3:$L$503,0)),"нет в каталоге")</f>
        <v>92500</v>
      </c>
      <c r="S578" s="21" t="str">
        <f>IFERROR(INDEX(Товары_очищенные!$N$3:$N$503,MATCH(M578,Товары_очищенные!$L$3:$L$503,0)),"нет в каталоге")</f>
        <v>Мониторы</v>
      </c>
      <c r="T578" s="21" t="str">
        <f t="shared" si="232"/>
        <v>OK</v>
      </c>
      <c r="U578" s="12" t="str">
        <f t="shared" si="233"/>
        <v>29/10/2025|АРТ-141|C0576</v>
      </c>
      <c r="V578" s="12" t="str">
        <f t="shared" si="234"/>
        <v>оригинал</v>
      </c>
    </row>
    <row r="579" ht="15" customHeight="1">
      <c r="A579" s="10">
        <v>577</v>
      </c>
      <c r="B579" s="11" t="str">
        <f>RAW_Продажи!A578</f>
        <v>10/30/2025</v>
      </c>
      <c r="C579" s="11" t="str">
        <f>RAW_Продажи!B578</f>
        <v>№АРТ-045</v>
      </c>
      <c r="D579" s="11" t="str">
        <f>RAW_Продажи!C578</f>
        <v>1</v>
      </c>
      <c r="E579" s="11" t="str">
        <f>RAW_Продажи!D578</f>
        <v>$95</v>
      </c>
      <c r="F579" s="11" t="str">
        <f>RAW_Продажи!E578</f>
        <v>C0577</v>
      </c>
      <c r="G579" s="11" t="str">
        <f>RAW_Продажи!F578</f>
        <v>P044</v>
      </c>
      <c r="H579" s="11" t="str">
        <f>RAW_Продажи!G578</f>
        <v>завершен</v>
      </c>
      <c r="I579" s="12" t="str">
        <f t="shared" si="226"/>
        <v>045</v>
      </c>
      <c r="J579" s="12" t="str">
        <f t="shared" si="227"/>
        <v>$</v>
      </c>
      <c r="K579" s="12">
        <f t="shared" si="228"/>
        <v>95</v>
      </c>
      <c r="L579" s="19">
        <f t="shared" si="229"/>
        <v>45960</v>
      </c>
      <c r="M579" s="13" t="str">
        <f t="shared" si="230"/>
        <v>АРТ-045</v>
      </c>
      <c r="N579" s="13">
        <f t="shared" si="231"/>
        <v>1</v>
      </c>
      <c r="O579" s="13" t="str">
        <f>IFERROR(VLOOKUP(J579,Справочники!$G$6:$H$8,2,0),"RUB")</f>
        <v>USD</v>
      </c>
      <c r="P579" s="14">
        <f>ROUND(K579*IFERROR(VLOOKUP(J579,Справочники!$G$6:$I$8,3,0),1),2)</f>
        <v>9025</v>
      </c>
      <c r="Q579" s="13" t="str">
        <f>IFERROR(VLOOKUP(H579,Справочники!$D$6:$E$14,2,0),"НЕИЗВЕСТНО")</f>
        <v>Завершен</v>
      </c>
      <c r="R579" s="20">
        <f>IFERROR(INDEX(Товары_очищенные!$Q$3:$Q$503,MATCH(M579,Товары_очищенные!$L$3:$L$503,0)),"нет в каталоге")</f>
        <v>137000</v>
      </c>
      <c r="S579" s="21" t="str">
        <f>IFERROR(INDEX(Товары_очищенные!$N$3:$N$503,MATCH(M579,Товары_очищенные!$L$3:$L$503,0)),"нет в каталоге")</f>
        <v>Телевизоры</v>
      </c>
      <c r="T579" s="21" t="str">
        <f t="shared" si="232"/>
        <v>OK</v>
      </c>
      <c r="U579" s="12" t="str">
        <f t="shared" si="233"/>
        <v>30/10/2025|АРТ-045|C0577</v>
      </c>
      <c r="V579" s="12" t="str">
        <f t="shared" si="234"/>
        <v>оригинал</v>
      </c>
    </row>
    <row r="580" ht="15" customHeight="1">
      <c r="A580" s="10">
        <v>578</v>
      </c>
      <c r="B580" s="11" t="str">
        <f>RAW_Продажи!A579</f>
        <v>10/30/2025</v>
      </c>
      <c r="C580" s="11" t="str">
        <f>RAW_Продажи!B579</f>
        <v>АРТ_475</v>
      </c>
      <c r="D580" s="11" t="str">
        <f>RAW_Продажи!C579</f>
        <v>2</v>
      </c>
      <c r="E580" s="11" t="str">
        <f>RAW_Продажи!D579</f>
        <v>€75</v>
      </c>
      <c r="F580" s="11" t="str">
        <f>RAW_Продажи!E579</f>
        <v>C0578</v>
      </c>
      <c r="G580" s="11" t="str">
        <f>RAW_Продажи!F579</f>
        <v>P001</v>
      </c>
      <c r="H580" s="11" t="str">
        <f>RAW_Продажи!G579</f>
        <v>completed</v>
      </c>
      <c r="I580" s="12" t="str">
        <f t="shared" si="226"/>
        <v>475</v>
      </c>
      <c r="J580" s="12" t="str">
        <f t="shared" si="227"/>
        <v>€</v>
      </c>
      <c r="K580" s="12">
        <f t="shared" si="228"/>
        <v>75</v>
      </c>
      <c r="L580" s="19">
        <f t="shared" si="229"/>
        <v>45960</v>
      </c>
      <c r="M580" s="13" t="str">
        <f t="shared" si="230"/>
        <v>АРТ-475</v>
      </c>
      <c r="N580" s="13">
        <f t="shared" si="231"/>
        <v>2</v>
      </c>
      <c r="O580" s="13" t="str">
        <f>IFERROR(VLOOKUP(J580,Справочники!$G$6:$H$8,2,0),"RUB")</f>
        <v>EUR</v>
      </c>
      <c r="P580" s="14">
        <f>ROUND(K580*IFERROR(VLOOKUP(J580,Справочники!$G$6:$I$8,3,0),1),2)</f>
        <v>7500</v>
      </c>
      <c r="Q580" s="13" t="str">
        <f>IFERROR(VLOOKUP(H580,Справочники!$D$6:$E$14,2,0),"НЕИЗВЕСТНО")</f>
        <v>Завершен</v>
      </c>
      <c r="R580" s="20">
        <f>IFERROR(INDEX(Товары_очищенные!$Q$3:$Q$503,MATCH(M580,Товары_очищенные!$L$3:$L$503,0)),"нет в каталоге")</f>
        <v>52990</v>
      </c>
      <c r="S580" s="21" t="str">
        <f>IFERROR(INDEX(Товары_очищенные!$N$3:$N$503,MATCH(M580,Товары_очищенные!$L$3:$L$503,0)),"нет в каталоге")</f>
        <v>Мониторы</v>
      </c>
      <c r="T580" s="21" t="str">
        <f t="shared" si="232"/>
        <v>OK</v>
      </c>
      <c r="U580" s="12" t="str">
        <f t="shared" si="233"/>
        <v>30/10/2025|АРТ-475|C0578</v>
      </c>
      <c r="V580" s="12" t="str">
        <f t="shared" si="234"/>
        <v>оригинал</v>
      </c>
    </row>
    <row r="581" ht="15" customHeight="1">
      <c r="A581" s="10">
        <v>579</v>
      </c>
      <c r="B581" s="11" t="str">
        <f>RAW_Продажи!A580</f>
        <v>10/31/2025</v>
      </c>
      <c r="C581" s="11" t="str">
        <f>RAW_Продажи!B580</f>
        <v>352/24</v>
      </c>
      <c r="D581" s="11" t="str">
        <f>RAW_Продажи!C580</f>
        <v xml:space="preserve">3 шт.</v>
      </c>
      <c r="E581" s="11" t="str">
        <f>RAW_Продажи!D580</f>
        <v xml:space="preserve">7000 ₽</v>
      </c>
      <c r="F581" s="11" t="str">
        <f>RAW_Продажи!E580</f>
        <v>C0579</v>
      </c>
      <c r="G581" s="11" t="str">
        <f>RAW_Продажи!F580</f>
        <v>P021</v>
      </c>
      <c r="H581" s="11" t="str">
        <f>RAW_Продажи!G580</f>
        <v>Завершен</v>
      </c>
      <c r="I581" s="12" t="str">
        <f t="shared" si="226"/>
        <v>352/24</v>
      </c>
      <c r="J581" s="12" t="str">
        <f t="shared" si="227"/>
        <v>₽</v>
      </c>
      <c r="K581" s="12">
        <f t="shared" si="228"/>
        <v>7000</v>
      </c>
      <c r="L581" s="19">
        <f t="shared" si="229"/>
        <v>45961</v>
      </c>
      <c r="M581" s="13" t="str">
        <f t="shared" si="230"/>
        <v>АРТ-352</v>
      </c>
      <c r="N581" s="13">
        <f t="shared" si="231"/>
        <v>3</v>
      </c>
      <c r="O581" s="13" t="str">
        <f>IFERROR(VLOOKUP(J581,Справочники!$G$6:$H$8,2,0),"RUB")</f>
        <v>RUB</v>
      </c>
      <c r="P581" s="14">
        <f>ROUND(K581*IFERROR(VLOOKUP(J581,Справочники!$G$6:$I$8,3,0),1),2)</f>
        <v>7000</v>
      </c>
      <c r="Q581" s="13" t="str">
        <f>IFERROR(VLOOKUP(H581,Справочники!$D$6:$E$14,2,0),"НЕИЗВЕСТНО")</f>
        <v>Завершен</v>
      </c>
      <c r="R581" s="20">
        <f>IFERROR(INDEX(Товары_очищенные!$Q$3:$Q$503,MATCH(M581,Товары_очищенные!$L$3:$L$503,0)),"нет в каталоге")</f>
        <v>6990</v>
      </c>
      <c r="S581" s="21" t="str">
        <f>IFERROR(INDEX(Товары_очищенные!$N$3:$N$503,MATCH(M581,Товары_очищенные!$L$3:$L$503,0)),"нет в каталоге")</f>
        <v>Аксессуары</v>
      </c>
      <c r="T581" s="21" t="str">
        <f t="shared" si="232"/>
        <v>OK</v>
      </c>
      <c r="U581" s="12" t="str">
        <f t="shared" si="233"/>
        <v>31/10/2025|АРТ-352|C0579</v>
      </c>
      <c r="V581" s="12" t="str">
        <f t="shared" si="234"/>
        <v>оригинал</v>
      </c>
    </row>
    <row r="582" ht="15" customHeight="1">
      <c r="A582" s="10">
        <v>580</v>
      </c>
      <c r="B582" s="11" t="str">
        <f>RAW_Продажи!A581</f>
        <v>10/31/2025</v>
      </c>
      <c r="C582" s="11" t="str">
        <f>RAW_Продажи!B581</f>
        <v>№АРТ-232</v>
      </c>
      <c r="D582" s="11" t="str">
        <f>RAW_Продажи!C581</f>
        <v>-2</v>
      </c>
      <c r="E582" s="11" t="str">
        <f>RAW_Продажи!D581</f>
        <v>$115</v>
      </c>
      <c r="F582" s="11" t="str">
        <f>RAW_Продажи!E581</f>
        <v>C0580</v>
      </c>
      <c r="G582" s="11" t="str">
        <f>RAW_Продажи!F581</f>
        <v>P039</v>
      </c>
      <c r="H582" s="11" t="str">
        <f>RAW_Продажи!G581</f>
        <v>canceled</v>
      </c>
      <c r="I582" s="12" t="str">
        <f t="shared" si="226"/>
        <v>232</v>
      </c>
      <c r="J582" s="12" t="str">
        <f t="shared" si="227"/>
        <v>$</v>
      </c>
      <c r="K582" s="12">
        <f t="shared" si="228"/>
        <v>115</v>
      </c>
      <c r="L582" s="19">
        <f t="shared" si="229"/>
        <v>45961</v>
      </c>
      <c r="M582" s="13" t="str">
        <f t="shared" si="230"/>
        <v>АРТ-232</v>
      </c>
      <c r="N582" s="13">
        <f t="shared" si="231"/>
        <v>-2</v>
      </c>
      <c r="O582" s="13" t="str">
        <f>IFERROR(VLOOKUP(J582,Справочники!$G$6:$H$8,2,0),"RUB")</f>
        <v>USD</v>
      </c>
      <c r="P582" s="14">
        <f>ROUND(K582*IFERROR(VLOOKUP(J582,Справочники!$G$6:$I$8,3,0),1),2)</f>
        <v>10925</v>
      </c>
      <c r="Q582" s="13" t="str">
        <f>IFERROR(VLOOKUP(H582,Справочники!$D$6:$E$14,2,0),"НЕИЗВЕСТНО")</f>
        <v>Отменен</v>
      </c>
      <c r="R582" s="20">
        <f>IFERROR(INDEX(Товары_очищенные!$Q$3:$Q$503,MATCH(M582,Товары_очищенные!$L$3:$L$503,0)),"нет в каталоге")</f>
        <v>42990</v>
      </c>
      <c r="S582" s="21" t="str">
        <f>IFERROR(INDEX(Товары_очищенные!$N$3:$N$503,MATCH(M582,Товары_очищенные!$L$3:$L$503,0)),"нет в каталоге")</f>
        <v>Смартфоны</v>
      </c>
      <c r="T582" s="21" t="str">
        <f t="shared" si="232"/>
        <v>OK</v>
      </c>
      <c r="U582" s="12" t="str">
        <f t="shared" si="233"/>
        <v>31/10/2025|АРТ-232|C0580</v>
      </c>
      <c r="V582" s="12" t="str">
        <f t="shared" si="234"/>
        <v>оригинал</v>
      </c>
    </row>
    <row r="583" ht="15" customHeight="1">
      <c r="A583" s="10">
        <v>581</v>
      </c>
      <c r="B583" s="11" t="str">
        <f>RAW_Продажи!A582</f>
        <v>11/01/2025</v>
      </c>
      <c r="C583" s="11" t="str">
        <f>RAW_Продажи!B582</f>
        <v>АРТ_290</v>
      </c>
      <c r="D583" s="11" t="str">
        <f>RAW_Продажи!C582</f>
        <v>1</v>
      </c>
      <c r="E583" s="11" t="str">
        <f>RAW_Продажи!D582</f>
        <v>€95</v>
      </c>
      <c r="F583" s="11" t="str">
        <f>RAW_Продажи!E582</f>
        <v>C0581</v>
      </c>
      <c r="G583" s="11" t="str">
        <f>RAW_Продажи!F582</f>
        <v>P050</v>
      </c>
      <c r="H583" s="11" t="str">
        <f>RAW_Продажи!G582</f>
        <v>отменен</v>
      </c>
      <c r="I583" s="12" t="str">
        <f t="shared" si="226"/>
        <v>290</v>
      </c>
      <c r="J583" s="12" t="str">
        <f t="shared" si="227"/>
        <v>€</v>
      </c>
      <c r="K583" s="12">
        <f t="shared" si="228"/>
        <v>95</v>
      </c>
      <c r="L583" s="19">
        <f t="shared" si="229"/>
        <v>45962</v>
      </c>
      <c r="M583" s="13" t="str">
        <f t="shared" si="230"/>
        <v>АРТ-290</v>
      </c>
      <c r="N583" s="13">
        <f t="shared" si="231"/>
        <v>1</v>
      </c>
      <c r="O583" s="13" t="str">
        <f>IFERROR(VLOOKUP(J583,Справочники!$G$6:$H$8,2,0),"RUB")</f>
        <v>EUR</v>
      </c>
      <c r="P583" s="14">
        <f>ROUND(K583*IFERROR(VLOOKUP(J583,Справочники!$G$6:$I$8,3,0),1),2)</f>
        <v>9500</v>
      </c>
      <c r="Q583" s="13" t="str">
        <f>IFERROR(VLOOKUP(H583,Справочники!$D$6:$E$14,2,0),"НЕИЗВЕСТНО")</f>
        <v>Отменен</v>
      </c>
      <c r="R583" s="20">
        <f>IFERROR(INDEX(Товары_очищенные!$Q$3:$Q$503,MATCH(M583,Товары_очищенные!$L$3:$L$503,0)),"нет в каталоге")</f>
        <v>60500</v>
      </c>
      <c r="S583" s="21" t="str">
        <f>IFERROR(INDEX(Товары_очищенные!$N$3:$N$503,MATCH(M583,Товары_очищенные!$L$3:$L$503,0)),"нет в каталоге")</f>
        <v>Часы</v>
      </c>
      <c r="T583" s="21" t="str">
        <f t="shared" si="232"/>
        <v>OK</v>
      </c>
      <c r="U583" s="12" t="str">
        <f t="shared" si="233"/>
        <v>01/11/2025|АРТ-290|C0581</v>
      </c>
      <c r="V583" s="12" t="str">
        <f t="shared" si="234"/>
        <v>оригинал</v>
      </c>
    </row>
    <row r="584" ht="15" customHeight="1">
      <c r="A584" s="10">
        <v>582</v>
      </c>
      <c r="B584" s="11" t="str">
        <f>RAW_Продажи!A583</f>
        <v>11/01/2025</v>
      </c>
      <c r="C584" s="11" t="str">
        <f>RAW_Продажи!B583</f>
        <v>181-24</v>
      </c>
      <c r="D584" s="11" t="str">
        <f>RAW_Продажи!C583</f>
        <v>2</v>
      </c>
      <c r="E584" s="11" t="str">
        <f>RAW_Продажи!D583</f>
        <v xml:space="preserve">8500 ₽</v>
      </c>
      <c r="F584" s="11" t="str">
        <f>RAW_Продажи!E583</f>
        <v>C0582</v>
      </c>
      <c r="G584" s="11" t="str">
        <f>RAW_Продажи!F583</f>
        <v>P011</v>
      </c>
      <c r="H584" s="11" t="str">
        <f>RAW_Продажи!G583</f>
        <v>возврат</v>
      </c>
      <c r="I584" s="12" t="str">
        <f t="shared" si="226"/>
        <v>181-24</v>
      </c>
      <c r="J584" s="12" t="str">
        <f t="shared" si="227"/>
        <v>₽</v>
      </c>
      <c r="K584" s="12">
        <f t="shared" si="228"/>
        <v>8500</v>
      </c>
      <c r="L584" s="19">
        <f t="shared" si="229"/>
        <v>45962</v>
      </c>
      <c r="M584" s="13" t="str">
        <f t="shared" si="230"/>
        <v>АРТ-181</v>
      </c>
      <c r="N584" s="13">
        <f t="shared" si="231"/>
        <v>2</v>
      </c>
      <c r="O584" s="13" t="str">
        <f>IFERROR(VLOOKUP(J584,Справочники!$G$6:$H$8,2,0),"RUB")</f>
        <v>RUB</v>
      </c>
      <c r="P584" s="14">
        <f>ROUND(K584*IFERROR(VLOOKUP(J584,Справочники!$G$6:$I$8,3,0),1),2)</f>
        <v>8500</v>
      </c>
      <c r="Q584" s="13" t="str">
        <f>IFERROR(VLOOKUP(H584,Справочники!$D$6:$E$14,2,0),"НЕИЗВЕСТНО")</f>
        <v>Возврат</v>
      </c>
      <c r="R584" s="20">
        <f>IFERROR(INDEX(Товары_очищенные!$Q$3:$Q$503,MATCH(M584,Товары_очищенные!$L$3:$L$503,0)),"нет в каталоге")</f>
        <v>169990</v>
      </c>
      <c r="S584" s="21" t="str">
        <f>IFERROR(INDEX(Товары_очищенные!$N$3:$N$503,MATCH(M584,Товары_очищенные!$L$3:$L$503,0)),"нет в каталоге")</f>
        <v>Мониторы</v>
      </c>
      <c r="T584" s="21" t="str">
        <f t="shared" si="232"/>
        <v>OK</v>
      </c>
      <c r="U584" s="12" t="str">
        <f t="shared" si="233"/>
        <v>01/11/2025|АРТ-181|C0582</v>
      </c>
      <c r="V584" s="12" t="str">
        <f t="shared" si="234"/>
        <v>оригинал</v>
      </c>
    </row>
    <row r="585" ht="15" customHeight="1">
      <c r="A585" s="10">
        <v>583</v>
      </c>
      <c r="B585" s="11" t="str">
        <f>RAW_Продажи!A584</f>
        <v>11/02/2025</v>
      </c>
      <c r="C585" s="11" t="str">
        <f>RAW_Продажи!B584</f>
        <v>№АРТ-116</v>
      </c>
      <c r="D585" s="11" t="str">
        <f>RAW_Продажи!C584</f>
        <v>3</v>
      </c>
      <c r="E585" s="11" t="str">
        <f>RAW_Продажи!D584</f>
        <v>$105</v>
      </c>
      <c r="F585" s="11" t="str">
        <f>RAW_Продажи!E584</f>
        <v>C0583</v>
      </c>
      <c r="G585" s="11" t="str">
        <f>RAW_Продажи!F584</f>
        <v>P027</v>
      </c>
      <c r="H585" s="11" t="str">
        <f>RAW_Продажи!G584</f>
        <v>Завершен</v>
      </c>
      <c r="I585" s="12" t="str">
        <f t="shared" si="226"/>
        <v>116</v>
      </c>
      <c r="J585" s="12" t="str">
        <f t="shared" si="227"/>
        <v>$</v>
      </c>
      <c r="K585" s="12">
        <f t="shared" si="228"/>
        <v>105</v>
      </c>
      <c r="L585" s="19">
        <f t="shared" si="229"/>
        <v>45963</v>
      </c>
      <c r="M585" s="13" t="str">
        <f t="shared" si="230"/>
        <v>АРТ-116</v>
      </c>
      <c r="N585" s="13">
        <f t="shared" si="231"/>
        <v>3</v>
      </c>
      <c r="O585" s="13" t="str">
        <f>IFERROR(VLOOKUP(J585,Справочники!$G$6:$H$8,2,0),"RUB")</f>
        <v>USD</v>
      </c>
      <c r="P585" s="14">
        <f>ROUND(K585*IFERROR(VLOOKUP(J585,Справочники!$G$6:$I$8,3,0),1),2)</f>
        <v>9975</v>
      </c>
      <c r="Q585" s="13" t="str">
        <f>IFERROR(VLOOKUP(H585,Справочники!$D$6:$E$14,2,0),"НЕИЗВЕСТНО")</f>
        <v>Завершен</v>
      </c>
      <c r="R585" s="20">
        <f>IFERROR(INDEX(Товары_очищенные!$Q$3:$Q$503,MATCH(M585,Товары_очищенные!$L$3:$L$503,0)),"нет в каталоге")</f>
        <v>72500</v>
      </c>
      <c r="S585" s="21" t="str">
        <f>IFERROR(INDEX(Товары_очищенные!$N$3:$N$503,MATCH(M585,Товары_очищенные!$L$3:$L$503,0)),"нет в каталоге")</f>
        <v>Мониторы</v>
      </c>
      <c r="T585" s="21" t="str">
        <f t="shared" si="232"/>
        <v>OK</v>
      </c>
      <c r="U585" s="12" t="str">
        <f t="shared" si="233"/>
        <v>02/11/2025|АРТ-116|C0583</v>
      </c>
      <c r="V585" s="12" t="str">
        <f t="shared" si="234"/>
        <v>оригинал</v>
      </c>
    </row>
    <row r="586" ht="15" customHeight="1">
      <c r="A586" s="10">
        <v>584</v>
      </c>
      <c r="B586" s="11" t="str">
        <f>RAW_Продажи!A585</f>
        <v>11/02/2025</v>
      </c>
      <c r="C586" s="11" t="str">
        <f>RAW_Продажи!B585</f>
        <v>АРТ_425</v>
      </c>
      <c r="D586" s="11" t="str">
        <f>RAW_Продажи!C585</f>
        <v>2</v>
      </c>
      <c r="E586" s="11" t="str">
        <f>RAW_Продажи!D585</f>
        <v>€85</v>
      </c>
      <c r="F586" s="11" t="str">
        <f>RAW_Продажи!E585</f>
        <v>C0584</v>
      </c>
      <c r="G586" s="11" t="str">
        <f>RAW_Продажи!F585</f>
        <v>P018</v>
      </c>
      <c r="H586" s="11" t="str">
        <f>RAW_Продажи!G585</f>
        <v>завершен</v>
      </c>
      <c r="I586" s="12" t="str">
        <f t="shared" si="226"/>
        <v>425</v>
      </c>
      <c r="J586" s="12" t="str">
        <f t="shared" si="227"/>
        <v>€</v>
      </c>
      <c r="K586" s="12">
        <f t="shared" si="228"/>
        <v>85</v>
      </c>
      <c r="L586" s="19">
        <f t="shared" si="229"/>
        <v>45963</v>
      </c>
      <c r="M586" s="13" t="str">
        <f t="shared" si="230"/>
        <v>АРТ-425</v>
      </c>
      <c r="N586" s="13">
        <f t="shared" si="231"/>
        <v>2</v>
      </c>
      <c r="O586" s="13" t="str">
        <f>IFERROR(VLOOKUP(J586,Справочники!$G$6:$H$8,2,0),"RUB")</f>
        <v>EUR</v>
      </c>
      <c r="P586" s="14">
        <f>ROUND(K586*IFERROR(VLOOKUP(J586,Справочники!$G$6:$I$8,3,0),1),2)</f>
        <v>8500</v>
      </c>
      <c r="Q586" s="13" t="str">
        <f>IFERROR(VLOOKUP(H586,Справочники!$D$6:$E$14,2,0),"НЕИЗВЕСТНО")</f>
        <v>Завершен</v>
      </c>
      <c r="R586" s="20">
        <f>IFERROR(INDEX(Товары_очищенные!$Q$3:$Q$503,MATCH(M586,Товары_очищенные!$L$3:$L$503,0)),"нет в каталоге")</f>
        <v>47500</v>
      </c>
      <c r="S586" s="21" t="str">
        <f>IFERROR(INDEX(Товары_очищенные!$N$3:$N$503,MATCH(M586,Товары_очищенные!$L$3:$L$503,0)),"нет в каталоге")</f>
        <v>Смартфоны</v>
      </c>
      <c r="T586" s="21" t="str">
        <f t="shared" si="232"/>
        <v>OK</v>
      </c>
      <c r="U586" s="12" t="str">
        <f t="shared" si="233"/>
        <v>02/11/2025|АРТ-425|C0584</v>
      </c>
      <c r="V586" s="12" t="str">
        <f t="shared" si="234"/>
        <v>оригинал</v>
      </c>
    </row>
    <row r="587" ht="15" customHeight="1">
      <c r="A587" s="10">
        <v>585</v>
      </c>
      <c r="B587" s="11" t="str">
        <f>RAW_Продажи!A586</f>
        <v>11/03/2025</v>
      </c>
      <c r="C587" s="11" t="str">
        <f>RAW_Продажи!B586</f>
        <v>312/24</v>
      </c>
      <c r="D587" s="11" t="str">
        <f>RAW_Продажи!C586</f>
        <v xml:space="preserve">1 шт.</v>
      </c>
      <c r="E587" s="11" t="str">
        <f>RAW_Продажи!D586</f>
        <v xml:space="preserve">7800 ₽</v>
      </c>
      <c r="F587" s="11" t="str">
        <f>RAW_Продажи!E586</f>
        <v>C0585</v>
      </c>
      <c r="G587" s="11" t="str">
        <f>RAW_Продажи!F586</f>
        <v>P040</v>
      </c>
      <c r="H587" s="11" t="str">
        <f>RAW_Продажи!G586</f>
        <v>completed</v>
      </c>
      <c r="I587" s="12" t="str">
        <f t="shared" si="226"/>
        <v>312/24</v>
      </c>
      <c r="J587" s="12" t="str">
        <f t="shared" si="227"/>
        <v>₽</v>
      </c>
      <c r="K587" s="12">
        <f t="shared" si="228"/>
        <v>7800</v>
      </c>
      <c r="L587" s="19">
        <f t="shared" si="229"/>
        <v>45964</v>
      </c>
      <c r="M587" s="13" t="str">
        <f t="shared" si="230"/>
        <v>АРТ-312</v>
      </c>
      <c r="N587" s="13">
        <f t="shared" si="231"/>
        <v>1</v>
      </c>
      <c r="O587" s="13" t="str">
        <f>IFERROR(VLOOKUP(J587,Справочники!$G$6:$H$8,2,0),"RUB")</f>
        <v>RUB</v>
      </c>
      <c r="P587" s="14">
        <f>ROUND(K587*IFERROR(VLOOKUP(J587,Справочники!$G$6:$I$8,3,0),1),2)</f>
        <v>7800</v>
      </c>
      <c r="Q587" s="13" t="str">
        <f>IFERROR(VLOOKUP(H587,Справочники!$D$6:$E$14,2,0),"НЕИЗВЕСТНО")</f>
        <v>Завершен</v>
      </c>
      <c r="R587" s="20">
        <f>IFERROR(INDEX(Товары_очищенные!$Q$3:$Q$503,MATCH(M587,Товары_очищенные!$L$3:$L$503,0)),"нет в каталоге")</f>
        <v>67000</v>
      </c>
      <c r="S587" s="21" t="str">
        <f>IFERROR(INDEX(Товары_очищенные!$N$3:$N$503,MATCH(M587,Товары_очищенные!$L$3:$L$503,0)),"нет в каталоге")</f>
        <v>Планшеты</v>
      </c>
      <c r="T587" s="21" t="str">
        <f t="shared" si="232"/>
        <v>OK</v>
      </c>
      <c r="U587" s="12" t="str">
        <f t="shared" si="233"/>
        <v>03/11/2025|АРТ-312|C0585</v>
      </c>
      <c r="V587" s="12" t="str">
        <f t="shared" si="234"/>
        <v>оригинал</v>
      </c>
    </row>
    <row r="588" ht="15" customHeight="1">
      <c r="A588" s="10">
        <v>586</v>
      </c>
      <c r="B588" s="11" t="str">
        <f>RAW_Продажи!A587</f>
        <v>11/03/2025</v>
      </c>
      <c r="C588" s="11" t="str">
        <f>RAW_Продажи!B587</f>
        <v>№АРТ-223</v>
      </c>
      <c r="D588" s="11" t="str">
        <f>RAW_Продажи!C587</f>
        <v>-3</v>
      </c>
      <c r="E588" s="11" t="str">
        <f>RAW_Продажи!D587</f>
        <v>$120</v>
      </c>
      <c r="F588" s="11" t="str">
        <f>RAW_Продажи!E587</f>
        <v>C0586</v>
      </c>
      <c r="G588" s="11" t="str">
        <f>RAW_Продажи!F587</f>
        <v>P003</v>
      </c>
      <c r="H588" s="11" t="str">
        <f>RAW_Продажи!G587</f>
        <v>отменен</v>
      </c>
      <c r="I588" s="12" t="str">
        <f t="shared" si="226"/>
        <v>223</v>
      </c>
      <c r="J588" s="12" t="str">
        <f t="shared" si="227"/>
        <v>$</v>
      </c>
      <c r="K588" s="12">
        <f t="shared" si="228"/>
        <v>120</v>
      </c>
      <c r="L588" s="19">
        <f t="shared" si="229"/>
        <v>45964</v>
      </c>
      <c r="M588" s="13" t="str">
        <f t="shared" si="230"/>
        <v>АРТ-223</v>
      </c>
      <c r="N588" s="13">
        <f t="shared" si="231"/>
        <v>-3</v>
      </c>
      <c r="O588" s="13" t="str">
        <f>IFERROR(VLOOKUP(J588,Справочники!$G$6:$H$8,2,0),"RUB")</f>
        <v>USD</v>
      </c>
      <c r="P588" s="14">
        <f>ROUND(K588*IFERROR(VLOOKUP(J588,Справочники!$G$6:$I$8,3,0),1),2)</f>
        <v>11400</v>
      </c>
      <c r="Q588" s="13" t="str">
        <f>IFERROR(VLOOKUP(H588,Справочники!$D$6:$E$14,2,0),"НЕИЗВЕСТНО")</f>
        <v>Отменен</v>
      </c>
      <c r="R588" s="20">
        <f>IFERROR(INDEX(Товары_очищенные!$Q$3:$Q$503,MATCH(M588,Товары_очищенные!$L$3:$L$503,0)),"нет в каталоге")</f>
        <v>54990</v>
      </c>
      <c r="S588" s="21" t="str">
        <f>IFERROR(INDEX(Товары_очищенные!$N$3:$N$503,MATCH(M588,Товары_очищенные!$L$3:$L$503,0)),"нет в каталоге")</f>
        <v>Мониторы</v>
      </c>
      <c r="T588" s="21" t="str">
        <f t="shared" si="232"/>
        <v>OK</v>
      </c>
      <c r="U588" s="12" t="str">
        <f t="shared" si="233"/>
        <v>03/11/2025|АРТ-223|C0586</v>
      </c>
      <c r="V588" s="12" t="str">
        <f t="shared" si="234"/>
        <v>оригинал</v>
      </c>
    </row>
    <row r="589" ht="15" customHeight="1">
      <c r="A589" s="10">
        <v>587</v>
      </c>
      <c r="B589" s="11" t="str">
        <f>RAW_Продажи!A588</f>
        <v>11/04/2025</v>
      </c>
      <c r="C589" s="11" t="str">
        <f>RAW_Продажи!B588</f>
        <v>АРТ_386</v>
      </c>
      <c r="D589" s="11" t="str">
        <f>RAW_Продажи!C588</f>
        <v>2</v>
      </c>
      <c r="E589" s="11" t="str">
        <f>RAW_Продажи!D588</f>
        <v>€100</v>
      </c>
      <c r="F589" s="11" t="str">
        <f>RAW_Продажи!E588</f>
        <v>C0587</v>
      </c>
      <c r="G589" s="11" t="str">
        <f>RAW_Продажи!F588</f>
        <v>P025</v>
      </c>
      <c r="H589" s="11" t="str">
        <f>RAW_Продажи!G588</f>
        <v>canceled</v>
      </c>
      <c r="I589" s="12" t="str">
        <f t="shared" si="226"/>
        <v>386</v>
      </c>
      <c r="J589" s="12" t="str">
        <f t="shared" si="227"/>
        <v>€</v>
      </c>
      <c r="K589" s="12">
        <f t="shared" si="228"/>
        <v>100</v>
      </c>
      <c r="L589" s="19">
        <f t="shared" si="229"/>
        <v>45965</v>
      </c>
      <c r="M589" s="13" t="str">
        <f t="shared" si="230"/>
        <v>АРТ-386</v>
      </c>
      <c r="N589" s="13">
        <f t="shared" si="231"/>
        <v>2</v>
      </c>
      <c r="O589" s="13" t="str">
        <f>IFERROR(VLOOKUP(J589,Справочники!$G$6:$H$8,2,0),"RUB")</f>
        <v>EUR</v>
      </c>
      <c r="P589" s="14">
        <f>ROUND(K589*IFERROR(VLOOKUP(J589,Справочники!$G$6:$I$8,3,0),1),2)</f>
        <v>10000</v>
      </c>
      <c r="Q589" s="13" t="str">
        <f>IFERROR(VLOOKUP(H589,Справочники!$D$6:$E$14,2,0),"НЕИЗВЕСТНО")</f>
        <v>Отменен</v>
      </c>
      <c r="R589" s="20">
        <f>IFERROR(INDEX(Товары_очищенные!$Q$3:$Q$503,MATCH(M589,Товары_очищенные!$L$3:$L$503,0)),"нет в каталоге")</f>
        <v>114000</v>
      </c>
      <c r="S589" s="21" t="str">
        <f>IFERROR(INDEX(Товары_очищенные!$N$3:$N$503,MATCH(M589,Товары_очищенные!$L$3:$L$503,0)),"нет в каталоге")</f>
        <v>Ноутбуки</v>
      </c>
      <c r="T589" s="21" t="str">
        <f t="shared" si="232"/>
        <v>OK</v>
      </c>
      <c r="U589" s="12" t="str">
        <f t="shared" si="233"/>
        <v>04/11/2025|АРТ-386|C0587</v>
      </c>
      <c r="V589" s="12" t="str">
        <f t="shared" si="234"/>
        <v>оригинал</v>
      </c>
    </row>
    <row r="590" ht="15" customHeight="1">
      <c r="A590" s="10">
        <v>588</v>
      </c>
      <c r="B590" s="11" t="str">
        <f>RAW_Продажи!A589</f>
        <v>11/04/2025</v>
      </c>
      <c r="C590" s="11" t="str">
        <f>RAW_Продажи!B589</f>
        <v>272-24</v>
      </c>
      <c r="D590" s="11" t="str">
        <f>RAW_Продажи!C589</f>
        <v>1</v>
      </c>
      <c r="E590" s="11" t="str">
        <f>RAW_Продажи!D589</f>
        <v xml:space="preserve">9200 ₽</v>
      </c>
      <c r="F590" s="11" t="str">
        <f>RAW_Продажи!E589</f>
        <v>C0588</v>
      </c>
      <c r="G590" s="11" t="str">
        <f>RAW_Продажи!F589</f>
        <v>P010</v>
      </c>
      <c r="H590" s="11" t="str">
        <f>RAW_Продажи!G589</f>
        <v>Завершен</v>
      </c>
      <c r="I590" s="12" t="str">
        <f t="shared" si="226"/>
        <v>272-24</v>
      </c>
      <c r="J590" s="12" t="str">
        <f t="shared" si="227"/>
        <v>₽</v>
      </c>
      <c r="K590" s="12">
        <f t="shared" si="228"/>
        <v>9200</v>
      </c>
      <c r="L590" s="19">
        <f t="shared" si="229"/>
        <v>45965</v>
      </c>
      <c r="M590" s="13" t="str">
        <f t="shared" si="230"/>
        <v>АРТ-272</v>
      </c>
      <c r="N590" s="13">
        <f t="shared" si="231"/>
        <v>1</v>
      </c>
      <c r="O590" s="13" t="str">
        <f>IFERROR(VLOOKUP(J590,Справочники!$G$6:$H$8,2,0),"RUB")</f>
        <v>RUB</v>
      </c>
      <c r="P590" s="14">
        <f>ROUND(K590*IFERROR(VLOOKUP(J590,Справочники!$G$6:$I$8,3,0),1),2)</f>
        <v>9200</v>
      </c>
      <c r="Q590" s="13" t="str">
        <f>IFERROR(VLOOKUP(H590,Справочники!$D$6:$E$14,2,0),"НЕИЗВЕСТНО")</f>
        <v>Завершен</v>
      </c>
      <c r="R590" s="20">
        <f>IFERROR(INDEX(Товары_очищенные!$Q$3:$Q$503,MATCH(M590,Товары_очищенные!$L$3:$L$503,0)),"нет в каталоге")</f>
        <v>43500</v>
      </c>
      <c r="S590" s="21" t="str">
        <f>IFERROR(INDEX(Товары_очищенные!$N$3:$N$503,MATCH(M590,Товары_очищенные!$L$3:$L$503,0)),"нет в каталоге")</f>
        <v>Смартфоны</v>
      </c>
      <c r="T590" s="21" t="str">
        <f t="shared" si="232"/>
        <v>OK</v>
      </c>
      <c r="U590" s="12" t="str">
        <f t="shared" si="233"/>
        <v>04/11/2025|АРТ-272|C0588</v>
      </c>
      <c r="V590" s="12" t="str">
        <f t="shared" si="234"/>
        <v>оригинал</v>
      </c>
    </row>
    <row r="591" ht="15" customHeight="1">
      <c r="A591" s="10">
        <v>589</v>
      </c>
      <c r="B591" s="11" t="str">
        <f>RAW_Продажи!A590</f>
        <v>11/05/2025</v>
      </c>
      <c r="C591" s="11" t="str">
        <f>RAW_Продажи!B590</f>
        <v>№АРТ-184</v>
      </c>
      <c r="D591" s="11" t="str">
        <f>RAW_Продажи!C590</f>
        <v>3</v>
      </c>
      <c r="E591" s="11" t="str">
        <f>RAW_Продажи!D590</f>
        <v>$90</v>
      </c>
      <c r="F591" s="11" t="str">
        <f>RAW_Продажи!E590</f>
        <v>C0589</v>
      </c>
      <c r="G591" s="11" t="str">
        <f>RAW_Продажи!F590</f>
        <v>P033</v>
      </c>
      <c r="H591" s="11" t="str">
        <f>RAW_Продажи!G590</f>
        <v>возврат</v>
      </c>
      <c r="I591" s="12" t="str">
        <f t="shared" si="226"/>
        <v>184</v>
      </c>
      <c r="J591" s="12" t="str">
        <f t="shared" si="227"/>
        <v>$</v>
      </c>
      <c r="K591" s="12">
        <f t="shared" si="228"/>
        <v>90</v>
      </c>
      <c r="L591" s="19">
        <f t="shared" si="229"/>
        <v>45966</v>
      </c>
      <c r="M591" s="13" t="str">
        <f t="shared" si="230"/>
        <v>АРТ-184</v>
      </c>
      <c r="N591" s="13">
        <f t="shared" si="231"/>
        <v>3</v>
      </c>
      <c r="O591" s="13" t="str">
        <f>IFERROR(VLOOKUP(J591,Справочники!$G$6:$H$8,2,0),"RUB")</f>
        <v>USD</v>
      </c>
      <c r="P591" s="14">
        <f>ROUND(K591*IFERROR(VLOOKUP(J591,Справочники!$G$6:$I$8,3,0),1),2)</f>
        <v>8550</v>
      </c>
      <c r="Q591" s="13" t="str">
        <f>IFERROR(VLOOKUP(H591,Справочники!$D$6:$E$14,2,0),"НЕИЗВЕСТНО")</f>
        <v>Возврат</v>
      </c>
      <c r="R591" s="20">
        <f>IFERROR(INDEX(Товары_очищенные!$Q$3:$Q$503,MATCH(M591,Товары_очищенные!$L$3:$L$503,0)),"нет в каталоге")</f>
        <v>19990</v>
      </c>
      <c r="S591" s="21" t="str">
        <f>IFERROR(INDEX(Товары_очищенные!$N$3:$N$503,MATCH(M591,Товары_очищенные!$L$3:$L$503,0)),"нет в каталоге")</f>
        <v>Аксессуары</v>
      </c>
      <c r="T591" s="21" t="str">
        <f t="shared" si="232"/>
        <v>OK</v>
      </c>
      <c r="U591" s="12" t="str">
        <f t="shared" si="233"/>
        <v>05/11/2025|АРТ-184|C0589</v>
      </c>
      <c r="V591" s="12" t="str">
        <f t="shared" si="234"/>
        <v>оригинал</v>
      </c>
    </row>
    <row r="592" ht="15" customHeight="1">
      <c r="A592" s="10">
        <v>590</v>
      </c>
      <c r="B592" s="11" t="str">
        <f>RAW_Продажи!A591</f>
        <v>11/05/2025</v>
      </c>
      <c r="C592" s="11" t="str">
        <f>RAW_Продажи!B591</f>
        <v>АРТ_447</v>
      </c>
      <c r="D592" s="11" t="str">
        <f>RAW_Продажи!C591</f>
        <v>2</v>
      </c>
      <c r="E592" s="11" t="str">
        <f>RAW_Продажи!D591</f>
        <v>€70</v>
      </c>
      <c r="F592" s="11" t="str">
        <f>RAW_Продажи!E591</f>
        <v>C0590</v>
      </c>
      <c r="G592" s="11" t="str">
        <f>RAW_Продажи!F591</f>
        <v>P047</v>
      </c>
      <c r="H592" s="11" t="str">
        <f>RAW_Продажи!G591</f>
        <v>завершен</v>
      </c>
      <c r="I592" s="12" t="str">
        <f t="shared" si="226"/>
        <v>447</v>
      </c>
      <c r="J592" s="12" t="str">
        <f t="shared" si="227"/>
        <v>€</v>
      </c>
      <c r="K592" s="12">
        <f t="shared" si="228"/>
        <v>70</v>
      </c>
      <c r="L592" s="19">
        <f t="shared" si="229"/>
        <v>45966</v>
      </c>
      <c r="M592" s="13" t="str">
        <f t="shared" si="230"/>
        <v>АРТ-447</v>
      </c>
      <c r="N592" s="13">
        <f t="shared" si="231"/>
        <v>2</v>
      </c>
      <c r="O592" s="13" t="str">
        <f>IFERROR(VLOOKUP(J592,Справочники!$G$6:$H$8,2,0),"RUB")</f>
        <v>EUR</v>
      </c>
      <c r="P592" s="14">
        <f>ROUND(K592*IFERROR(VLOOKUP(J592,Справочники!$G$6:$I$8,3,0),1),2)</f>
        <v>7000</v>
      </c>
      <c r="Q592" s="13" t="str">
        <f>IFERROR(VLOOKUP(H592,Справочники!$D$6:$E$14,2,0),"НЕИЗВЕСТНО")</f>
        <v>Завершен</v>
      </c>
      <c r="R592" s="20">
        <f>IFERROR(INDEX(Товары_очищенные!$Q$3:$Q$503,MATCH(M592,Товары_очищенные!$L$3:$L$503,0)),"нет в каталоге")</f>
        <v>144500</v>
      </c>
      <c r="S592" s="21" t="str">
        <f>IFERROR(INDEX(Товары_очищенные!$N$3:$N$503,MATCH(M592,Товары_очищенные!$L$3:$L$503,0)),"нет в каталоге")</f>
        <v>Ноутбуки</v>
      </c>
      <c r="T592" s="21" t="str">
        <f t="shared" si="232"/>
        <v>OK</v>
      </c>
      <c r="U592" s="12" t="str">
        <f t="shared" si="233"/>
        <v>05/11/2025|АРТ-447|C0590</v>
      </c>
      <c r="V592" s="12" t="str">
        <f t="shared" si="234"/>
        <v>оригинал</v>
      </c>
    </row>
    <row r="593" ht="15" customHeight="1">
      <c r="A593" s="10">
        <v>591</v>
      </c>
      <c r="B593" s="11" t="str">
        <f>RAW_Продажи!A592</f>
        <v>11/06/2025</v>
      </c>
      <c r="C593" s="11" t="str">
        <f>RAW_Продажи!B592</f>
        <v>379/24</v>
      </c>
      <c r="D593" s="11" t="str">
        <f>RAW_Продажи!C592</f>
        <v xml:space="preserve">1 шт.</v>
      </c>
      <c r="E593" s="11" t="str">
        <f>RAW_Продажи!D592</f>
        <v xml:space="preserve">6500 ₽</v>
      </c>
      <c r="F593" s="11" t="str">
        <f>RAW_Продажи!E592</f>
        <v>C0591</v>
      </c>
      <c r="G593" s="11" t="str">
        <f>RAW_Продажи!F592</f>
        <v>P020</v>
      </c>
      <c r="H593" s="11" t="str">
        <f>RAW_Продажи!G592</f>
        <v>completed</v>
      </c>
      <c r="I593" s="12" t="str">
        <f t="shared" si="226"/>
        <v>379/24</v>
      </c>
      <c r="J593" s="12" t="str">
        <f t="shared" si="227"/>
        <v>₽</v>
      </c>
      <c r="K593" s="12">
        <f t="shared" si="228"/>
        <v>6500</v>
      </c>
      <c r="L593" s="19">
        <f t="shared" si="229"/>
        <v>45967</v>
      </c>
      <c r="M593" s="13" t="str">
        <f t="shared" si="230"/>
        <v>АРТ-379</v>
      </c>
      <c r="N593" s="13">
        <f t="shared" si="231"/>
        <v>1</v>
      </c>
      <c r="O593" s="13" t="str">
        <f>IFERROR(VLOOKUP(J593,Справочники!$G$6:$H$8,2,0),"RUB")</f>
        <v>RUB</v>
      </c>
      <c r="P593" s="14">
        <f>ROUND(K593*IFERROR(VLOOKUP(J593,Справочники!$G$6:$I$8,3,0),1),2)</f>
        <v>6500</v>
      </c>
      <c r="Q593" s="13" t="str">
        <f>IFERROR(VLOOKUP(H593,Справочники!$D$6:$E$14,2,0),"НЕИЗВЕСТНО")</f>
        <v>Завершен</v>
      </c>
      <c r="R593" s="20">
        <f>IFERROR(INDEX(Товары_очищенные!$Q$3:$Q$503,MATCH(M593,Товары_очищенные!$L$3:$L$503,0)),"нет в каталоге")</f>
        <v>36990</v>
      </c>
      <c r="S593" s="21" t="str">
        <f>IFERROR(INDEX(Товары_очищенные!$N$3:$N$503,MATCH(M593,Товары_очищенные!$L$3:$L$503,0)),"нет в каталоге")</f>
        <v>Планшеты</v>
      </c>
      <c r="T593" s="21" t="str">
        <f t="shared" si="232"/>
        <v>OK</v>
      </c>
      <c r="U593" s="12" t="str">
        <f t="shared" si="233"/>
        <v>06/11/2025|АРТ-379|C0591</v>
      </c>
      <c r="V593" s="12" t="str">
        <f t="shared" si="234"/>
        <v>оригинал</v>
      </c>
    </row>
    <row r="594" ht="15" customHeight="1">
      <c r="A594" s="10">
        <v>592</v>
      </c>
      <c r="B594" s="11" t="str">
        <f>RAW_Продажи!A593</f>
        <v>11/06/2025</v>
      </c>
      <c r="C594" s="11" t="str">
        <f>RAW_Продажи!B593</f>
        <v>№АРТ-377</v>
      </c>
      <c r="D594" s="11" t="str">
        <f>RAW_Продажи!C593</f>
        <v>-1</v>
      </c>
      <c r="E594" s="11" t="str">
        <f>RAW_Продажи!D593</f>
        <v>$110</v>
      </c>
      <c r="F594" s="11" t="str">
        <f>RAW_Продажи!E593</f>
        <v>C0592</v>
      </c>
      <c r="G594" s="11" t="str">
        <f>RAW_Продажи!F593</f>
        <v>P002</v>
      </c>
      <c r="H594" s="11" t="str">
        <f>RAW_Продажи!G593</f>
        <v>Завершен</v>
      </c>
      <c r="I594" s="12" t="str">
        <f t="shared" si="226"/>
        <v>377</v>
      </c>
      <c r="J594" s="12" t="str">
        <f t="shared" si="227"/>
        <v>$</v>
      </c>
      <c r="K594" s="12">
        <f t="shared" si="228"/>
        <v>110</v>
      </c>
      <c r="L594" s="19">
        <f t="shared" si="229"/>
        <v>45967</v>
      </c>
      <c r="M594" s="13" t="str">
        <f t="shared" si="230"/>
        <v>АРТ-377</v>
      </c>
      <c r="N594" s="13">
        <f t="shared" si="231"/>
        <v>-1</v>
      </c>
      <c r="O594" s="13" t="str">
        <f>IFERROR(VLOOKUP(J594,Справочники!$G$6:$H$8,2,0),"RUB")</f>
        <v>USD</v>
      </c>
      <c r="P594" s="14">
        <f>ROUND(K594*IFERROR(VLOOKUP(J594,Справочники!$G$6:$I$8,3,0),1),2)</f>
        <v>10450</v>
      </c>
      <c r="Q594" s="13" t="str">
        <f>IFERROR(VLOOKUP(H594,Справочники!$D$6:$E$14,2,0),"НЕИЗВЕСТНО")</f>
        <v>Завершен</v>
      </c>
      <c r="R594" s="20">
        <f>IFERROR(INDEX(Товары_очищенные!$Q$3:$Q$503,MATCH(M594,Товары_очищенные!$L$3:$L$503,0)),"нет в каталоге")</f>
        <v>23500</v>
      </c>
      <c r="S594" s="21" t="str">
        <f>IFERROR(INDEX(Товары_очищенные!$N$3:$N$503,MATCH(M594,Товары_очищенные!$L$3:$L$503,0)),"нет в каталоге")</f>
        <v>Часы</v>
      </c>
      <c r="T594" s="21" t="str">
        <f t="shared" si="232"/>
        <v>OK</v>
      </c>
      <c r="U594" s="12" t="str">
        <f t="shared" si="233"/>
        <v>06/11/2025|АРТ-377|C0592</v>
      </c>
      <c r="V594" s="12" t="str">
        <f t="shared" si="234"/>
        <v>оригинал</v>
      </c>
    </row>
    <row r="595" ht="15" customHeight="1">
      <c r="A595" s="10">
        <v>593</v>
      </c>
      <c r="B595" s="11" t="str">
        <f>RAW_Продажи!A594</f>
        <v>11/07/2025</v>
      </c>
      <c r="C595" s="11" t="str">
        <f>RAW_Продажи!B594</f>
        <v>АРТ_356</v>
      </c>
      <c r="D595" s="11" t="str">
        <f>RAW_Продажи!C594</f>
        <v>3</v>
      </c>
      <c r="E595" s="11" t="str">
        <f>RAW_Продажи!D594</f>
        <v>€90</v>
      </c>
      <c r="F595" s="11" t="str">
        <f>RAW_Продажи!E594</f>
        <v>C0593</v>
      </c>
      <c r="G595" s="11" t="str">
        <f>RAW_Продажи!F594</f>
        <v>P038</v>
      </c>
      <c r="H595" s="11" t="str">
        <f>RAW_Продажи!G594</f>
        <v>canceled</v>
      </c>
      <c r="I595" s="12" t="str">
        <f t="shared" si="226"/>
        <v>356</v>
      </c>
      <c r="J595" s="12" t="str">
        <f t="shared" si="227"/>
        <v>€</v>
      </c>
      <c r="K595" s="12">
        <f t="shared" si="228"/>
        <v>90</v>
      </c>
      <c r="L595" s="19">
        <f t="shared" si="229"/>
        <v>45968</v>
      </c>
      <c r="M595" s="13" t="str">
        <f t="shared" si="230"/>
        <v>АРТ-356</v>
      </c>
      <c r="N595" s="13">
        <f t="shared" si="231"/>
        <v>3</v>
      </c>
      <c r="O595" s="13" t="str">
        <f>IFERROR(VLOOKUP(J595,Справочники!$G$6:$H$8,2,0),"RUB")</f>
        <v>EUR</v>
      </c>
      <c r="P595" s="14">
        <f>ROUND(K595*IFERROR(VLOOKUP(J595,Справочники!$G$6:$I$8,3,0),1),2)</f>
        <v>9000</v>
      </c>
      <c r="Q595" s="13" t="str">
        <f>IFERROR(VLOOKUP(H595,Справочники!$D$6:$E$14,2,0),"НЕИЗВЕСТНО")</f>
        <v>Отменен</v>
      </c>
      <c r="R595" s="20">
        <f>IFERROR(INDEX(Товары_очищенные!$Q$3:$Q$503,MATCH(M595,Товары_очищенные!$L$3:$L$503,0)),"нет в каталоге")</f>
        <v>83000</v>
      </c>
      <c r="S595" s="21" t="str">
        <f>IFERROR(INDEX(Товары_очищенные!$N$3:$N$503,MATCH(M595,Товары_очищенные!$L$3:$L$503,0)),"нет в каталоге")</f>
        <v>Смартфоны</v>
      </c>
      <c r="T595" s="21" t="str">
        <f t="shared" si="232"/>
        <v>OK</v>
      </c>
      <c r="U595" s="12" t="str">
        <f t="shared" si="233"/>
        <v>07/11/2025|АРТ-356|C0593</v>
      </c>
      <c r="V595" s="12" t="str">
        <f t="shared" si="234"/>
        <v>оригинал</v>
      </c>
    </row>
    <row r="596" ht="15" customHeight="1">
      <c r="A596" s="10">
        <v>594</v>
      </c>
      <c r="B596" s="11" t="str">
        <f>RAW_Продажи!A595</f>
        <v>11/07/2025</v>
      </c>
      <c r="C596" s="11" t="str">
        <f>RAW_Продажи!B595</f>
        <v>256-24</v>
      </c>
      <c r="D596" s="11" t="str">
        <f>RAW_Продажи!C595</f>
        <v>2</v>
      </c>
      <c r="E596" s="11" t="str">
        <f>RAW_Продажи!D595</f>
        <v xml:space="preserve">8000 ₽</v>
      </c>
      <c r="F596" s="11" t="str">
        <f>RAW_Продажи!E595</f>
        <v>C0594</v>
      </c>
      <c r="G596" s="11" t="str">
        <f>RAW_Продажи!F595</f>
        <v>P016</v>
      </c>
      <c r="H596" s="11" t="str">
        <f>RAW_Продажи!G595</f>
        <v>отменен</v>
      </c>
      <c r="I596" s="12" t="str">
        <f t="shared" si="226"/>
        <v>256-24</v>
      </c>
      <c r="J596" s="12" t="str">
        <f t="shared" si="227"/>
        <v>₽</v>
      </c>
      <c r="K596" s="12">
        <f t="shared" si="228"/>
        <v>8000</v>
      </c>
      <c r="L596" s="19">
        <f t="shared" si="229"/>
        <v>45968</v>
      </c>
      <c r="M596" s="13" t="str">
        <f t="shared" si="230"/>
        <v>АРТ-256</v>
      </c>
      <c r="N596" s="13">
        <f t="shared" si="231"/>
        <v>2</v>
      </c>
      <c r="O596" s="13" t="str">
        <f>IFERROR(VLOOKUP(J596,Справочники!$G$6:$H$8,2,0),"RUB")</f>
        <v>RUB</v>
      </c>
      <c r="P596" s="14">
        <f>ROUND(K596*IFERROR(VLOOKUP(J596,Справочники!$G$6:$I$8,3,0),1),2)</f>
        <v>8000</v>
      </c>
      <c r="Q596" s="13" t="str">
        <f>IFERROR(VLOOKUP(H596,Справочники!$D$6:$E$14,2,0),"НЕИЗВЕСТНО")</f>
        <v>Отменен</v>
      </c>
      <c r="R596" s="20">
        <f>IFERROR(INDEX(Товары_очищенные!$Q$3:$Q$503,MATCH(M596,Товары_очищенные!$L$3:$L$503,0)),"нет в каталоге")</f>
        <v>37990</v>
      </c>
      <c r="S596" s="21" t="str">
        <f>IFERROR(INDEX(Товары_очищенные!$N$3:$N$503,MATCH(M596,Товары_очищенные!$L$3:$L$503,0)),"нет в каталоге")</f>
        <v>Смартфоны</v>
      </c>
      <c r="T596" s="21" t="str">
        <f t="shared" si="232"/>
        <v>OK</v>
      </c>
      <c r="U596" s="12" t="str">
        <f t="shared" si="233"/>
        <v>07/11/2025|АРТ-256|C0594</v>
      </c>
      <c r="V596" s="12" t="str">
        <f t="shared" si="234"/>
        <v>оригинал</v>
      </c>
    </row>
    <row r="597" ht="15" customHeight="1">
      <c r="A597" s="10">
        <v>595</v>
      </c>
      <c r="B597" s="11" t="str">
        <f>RAW_Продажи!A596</f>
        <v>11/08/2025</v>
      </c>
      <c r="C597" s="11" t="str">
        <f>RAW_Продажи!B596</f>
        <v>№АРТ-128</v>
      </c>
      <c r="D597" s="11" t="str">
        <f>RAW_Продажи!C596</f>
        <v>1</v>
      </c>
      <c r="E597" s="11" t="str">
        <f>RAW_Продажи!D596</f>
        <v>$95</v>
      </c>
      <c r="F597" s="11" t="str">
        <f>RAW_Продажи!E596</f>
        <v>C0595</v>
      </c>
      <c r="G597" s="11" t="str">
        <f>RAW_Продажи!F596</f>
        <v>P029</v>
      </c>
      <c r="H597" s="11" t="str">
        <f>RAW_Продажи!G596</f>
        <v>возврат</v>
      </c>
      <c r="I597" s="12" t="str">
        <f t="shared" si="226"/>
        <v>128</v>
      </c>
      <c r="J597" s="12" t="str">
        <f t="shared" si="227"/>
        <v>$</v>
      </c>
      <c r="K597" s="12">
        <f t="shared" si="228"/>
        <v>95</v>
      </c>
      <c r="L597" s="19">
        <f t="shared" si="229"/>
        <v>45969</v>
      </c>
      <c r="M597" s="13" t="str">
        <f t="shared" si="230"/>
        <v>АРТ-128</v>
      </c>
      <c r="N597" s="13">
        <f t="shared" si="231"/>
        <v>1</v>
      </c>
      <c r="O597" s="13" t="str">
        <f>IFERROR(VLOOKUP(J597,Справочники!$G$6:$H$8,2,0),"RUB")</f>
        <v>USD</v>
      </c>
      <c r="P597" s="14">
        <f>ROUND(K597*IFERROR(VLOOKUP(J597,Справочники!$G$6:$I$8,3,0),1),2)</f>
        <v>9025</v>
      </c>
      <c r="Q597" s="13" t="str">
        <f>IFERROR(VLOOKUP(H597,Справочники!$D$6:$E$14,2,0),"НЕИЗВЕСТНО")</f>
        <v>Возврат</v>
      </c>
      <c r="R597" s="20">
        <f>IFERROR(INDEX(Товары_очищенные!$Q$3:$Q$503,MATCH(M597,Товары_очищенные!$L$3:$L$503,0)),"нет в каталоге")</f>
        <v>50500</v>
      </c>
      <c r="S597" s="21" t="str">
        <f>IFERROR(INDEX(Товары_очищенные!$N$3:$N$503,MATCH(M597,Товары_очищенные!$L$3:$L$503,0)),"нет в каталоге")</f>
        <v>Смартфоны</v>
      </c>
      <c r="T597" s="21" t="str">
        <f t="shared" si="232"/>
        <v>OK</v>
      </c>
      <c r="U597" s="12" t="str">
        <f t="shared" si="233"/>
        <v>08/11/2025|АРТ-128|C0595</v>
      </c>
      <c r="V597" s="12" t="str">
        <f t="shared" si="234"/>
        <v>оригинал</v>
      </c>
    </row>
    <row r="598" ht="15" customHeight="1">
      <c r="A598" s="10">
        <v>596</v>
      </c>
      <c r="B598" s="11" t="str">
        <f>RAW_Продажи!A597</f>
        <v>11/08/2025</v>
      </c>
      <c r="C598" s="11" t="str">
        <f>RAW_Продажи!B597</f>
        <v>АРТ_484</v>
      </c>
      <c r="D598" s="11" t="str">
        <f>RAW_Продажи!C597</f>
        <v>2</v>
      </c>
      <c r="E598" s="11" t="str">
        <f>RAW_Продажи!D597</f>
        <v>€75</v>
      </c>
      <c r="F598" s="11" t="str">
        <f>RAW_Продажи!E597</f>
        <v>C0596</v>
      </c>
      <c r="G598" s="11" t="str">
        <f>RAW_Продажи!F597</f>
        <v>P035</v>
      </c>
      <c r="H598" s="11" t="str">
        <f>RAW_Продажи!G597</f>
        <v>Завершен</v>
      </c>
      <c r="I598" s="12" t="str">
        <f t="shared" si="226"/>
        <v>484</v>
      </c>
      <c r="J598" s="12" t="str">
        <f t="shared" si="227"/>
        <v>€</v>
      </c>
      <c r="K598" s="12">
        <f t="shared" si="228"/>
        <v>75</v>
      </c>
      <c r="L598" s="19">
        <f t="shared" si="229"/>
        <v>45969</v>
      </c>
      <c r="M598" s="13" t="str">
        <f t="shared" si="230"/>
        <v>АРТ-484</v>
      </c>
      <c r="N598" s="13">
        <f t="shared" si="231"/>
        <v>2</v>
      </c>
      <c r="O598" s="13" t="str">
        <f>IFERROR(VLOOKUP(J598,Справочники!$G$6:$H$8,2,0),"RUB")</f>
        <v>EUR</v>
      </c>
      <c r="P598" s="14">
        <f>ROUND(K598*IFERROR(VLOOKUP(J598,Справочники!$G$6:$I$8,3,0),1),2)</f>
        <v>7500</v>
      </c>
      <c r="Q598" s="13" t="str">
        <f>IFERROR(VLOOKUP(H598,Справочники!$D$6:$E$14,2,0),"НЕИЗВЕСТНО")</f>
        <v>Завершен</v>
      </c>
      <c r="R598" s="20">
        <f>IFERROR(INDEX(Товары_очищенные!$Q$3:$Q$503,MATCH(M598,Товары_очищенные!$L$3:$L$503,0)),"нет в каталоге")</f>
        <v>33990</v>
      </c>
      <c r="S598" s="21" t="str">
        <f>IFERROR(INDEX(Товары_очищенные!$N$3:$N$503,MATCH(M598,Товары_очищенные!$L$3:$L$503,0)),"нет в каталоге")</f>
        <v>Смартфоны</v>
      </c>
      <c r="T598" s="21" t="str">
        <f t="shared" si="232"/>
        <v>OK</v>
      </c>
      <c r="U598" s="12" t="str">
        <f t="shared" si="233"/>
        <v>08/11/2025|АРТ-484|C0596</v>
      </c>
      <c r="V598" s="12" t="str">
        <f t="shared" si="234"/>
        <v>оригинал</v>
      </c>
    </row>
    <row r="599" ht="15" customHeight="1">
      <c r="A599" s="10">
        <v>597</v>
      </c>
      <c r="B599" s="11" t="str">
        <f>RAW_Продажи!A598</f>
        <v>11/09/2025</v>
      </c>
      <c r="C599" s="11" t="str">
        <f>RAW_Продажи!B598</f>
        <v>310/24</v>
      </c>
      <c r="D599" s="11" t="str">
        <f>RAW_Продажи!C598</f>
        <v xml:space="preserve">3 шт.</v>
      </c>
      <c r="E599" s="11" t="str">
        <f>RAW_Продажи!D598</f>
        <v xml:space="preserve">7000 ₽</v>
      </c>
      <c r="F599" s="11" t="str">
        <f>RAW_Продажи!E598</f>
        <v>C0597</v>
      </c>
      <c r="G599" s="11" t="str">
        <f>RAW_Продажи!F598</f>
        <v>P046</v>
      </c>
      <c r="H599" s="11" t="str">
        <f>RAW_Продажи!G598</f>
        <v>завершен</v>
      </c>
      <c r="I599" s="12" t="str">
        <f t="shared" si="226"/>
        <v>310/24</v>
      </c>
      <c r="J599" s="12" t="str">
        <f t="shared" si="227"/>
        <v>₽</v>
      </c>
      <c r="K599" s="12">
        <f t="shared" si="228"/>
        <v>7000</v>
      </c>
      <c r="L599" s="19">
        <f t="shared" si="229"/>
        <v>45970</v>
      </c>
      <c r="M599" s="13" t="str">
        <f t="shared" si="230"/>
        <v>АРТ-310</v>
      </c>
      <c r="N599" s="13">
        <f t="shared" si="231"/>
        <v>3</v>
      </c>
      <c r="O599" s="13" t="str">
        <f>IFERROR(VLOOKUP(J599,Справочники!$G$6:$H$8,2,0),"RUB")</f>
        <v>RUB</v>
      </c>
      <c r="P599" s="14">
        <f>ROUND(K599*IFERROR(VLOOKUP(J599,Справочники!$G$6:$I$8,3,0),1),2)</f>
        <v>7000</v>
      </c>
      <c r="Q599" s="13" t="str">
        <f>IFERROR(VLOOKUP(H599,Справочники!$D$6:$E$14,2,0),"НЕИЗВЕСТНО")</f>
        <v>Завершен</v>
      </c>
      <c r="R599" s="20">
        <f>IFERROR(INDEX(Товары_очищенные!$Q$3:$Q$503,MATCH(M599,Товары_очищенные!$L$3:$L$503,0)),"нет в каталоге")</f>
        <v>64990</v>
      </c>
      <c r="S599" s="21" t="str">
        <f>IFERROR(INDEX(Товары_очищенные!$N$3:$N$503,MATCH(M599,Товары_очищенные!$L$3:$L$503,0)),"нет в каталоге")</f>
        <v>Планшеты</v>
      </c>
      <c r="T599" s="21" t="str">
        <f t="shared" si="232"/>
        <v>OK</v>
      </c>
      <c r="U599" s="12" t="str">
        <f t="shared" si="233"/>
        <v>09/11/2025|АРТ-310|C0597</v>
      </c>
      <c r="V599" s="12" t="str">
        <f t="shared" si="234"/>
        <v>оригинал</v>
      </c>
    </row>
    <row r="600" ht="15" customHeight="1">
      <c r="A600" s="10">
        <v>598</v>
      </c>
      <c r="B600" s="11" t="str">
        <f>RAW_Продажи!A599</f>
        <v>11/09/2025</v>
      </c>
      <c r="C600" s="11" t="str">
        <f>RAW_Продажи!B599</f>
        <v>№АРТ-205</v>
      </c>
      <c r="D600" s="11" t="str">
        <f>RAW_Продажи!C599</f>
        <v>-2</v>
      </c>
      <c r="E600" s="11" t="str">
        <f>RAW_Продажи!D599</f>
        <v>$115</v>
      </c>
      <c r="F600" s="11" t="str">
        <f>RAW_Продажи!E599</f>
        <v>C0598</v>
      </c>
      <c r="G600" s="11" t="str">
        <f>RAW_Продажи!F599</f>
        <v>P022</v>
      </c>
      <c r="H600" s="11" t="str">
        <f>RAW_Продажи!G599</f>
        <v>completed</v>
      </c>
      <c r="I600" s="12" t="str">
        <f t="shared" si="226"/>
        <v>205</v>
      </c>
      <c r="J600" s="12" t="str">
        <f t="shared" si="227"/>
        <v>$</v>
      </c>
      <c r="K600" s="12">
        <f t="shared" si="228"/>
        <v>115</v>
      </c>
      <c r="L600" s="19">
        <f t="shared" si="229"/>
        <v>45970</v>
      </c>
      <c r="M600" s="13" t="str">
        <f t="shared" si="230"/>
        <v>АРТ-205</v>
      </c>
      <c r="N600" s="13">
        <f t="shared" si="231"/>
        <v>-2</v>
      </c>
      <c r="O600" s="13" t="str">
        <f>IFERROR(VLOOKUP(J600,Справочники!$G$6:$H$8,2,0),"RUB")</f>
        <v>USD</v>
      </c>
      <c r="P600" s="14">
        <f>ROUND(K600*IFERROR(VLOOKUP(J600,Справочники!$G$6:$I$8,3,0),1),2)</f>
        <v>10925</v>
      </c>
      <c r="Q600" s="13" t="str">
        <f>IFERROR(VLOOKUP(H600,Справочники!$D$6:$E$14,2,0),"НЕИЗВЕСТНО")</f>
        <v>Завершен</v>
      </c>
      <c r="R600" s="20">
        <f>IFERROR(INDEX(Товары_очищенные!$Q$3:$Q$503,MATCH(M600,Товары_очищенные!$L$3:$L$503,0)),"нет в каталоге")</f>
        <v>64990</v>
      </c>
      <c r="S600" s="21" t="str">
        <f>IFERROR(INDEX(Товары_очищенные!$N$3:$N$503,MATCH(M600,Товары_очищенные!$L$3:$L$503,0)),"нет в каталоге")</f>
        <v>Мониторы</v>
      </c>
      <c r="T600" s="21" t="str">
        <f t="shared" si="232"/>
        <v>OK</v>
      </c>
      <c r="U600" s="12" t="str">
        <f t="shared" si="233"/>
        <v>09/11/2025|АРТ-205|C0598</v>
      </c>
      <c r="V600" s="12" t="str">
        <f t="shared" si="234"/>
        <v>оригинал</v>
      </c>
    </row>
    <row r="601" ht="15" customHeight="1">
      <c r="A601" s="10">
        <v>599</v>
      </c>
      <c r="B601" s="11" t="str">
        <f>RAW_Продажи!A600</f>
        <v>11/10/2025</v>
      </c>
      <c r="C601" s="11" t="str">
        <f>RAW_Продажи!B600</f>
        <v>АРТ_372</v>
      </c>
      <c r="D601" s="11" t="str">
        <f>RAW_Продажи!C600</f>
        <v>1</v>
      </c>
      <c r="E601" s="11" t="str">
        <f>RAW_Продажи!D600</f>
        <v>€95</v>
      </c>
      <c r="F601" s="11" t="str">
        <f>RAW_Продажи!E600</f>
        <v>C0599</v>
      </c>
      <c r="G601" s="11" t="str">
        <f>RAW_Продажи!F600</f>
        <v>P043</v>
      </c>
      <c r="H601" s="11" t="str">
        <f>RAW_Продажи!G600</f>
        <v>отменен</v>
      </c>
      <c r="I601" s="12" t="str">
        <f t="shared" si="226"/>
        <v>372</v>
      </c>
      <c r="J601" s="12" t="str">
        <f t="shared" si="227"/>
        <v>€</v>
      </c>
      <c r="K601" s="12">
        <f t="shared" si="228"/>
        <v>95</v>
      </c>
      <c r="L601" s="19">
        <f t="shared" si="229"/>
        <v>45971</v>
      </c>
      <c r="M601" s="13" t="str">
        <f t="shared" si="230"/>
        <v>АРТ-372</v>
      </c>
      <c r="N601" s="13">
        <f t="shared" si="231"/>
        <v>1</v>
      </c>
      <c r="O601" s="13" t="str">
        <f>IFERROR(VLOOKUP(J601,Справочники!$G$6:$H$8,2,0),"RUB")</f>
        <v>EUR</v>
      </c>
      <c r="P601" s="14">
        <f>ROUND(K601*IFERROR(VLOOKUP(J601,Справочники!$G$6:$I$8,3,0),1),2)</f>
        <v>9500</v>
      </c>
      <c r="Q601" s="13" t="str">
        <f>IFERROR(VLOOKUP(H601,Справочники!$D$6:$E$14,2,0),"НЕИЗВЕСТНО")</f>
        <v>Отменен</v>
      </c>
      <c r="R601" s="20">
        <f>IFERROR(INDEX(Товары_очищенные!$Q$3:$Q$503,MATCH(M601,Товары_очищенные!$L$3:$L$503,0)),"нет в каталоге")</f>
        <v>52000</v>
      </c>
      <c r="S601" s="21" t="str">
        <f>IFERROR(INDEX(Товары_очищенные!$N$3:$N$503,MATCH(M601,Товары_очищенные!$L$3:$L$503,0)),"нет в каталоге")</f>
        <v>Мониторы</v>
      </c>
      <c r="T601" s="21" t="str">
        <f t="shared" si="232"/>
        <v>OK</v>
      </c>
      <c r="U601" s="12" t="str">
        <f t="shared" si="233"/>
        <v>10/11/2025|АРТ-372|C0599</v>
      </c>
      <c r="V601" s="12" t="str">
        <f t="shared" si="234"/>
        <v>оригинал</v>
      </c>
    </row>
    <row r="602" ht="15" customHeight="1">
      <c r="A602" s="10">
        <v>600</v>
      </c>
      <c r="B602" s="11" t="str">
        <f>RAW_Продажи!A601</f>
        <v>11/10/2025</v>
      </c>
      <c r="C602" s="11" t="str">
        <f>RAW_Продажи!B601</f>
        <v>113-24</v>
      </c>
      <c r="D602" s="11" t="str">
        <f>RAW_Продажи!C601</f>
        <v>2</v>
      </c>
      <c r="E602" s="11" t="str">
        <f>RAW_Продажи!D601</f>
        <v xml:space="preserve">8500 ₽</v>
      </c>
      <c r="F602" s="11" t="str">
        <f>RAW_Продажи!E601</f>
        <v>C0600</v>
      </c>
      <c r="G602" s="11" t="str">
        <f>RAW_Продажи!F601</f>
        <v>P030</v>
      </c>
      <c r="H602" s="11" t="str">
        <f>RAW_Продажи!G601</f>
        <v>canceled</v>
      </c>
      <c r="I602" s="12" t="str">
        <f t="shared" si="226"/>
        <v>113-24</v>
      </c>
      <c r="J602" s="12" t="str">
        <f t="shared" si="227"/>
        <v>₽</v>
      </c>
      <c r="K602" s="12">
        <f t="shared" si="228"/>
        <v>8500</v>
      </c>
      <c r="L602" s="19">
        <f t="shared" si="229"/>
        <v>45971</v>
      </c>
      <c r="M602" s="13" t="str">
        <f t="shared" si="230"/>
        <v>АРТ-113</v>
      </c>
      <c r="N602" s="13">
        <f t="shared" si="231"/>
        <v>2</v>
      </c>
      <c r="O602" s="13" t="str">
        <f>IFERROR(VLOOKUP(J602,Справочники!$G$6:$H$8,2,0),"RUB")</f>
        <v>RUB</v>
      </c>
      <c r="P602" s="14">
        <f>ROUND(K602*IFERROR(VLOOKUP(J602,Справочники!$G$6:$I$8,3,0),1),2)</f>
        <v>8500</v>
      </c>
      <c r="Q602" s="13" t="str">
        <f>IFERROR(VLOOKUP(H602,Справочники!$D$6:$E$14,2,0),"НЕИЗВЕСТНО")</f>
        <v>Отменен</v>
      </c>
      <c r="R602" s="20">
        <f>IFERROR(INDEX(Товары_очищенные!$Q$3:$Q$503,MATCH(M602,Товары_очищенные!$L$3:$L$503,0)),"нет в каталоге")</f>
        <v>33500</v>
      </c>
      <c r="S602" s="21" t="str">
        <f>IFERROR(INDEX(Товары_очищенные!$N$3:$N$503,MATCH(M602,Товары_очищенные!$L$3:$L$503,0)),"нет в каталоге")</f>
        <v>Наушники</v>
      </c>
      <c r="T602" s="21" t="str">
        <f t="shared" si="232"/>
        <v>OK</v>
      </c>
      <c r="U602" s="12" t="str">
        <f t="shared" si="233"/>
        <v>10/11/2025|АРТ-113|C0600</v>
      </c>
      <c r="V602" s="12" t="str">
        <f t="shared" si="234"/>
        <v>оригинал</v>
      </c>
    </row>
    <row r="603" ht="15" customHeight="1">
      <c r="A603" s="10">
        <v>601</v>
      </c>
      <c r="B603" s="11" t="str">
        <f>RAW_Продажи!A602</f>
        <v>11/11/2025</v>
      </c>
      <c r="C603" s="11" t="str">
        <f>RAW_Продажи!B602</f>
        <v>№АРТ-169</v>
      </c>
      <c r="D603" s="11" t="str">
        <f>RAW_Продажи!C602</f>
        <v>3</v>
      </c>
      <c r="E603" s="11" t="str">
        <f>RAW_Продажи!D602</f>
        <v>$105</v>
      </c>
      <c r="F603" s="11" t="str">
        <f>RAW_Продажи!E602</f>
        <v>C0601</v>
      </c>
      <c r="G603" s="11" t="str">
        <f>RAW_Продажи!F602</f>
        <v>P012</v>
      </c>
      <c r="H603" s="11" t="str">
        <f>RAW_Продажи!G602</f>
        <v>Завершен</v>
      </c>
      <c r="I603" s="12" t="str">
        <f t="shared" si="226"/>
        <v>169</v>
      </c>
      <c r="J603" s="12" t="str">
        <f t="shared" si="227"/>
        <v>$</v>
      </c>
      <c r="K603" s="12">
        <f t="shared" si="228"/>
        <v>105</v>
      </c>
      <c r="L603" s="19">
        <f t="shared" si="229"/>
        <v>45972</v>
      </c>
      <c r="M603" s="13" t="str">
        <f t="shared" si="230"/>
        <v>АРТ-169</v>
      </c>
      <c r="N603" s="13">
        <f t="shared" si="231"/>
        <v>3</v>
      </c>
      <c r="O603" s="13" t="str">
        <f>IFERROR(VLOOKUP(J603,Справочники!$G$6:$H$8,2,0),"RUB")</f>
        <v>USD</v>
      </c>
      <c r="P603" s="14">
        <f>ROUND(K603*IFERROR(VLOOKUP(J603,Справочники!$G$6:$I$8,3,0),1),2)</f>
        <v>9975</v>
      </c>
      <c r="Q603" s="13" t="str">
        <f>IFERROR(VLOOKUP(H603,Справочники!$D$6:$E$14,2,0),"НЕИЗВЕСТНО")</f>
        <v>Завершен</v>
      </c>
      <c r="R603" s="20">
        <f>IFERROR(INDEX(Товары_очищенные!$Q$3:$Q$503,MATCH(M603,Товары_очищенные!$L$3:$L$503,0)),"нет в каталоге")</f>
        <v>57990</v>
      </c>
      <c r="S603" s="21" t="str">
        <f>IFERROR(INDEX(Товары_очищенные!$N$3:$N$503,MATCH(M603,Товары_очищенные!$L$3:$L$503,0)),"нет в каталоге")</f>
        <v>Смартфоны</v>
      </c>
      <c r="T603" s="21" t="str">
        <f t="shared" si="232"/>
        <v>OK</v>
      </c>
      <c r="U603" s="12" t="str">
        <f t="shared" si="233"/>
        <v>11/11/2025|АРТ-169|C0601</v>
      </c>
      <c r="V603" s="12" t="str">
        <f t="shared" si="234"/>
        <v>оригинал</v>
      </c>
    </row>
    <row r="604" ht="15" customHeight="1">
      <c r="A604" s="10">
        <v>602</v>
      </c>
      <c r="B604" s="11" t="str">
        <f>RAW_Продажи!A603</f>
        <v>11/11/2025</v>
      </c>
      <c r="C604" s="11" t="str">
        <f>RAW_Продажи!B603</f>
        <v>АРТ_429</v>
      </c>
      <c r="D604" s="11" t="str">
        <f>RAW_Продажи!C603</f>
        <v>2</v>
      </c>
      <c r="E604" s="11" t="str">
        <f>RAW_Продажи!D603</f>
        <v>€85</v>
      </c>
      <c r="F604" s="11" t="str">
        <f>RAW_Продажи!E603</f>
        <v>C0602</v>
      </c>
      <c r="G604" s="11" t="str">
        <f>RAW_Продажи!F603</f>
        <v>P007</v>
      </c>
      <c r="H604" s="11" t="str">
        <f>RAW_Продажи!G603</f>
        <v>возврат</v>
      </c>
      <c r="I604" s="12" t="str">
        <f t="shared" si="226"/>
        <v>429</v>
      </c>
      <c r="J604" s="12" t="str">
        <f t="shared" si="227"/>
        <v>€</v>
      </c>
      <c r="K604" s="12">
        <f t="shared" si="228"/>
        <v>85</v>
      </c>
      <c r="L604" s="19">
        <f t="shared" si="229"/>
        <v>45972</v>
      </c>
      <c r="M604" s="13" t="str">
        <f t="shared" si="230"/>
        <v>АРТ-429</v>
      </c>
      <c r="N604" s="13">
        <f t="shared" si="231"/>
        <v>2</v>
      </c>
      <c r="O604" s="13" t="str">
        <f>IFERROR(VLOOKUP(J604,Справочники!$G$6:$H$8,2,0),"RUB")</f>
        <v>EUR</v>
      </c>
      <c r="P604" s="14">
        <f>ROUND(K604*IFERROR(VLOOKUP(J604,Справочники!$G$6:$I$8,3,0),1),2)</f>
        <v>8500</v>
      </c>
      <c r="Q604" s="13" t="str">
        <f>IFERROR(VLOOKUP(H604,Справочники!$D$6:$E$14,2,0),"НЕИЗВЕСТНО")</f>
        <v>Возврат</v>
      </c>
      <c r="R604" s="20">
        <f>IFERROR(INDEX(Товары_очищенные!$Q$3:$Q$503,MATCH(M604,Товары_очищенные!$L$3:$L$503,0)),"нет в каталоге")</f>
        <v>52000</v>
      </c>
      <c r="S604" s="21" t="str">
        <f>IFERROR(INDEX(Товары_очищенные!$N$3:$N$503,MATCH(M604,Товары_очищенные!$L$3:$L$503,0)),"нет в каталоге")</f>
        <v>Телевизоры</v>
      </c>
      <c r="T604" s="21" t="str">
        <f t="shared" si="232"/>
        <v>OK</v>
      </c>
      <c r="U604" s="12" t="str">
        <f t="shared" si="233"/>
        <v>11/11/2025|АРТ-429|C0602</v>
      </c>
      <c r="V604" s="12" t="str">
        <f t="shared" si="234"/>
        <v>оригинал</v>
      </c>
    </row>
    <row r="605" ht="15" customHeight="1">
      <c r="A605" s="10">
        <v>603</v>
      </c>
      <c r="B605" s="11" t="str">
        <f>RAW_Продажи!A604</f>
        <v>11/12/2025</v>
      </c>
      <c r="C605" s="11" t="str">
        <f>RAW_Продажи!B604</f>
        <v>334/24</v>
      </c>
      <c r="D605" s="11" t="str">
        <f>RAW_Продажи!C604</f>
        <v xml:space="preserve">1 шт.</v>
      </c>
      <c r="E605" s="11" t="str">
        <f>RAW_Продажи!D604</f>
        <v xml:space="preserve">7800 ₽</v>
      </c>
      <c r="F605" s="11" t="str">
        <f>RAW_Продажи!E604</f>
        <v>C0603</v>
      </c>
      <c r="G605" s="11" t="str">
        <f>RAW_Продажи!F604</f>
        <v>P023</v>
      </c>
      <c r="H605" s="11" t="str">
        <f>RAW_Продажи!G604</f>
        <v>завершен</v>
      </c>
      <c r="I605" s="12" t="str">
        <f t="shared" si="226"/>
        <v>334/24</v>
      </c>
      <c r="J605" s="12" t="str">
        <f t="shared" si="227"/>
        <v>₽</v>
      </c>
      <c r="K605" s="12">
        <f t="shared" si="228"/>
        <v>7800</v>
      </c>
      <c r="L605" s="19">
        <f t="shared" si="229"/>
        <v>45973</v>
      </c>
      <c r="M605" s="13" t="str">
        <f t="shared" si="230"/>
        <v>АРТ-334</v>
      </c>
      <c r="N605" s="13">
        <f t="shared" si="231"/>
        <v>1</v>
      </c>
      <c r="O605" s="13" t="str">
        <f>IFERROR(VLOOKUP(J605,Справочники!$G$6:$H$8,2,0),"RUB")</f>
        <v>RUB</v>
      </c>
      <c r="P605" s="14">
        <f>ROUND(K605*IFERROR(VLOOKUP(J605,Справочники!$G$6:$I$8,3,0),1),2)</f>
        <v>7800</v>
      </c>
      <c r="Q605" s="13" t="str">
        <f>IFERROR(VLOOKUP(H605,Справочники!$D$6:$E$14,2,0),"НЕИЗВЕСТНО")</f>
        <v>Завершен</v>
      </c>
      <c r="R605" s="20">
        <f>IFERROR(INDEX(Товары_очищенные!$Q$3:$Q$503,MATCH(M605,Товары_очищенные!$L$3:$L$503,0)),"нет в каталоге")</f>
        <v>48990</v>
      </c>
      <c r="S605" s="21" t="str">
        <f>IFERROR(INDEX(Товары_очищенные!$N$3:$N$503,MATCH(M605,Товары_очищенные!$L$3:$L$503,0)),"нет в каталоге")</f>
        <v>Планшеты</v>
      </c>
      <c r="T605" s="21" t="str">
        <f t="shared" si="232"/>
        <v>OK</v>
      </c>
      <c r="U605" s="12" t="str">
        <f t="shared" si="233"/>
        <v>12/11/2025|АРТ-334|C0603</v>
      </c>
      <c r="V605" s="12" t="str">
        <f t="shared" si="234"/>
        <v>оригинал</v>
      </c>
    </row>
    <row r="606" ht="15" customHeight="1">
      <c r="A606" s="10">
        <v>604</v>
      </c>
      <c r="B606" s="11" t="str">
        <f>RAW_Продажи!A605</f>
        <v>11/12/2025</v>
      </c>
      <c r="C606" s="11" t="str">
        <f>RAW_Продажи!B605</f>
        <v>№АРТ-355</v>
      </c>
      <c r="D606" s="11" t="str">
        <f>RAW_Продажи!C605</f>
        <v>-3</v>
      </c>
      <c r="E606" s="11" t="str">
        <f>RAW_Продажи!D605</f>
        <v>$120</v>
      </c>
      <c r="F606" s="11" t="str">
        <f>RAW_Продажи!E605</f>
        <v>C0604</v>
      </c>
      <c r="G606" s="11" t="str">
        <f>RAW_Продажи!F605</f>
        <v>P045</v>
      </c>
      <c r="H606" s="11" t="str">
        <f>RAW_Продажи!G605</f>
        <v>completed</v>
      </c>
      <c r="I606" s="12" t="str">
        <f t="shared" si="226"/>
        <v>355</v>
      </c>
      <c r="J606" s="12" t="str">
        <f t="shared" si="227"/>
        <v>$</v>
      </c>
      <c r="K606" s="12">
        <f t="shared" si="228"/>
        <v>120</v>
      </c>
      <c r="L606" s="19">
        <f t="shared" si="229"/>
        <v>45973</v>
      </c>
      <c r="M606" s="13" t="str">
        <f t="shared" si="230"/>
        <v>АРТ-355</v>
      </c>
      <c r="N606" s="13">
        <f t="shared" si="231"/>
        <v>-3</v>
      </c>
      <c r="O606" s="13" t="str">
        <f>IFERROR(VLOOKUP(J606,Справочники!$G$6:$H$8,2,0),"RUB")</f>
        <v>USD</v>
      </c>
      <c r="P606" s="14">
        <f>ROUND(K606*IFERROR(VLOOKUP(J606,Справочники!$G$6:$I$8,3,0),1),2)</f>
        <v>11400</v>
      </c>
      <c r="Q606" s="13" t="str">
        <f>IFERROR(VLOOKUP(H606,Справочники!$D$6:$E$14,2,0),"НЕИЗВЕСТНО")</f>
        <v>Завершен</v>
      </c>
      <c r="R606" s="20">
        <f>IFERROR(INDEX(Товары_очищенные!$Q$3:$Q$503,MATCH(M606,Товары_очищенные!$L$3:$L$503,0)),"нет в каталоге")</f>
        <v>85990</v>
      </c>
      <c r="S606" s="21" t="str">
        <f>IFERROR(INDEX(Товары_очищенные!$N$3:$N$503,MATCH(M606,Товары_очищенные!$L$3:$L$503,0)),"нет в каталоге")</f>
        <v>Смартфоны</v>
      </c>
      <c r="T606" s="21" t="str">
        <f t="shared" si="232"/>
        <v>OK</v>
      </c>
      <c r="U606" s="12" t="str">
        <f t="shared" si="233"/>
        <v>12/11/2025|АРТ-355|C0604</v>
      </c>
      <c r="V606" s="12" t="str">
        <f t="shared" si="234"/>
        <v>оригинал</v>
      </c>
    </row>
    <row r="607" ht="15" customHeight="1">
      <c r="A607" s="10">
        <v>605</v>
      </c>
      <c r="B607" s="11" t="str">
        <f>RAW_Продажи!A606</f>
        <v>11/13/2025</v>
      </c>
      <c r="C607" s="11" t="str">
        <f>RAW_Продажи!B606</f>
        <v>АРТ_371</v>
      </c>
      <c r="D607" s="11" t="str">
        <f>RAW_Продажи!C606</f>
        <v>2</v>
      </c>
      <c r="E607" s="11" t="str">
        <f>RAW_Продажи!D606</f>
        <v>€100</v>
      </c>
      <c r="F607" s="11" t="str">
        <f>RAW_Продажи!E606</f>
        <v>C0605</v>
      </c>
      <c r="G607" s="11" t="str">
        <f>RAW_Продажи!F606</f>
        <v>P008</v>
      </c>
      <c r="H607" s="11" t="str">
        <f>RAW_Продажи!G606</f>
        <v>Завершен</v>
      </c>
      <c r="I607" s="12" t="str">
        <f t="shared" si="226"/>
        <v>371</v>
      </c>
      <c r="J607" s="12" t="str">
        <f t="shared" si="227"/>
        <v>€</v>
      </c>
      <c r="K607" s="12">
        <f t="shared" si="228"/>
        <v>100</v>
      </c>
      <c r="L607" s="19">
        <f t="shared" si="229"/>
        <v>45974</v>
      </c>
      <c r="M607" s="13" t="str">
        <f t="shared" si="230"/>
        <v>АРТ-371</v>
      </c>
      <c r="N607" s="13">
        <f t="shared" si="231"/>
        <v>2</v>
      </c>
      <c r="O607" s="13" t="str">
        <f>IFERROR(VLOOKUP(J607,Справочники!$G$6:$H$8,2,0),"RUB")</f>
        <v>EUR</v>
      </c>
      <c r="P607" s="14">
        <f>ROUND(K607*IFERROR(VLOOKUP(J607,Справочники!$G$6:$I$8,3,0),1),2)</f>
        <v>10000</v>
      </c>
      <c r="Q607" s="13" t="str">
        <f>IFERROR(VLOOKUP(H607,Справочники!$D$6:$E$14,2,0),"НЕИЗВЕСТНО")</f>
        <v>Завершен</v>
      </c>
      <c r="R607" s="20">
        <f>IFERROR(INDEX(Товары_очищенные!$Q$3:$Q$503,MATCH(M607,Товары_очищенные!$L$3:$L$503,0)),"нет в каталоге")</f>
        <v>48000</v>
      </c>
      <c r="S607" s="21" t="str">
        <f>IFERROR(INDEX(Товары_очищенные!$N$3:$N$503,MATCH(M607,Товары_очищенные!$L$3:$L$503,0)),"нет в каталоге")</f>
        <v>Мониторы</v>
      </c>
      <c r="T607" s="21" t="str">
        <f t="shared" si="232"/>
        <v>OK</v>
      </c>
      <c r="U607" s="12" t="str">
        <f t="shared" si="233"/>
        <v>13/11/2025|АРТ-371|C0605</v>
      </c>
      <c r="V607" s="12" t="str">
        <f t="shared" si="234"/>
        <v>оригинал</v>
      </c>
    </row>
    <row r="608" ht="15" customHeight="1">
      <c r="A608" s="10">
        <v>606</v>
      </c>
      <c r="B608" s="11" t="str">
        <f>RAW_Продажи!A607</f>
        <v>11/13/2025</v>
      </c>
      <c r="C608" s="11" t="str">
        <f>RAW_Продажи!B607</f>
        <v>293-24</v>
      </c>
      <c r="D608" s="11" t="str">
        <f>RAW_Продажи!C607</f>
        <v>1</v>
      </c>
      <c r="E608" s="11" t="str">
        <f>RAW_Продажи!D607</f>
        <v xml:space="preserve">9200 ₽</v>
      </c>
      <c r="F608" s="11" t="str">
        <f>RAW_Продажи!E607</f>
        <v>C0606</v>
      </c>
      <c r="G608" s="11" t="str">
        <f>RAW_Продажи!F607</f>
        <v>P031</v>
      </c>
      <c r="H608" s="11" t="str">
        <f>RAW_Продажи!G607</f>
        <v>canceled</v>
      </c>
      <c r="I608" s="12" t="str">
        <f t="shared" si="226"/>
        <v>293-24</v>
      </c>
      <c r="J608" s="12" t="str">
        <f t="shared" si="227"/>
        <v>₽</v>
      </c>
      <c r="K608" s="12">
        <f t="shared" si="228"/>
        <v>9200</v>
      </c>
      <c r="L608" s="19">
        <f t="shared" si="229"/>
        <v>45974</v>
      </c>
      <c r="M608" s="13" t="str">
        <f t="shared" si="230"/>
        <v>АРТ-293</v>
      </c>
      <c r="N608" s="13">
        <f t="shared" si="231"/>
        <v>1</v>
      </c>
      <c r="O608" s="13" t="str">
        <f>IFERROR(VLOOKUP(J608,Справочники!$G$6:$H$8,2,0),"RUB")</f>
        <v>RUB</v>
      </c>
      <c r="P608" s="14">
        <f>ROUND(K608*IFERROR(VLOOKUP(J608,Справочники!$G$6:$I$8,3,0),1),2)</f>
        <v>9200</v>
      </c>
      <c r="Q608" s="13" t="str">
        <f>IFERROR(VLOOKUP(H608,Справочники!$D$6:$E$14,2,0),"НЕИЗВЕСТНО")</f>
        <v>Отменен</v>
      </c>
      <c r="R608" s="20">
        <f>IFERROR(INDEX(Товары_очищенные!$Q$3:$Q$503,MATCH(M608,Товары_очищенные!$L$3:$L$503,0)),"нет в каталоге")</f>
        <v>132000</v>
      </c>
      <c r="S608" s="21" t="str">
        <f>IFERROR(INDEX(Товары_очищенные!$N$3:$N$503,MATCH(M608,Товары_очищенные!$L$3:$L$503,0)),"нет в каталоге")</f>
        <v>Ноутбуки</v>
      </c>
      <c r="T608" s="21" t="str">
        <f t="shared" si="232"/>
        <v>OK</v>
      </c>
      <c r="U608" s="12" t="str">
        <f t="shared" si="233"/>
        <v>13/11/2025|АРТ-293|C0606</v>
      </c>
      <c r="V608" s="12" t="str">
        <f t="shared" si="234"/>
        <v>оригинал</v>
      </c>
    </row>
    <row r="609" ht="15" customHeight="1">
      <c r="A609" s="10">
        <v>607</v>
      </c>
      <c r="B609" s="11" t="str">
        <f>RAW_Продажи!A608</f>
        <v>11/14/2025</v>
      </c>
      <c r="C609" s="11" t="str">
        <f>RAW_Продажи!B608</f>
        <v>№АРТ-006</v>
      </c>
      <c r="D609" s="11" t="str">
        <f>RAW_Продажи!C608</f>
        <v>3</v>
      </c>
      <c r="E609" s="11" t="str">
        <f>RAW_Продажи!D608</f>
        <v>$90</v>
      </c>
      <c r="F609" s="11" t="str">
        <f>RAW_Продажи!E608</f>
        <v>C0607</v>
      </c>
      <c r="G609" s="11" t="str">
        <f>RAW_Продажи!F608</f>
        <v>P019</v>
      </c>
      <c r="H609" s="11" t="str">
        <f>RAW_Продажи!G608</f>
        <v>отменен</v>
      </c>
      <c r="I609" s="12" t="str">
        <f t="shared" si="226"/>
        <v>006</v>
      </c>
      <c r="J609" s="12" t="str">
        <f t="shared" si="227"/>
        <v>$</v>
      </c>
      <c r="K609" s="12">
        <f t="shared" si="228"/>
        <v>90</v>
      </c>
      <c r="L609" s="19">
        <f t="shared" si="229"/>
        <v>45975</v>
      </c>
      <c r="M609" s="13" t="str">
        <f t="shared" si="230"/>
        <v>АРТ-006</v>
      </c>
      <c r="N609" s="13">
        <f t="shared" si="231"/>
        <v>3</v>
      </c>
      <c r="O609" s="13" t="str">
        <f>IFERROR(VLOOKUP(J609,Справочники!$G$6:$H$8,2,0),"RUB")</f>
        <v>USD</v>
      </c>
      <c r="P609" s="14">
        <f>ROUND(K609*IFERROR(VLOOKUP(J609,Справочники!$G$6:$I$8,3,0),1),2)</f>
        <v>8550</v>
      </c>
      <c r="Q609" s="13" t="str">
        <f>IFERROR(VLOOKUP(H609,Справочники!$D$6:$E$14,2,0),"НЕИЗВЕСТНО")</f>
        <v>Отменен</v>
      </c>
      <c r="R609" s="20">
        <f>IFERROR(INDEX(Товары_очищенные!$Q$3:$Q$503,MATCH(M609,Товары_очищенные!$L$3:$L$503,0)),"нет в каталоге")</f>
        <v>131000</v>
      </c>
      <c r="S609" s="21" t="str">
        <f>IFERROR(INDEX(Товары_очищенные!$N$3:$N$503,MATCH(M609,Товары_очищенные!$L$3:$L$503,0)),"нет в каталоге")</f>
        <v>Ноутбуки</v>
      </c>
      <c r="T609" s="21" t="str">
        <f t="shared" si="232"/>
        <v>OK</v>
      </c>
      <c r="U609" s="12" t="str">
        <f t="shared" si="233"/>
        <v>14/11/2025|АРТ-006|C0607</v>
      </c>
      <c r="V609" s="12" t="str">
        <f t="shared" si="234"/>
        <v>оригинал</v>
      </c>
    </row>
    <row r="610" ht="15" customHeight="1">
      <c r="A610" s="10">
        <v>608</v>
      </c>
      <c r="B610" s="11" t="str">
        <f>RAW_Продажи!A609</f>
        <v>11/14/2025</v>
      </c>
      <c r="C610" s="11" t="str">
        <f>RAW_Продажи!B609</f>
        <v>АРТ_488</v>
      </c>
      <c r="D610" s="11" t="str">
        <f>RAW_Продажи!C609</f>
        <v>2</v>
      </c>
      <c r="E610" s="11" t="str">
        <f>RAW_Продажи!D609</f>
        <v>€70</v>
      </c>
      <c r="F610" s="11" t="str">
        <f>RAW_Продажи!E609</f>
        <v>C0608</v>
      </c>
      <c r="G610" s="11" t="str">
        <f>RAW_Продажи!F609</f>
        <v>P042</v>
      </c>
      <c r="H610" s="11" t="str">
        <f>RAW_Продажи!G609</f>
        <v>возврат</v>
      </c>
      <c r="I610" s="12" t="str">
        <f t="shared" si="226"/>
        <v>488</v>
      </c>
      <c r="J610" s="12" t="str">
        <f t="shared" si="227"/>
        <v>€</v>
      </c>
      <c r="K610" s="12">
        <f t="shared" si="228"/>
        <v>70</v>
      </c>
      <c r="L610" s="19">
        <f t="shared" si="229"/>
        <v>45975</v>
      </c>
      <c r="M610" s="13" t="str">
        <f t="shared" si="230"/>
        <v>АРТ-488</v>
      </c>
      <c r="N610" s="13">
        <f t="shared" si="231"/>
        <v>2</v>
      </c>
      <c r="O610" s="13" t="str">
        <f>IFERROR(VLOOKUP(J610,Справочники!$G$6:$H$8,2,0),"RUB")</f>
        <v>EUR</v>
      </c>
      <c r="P610" s="14">
        <f>ROUND(K610*IFERROR(VLOOKUP(J610,Справочники!$G$6:$I$8,3,0),1),2)</f>
        <v>7000</v>
      </c>
      <c r="Q610" s="13" t="str">
        <f>IFERROR(VLOOKUP(H610,Справочники!$D$6:$E$14,2,0),"НЕИЗВЕСТНО")</f>
        <v>Возврат</v>
      </c>
      <c r="R610" s="20">
        <f>IFERROR(INDEX(Товары_очищенные!$Q$3:$Q$503,MATCH(M610,Товары_очищенные!$L$3:$L$503,0)),"нет в каталоге")</f>
        <v>108000</v>
      </c>
      <c r="S610" s="21" t="str">
        <f>IFERROR(INDEX(Товары_очищенные!$N$3:$N$503,MATCH(M610,Товары_очищенные!$L$3:$L$503,0)),"нет в каталоге")</f>
        <v>Ноутбуки</v>
      </c>
      <c r="T610" s="21" t="str">
        <f t="shared" si="232"/>
        <v>OK</v>
      </c>
      <c r="U610" s="12" t="str">
        <f t="shared" si="233"/>
        <v>14/11/2025|АРТ-488|C0608</v>
      </c>
      <c r="V610" s="12" t="str">
        <f t="shared" si="234"/>
        <v>оригинал</v>
      </c>
    </row>
    <row r="611" ht="15" customHeight="1">
      <c r="A611" s="10">
        <v>609</v>
      </c>
      <c r="B611" s="11" t="str">
        <f>RAW_Продажи!A610</f>
        <v>11/15/2025</v>
      </c>
      <c r="C611" s="11" t="str">
        <f>RAW_Продажи!B610</f>
        <v>398/24</v>
      </c>
      <c r="D611" s="11" t="str">
        <f>RAW_Продажи!C610</f>
        <v xml:space="preserve">1 шт.</v>
      </c>
      <c r="E611" s="11" t="str">
        <f>RAW_Продажи!D610</f>
        <v xml:space="preserve">6500 ₽</v>
      </c>
      <c r="F611" s="11" t="str">
        <f>RAW_Продажи!E610</f>
        <v>C0609</v>
      </c>
      <c r="G611" s="11" t="str">
        <f>RAW_Продажи!F610</f>
        <v>P005</v>
      </c>
      <c r="H611" s="11" t="str">
        <f>RAW_Продажи!G610</f>
        <v>Завершен</v>
      </c>
      <c r="I611" s="12" t="str">
        <f t="shared" si="226"/>
        <v>398/24</v>
      </c>
      <c r="J611" s="12" t="str">
        <f t="shared" si="227"/>
        <v>₽</v>
      </c>
      <c r="K611" s="12">
        <f t="shared" si="228"/>
        <v>6500</v>
      </c>
      <c r="L611" s="19">
        <f t="shared" si="229"/>
        <v>45976</v>
      </c>
      <c r="M611" s="13" t="str">
        <f t="shared" si="230"/>
        <v>АРТ-398</v>
      </c>
      <c r="N611" s="13">
        <f t="shared" si="231"/>
        <v>1</v>
      </c>
      <c r="O611" s="13" t="str">
        <f>IFERROR(VLOOKUP(J611,Справочники!$G$6:$H$8,2,0),"RUB")</f>
        <v>RUB</v>
      </c>
      <c r="P611" s="14">
        <f>ROUND(K611*IFERROR(VLOOKUP(J611,Справочники!$G$6:$I$8,3,0),1),2)</f>
        <v>6500</v>
      </c>
      <c r="Q611" s="13" t="str">
        <f>IFERROR(VLOOKUP(H611,Справочники!$D$6:$E$14,2,0),"НЕИЗВЕСТНО")</f>
        <v>Завершен</v>
      </c>
      <c r="R611" s="20">
        <f>IFERROR(INDEX(Товары_очищенные!$Q$3:$Q$503,MATCH(M611,Товары_очищенные!$L$3:$L$503,0)),"нет в каталоге")</f>
        <v>7500</v>
      </c>
      <c r="S611" s="21" t="str">
        <f>IFERROR(INDEX(Товары_очищенные!$N$3:$N$503,MATCH(M611,Товары_очищенные!$L$3:$L$503,0)),"нет в каталоге")</f>
        <v>Аксессуары</v>
      </c>
      <c r="T611" s="21" t="str">
        <f t="shared" si="232"/>
        <v>OK</v>
      </c>
      <c r="U611" s="12" t="str">
        <f t="shared" si="233"/>
        <v>15/11/2025|АРТ-398|C0609</v>
      </c>
      <c r="V611" s="12" t="str">
        <f t="shared" si="234"/>
        <v>оригинал</v>
      </c>
    </row>
    <row r="612" ht="15" customHeight="1">
      <c r="A612" s="10">
        <v>610</v>
      </c>
      <c r="B612" s="11" t="str">
        <f>RAW_Продажи!A611</f>
        <v>11/15/2025</v>
      </c>
      <c r="C612" s="11" t="str">
        <f>RAW_Продажи!B611</f>
        <v>№АРТ-266</v>
      </c>
      <c r="D612" s="11" t="str">
        <f>RAW_Продажи!C611</f>
        <v>-1</v>
      </c>
      <c r="E612" s="11" t="str">
        <f>RAW_Продажи!D611</f>
        <v>$110</v>
      </c>
      <c r="F612" s="11" t="str">
        <f>RAW_Продажи!E611</f>
        <v>C0610</v>
      </c>
      <c r="G612" s="11" t="str">
        <f>RAW_Продажи!F611</f>
        <v>P036</v>
      </c>
      <c r="H612" s="11" t="str">
        <f>RAW_Продажи!G611</f>
        <v>завершен</v>
      </c>
      <c r="I612" s="12" t="str">
        <f t="shared" ref="I612:I675" si="235">SUBSTITUTE(SUBSTITUTE(C612,"№АРТ-",""),"АРТ_","")</f>
        <v>266</v>
      </c>
      <c r="J612" s="12" t="str">
        <f t="shared" ref="J612:J675" si="236">IF(LEFT(TRIM(E612),1)="$","$",IF(LEFT(TRIM(E612),1)="€","€","₽"))</f>
        <v>$</v>
      </c>
      <c r="K612" s="12">
        <f t="shared" ref="K612:K675" si="237">VALUE(SUBSTITUTE(SUBSTITUTE(SUBSTITUTE(SUBSTITUTE(TRIM(E612),"$",""),"€",""),"₽","")," ",""))</f>
        <v>110</v>
      </c>
      <c r="L612" s="19">
        <f t="shared" ref="L612:L675" si="238">DATE(VALUE(MID(B612,7,4)),VALUE(LEFT(B612,2)),VALUE(MID(B612,4,2)))</f>
        <v>45976</v>
      </c>
      <c r="M612" s="13" t="str">
        <f t="shared" ref="M612:M675" si="239">"АРТ-"&amp;LEFT(I612,3)</f>
        <v>АРТ-266</v>
      </c>
      <c r="N612" s="13">
        <f t="shared" ref="N612:N675" si="240">VALUE(LEFT(TRIM(D612),FIND(" ",TRIM(D612)&amp;" ")-1))</f>
        <v>-1</v>
      </c>
      <c r="O612" s="13" t="str">
        <f>IFERROR(VLOOKUP(J612,Справочники!$G$6:$H$8,2,0),"RUB")</f>
        <v>USD</v>
      </c>
      <c r="P612" s="14">
        <f>ROUND(K612*IFERROR(VLOOKUP(J612,Справочники!$G$6:$I$8,3,0),1),2)</f>
        <v>10450</v>
      </c>
      <c r="Q612" s="13" t="str">
        <f>IFERROR(VLOOKUP(H612,Справочники!$D$6:$E$14,2,0),"НЕИЗВЕСТНО")</f>
        <v>Завершен</v>
      </c>
      <c r="R612" s="20">
        <f>IFERROR(INDEX(Товары_очищенные!$Q$3:$Q$503,MATCH(M612,Товары_очищенные!$L$3:$L$503,0)),"нет в каталоге")</f>
        <v>65500</v>
      </c>
      <c r="S612" s="21" t="str">
        <f>IFERROR(INDEX(Товары_очищенные!$N$3:$N$503,MATCH(M612,Товары_очищенные!$L$3:$L$503,0)),"нет в каталоге")</f>
        <v>Мониторы</v>
      </c>
      <c r="T612" s="21" t="str">
        <f t="shared" ref="T612:T675" si="241">IF(ISNUMBER(R612),IF(P612&lt;=R612*1.5,"OK","Цена выше розницы"),"—")</f>
        <v>OK</v>
      </c>
      <c r="U612" s="12" t="str">
        <f t="shared" ref="U612:U675" si="242">TEXT(L612,"DD.MM.YYYY")&amp;"|"&amp;M612&amp;"|"&amp;F612</f>
        <v>15/11/2025|АРТ-266|C0610</v>
      </c>
      <c r="V612" s="12" t="str">
        <f t="shared" ref="V612:V675" si="243">IF(COUNTIF($U$3:U612,U612)&gt;1,"ДУБЛЬ","оригинал")</f>
        <v>оригинал</v>
      </c>
    </row>
    <row r="613" ht="15" customHeight="1">
      <c r="A613" s="10">
        <v>611</v>
      </c>
      <c r="B613" s="11" t="str">
        <f>RAW_Продажи!A612</f>
        <v>11/16/2025</v>
      </c>
      <c r="C613" s="11" t="str">
        <f>RAW_Продажи!B612</f>
        <v>АРТ_344</v>
      </c>
      <c r="D613" s="11" t="str">
        <f>RAW_Продажи!C612</f>
        <v>3</v>
      </c>
      <c r="E613" s="11" t="str">
        <f>RAW_Продажи!D612</f>
        <v>€90</v>
      </c>
      <c r="F613" s="11" t="str">
        <f>RAW_Продажи!E612</f>
        <v>C0611</v>
      </c>
      <c r="G613" s="11" t="str">
        <f>RAW_Продажи!F612</f>
        <v>P014</v>
      </c>
      <c r="H613" s="11" t="str">
        <f>RAW_Продажи!G612</f>
        <v>completed</v>
      </c>
      <c r="I613" s="12" t="str">
        <f t="shared" si="235"/>
        <v>344</v>
      </c>
      <c r="J613" s="12" t="str">
        <f t="shared" si="236"/>
        <v>€</v>
      </c>
      <c r="K613" s="12">
        <f t="shared" si="237"/>
        <v>90</v>
      </c>
      <c r="L613" s="19">
        <f t="shared" si="238"/>
        <v>45977</v>
      </c>
      <c r="M613" s="13" t="str">
        <f t="shared" si="239"/>
        <v>АРТ-344</v>
      </c>
      <c r="N613" s="13">
        <f t="shared" si="240"/>
        <v>3</v>
      </c>
      <c r="O613" s="13" t="str">
        <f>IFERROR(VLOOKUP(J613,Справочники!$G$6:$H$8,2,0),"RUB")</f>
        <v>EUR</v>
      </c>
      <c r="P613" s="14">
        <f>ROUND(K613*IFERROR(VLOOKUP(J613,Справочники!$G$6:$I$8,3,0),1),2)</f>
        <v>9000</v>
      </c>
      <c r="Q613" s="13" t="str">
        <f>IFERROR(VLOOKUP(H613,Справочники!$D$6:$E$14,2,0),"НЕИЗВЕСТНО")</f>
        <v>Завершен</v>
      </c>
      <c r="R613" s="20">
        <f>IFERROR(INDEX(Товары_очищенные!$Q$3:$Q$503,MATCH(M613,Товары_очищенные!$L$3:$L$503,0)),"нет в каталоге")</f>
        <v>82000</v>
      </c>
      <c r="S613" s="21" t="str">
        <f>IFERROR(INDEX(Товары_очищенные!$N$3:$N$503,MATCH(M613,Товары_очищенные!$L$3:$L$503,0)),"нет в каталоге")</f>
        <v>Телевизоры</v>
      </c>
      <c r="T613" s="21" t="str">
        <f t="shared" si="241"/>
        <v>OK</v>
      </c>
      <c r="U613" s="12" t="str">
        <f t="shared" si="242"/>
        <v>16/11/2025|АРТ-344|C0611</v>
      </c>
      <c r="V613" s="12" t="str">
        <f t="shared" si="243"/>
        <v>оригинал</v>
      </c>
    </row>
    <row r="614" ht="15" customHeight="1">
      <c r="A614" s="10">
        <v>612</v>
      </c>
      <c r="B614" s="11" t="str">
        <f>RAW_Продажи!A613</f>
        <v>11/16/2025</v>
      </c>
      <c r="C614" s="11" t="str">
        <f>RAW_Продажи!B613</f>
        <v>265-24</v>
      </c>
      <c r="D614" s="11" t="str">
        <f>RAW_Продажи!C613</f>
        <v>2</v>
      </c>
      <c r="E614" s="11" t="str">
        <f>RAW_Продажи!D613</f>
        <v xml:space="preserve">8000 ₽</v>
      </c>
      <c r="F614" s="11" t="str">
        <f>RAW_Продажи!E613</f>
        <v>C0612</v>
      </c>
      <c r="G614" s="11" t="str">
        <f>RAW_Продажи!F613</f>
        <v>P028</v>
      </c>
      <c r="H614" s="11" t="str">
        <f>RAW_Продажи!G613</f>
        <v>отменен</v>
      </c>
      <c r="I614" s="12" t="str">
        <f t="shared" si="235"/>
        <v>265-24</v>
      </c>
      <c r="J614" s="12" t="str">
        <f t="shared" si="236"/>
        <v>₽</v>
      </c>
      <c r="K614" s="12">
        <f t="shared" si="237"/>
        <v>8000</v>
      </c>
      <c r="L614" s="19">
        <f t="shared" si="238"/>
        <v>45977</v>
      </c>
      <c r="M614" s="13" t="str">
        <f t="shared" si="239"/>
        <v>АРТ-265</v>
      </c>
      <c r="N614" s="13">
        <f t="shared" si="240"/>
        <v>2</v>
      </c>
      <c r="O614" s="13" t="str">
        <f>IFERROR(VLOOKUP(J614,Справочники!$G$6:$H$8,2,0),"RUB")</f>
        <v>RUB</v>
      </c>
      <c r="P614" s="14">
        <f>ROUND(K614*IFERROR(VLOOKUP(J614,Справочники!$G$6:$I$8,3,0),1),2)</f>
        <v>8000</v>
      </c>
      <c r="Q614" s="13" t="str">
        <f>IFERROR(VLOOKUP(H614,Справочники!$D$6:$E$14,2,0),"НЕИЗВЕСТНО")</f>
        <v>Отменен</v>
      </c>
      <c r="R614" s="20">
        <f>IFERROR(INDEX(Товары_очищенные!$Q$3:$Q$503,MATCH(M614,Товары_очищенные!$L$3:$L$503,0)),"нет в каталоге")</f>
        <v>67990</v>
      </c>
      <c r="S614" s="21" t="str">
        <f>IFERROR(INDEX(Товары_очищенные!$N$3:$N$503,MATCH(M614,Товары_очищенные!$L$3:$L$503,0)),"нет в каталоге")</f>
        <v>Мониторы</v>
      </c>
      <c r="T614" s="21" t="str">
        <f t="shared" si="241"/>
        <v>OK</v>
      </c>
      <c r="U614" s="12" t="str">
        <f t="shared" si="242"/>
        <v>16/11/2025|АРТ-265|C0612</v>
      </c>
      <c r="V614" s="12" t="str">
        <f t="shared" si="243"/>
        <v>оригинал</v>
      </c>
    </row>
    <row r="615" ht="15" customHeight="1">
      <c r="A615" s="10">
        <v>613</v>
      </c>
      <c r="B615" s="11" t="str">
        <f>RAW_Продажи!A614</f>
        <v>11/17/2025</v>
      </c>
      <c r="C615" s="11" t="str">
        <f>RAW_Продажи!B614</f>
        <v>№АРТ-093</v>
      </c>
      <c r="D615" s="11" t="str">
        <f>RAW_Продажи!C614</f>
        <v>1</v>
      </c>
      <c r="E615" s="11" t="str">
        <f>RAW_Продажи!D614</f>
        <v>$95</v>
      </c>
      <c r="F615" s="11" t="str">
        <f>RAW_Продажи!E614</f>
        <v>C0613</v>
      </c>
      <c r="G615" s="11" t="str">
        <f>RAW_Продажи!F614</f>
        <v>P009</v>
      </c>
      <c r="H615" s="11" t="str">
        <f>RAW_Продажи!G614</f>
        <v>canceled</v>
      </c>
      <c r="I615" s="12" t="str">
        <f t="shared" si="235"/>
        <v>093</v>
      </c>
      <c r="J615" s="12" t="str">
        <f t="shared" si="236"/>
        <v>$</v>
      </c>
      <c r="K615" s="12">
        <f t="shared" si="237"/>
        <v>95</v>
      </c>
      <c r="L615" s="19">
        <f t="shared" si="238"/>
        <v>45978</v>
      </c>
      <c r="M615" s="13" t="str">
        <f t="shared" si="239"/>
        <v>АРТ-093</v>
      </c>
      <c r="N615" s="13">
        <f t="shared" si="240"/>
        <v>1</v>
      </c>
      <c r="O615" s="13" t="str">
        <f>IFERROR(VLOOKUP(J615,Справочники!$G$6:$H$8,2,0),"RUB")</f>
        <v>USD</v>
      </c>
      <c r="P615" s="14">
        <f>ROUND(K615*IFERROR(VLOOKUP(J615,Справочники!$G$6:$I$8,3,0),1),2)</f>
        <v>9025</v>
      </c>
      <c r="Q615" s="13" t="str">
        <f>IFERROR(VLOOKUP(H615,Справочники!$D$6:$E$14,2,0),"НЕИЗВЕСТНО")</f>
        <v>Отменен</v>
      </c>
      <c r="R615" s="20">
        <f>IFERROR(INDEX(Товары_очищенные!$Q$3:$Q$503,MATCH(M615,Товары_очищенные!$L$3:$L$503,0)),"нет в каталоге")</f>
        <v>10500</v>
      </c>
      <c r="S615" s="21" t="str">
        <f>IFERROR(INDEX(Товары_очищенные!$N$3:$N$503,MATCH(M615,Товары_очищенные!$L$3:$L$503,0)),"нет в каталоге")</f>
        <v>Наушники</v>
      </c>
      <c r="T615" s="21" t="str">
        <f t="shared" si="241"/>
        <v>OK</v>
      </c>
      <c r="U615" s="12" t="str">
        <f t="shared" si="242"/>
        <v>17/11/2025|АРТ-093|C0613</v>
      </c>
      <c r="V615" s="12" t="str">
        <f t="shared" si="243"/>
        <v>оригинал</v>
      </c>
    </row>
    <row r="616" ht="15" customHeight="1">
      <c r="A616" s="10">
        <v>614</v>
      </c>
      <c r="B616" s="11" t="str">
        <f>RAW_Продажи!A615</f>
        <v>11/17/2025</v>
      </c>
      <c r="C616" s="11" t="str">
        <f>RAW_Продажи!B615</f>
        <v>АРТ_442</v>
      </c>
      <c r="D616" s="11" t="str">
        <f>RAW_Продажи!C615</f>
        <v>2</v>
      </c>
      <c r="E616" s="11" t="str">
        <f>RAW_Продажи!D615</f>
        <v>€75</v>
      </c>
      <c r="F616" s="11" t="str">
        <f>RAW_Продажи!E615</f>
        <v>C0614</v>
      </c>
      <c r="G616" s="11" t="str">
        <f>RAW_Продажи!F615</f>
        <v>P041</v>
      </c>
      <c r="H616" s="11" t="str">
        <f>RAW_Продажи!G615</f>
        <v>Завершен</v>
      </c>
      <c r="I616" s="12" t="str">
        <f t="shared" si="235"/>
        <v>442</v>
      </c>
      <c r="J616" s="12" t="str">
        <f t="shared" si="236"/>
        <v>€</v>
      </c>
      <c r="K616" s="12">
        <f t="shared" si="237"/>
        <v>75</v>
      </c>
      <c r="L616" s="19">
        <f t="shared" si="238"/>
        <v>45978</v>
      </c>
      <c r="M616" s="13" t="str">
        <f t="shared" si="239"/>
        <v>АРТ-442</v>
      </c>
      <c r="N616" s="13">
        <f t="shared" si="240"/>
        <v>2</v>
      </c>
      <c r="O616" s="13" t="str">
        <f>IFERROR(VLOOKUP(J616,Справочники!$G$6:$H$8,2,0),"RUB")</f>
        <v>EUR</v>
      </c>
      <c r="P616" s="14">
        <f>ROUND(K616*IFERROR(VLOOKUP(J616,Справочники!$G$6:$I$8,3,0),1),2)</f>
        <v>7500</v>
      </c>
      <c r="Q616" s="13" t="str">
        <f>IFERROR(VLOOKUP(H616,Справочники!$D$6:$E$14,2,0),"НЕИЗВЕСТНО")</f>
        <v>Завершен</v>
      </c>
      <c r="R616" s="20">
        <f>IFERROR(INDEX(Товары_очищенные!$Q$3:$Q$503,MATCH(M616,Товары_очищенные!$L$3:$L$503,0)),"нет в каталоге")</f>
        <v>24990</v>
      </c>
      <c r="S616" s="21" t="str">
        <f>IFERROR(INDEX(Товары_очищенные!$N$3:$N$503,MATCH(M616,Товары_очищенные!$L$3:$L$503,0)),"нет в каталоге")</f>
        <v>Смартфоны</v>
      </c>
      <c r="T616" s="21" t="str">
        <f t="shared" si="241"/>
        <v>OK</v>
      </c>
      <c r="U616" s="12" t="str">
        <f t="shared" si="242"/>
        <v>17/11/2025|АРТ-442|C0614</v>
      </c>
      <c r="V616" s="12" t="str">
        <f t="shared" si="243"/>
        <v>оригинал</v>
      </c>
    </row>
    <row r="617" ht="15" customHeight="1">
      <c r="A617" s="10">
        <v>615</v>
      </c>
      <c r="B617" s="11" t="str">
        <f>RAW_Продажи!A616</f>
        <v>11/18/2025</v>
      </c>
      <c r="C617" s="11" t="str">
        <f>RAW_Продажи!B616</f>
        <v>324/24</v>
      </c>
      <c r="D617" s="11" t="str">
        <f>RAW_Продажи!C616</f>
        <v xml:space="preserve">3 шт.</v>
      </c>
      <c r="E617" s="11" t="str">
        <f>RAW_Продажи!D616</f>
        <v xml:space="preserve">7000 ₽</v>
      </c>
      <c r="F617" s="11" t="str">
        <f>RAW_Продажи!E616</f>
        <v>C0615</v>
      </c>
      <c r="G617" s="11" t="str">
        <f>RAW_Продажи!F616</f>
        <v>P017</v>
      </c>
      <c r="H617" s="11" t="str">
        <f>RAW_Продажи!G616</f>
        <v>возврат</v>
      </c>
      <c r="I617" s="12" t="str">
        <f t="shared" si="235"/>
        <v>324/24</v>
      </c>
      <c r="J617" s="12" t="str">
        <f t="shared" si="236"/>
        <v>₽</v>
      </c>
      <c r="K617" s="12">
        <f t="shared" si="237"/>
        <v>7000</v>
      </c>
      <c r="L617" s="19">
        <f t="shared" si="238"/>
        <v>45979</v>
      </c>
      <c r="M617" s="13" t="str">
        <f t="shared" si="239"/>
        <v>АРТ-324</v>
      </c>
      <c r="N617" s="13">
        <f t="shared" si="240"/>
        <v>3</v>
      </c>
      <c r="O617" s="13" t="str">
        <f>IFERROR(VLOOKUP(J617,Справочники!$G$6:$H$8,2,0),"RUB")</f>
        <v>RUB</v>
      </c>
      <c r="P617" s="14">
        <f>ROUND(K617*IFERROR(VLOOKUP(J617,Справочники!$G$6:$I$8,3,0),1),2)</f>
        <v>7000</v>
      </c>
      <c r="Q617" s="13" t="str">
        <f>IFERROR(VLOOKUP(H617,Справочники!$D$6:$E$14,2,0),"НЕИЗВЕСТНО")</f>
        <v>Возврат</v>
      </c>
      <c r="R617" s="20">
        <f>IFERROR(INDEX(Товары_очищенные!$Q$3:$Q$503,MATCH(M617,Товары_очищенные!$L$3:$L$503,0)),"нет в каталоге")</f>
        <v>13800</v>
      </c>
      <c r="S617" s="21" t="str">
        <f>IFERROR(INDEX(Товары_очищенные!$N$3:$N$503,MATCH(M617,Товары_очищенные!$L$3:$L$503,0)),"нет в каталоге")</f>
        <v>Наушники</v>
      </c>
      <c r="T617" s="21" t="str">
        <f t="shared" si="241"/>
        <v>OK</v>
      </c>
      <c r="U617" s="12" t="str">
        <f t="shared" si="242"/>
        <v>18/11/2025|АРТ-324|C0615</v>
      </c>
      <c r="V617" s="12" t="str">
        <f t="shared" si="243"/>
        <v>оригинал</v>
      </c>
    </row>
    <row r="618" ht="15" customHeight="1">
      <c r="A618" s="10">
        <v>616</v>
      </c>
      <c r="B618" s="11" t="str">
        <f>RAW_Продажи!A617</f>
        <v>11/18/2025</v>
      </c>
      <c r="C618" s="11" t="str">
        <f>RAW_Продажи!B617</f>
        <v>№АРТ-193</v>
      </c>
      <c r="D618" s="11" t="str">
        <f>RAW_Продажи!C617</f>
        <v>-2</v>
      </c>
      <c r="E618" s="11" t="str">
        <f>RAW_Продажи!D617</f>
        <v>$115</v>
      </c>
      <c r="F618" s="11" t="str">
        <f>RAW_Продажи!E617</f>
        <v>C0616</v>
      </c>
      <c r="G618" s="11" t="str">
        <f>RAW_Продажи!F617</f>
        <v>P032</v>
      </c>
      <c r="H618" s="11" t="str">
        <f>RAW_Продажи!G617</f>
        <v>завершен</v>
      </c>
      <c r="I618" s="12" t="str">
        <f t="shared" si="235"/>
        <v>193</v>
      </c>
      <c r="J618" s="12" t="str">
        <f t="shared" si="236"/>
        <v>$</v>
      </c>
      <c r="K618" s="12">
        <f t="shared" si="237"/>
        <v>115</v>
      </c>
      <c r="L618" s="19">
        <f t="shared" si="238"/>
        <v>45979</v>
      </c>
      <c r="M618" s="13" t="str">
        <f t="shared" si="239"/>
        <v>АРТ-193</v>
      </c>
      <c r="N618" s="13">
        <f t="shared" si="240"/>
        <v>-2</v>
      </c>
      <c r="O618" s="13" t="str">
        <f>IFERROR(VLOOKUP(J618,Справочники!$G$6:$H$8,2,0),"RUB")</f>
        <v>USD</v>
      </c>
      <c r="P618" s="14">
        <f>ROUND(K618*IFERROR(VLOOKUP(J618,Справочники!$G$6:$I$8,3,0),1),2)</f>
        <v>10925</v>
      </c>
      <c r="Q618" s="13" t="str">
        <f>IFERROR(VLOOKUP(H618,Справочники!$D$6:$E$14,2,0),"НЕИЗВЕСТНО")</f>
        <v>Завершен</v>
      </c>
      <c r="R618" s="20">
        <f>IFERROR(INDEX(Товары_очищенные!$Q$3:$Q$503,MATCH(M618,Товары_очищенные!$L$3:$L$503,0)),"нет в каталоге")</f>
        <v>129990</v>
      </c>
      <c r="S618" s="21" t="str">
        <f>IFERROR(INDEX(Товары_очищенные!$N$3:$N$503,MATCH(M618,Товары_очищенные!$L$3:$L$503,0)),"нет в каталоге")</f>
        <v>Ноутбуки</v>
      </c>
      <c r="T618" s="21" t="str">
        <f t="shared" si="241"/>
        <v>OK</v>
      </c>
      <c r="U618" s="12" t="str">
        <f t="shared" si="242"/>
        <v>18/11/2025|АРТ-193|C0616</v>
      </c>
      <c r="V618" s="12" t="str">
        <f t="shared" si="243"/>
        <v>оригинал</v>
      </c>
    </row>
    <row r="619" ht="15" customHeight="1">
      <c r="A619" s="10">
        <v>617</v>
      </c>
      <c r="B619" s="11" t="str">
        <f>RAW_Продажи!A618</f>
        <v>11/19/2025</v>
      </c>
      <c r="C619" s="11" t="str">
        <f>RAW_Продажи!B618</f>
        <v>АРТ_351</v>
      </c>
      <c r="D619" s="11" t="str">
        <f>RAW_Продажи!C618</f>
        <v>1</v>
      </c>
      <c r="E619" s="11" t="str">
        <f>RAW_Продажи!D618</f>
        <v>€95</v>
      </c>
      <c r="F619" s="11" t="str">
        <f>RAW_Продажи!E618</f>
        <v>C0617</v>
      </c>
      <c r="G619" s="11" t="str">
        <f>RAW_Продажи!F618</f>
        <v>P049</v>
      </c>
      <c r="H619" s="11" t="str">
        <f>RAW_Продажи!G618</f>
        <v>completed</v>
      </c>
      <c r="I619" s="12" t="str">
        <f t="shared" si="235"/>
        <v>351</v>
      </c>
      <c r="J619" s="12" t="str">
        <f t="shared" si="236"/>
        <v>€</v>
      </c>
      <c r="K619" s="12">
        <f t="shared" si="237"/>
        <v>95</v>
      </c>
      <c r="L619" s="19">
        <f t="shared" si="238"/>
        <v>45980</v>
      </c>
      <c r="M619" s="13" t="str">
        <f t="shared" si="239"/>
        <v>АРТ-351</v>
      </c>
      <c r="N619" s="13">
        <f t="shared" si="240"/>
        <v>1</v>
      </c>
      <c r="O619" s="13" t="str">
        <f>IFERROR(VLOOKUP(J619,Справочники!$G$6:$H$8,2,0),"RUB")</f>
        <v>EUR</v>
      </c>
      <c r="P619" s="14">
        <f>ROUND(K619*IFERROR(VLOOKUP(J619,Справочники!$G$6:$I$8,3,0),1),2)</f>
        <v>9500</v>
      </c>
      <c r="Q619" s="13" t="str">
        <f>IFERROR(VLOOKUP(H619,Справочники!$D$6:$E$14,2,0),"НЕИЗВЕСТНО")</f>
        <v>Завершен</v>
      </c>
      <c r="R619" s="20">
        <f>IFERROR(INDEX(Товары_очищенные!$Q$3:$Q$503,MATCH(M619,Товары_очищенные!$L$3:$L$503,0)),"нет в каталоге")</f>
        <v>57000</v>
      </c>
      <c r="S619" s="21" t="str">
        <f>IFERROR(INDEX(Товары_очищенные!$N$3:$N$503,MATCH(M619,Товары_очищенные!$L$3:$L$503,0)),"нет в каталоге")</f>
        <v>Мониторы</v>
      </c>
      <c r="T619" s="21" t="str">
        <f t="shared" si="241"/>
        <v>OK</v>
      </c>
      <c r="U619" s="12" t="str">
        <f t="shared" si="242"/>
        <v>19/11/2025|АРТ-351|C0617</v>
      </c>
      <c r="V619" s="12" t="str">
        <f t="shared" si="243"/>
        <v>оригинал</v>
      </c>
    </row>
    <row r="620" ht="15" customHeight="1">
      <c r="A620" s="10">
        <v>618</v>
      </c>
      <c r="B620" s="11" t="str">
        <f>RAW_Продажи!A619</f>
        <v>11/19/2025</v>
      </c>
      <c r="C620" s="11" t="str">
        <f>RAW_Продажи!B619</f>
        <v>218-24</v>
      </c>
      <c r="D620" s="11" t="str">
        <f>RAW_Продажи!C619</f>
        <v>2</v>
      </c>
      <c r="E620" s="11" t="str">
        <f>RAW_Продажи!D619</f>
        <v xml:space="preserve">8500 ₽</v>
      </c>
      <c r="F620" s="11" t="str">
        <f>RAW_Продажи!E619</f>
        <v>C0618</v>
      </c>
      <c r="G620" s="11" t="str">
        <f>RAW_Продажи!F619</f>
        <v>P006</v>
      </c>
      <c r="H620" s="11" t="str">
        <f>RAW_Продажи!G619</f>
        <v>Завершен</v>
      </c>
      <c r="I620" s="12" t="str">
        <f t="shared" si="235"/>
        <v>218-24</v>
      </c>
      <c r="J620" s="12" t="str">
        <f t="shared" si="236"/>
        <v>₽</v>
      </c>
      <c r="K620" s="12">
        <f t="shared" si="237"/>
        <v>8500</v>
      </c>
      <c r="L620" s="19">
        <f t="shared" si="238"/>
        <v>45980</v>
      </c>
      <c r="M620" s="13" t="str">
        <f t="shared" si="239"/>
        <v>АРТ-218</v>
      </c>
      <c r="N620" s="13">
        <f t="shared" si="240"/>
        <v>2</v>
      </c>
      <c r="O620" s="13" t="str">
        <f>IFERROR(VLOOKUP(J620,Справочники!$G$6:$H$8,2,0),"RUB")</f>
        <v>RUB</v>
      </c>
      <c r="P620" s="14">
        <f>ROUND(K620*IFERROR(VLOOKUP(J620,Справочники!$G$6:$I$8,3,0),1),2)</f>
        <v>8500</v>
      </c>
      <c r="Q620" s="13" t="str">
        <f>IFERROR(VLOOKUP(H620,Справочники!$D$6:$E$14,2,0),"НЕИЗВЕСТНО")</f>
        <v>Завершен</v>
      </c>
      <c r="R620" s="20">
        <f>IFERROR(INDEX(Товары_очищенные!$Q$3:$Q$503,MATCH(M620,Товары_очищенные!$L$3:$L$503,0)),"нет в каталоге")</f>
        <v>67500</v>
      </c>
      <c r="S620" s="21" t="str">
        <f>IFERROR(INDEX(Товары_очищенные!$N$3:$N$503,MATCH(M620,Товары_очищенные!$L$3:$L$503,0)),"нет в каталоге")</f>
        <v>Телевизоры</v>
      </c>
      <c r="T620" s="21" t="str">
        <f t="shared" si="241"/>
        <v>OK</v>
      </c>
      <c r="U620" s="12" t="str">
        <f t="shared" si="242"/>
        <v>19/11/2025|АРТ-218|C0618</v>
      </c>
      <c r="V620" s="12" t="str">
        <f t="shared" si="243"/>
        <v>оригинал</v>
      </c>
    </row>
    <row r="621" ht="15" customHeight="1">
      <c r="A621" s="10">
        <v>619</v>
      </c>
      <c r="B621" s="11" t="str">
        <f>RAW_Продажи!A620</f>
        <v>11/20/2025</v>
      </c>
      <c r="C621" s="11" t="str">
        <f>RAW_Продажи!B620</f>
        <v>№АРТ-052</v>
      </c>
      <c r="D621" s="11" t="str">
        <f>RAW_Продажи!C620</f>
        <v>3</v>
      </c>
      <c r="E621" s="11" t="str">
        <f>RAW_Продажи!D620</f>
        <v>$105</v>
      </c>
      <c r="F621" s="11" t="str">
        <f>RAW_Продажи!E620</f>
        <v>C0619</v>
      </c>
      <c r="G621" s="11" t="str">
        <f>RAW_Продажи!F620</f>
        <v>P024</v>
      </c>
      <c r="H621" s="11" t="str">
        <f>RAW_Продажи!G620</f>
        <v>canceled</v>
      </c>
      <c r="I621" s="12" t="str">
        <f t="shared" si="235"/>
        <v>052</v>
      </c>
      <c r="J621" s="12" t="str">
        <f t="shared" si="236"/>
        <v>$</v>
      </c>
      <c r="K621" s="12">
        <f t="shared" si="237"/>
        <v>105</v>
      </c>
      <c r="L621" s="19">
        <f t="shared" si="238"/>
        <v>45981</v>
      </c>
      <c r="M621" s="13" t="str">
        <f t="shared" si="239"/>
        <v>АРТ-052</v>
      </c>
      <c r="N621" s="13">
        <f t="shared" si="240"/>
        <v>3</v>
      </c>
      <c r="O621" s="13" t="str">
        <f>IFERROR(VLOOKUP(J621,Справочники!$G$6:$H$8,2,0),"RUB")</f>
        <v>USD</v>
      </c>
      <c r="P621" s="14">
        <f>ROUND(K621*IFERROR(VLOOKUP(J621,Справочники!$G$6:$I$8,3,0),1),2)</f>
        <v>9975</v>
      </c>
      <c r="Q621" s="13" t="str">
        <f>IFERROR(VLOOKUP(H621,Справочники!$D$6:$E$14,2,0),"НЕИЗВЕСТНО")</f>
        <v>Отменен</v>
      </c>
      <c r="R621" s="20">
        <f>IFERROR(INDEX(Товары_очищенные!$Q$3:$Q$503,MATCH(M621,Товары_очищенные!$L$3:$L$503,0)),"нет в каталоге")</f>
        <v>69900</v>
      </c>
      <c r="S621" s="21" t="str">
        <f>IFERROR(INDEX(Товары_очищенные!$N$3:$N$503,MATCH(M621,Товары_очищенные!$L$3:$L$503,0)),"нет в каталоге")</f>
        <v>Мониторы</v>
      </c>
      <c r="T621" s="21" t="str">
        <f t="shared" si="241"/>
        <v>OK</v>
      </c>
      <c r="U621" s="12" t="str">
        <f t="shared" si="242"/>
        <v>20/11/2025|АРТ-052|C0619</v>
      </c>
      <c r="V621" s="12" t="str">
        <f t="shared" si="243"/>
        <v>оригинал</v>
      </c>
    </row>
    <row r="622" ht="15" customHeight="1">
      <c r="A622" s="10">
        <v>620</v>
      </c>
      <c r="B622" s="11" t="str">
        <f>RAW_Продажи!A621</f>
        <v>11/20/2025</v>
      </c>
      <c r="C622" s="11" t="str">
        <f>RAW_Продажи!B621</f>
        <v>АРТ_412</v>
      </c>
      <c r="D622" s="11" t="str">
        <f>RAW_Продажи!C621</f>
        <v>2</v>
      </c>
      <c r="E622" s="11" t="str">
        <f>RAW_Продажи!D621</f>
        <v>€85</v>
      </c>
      <c r="F622" s="11" t="str">
        <f>RAW_Продажи!E621</f>
        <v>C0620</v>
      </c>
      <c r="G622" s="11" t="str">
        <f>RAW_Продажи!F621</f>
        <v>P015</v>
      </c>
      <c r="H622" s="11" t="str">
        <f>RAW_Продажи!G621</f>
        <v>отменен</v>
      </c>
      <c r="I622" s="12" t="str">
        <f t="shared" si="235"/>
        <v>412</v>
      </c>
      <c r="J622" s="12" t="str">
        <f t="shared" si="236"/>
        <v>€</v>
      </c>
      <c r="K622" s="12">
        <f t="shared" si="237"/>
        <v>85</v>
      </c>
      <c r="L622" s="19">
        <f t="shared" si="238"/>
        <v>45981</v>
      </c>
      <c r="M622" s="13" t="str">
        <f t="shared" si="239"/>
        <v>АРТ-412</v>
      </c>
      <c r="N622" s="13">
        <f t="shared" si="240"/>
        <v>2</v>
      </c>
      <c r="O622" s="13" t="str">
        <f>IFERROR(VLOOKUP(J622,Справочники!$G$6:$H$8,2,0),"RUB")</f>
        <v>EUR</v>
      </c>
      <c r="P622" s="14">
        <f>ROUND(K622*IFERROR(VLOOKUP(J622,Справочники!$G$6:$I$8,3,0),1),2)</f>
        <v>8500</v>
      </c>
      <c r="Q622" s="13" t="str">
        <f>IFERROR(VLOOKUP(H622,Справочники!$D$6:$E$14,2,0),"НЕИЗВЕСТНО")</f>
        <v>Отменен</v>
      </c>
      <c r="R622" s="20">
        <f>IFERROR(INDEX(Товары_очищенные!$Q$3:$Q$503,MATCH(M622,Товары_очищенные!$L$3:$L$503,0)),"нет в каталоге")</f>
        <v>54990</v>
      </c>
      <c r="S622" s="21" t="str">
        <f>IFERROR(INDEX(Товары_очищенные!$N$3:$N$503,MATCH(M622,Товары_очищенные!$L$3:$L$503,0)),"нет в каталоге")</f>
        <v>Мониторы</v>
      </c>
      <c r="T622" s="21" t="str">
        <f t="shared" si="241"/>
        <v>OK</v>
      </c>
      <c r="U622" s="12" t="str">
        <f t="shared" si="242"/>
        <v>20/11/2025|АРТ-412|C0620</v>
      </c>
      <c r="V622" s="12" t="str">
        <f t="shared" si="243"/>
        <v>оригинал</v>
      </c>
    </row>
    <row r="623" ht="15" customHeight="1">
      <c r="A623" s="10">
        <v>621</v>
      </c>
      <c r="B623" s="11" t="str">
        <f>RAW_Продажи!A622</f>
        <v>11/21/2025</v>
      </c>
      <c r="C623" s="11" t="str">
        <f>RAW_Продажи!B622</f>
        <v>385/24</v>
      </c>
      <c r="D623" s="11" t="str">
        <f>RAW_Продажи!C622</f>
        <v xml:space="preserve">1 шт.</v>
      </c>
      <c r="E623" s="11" t="str">
        <f>RAW_Продажи!D622</f>
        <v xml:space="preserve">7800 ₽</v>
      </c>
      <c r="F623" s="11" t="str">
        <f>RAW_Продажи!E622</f>
        <v>C0621</v>
      </c>
      <c r="G623" s="11" t="str">
        <f>RAW_Продажи!F622</f>
        <v>P037</v>
      </c>
      <c r="H623" s="11" t="str">
        <f>RAW_Продажи!G622</f>
        <v>возврат</v>
      </c>
      <c r="I623" s="12" t="str">
        <f t="shared" si="235"/>
        <v>385/24</v>
      </c>
      <c r="J623" s="12" t="str">
        <f t="shared" si="236"/>
        <v>₽</v>
      </c>
      <c r="K623" s="12">
        <f t="shared" si="237"/>
        <v>7800</v>
      </c>
      <c r="L623" s="19">
        <f t="shared" si="238"/>
        <v>45982</v>
      </c>
      <c r="M623" s="13" t="str">
        <f t="shared" si="239"/>
        <v>АРТ-385</v>
      </c>
      <c r="N623" s="13">
        <f t="shared" si="240"/>
        <v>1</v>
      </c>
      <c r="O623" s="13" t="str">
        <f>IFERROR(VLOOKUP(J623,Справочники!$G$6:$H$8,2,0),"RUB")</f>
        <v>RUB</v>
      </c>
      <c r="P623" s="14">
        <f>ROUND(K623*IFERROR(VLOOKUP(J623,Справочники!$G$6:$I$8,3,0),1),2)</f>
        <v>7800</v>
      </c>
      <c r="Q623" s="13" t="str">
        <f>IFERROR(VLOOKUP(H623,Справочники!$D$6:$E$14,2,0),"НЕИЗВЕСТНО")</f>
        <v>Возврат</v>
      </c>
      <c r="R623" s="20">
        <f>IFERROR(INDEX(Товары_очищенные!$Q$3:$Q$503,MATCH(M623,Товары_очищенные!$L$3:$L$503,0)),"нет в каталоге")</f>
        <v>116990</v>
      </c>
      <c r="S623" s="21" t="str">
        <f>IFERROR(INDEX(Товары_очищенные!$N$3:$N$503,MATCH(M623,Товары_очищенные!$L$3:$L$503,0)),"нет в каталоге")</f>
        <v>Ноутбуки</v>
      </c>
      <c r="T623" s="21" t="str">
        <f t="shared" si="241"/>
        <v>OK</v>
      </c>
      <c r="U623" s="12" t="str">
        <f t="shared" si="242"/>
        <v>21/11/2025|АРТ-385|C0621</v>
      </c>
      <c r="V623" s="12" t="str">
        <f t="shared" si="243"/>
        <v>оригинал</v>
      </c>
    </row>
    <row r="624" ht="15" customHeight="1">
      <c r="A624" s="10">
        <v>622</v>
      </c>
      <c r="B624" s="11" t="str">
        <f>RAW_Продажи!A623</f>
        <v>11/21/2025</v>
      </c>
      <c r="C624" s="11" t="str">
        <f>RAW_Продажи!B623</f>
        <v>№АРТ-175</v>
      </c>
      <c r="D624" s="11" t="str">
        <f>RAW_Продажи!C623</f>
        <v>-3</v>
      </c>
      <c r="E624" s="11" t="str">
        <f>RAW_Продажи!D623</f>
        <v>$120</v>
      </c>
      <c r="F624" s="11" t="str">
        <f>RAW_Продажи!E623</f>
        <v>C0622</v>
      </c>
      <c r="G624" s="11" t="str">
        <f>RAW_Продажи!F623</f>
        <v>P048</v>
      </c>
      <c r="H624" s="11" t="str">
        <f>RAW_Продажи!G623</f>
        <v>Завершен</v>
      </c>
      <c r="I624" s="12" t="str">
        <f t="shared" si="235"/>
        <v>175</v>
      </c>
      <c r="J624" s="12" t="str">
        <f t="shared" si="236"/>
        <v>$</v>
      </c>
      <c r="K624" s="12">
        <f t="shared" si="237"/>
        <v>120</v>
      </c>
      <c r="L624" s="19">
        <f t="shared" si="238"/>
        <v>45982</v>
      </c>
      <c r="M624" s="13" t="str">
        <f t="shared" si="239"/>
        <v>АРТ-175</v>
      </c>
      <c r="N624" s="13">
        <f t="shared" si="240"/>
        <v>-3</v>
      </c>
      <c r="O624" s="13" t="str">
        <f>IFERROR(VLOOKUP(J624,Справочники!$G$6:$H$8,2,0),"RUB")</f>
        <v>USD</v>
      </c>
      <c r="P624" s="14">
        <f>ROUND(K624*IFERROR(VLOOKUP(J624,Справочники!$G$6:$I$8,3,0),1),2)</f>
        <v>11400</v>
      </c>
      <c r="Q624" s="13" t="str">
        <f>IFERROR(VLOOKUP(H624,Справочники!$D$6:$E$14,2,0),"НЕИЗВЕСТНО")</f>
        <v>Завершен</v>
      </c>
      <c r="R624" s="20">
        <f>IFERROR(INDEX(Товары_очищенные!$Q$3:$Q$503,MATCH(M624,Товары_очищенные!$L$3:$L$503,0)),"нет в каталоге")</f>
        <v>99990</v>
      </c>
      <c r="S624" s="21" t="str">
        <f>IFERROR(INDEX(Товары_очищенные!$N$3:$N$503,MATCH(M624,Товары_очищенные!$L$3:$L$503,0)),"нет в каталоге")</f>
        <v>Телевизоры</v>
      </c>
      <c r="T624" s="21" t="str">
        <f t="shared" si="241"/>
        <v>OK</v>
      </c>
      <c r="U624" s="12" t="str">
        <f t="shared" si="242"/>
        <v>21/11/2025|АРТ-175|C0622</v>
      </c>
      <c r="V624" s="12" t="str">
        <f t="shared" si="243"/>
        <v>оригинал</v>
      </c>
    </row>
    <row r="625" ht="15" customHeight="1">
      <c r="A625" s="10">
        <v>623</v>
      </c>
      <c r="B625" s="11" t="str">
        <f>RAW_Продажи!A624</f>
        <v>11/22/2025</v>
      </c>
      <c r="C625" s="11" t="str">
        <f>RAW_Продажи!B624</f>
        <v>АРТ_371</v>
      </c>
      <c r="D625" s="11" t="str">
        <f>RAW_Продажи!C624</f>
        <v>2</v>
      </c>
      <c r="E625" s="11" t="str">
        <f>RAW_Продажи!D624</f>
        <v>€100</v>
      </c>
      <c r="F625" s="11" t="str">
        <f>RAW_Продажи!E624</f>
        <v>C0623</v>
      </c>
      <c r="G625" s="11" t="str">
        <f>RAW_Продажи!F624</f>
        <v>P004</v>
      </c>
      <c r="H625" s="11" t="str">
        <f>RAW_Продажи!G624</f>
        <v>завершен</v>
      </c>
      <c r="I625" s="12" t="str">
        <f t="shared" si="235"/>
        <v>371</v>
      </c>
      <c r="J625" s="12" t="str">
        <f t="shared" si="236"/>
        <v>€</v>
      </c>
      <c r="K625" s="12">
        <f t="shared" si="237"/>
        <v>100</v>
      </c>
      <c r="L625" s="19">
        <f t="shared" si="238"/>
        <v>45983</v>
      </c>
      <c r="M625" s="13" t="str">
        <f t="shared" si="239"/>
        <v>АРТ-371</v>
      </c>
      <c r="N625" s="13">
        <f t="shared" si="240"/>
        <v>2</v>
      </c>
      <c r="O625" s="13" t="str">
        <f>IFERROR(VLOOKUP(J625,Справочники!$G$6:$H$8,2,0),"RUB")</f>
        <v>EUR</v>
      </c>
      <c r="P625" s="14">
        <f>ROUND(K625*IFERROR(VLOOKUP(J625,Справочники!$G$6:$I$8,3,0),1),2)</f>
        <v>10000</v>
      </c>
      <c r="Q625" s="13" t="str">
        <f>IFERROR(VLOOKUP(H625,Справочники!$D$6:$E$14,2,0),"НЕИЗВЕСТНО")</f>
        <v>Завершен</v>
      </c>
      <c r="R625" s="20">
        <f>IFERROR(INDEX(Товары_очищенные!$Q$3:$Q$503,MATCH(M625,Товары_очищенные!$L$3:$L$503,0)),"нет в каталоге")</f>
        <v>48000</v>
      </c>
      <c r="S625" s="21" t="str">
        <f>IFERROR(INDEX(Товары_очищенные!$N$3:$N$503,MATCH(M625,Товары_очищенные!$L$3:$L$503,0)),"нет в каталоге")</f>
        <v>Мониторы</v>
      </c>
      <c r="T625" s="21" t="str">
        <f t="shared" si="241"/>
        <v>OK</v>
      </c>
      <c r="U625" s="12" t="str">
        <f t="shared" si="242"/>
        <v>22/11/2025|АРТ-371|C0623</v>
      </c>
      <c r="V625" s="12" t="str">
        <f t="shared" si="243"/>
        <v>оригинал</v>
      </c>
    </row>
    <row r="626" ht="15" customHeight="1">
      <c r="A626" s="10">
        <v>624</v>
      </c>
      <c r="B626" s="11" t="str">
        <f>RAW_Продажи!A625</f>
        <v>11/22/2025</v>
      </c>
      <c r="C626" s="11" t="str">
        <f>RAW_Продажи!B625</f>
        <v>139-24</v>
      </c>
      <c r="D626" s="11" t="str">
        <f>RAW_Продажи!C625</f>
        <v>1</v>
      </c>
      <c r="E626" s="11" t="str">
        <f>RAW_Продажи!D625</f>
        <v xml:space="preserve">9200 ₽</v>
      </c>
      <c r="F626" s="11" t="str">
        <f>RAW_Продажи!E625</f>
        <v>C0624</v>
      </c>
      <c r="G626" s="11" t="str">
        <f>RAW_Продажи!F625</f>
        <v>P026</v>
      </c>
      <c r="H626" s="11" t="str">
        <f>RAW_Продажи!G625</f>
        <v>completed</v>
      </c>
      <c r="I626" s="12" t="str">
        <f t="shared" si="235"/>
        <v>139-24</v>
      </c>
      <c r="J626" s="12" t="str">
        <f t="shared" si="236"/>
        <v>₽</v>
      </c>
      <c r="K626" s="12">
        <f t="shared" si="237"/>
        <v>9200</v>
      </c>
      <c r="L626" s="19">
        <f t="shared" si="238"/>
        <v>45983</v>
      </c>
      <c r="M626" s="13" t="str">
        <f t="shared" si="239"/>
        <v>АРТ-139</v>
      </c>
      <c r="N626" s="13">
        <f t="shared" si="240"/>
        <v>1</v>
      </c>
      <c r="O626" s="13" t="str">
        <f>IFERROR(VLOOKUP(J626,Справочники!$G$6:$H$8,2,0),"RUB")</f>
        <v>RUB</v>
      </c>
      <c r="P626" s="14">
        <f>ROUND(K626*IFERROR(VLOOKUP(J626,Справочники!$G$6:$I$8,3,0),1),2)</f>
        <v>9200</v>
      </c>
      <c r="Q626" s="13" t="str">
        <f>IFERROR(VLOOKUP(H626,Справочники!$D$6:$E$14,2,0),"НЕИЗВЕСТНО")</f>
        <v>Завершен</v>
      </c>
      <c r="R626" s="20">
        <f>IFERROR(INDEX(Товары_очищенные!$Q$3:$Q$503,MATCH(M626,Товары_очищенные!$L$3:$L$503,0)),"нет в каталоге")</f>
        <v>89900</v>
      </c>
      <c r="S626" s="21" t="str">
        <f>IFERROR(INDEX(Товары_очищенные!$N$3:$N$503,MATCH(M626,Товары_очищенные!$L$3:$L$503,0)),"нет в каталоге")</f>
        <v>Мониторы</v>
      </c>
      <c r="T626" s="21" t="str">
        <f t="shared" si="241"/>
        <v>OK</v>
      </c>
      <c r="U626" s="12" t="str">
        <f t="shared" si="242"/>
        <v>22/11/2025|АРТ-139|C0624</v>
      </c>
      <c r="V626" s="12" t="str">
        <f t="shared" si="243"/>
        <v>оригинал</v>
      </c>
    </row>
    <row r="627" ht="15" customHeight="1">
      <c r="A627" s="10">
        <v>625</v>
      </c>
      <c r="B627" s="11" t="str">
        <f>RAW_Продажи!A626</f>
        <v>11/23/2025</v>
      </c>
      <c r="C627" s="11" t="str">
        <f>RAW_Продажи!B626</f>
        <v>№АРТ-095</v>
      </c>
      <c r="D627" s="11" t="str">
        <f>RAW_Продажи!C626</f>
        <v>3</v>
      </c>
      <c r="E627" s="11" t="str">
        <f>RAW_Продажи!D626</f>
        <v>$90</v>
      </c>
      <c r="F627" s="11" t="str">
        <f>RAW_Продажи!E626</f>
        <v>C0625</v>
      </c>
      <c r="G627" s="11" t="str">
        <f>RAW_Продажи!F626</f>
        <v>P013</v>
      </c>
      <c r="H627" s="11" t="str">
        <f>RAW_Продажи!G626</f>
        <v>отменен</v>
      </c>
      <c r="I627" s="12" t="str">
        <f t="shared" si="235"/>
        <v>095</v>
      </c>
      <c r="J627" s="12" t="str">
        <f t="shared" si="236"/>
        <v>$</v>
      </c>
      <c r="K627" s="12">
        <f t="shared" si="237"/>
        <v>90</v>
      </c>
      <c r="L627" s="19">
        <f t="shared" si="238"/>
        <v>45984</v>
      </c>
      <c r="M627" s="13" t="str">
        <f t="shared" si="239"/>
        <v>АРТ-095</v>
      </c>
      <c r="N627" s="13">
        <f t="shared" si="240"/>
        <v>3</v>
      </c>
      <c r="O627" s="13" t="str">
        <f>IFERROR(VLOOKUP(J627,Справочники!$G$6:$H$8,2,0),"RUB")</f>
        <v>USD</v>
      </c>
      <c r="P627" s="14">
        <f>ROUND(K627*IFERROR(VLOOKUP(J627,Справочники!$G$6:$I$8,3,0),1),2)</f>
        <v>8550</v>
      </c>
      <c r="Q627" s="13" t="str">
        <f>IFERROR(VLOOKUP(H627,Справочники!$D$6:$E$14,2,0),"НЕИЗВЕСТНО")</f>
        <v>Отменен</v>
      </c>
      <c r="R627" s="20">
        <f>IFERROR(INDEX(Товары_очищенные!$Q$3:$Q$503,MATCH(M627,Товары_очищенные!$L$3:$L$503,0)),"нет в каталоге")</f>
        <v>92000</v>
      </c>
      <c r="S627" s="21" t="str">
        <f>IFERROR(INDEX(Товары_очищенные!$N$3:$N$503,MATCH(M627,Товары_очищенные!$L$3:$L$503,0)),"нет в каталоге")</f>
        <v>Мониторы</v>
      </c>
      <c r="T627" s="21" t="str">
        <f t="shared" si="241"/>
        <v>OK</v>
      </c>
      <c r="U627" s="12" t="str">
        <f t="shared" si="242"/>
        <v>23/11/2025|АРТ-095|C0625</v>
      </c>
      <c r="V627" s="12" t="str">
        <f t="shared" si="243"/>
        <v>оригинал</v>
      </c>
    </row>
    <row r="628" ht="15" customHeight="1">
      <c r="A628" s="10">
        <v>626</v>
      </c>
      <c r="B628" s="11" t="str">
        <f>RAW_Продажи!A627</f>
        <v>11/23/2025</v>
      </c>
      <c r="C628" s="11" t="str">
        <f>RAW_Продажи!B627</f>
        <v>АРТ_478</v>
      </c>
      <c r="D628" s="11" t="str">
        <f>RAW_Продажи!C627</f>
        <v>2</v>
      </c>
      <c r="E628" s="11" t="str">
        <f>RAW_Продажи!D627</f>
        <v>€70</v>
      </c>
      <c r="F628" s="11" t="str">
        <f>RAW_Продажи!E627</f>
        <v>C0626</v>
      </c>
      <c r="G628" s="11" t="str">
        <f>RAW_Продажи!F627</f>
        <v>P034</v>
      </c>
      <c r="H628" s="11" t="str">
        <f>RAW_Продажи!G627</f>
        <v>canceled</v>
      </c>
      <c r="I628" s="12" t="str">
        <f t="shared" si="235"/>
        <v>478</v>
      </c>
      <c r="J628" s="12" t="str">
        <f t="shared" si="236"/>
        <v>€</v>
      </c>
      <c r="K628" s="12">
        <f t="shared" si="237"/>
        <v>70</v>
      </c>
      <c r="L628" s="19">
        <f t="shared" si="238"/>
        <v>45984</v>
      </c>
      <c r="M628" s="13" t="str">
        <f t="shared" si="239"/>
        <v>АРТ-478</v>
      </c>
      <c r="N628" s="13">
        <f t="shared" si="240"/>
        <v>2</v>
      </c>
      <c r="O628" s="13" t="str">
        <f>IFERROR(VLOOKUP(J628,Справочники!$G$6:$H$8,2,0),"RUB")</f>
        <v>EUR</v>
      </c>
      <c r="P628" s="14">
        <f>ROUND(K628*IFERROR(VLOOKUP(J628,Справочники!$G$6:$I$8,3,0),1),2)</f>
        <v>7000</v>
      </c>
      <c r="Q628" s="13" t="str">
        <f>IFERROR(VLOOKUP(H628,Справочники!$D$6:$E$14,2,0),"НЕИЗВЕСТНО")</f>
        <v>Отменен</v>
      </c>
      <c r="R628" s="20">
        <f>IFERROR(INDEX(Товары_очищенные!$Q$3:$Q$503,MATCH(M628,Товары_очищенные!$L$3:$L$503,0)),"нет в каталоге")</f>
        <v>12990</v>
      </c>
      <c r="S628" s="21" t="str">
        <f>IFERROR(INDEX(Товары_очищенные!$N$3:$N$503,MATCH(M628,Товары_очищенные!$L$3:$L$503,0)),"нет в каталоге")</f>
        <v>Аксессуары</v>
      </c>
      <c r="T628" s="21" t="str">
        <f t="shared" si="241"/>
        <v>OK</v>
      </c>
      <c r="U628" s="12" t="str">
        <f t="shared" si="242"/>
        <v>23/11/2025|АРТ-478|C0626</v>
      </c>
      <c r="V628" s="12" t="str">
        <f t="shared" si="243"/>
        <v>оригинал</v>
      </c>
    </row>
    <row r="629" ht="15" customHeight="1">
      <c r="A629" s="10">
        <v>627</v>
      </c>
      <c r="B629" s="11" t="str">
        <f>RAW_Продажи!A628</f>
        <v>11/24/2025</v>
      </c>
      <c r="C629" s="11" t="str">
        <f>RAW_Продажи!B628</f>
        <v>393/24</v>
      </c>
      <c r="D629" s="11" t="str">
        <f>RAW_Продажи!C628</f>
        <v xml:space="preserve">1 шт.</v>
      </c>
      <c r="E629" s="11" t="str">
        <f>RAW_Продажи!D628</f>
        <v xml:space="preserve">6500 ₽</v>
      </c>
      <c r="F629" s="11" t="str">
        <f>RAW_Продажи!E628</f>
        <v>C0627</v>
      </c>
      <c r="G629" s="11" t="str">
        <f>RAW_Продажи!F628</f>
        <v>P044</v>
      </c>
      <c r="H629" s="11" t="str">
        <f>RAW_Продажи!G628</f>
        <v>Завершен</v>
      </c>
      <c r="I629" s="12" t="str">
        <f t="shared" si="235"/>
        <v>393/24</v>
      </c>
      <c r="J629" s="12" t="str">
        <f t="shared" si="236"/>
        <v>₽</v>
      </c>
      <c r="K629" s="12">
        <f t="shared" si="237"/>
        <v>6500</v>
      </c>
      <c r="L629" s="19">
        <f t="shared" si="238"/>
        <v>45985</v>
      </c>
      <c r="M629" s="13" t="str">
        <f t="shared" si="239"/>
        <v>АРТ-393</v>
      </c>
      <c r="N629" s="13">
        <f t="shared" si="240"/>
        <v>1</v>
      </c>
      <c r="O629" s="13" t="str">
        <f>IFERROR(VLOOKUP(J629,Справочники!$G$6:$H$8,2,0),"RUB")</f>
        <v>RUB</v>
      </c>
      <c r="P629" s="14">
        <f>ROUND(K629*IFERROR(VLOOKUP(J629,Справочники!$G$6:$I$8,3,0),1),2)</f>
        <v>6500</v>
      </c>
      <c r="Q629" s="13" t="str">
        <f>IFERROR(VLOOKUP(H629,Справочники!$D$6:$E$14,2,0),"НЕИЗВЕСТНО")</f>
        <v>Завершен</v>
      </c>
      <c r="R629" s="20">
        <f>IFERROR(INDEX(Товары_очищенные!$Q$3:$Q$503,MATCH(M629,Товары_очищенные!$L$3:$L$503,0)),"нет в каталоге")</f>
        <v>19800</v>
      </c>
      <c r="S629" s="21" t="str">
        <f>IFERROR(INDEX(Товары_очищенные!$N$3:$N$503,MATCH(M629,Товары_очищенные!$L$3:$L$503,0)),"нет в каталоге")</f>
        <v>Наушники</v>
      </c>
      <c r="T629" s="21" t="str">
        <f t="shared" si="241"/>
        <v>OK</v>
      </c>
      <c r="U629" s="12" t="str">
        <f t="shared" si="242"/>
        <v>24/11/2025|АРТ-393|C0627</v>
      </c>
      <c r="V629" s="12" t="str">
        <f t="shared" si="243"/>
        <v>оригинал</v>
      </c>
    </row>
    <row r="630" ht="15" customHeight="1">
      <c r="A630" s="10">
        <v>628</v>
      </c>
      <c r="B630" s="11" t="str">
        <f>RAW_Продажи!A629</f>
        <v>11/24/2025</v>
      </c>
      <c r="C630" s="11" t="str">
        <f>RAW_Продажи!B629</f>
        <v>№АРТ-219</v>
      </c>
      <c r="D630" s="11" t="str">
        <f>RAW_Продажи!C629</f>
        <v>-1</v>
      </c>
      <c r="E630" s="11" t="str">
        <f>RAW_Продажи!D629</f>
        <v>$110</v>
      </c>
      <c r="F630" s="11" t="str">
        <f>RAW_Продажи!E629</f>
        <v>C0628</v>
      </c>
      <c r="G630" s="11" t="str">
        <f>RAW_Продажи!F629</f>
        <v>P001</v>
      </c>
      <c r="H630" s="11" t="str">
        <f>RAW_Продажи!G629</f>
        <v>возврат</v>
      </c>
      <c r="I630" s="12" t="str">
        <f t="shared" si="235"/>
        <v>219</v>
      </c>
      <c r="J630" s="12" t="str">
        <f t="shared" si="236"/>
        <v>$</v>
      </c>
      <c r="K630" s="12">
        <f t="shared" si="237"/>
        <v>110</v>
      </c>
      <c r="L630" s="19">
        <f t="shared" si="238"/>
        <v>45985</v>
      </c>
      <c r="M630" s="13" t="str">
        <f t="shared" si="239"/>
        <v>АРТ-219</v>
      </c>
      <c r="N630" s="13">
        <f t="shared" si="240"/>
        <v>-1</v>
      </c>
      <c r="O630" s="13" t="str">
        <f>IFERROR(VLOOKUP(J630,Справочники!$G$6:$H$8,2,0),"RUB")</f>
        <v>USD</v>
      </c>
      <c r="P630" s="14">
        <f>ROUND(K630*IFERROR(VLOOKUP(J630,Справочники!$G$6:$I$8,3,0),1),2)</f>
        <v>10450</v>
      </c>
      <c r="Q630" s="13" t="str">
        <f>IFERROR(VLOOKUP(H630,Справочники!$D$6:$E$14,2,0),"НЕИЗВЕСТНО")</f>
        <v>Возврат</v>
      </c>
      <c r="R630" s="20">
        <f>IFERROR(INDEX(Товары_очищенные!$Q$3:$Q$503,MATCH(M630,Товары_очищенные!$L$3:$L$503,0)),"нет в каталоге")</f>
        <v>72000</v>
      </c>
      <c r="S630" s="21" t="str">
        <f>IFERROR(INDEX(Товары_очищенные!$N$3:$N$503,MATCH(M630,Товары_очищенные!$L$3:$L$503,0)),"нет в каталоге")</f>
        <v>Телевизоры</v>
      </c>
      <c r="T630" s="21" t="str">
        <f t="shared" si="241"/>
        <v>OK</v>
      </c>
      <c r="U630" s="12" t="str">
        <f t="shared" si="242"/>
        <v>24/11/2025|АРТ-219|C0628</v>
      </c>
      <c r="V630" s="12" t="str">
        <f t="shared" si="243"/>
        <v>оригинал</v>
      </c>
    </row>
    <row r="631" ht="15" customHeight="1">
      <c r="A631" s="10">
        <v>629</v>
      </c>
      <c r="B631" s="11" t="str">
        <f>RAW_Продажи!A630</f>
        <v>11/25/2025</v>
      </c>
      <c r="C631" s="11" t="str">
        <f>RAW_Продажи!B630</f>
        <v>АРТ_336</v>
      </c>
      <c r="D631" s="11" t="str">
        <f>RAW_Продажи!C630</f>
        <v>3</v>
      </c>
      <c r="E631" s="11" t="str">
        <f>RAW_Продажи!D630</f>
        <v>€90</v>
      </c>
      <c r="F631" s="11" t="str">
        <f>RAW_Продажи!E630</f>
        <v>C0629</v>
      </c>
      <c r="G631" s="11" t="str">
        <f>RAW_Продажи!F630</f>
        <v>P021</v>
      </c>
      <c r="H631" s="11" t="str">
        <f>RAW_Продажи!G630</f>
        <v>завершен</v>
      </c>
      <c r="I631" s="12" t="str">
        <f t="shared" si="235"/>
        <v>336</v>
      </c>
      <c r="J631" s="12" t="str">
        <f t="shared" si="236"/>
        <v>€</v>
      </c>
      <c r="K631" s="12">
        <f t="shared" si="237"/>
        <v>90</v>
      </c>
      <c r="L631" s="19">
        <f t="shared" si="238"/>
        <v>45986</v>
      </c>
      <c r="M631" s="13" t="str">
        <f t="shared" si="239"/>
        <v>АРТ-336</v>
      </c>
      <c r="N631" s="13">
        <f t="shared" si="240"/>
        <v>3</v>
      </c>
      <c r="O631" s="13" t="str">
        <f>IFERROR(VLOOKUP(J631,Справочники!$G$6:$H$8,2,0),"RUB")</f>
        <v>EUR</v>
      </c>
      <c r="P631" s="14">
        <f>ROUND(K631*IFERROR(VLOOKUP(J631,Справочники!$G$6:$I$8,3,0),1),2)</f>
        <v>9000</v>
      </c>
      <c r="Q631" s="13" t="str">
        <f>IFERROR(VLOOKUP(H631,Справочники!$D$6:$E$14,2,0),"НЕИЗВЕСТНО")</f>
        <v>Завершен</v>
      </c>
      <c r="R631" s="20">
        <f>IFERROR(INDEX(Товары_очищенные!$Q$3:$Q$503,MATCH(M631,Товары_очищенные!$L$3:$L$503,0)),"нет в каталоге")</f>
        <v>50500</v>
      </c>
      <c r="S631" s="21" t="str">
        <f>IFERROR(INDEX(Товары_очищенные!$N$3:$N$503,MATCH(M631,Товары_очищенные!$L$3:$L$503,0)),"нет в каталоге")</f>
        <v>Планшеты</v>
      </c>
      <c r="T631" s="21" t="str">
        <f t="shared" si="241"/>
        <v>OK</v>
      </c>
      <c r="U631" s="12" t="str">
        <f t="shared" si="242"/>
        <v>25/11/2025|АРТ-336|C0629</v>
      </c>
      <c r="V631" s="12" t="str">
        <f t="shared" si="243"/>
        <v>оригинал</v>
      </c>
    </row>
    <row r="632" ht="15" customHeight="1">
      <c r="A632" s="10">
        <v>630</v>
      </c>
      <c r="B632" s="11" t="str">
        <f>RAW_Продажи!A631</f>
        <v>11/25/2025</v>
      </c>
      <c r="C632" s="11" t="str">
        <f>RAW_Продажи!B631</f>
        <v>279-24</v>
      </c>
      <c r="D632" s="11" t="str">
        <f>RAW_Продажи!C631</f>
        <v>2</v>
      </c>
      <c r="E632" s="11" t="str">
        <f>RAW_Продажи!D631</f>
        <v xml:space="preserve">8000 ₽</v>
      </c>
      <c r="F632" s="11" t="str">
        <f>RAW_Продажи!E631</f>
        <v>C0630</v>
      </c>
      <c r="G632" s="11" t="str">
        <f>RAW_Продажи!F631</f>
        <v>P039</v>
      </c>
      <c r="H632" s="11" t="str">
        <f>RAW_Продажи!G631</f>
        <v>completed</v>
      </c>
      <c r="I632" s="12" t="str">
        <f t="shared" si="235"/>
        <v>279-24</v>
      </c>
      <c r="J632" s="12" t="str">
        <f t="shared" si="236"/>
        <v>₽</v>
      </c>
      <c r="K632" s="12">
        <f t="shared" si="237"/>
        <v>8000</v>
      </c>
      <c r="L632" s="19">
        <f t="shared" si="238"/>
        <v>45986</v>
      </c>
      <c r="M632" s="13" t="str">
        <f t="shared" si="239"/>
        <v>АРТ-279</v>
      </c>
      <c r="N632" s="13">
        <f t="shared" si="240"/>
        <v>2</v>
      </c>
      <c r="O632" s="13" t="str">
        <f>IFERROR(VLOOKUP(J632,Справочники!$G$6:$H$8,2,0),"RUB")</f>
        <v>RUB</v>
      </c>
      <c r="P632" s="14">
        <f>ROUND(K632*IFERROR(VLOOKUP(J632,Справочники!$G$6:$I$8,3,0),1),2)</f>
        <v>8000</v>
      </c>
      <c r="Q632" s="13" t="str">
        <f>IFERROR(VLOOKUP(H632,Справочники!$D$6:$E$14,2,0),"НЕИЗВЕСТНО")</f>
        <v>Завершен</v>
      </c>
      <c r="R632" s="20">
        <f>IFERROR(INDEX(Товары_очищенные!$Q$3:$Q$503,MATCH(M632,Товары_очищенные!$L$3:$L$503,0)),"нет в каталоге")</f>
        <v>117500</v>
      </c>
      <c r="S632" s="21" t="str">
        <f>IFERROR(INDEX(Товары_очищенные!$N$3:$N$503,MATCH(M632,Товары_очищенные!$L$3:$L$503,0)),"нет в каталоге")</f>
        <v>Телевизоры</v>
      </c>
      <c r="T632" s="21" t="str">
        <f t="shared" si="241"/>
        <v>OK</v>
      </c>
      <c r="U632" s="12" t="str">
        <f t="shared" si="242"/>
        <v>25/11/2025|АРТ-279|C0630</v>
      </c>
      <c r="V632" s="12" t="str">
        <f t="shared" si="243"/>
        <v>оригинал</v>
      </c>
    </row>
    <row r="633" ht="15" customHeight="1">
      <c r="A633" s="10">
        <v>631</v>
      </c>
      <c r="B633" s="11" t="str">
        <f>RAW_Продажи!A632</f>
        <v>11/26/2025</v>
      </c>
      <c r="C633" s="11" t="str">
        <f>RAW_Продажи!B632</f>
        <v>№АРТ-079</v>
      </c>
      <c r="D633" s="11" t="str">
        <f>RAW_Продажи!C632</f>
        <v>1</v>
      </c>
      <c r="E633" s="11" t="str">
        <f>RAW_Продажи!D632</f>
        <v>$95</v>
      </c>
      <c r="F633" s="11" t="str">
        <f>RAW_Продажи!E632</f>
        <v>C0631</v>
      </c>
      <c r="G633" s="11" t="str">
        <f>RAW_Продажи!F632</f>
        <v>P050</v>
      </c>
      <c r="H633" s="11" t="str">
        <f>RAW_Продажи!G632</f>
        <v>Завершен</v>
      </c>
      <c r="I633" s="12" t="str">
        <f t="shared" si="235"/>
        <v>079</v>
      </c>
      <c r="J633" s="12" t="str">
        <f t="shared" si="236"/>
        <v>$</v>
      </c>
      <c r="K633" s="12">
        <f t="shared" si="237"/>
        <v>95</v>
      </c>
      <c r="L633" s="19">
        <f t="shared" si="238"/>
        <v>45987</v>
      </c>
      <c r="M633" s="13" t="str">
        <f t="shared" si="239"/>
        <v>АРТ-079</v>
      </c>
      <c r="N633" s="13">
        <f t="shared" si="240"/>
        <v>1</v>
      </c>
      <c r="O633" s="13" t="str">
        <f>IFERROR(VLOOKUP(J633,Справочники!$G$6:$H$8,2,0),"RUB")</f>
        <v>USD</v>
      </c>
      <c r="P633" s="14">
        <f>ROUND(K633*IFERROR(VLOOKUP(J633,Справочники!$G$6:$I$8,3,0),1),2)</f>
        <v>9025</v>
      </c>
      <c r="Q633" s="13" t="str">
        <f>IFERROR(VLOOKUP(H633,Справочники!$D$6:$E$14,2,0),"НЕИЗВЕСТНО")</f>
        <v>Завершен</v>
      </c>
      <c r="R633" s="20">
        <f>IFERROR(INDEX(Товары_очищенные!$Q$3:$Q$503,MATCH(M633,Товары_очищенные!$L$3:$L$503,0)),"нет в каталоге")</f>
        <v>45999</v>
      </c>
      <c r="S633" s="21" t="str">
        <f>IFERROR(INDEX(Товары_очищенные!$N$3:$N$503,MATCH(M633,Товары_очищенные!$L$3:$L$503,0)),"нет в каталоге")</f>
        <v>Планшеты</v>
      </c>
      <c r="T633" s="21" t="str">
        <f t="shared" si="241"/>
        <v>OK</v>
      </c>
      <c r="U633" s="12" t="str">
        <f t="shared" si="242"/>
        <v>26/11/2025|АРТ-079|C0631</v>
      </c>
      <c r="V633" s="12" t="str">
        <f t="shared" si="243"/>
        <v>оригинал</v>
      </c>
    </row>
    <row r="634" ht="15" customHeight="1">
      <c r="A634" s="10">
        <v>632</v>
      </c>
      <c r="B634" s="11" t="str">
        <f>RAW_Продажи!A633</f>
        <v>11/26/2025</v>
      </c>
      <c r="C634" s="11" t="str">
        <f>RAW_Продажи!B633</f>
        <v>АРТ_465</v>
      </c>
      <c r="D634" s="11" t="str">
        <f>RAW_Продажи!C633</f>
        <v>2</v>
      </c>
      <c r="E634" s="11" t="str">
        <f>RAW_Продажи!D633</f>
        <v>€75</v>
      </c>
      <c r="F634" s="11" t="str">
        <f>RAW_Продажи!E633</f>
        <v>C0632</v>
      </c>
      <c r="G634" s="11" t="str">
        <f>RAW_Продажи!F633</f>
        <v>P011</v>
      </c>
      <c r="H634" s="11" t="str">
        <f>RAW_Продажи!G633</f>
        <v>canceled</v>
      </c>
      <c r="I634" s="12" t="str">
        <f t="shared" si="235"/>
        <v>465</v>
      </c>
      <c r="J634" s="12" t="str">
        <f t="shared" si="236"/>
        <v>€</v>
      </c>
      <c r="K634" s="12">
        <f t="shared" si="237"/>
        <v>75</v>
      </c>
      <c r="L634" s="19">
        <f t="shared" si="238"/>
        <v>45987</v>
      </c>
      <c r="M634" s="13" t="str">
        <f t="shared" si="239"/>
        <v>АРТ-465</v>
      </c>
      <c r="N634" s="13">
        <f t="shared" si="240"/>
        <v>2</v>
      </c>
      <c r="O634" s="13" t="str">
        <f>IFERROR(VLOOKUP(J634,Справочники!$G$6:$H$8,2,0),"RUB")</f>
        <v>EUR</v>
      </c>
      <c r="P634" s="14">
        <f>ROUND(K634*IFERROR(VLOOKUP(J634,Справочники!$G$6:$I$8,3,0),1),2)</f>
        <v>7500</v>
      </c>
      <c r="Q634" s="13" t="str">
        <f>IFERROR(VLOOKUP(H634,Справочники!$D$6:$E$14,2,0),"НЕИЗВЕСТНО")</f>
        <v>Отменен</v>
      </c>
      <c r="R634" s="20">
        <f>IFERROR(INDEX(Товары_очищенные!$Q$3:$Q$503,MATCH(M634,Товары_очищенные!$L$3:$L$503,0)),"нет в каталоге")</f>
        <v>31500</v>
      </c>
      <c r="S634" s="21" t="str">
        <f>IFERROR(INDEX(Товары_очищенные!$N$3:$N$503,MATCH(M634,Товары_очищенные!$L$3:$L$503,0)),"нет в каталоге")</f>
        <v>Планшеты</v>
      </c>
      <c r="T634" s="21" t="str">
        <f t="shared" si="241"/>
        <v>OK</v>
      </c>
      <c r="U634" s="12" t="str">
        <f t="shared" si="242"/>
        <v>26/11/2025|АРТ-465|C0632</v>
      </c>
      <c r="V634" s="12" t="str">
        <f t="shared" si="243"/>
        <v>оригинал</v>
      </c>
    </row>
    <row r="635" ht="15" customHeight="1">
      <c r="A635" s="10">
        <v>633</v>
      </c>
      <c r="B635" s="11" t="str">
        <f>RAW_Продажи!A634</f>
        <v>11/27/2025</v>
      </c>
      <c r="C635" s="11" t="str">
        <f>RAW_Продажи!B634</f>
        <v>365/24</v>
      </c>
      <c r="D635" s="11" t="str">
        <f>RAW_Продажи!C634</f>
        <v xml:space="preserve">3 шт.</v>
      </c>
      <c r="E635" s="11" t="str">
        <f>RAW_Продажи!D634</f>
        <v xml:space="preserve">7000 ₽</v>
      </c>
      <c r="F635" s="11" t="str">
        <f>RAW_Продажи!E634</f>
        <v>C0633</v>
      </c>
      <c r="G635" s="11" t="str">
        <f>RAW_Продажи!F634</f>
        <v>P027</v>
      </c>
      <c r="H635" s="11" t="str">
        <f>RAW_Продажи!G634</f>
        <v>отменен</v>
      </c>
      <c r="I635" s="12" t="str">
        <f t="shared" si="235"/>
        <v>365/24</v>
      </c>
      <c r="J635" s="12" t="str">
        <f t="shared" si="236"/>
        <v>₽</v>
      </c>
      <c r="K635" s="12">
        <f t="shared" si="237"/>
        <v>7000</v>
      </c>
      <c r="L635" s="19">
        <f t="shared" si="238"/>
        <v>45988</v>
      </c>
      <c r="M635" s="13" t="str">
        <f t="shared" si="239"/>
        <v>АРТ-365</v>
      </c>
      <c r="N635" s="13">
        <f t="shared" si="240"/>
        <v>3</v>
      </c>
      <c r="O635" s="13" t="str">
        <f>IFERROR(VLOOKUP(J635,Справочники!$G$6:$H$8,2,0),"RUB")</f>
        <v>RUB</v>
      </c>
      <c r="P635" s="14">
        <f>ROUND(K635*IFERROR(VLOOKUP(J635,Справочники!$G$6:$I$8,3,0),1),2)</f>
        <v>7000</v>
      </c>
      <c r="Q635" s="13" t="str">
        <f>IFERROR(VLOOKUP(H635,Справочники!$D$6:$E$14,2,0),"НЕИЗВЕСТНО")</f>
        <v>Отменен</v>
      </c>
      <c r="R635" s="20">
        <f>IFERROR(INDEX(Товары_очищенные!$Q$3:$Q$503,MATCH(M635,Товары_очищенные!$L$3:$L$503,0)),"нет в каталоге")</f>
        <v>137000</v>
      </c>
      <c r="S635" s="21" t="str">
        <f>IFERROR(INDEX(Товары_очищенные!$N$3:$N$503,MATCH(M635,Товары_очищенные!$L$3:$L$503,0)),"нет в каталоге")</f>
        <v>Телевизоры</v>
      </c>
      <c r="T635" s="21" t="str">
        <f t="shared" si="241"/>
        <v>OK</v>
      </c>
      <c r="U635" s="12" t="str">
        <f t="shared" si="242"/>
        <v>27/11/2025|АРТ-365|C0633</v>
      </c>
      <c r="V635" s="12" t="str">
        <f t="shared" si="243"/>
        <v>оригинал</v>
      </c>
    </row>
    <row r="636" ht="15" customHeight="1">
      <c r="A636" s="10">
        <v>634</v>
      </c>
      <c r="B636" s="11" t="str">
        <f>RAW_Продажи!A635</f>
        <v>11/27/2025</v>
      </c>
      <c r="C636" s="11" t="str">
        <f>RAW_Продажи!B635</f>
        <v>№АРТ-208</v>
      </c>
      <c r="D636" s="11" t="str">
        <f>RAW_Продажи!C635</f>
        <v>-2</v>
      </c>
      <c r="E636" s="11" t="str">
        <f>RAW_Продажи!D635</f>
        <v>$115</v>
      </c>
      <c r="F636" s="11" t="str">
        <f>RAW_Продажи!E635</f>
        <v>C0634</v>
      </c>
      <c r="G636" s="11" t="str">
        <f>RAW_Продажи!F635</f>
        <v>P018</v>
      </c>
      <c r="H636" s="11" t="str">
        <f>RAW_Продажи!G635</f>
        <v>возврат</v>
      </c>
      <c r="I636" s="12" t="str">
        <f t="shared" si="235"/>
        <v>208</v>
      </c>
      <c r="J636" s="12" t="str">
        <f t="shared" si="236"/>
        <v>$</v>
      </c>
      <c r="K636" s="12">
        <f t="shared" si="237"/>
        <v>115</v>
      </c>
      <c r="L636" s="19">
        <f t="shared" si="238"/>
        <v>45988</v>
      </c>
      <c r="M636" s="13" t="str">
        <f t="shared" si="239"/>
        <v>АРТ-208</v>
      </c>
      <c r="N636" s="13">
        <f t="shared" si="240"/>
        <v>-2</v>
      </c>
      <c r="O636" s="13" t="str">
        <f>IFERROR(VLOOKUP(J636,Справочники!$G$6:$H$8,2,0),"RUB")</f>
        <v>USD</v>
      </c>
      <c r="P636" s="14">
        <f>ROUND(K636*IFERROR(VLOOKUP(J636,Справочники!$G$6:$I$8,3,0),1),2)</f>
        <v>10925</v>
      </c>
      <c r="Q636" s="13" t="str">
        <f>IFERROR(VLOOKUP(H636,Справочники!$D$6:$E$14,2,0),"НЕИЗВЕСТНО")</f>
        <v>Возврат</v>
      </c>
      <c r="R636" s="20">
        <f>IFERROR(INDEX(Товары_очищенные!$Q$3:$Q$503,MATCH(M636,Товары_очищенные!$L$3:$L$503,0)),"нет в каталоге")</f>
        <v>10990</v>
      </c>
      <c r="S636" s="21" t="str">
        <f>IFERROR(INDEX(Товары_очищенные!$N$3:$N$503,MATCH(M636,Товары_очищенные!$L$3:$L$503,0)),"нет в каталоге")</f>
        <v>Аксессуары</v>
      </c>
      <c r="T636" s="21" t="str">
        <f t="shared" si="241"/>
        <v>OK</v>
      </c>
      <c r="U636" s="12" t="str">
        <f t="shared" si="242"/>
        <v>27/11/2025|АРТ-208|C0634</v>
      </c>
      <c r="V636" s="12" t="str">
        <f t="shared" si="243"/>
        <v>оригинал</v>
      </c>
    </row>
    <row r="637" ht="15" customHeight="1">
      <c r="A637" s="10">
        <v>635</v>
      </c>
      <c r="B637" s="11" t="str">
        <f>RAW_Продажи!A636</f>
        <v>11/28/2025</v>
      </c>
      <c r="C637" s="11" t="str">
        <f>RAW_Продажи!B636</f>
        <v>АРТ_364</v>
      </c>
      <c r="D637" s="11" t="str">
        <f>RAW_Продажи!C636</f>
        <v>1</v>
      </c>
      <c r="E637" s="11" t="str">
        <f>RAW_Продажи!D636</f>
        <v>€95</v>
      </c>
      <c r="F637" s="11" t="str">
        <f>RAW_Продажи!E636</f>
        <v>C0635</v>
      </c>
      <c r="G637" s="11" t="str">
        <f>RAW_Продажи!F636</f>
        <v>P040</v>
      </c>
      <c r="H637" s="11" t="str">
        <f>RAW_Продажи!G636</f>
        <v>Завершен</v>
      </c>
      <c r="I637" s="12" t="str">
        <f t="shared" si="235"/>
        <v>364</v>
      </c>
      <c r="J637" s="12" t="str">
        <f t="shared" si="236"/>
        <v>€</v>
      </c>
      <c r="K637" s="12">
        <f t="shared" si="237"/>
        <v>95</v>
      </c>
      <c r="L637" s="19">
        <f t="shared" si="238"/>
        <v>45989</v>
      </c>
      <c r="M637" s="13" t="str">
        <f t="shared" si="239"/>
        <v>АРТ-364</v>
      </c>
      <c r="N637" s="13">
        <f t="shared" si="240"/>
        <v>1</v>
      </c>
      <c r="O637" s="13" t="str">
        <f>IFERROR(VLOOKUP(J637,Справочники!$G$6:$H$8,2,0),"RUB")</f>
        <v>EUR</v>
      </c>
      <c r="P637" s="14">
        <f>ROUND(K637*IFERROR(VLOOKUP(J637,Справочники!$G$6:$I$8,3,0),1),2)</f>
        <v>9500</v>
      </c>
      <c r="Q637" s="13" t="str">
        <f>IFERROR(VLOOKUP(H637,Справочники!$D$6:$E$14,2,0),"НЕИЗВЕСТНО")</f>
        <v>Завершен</v>
      </c>
      <c r="R637" s="20">
        <f>IFERROR(INDEX(Товары_очищенные!$Q$3:$Q$503,MATCH(M637,Товары_очищенные!$L$3:$L$503,0)),"нет в каталоге")</f>
        <v>139990</v>
      </c>
      <c r="S637" s="21" t="str">
        <f>IFERROR(INDEX(Товары_очищенные!$N$3:$N$503,MATCH(M637,Товары_очищенные!$L$3:$L$503,0)),"нет в каталоге")</f>
        <v>Телевизоры</v>
      </c>
      <c r="T637" s="21" t="str">
        <f t="shared" si="241"/>
        <v>OK</v>
      </c>
      <c r="U637" s="12" t="str">
        <f t="shared" si="242"/>
        <v>28/11/2025|АРТ-364|C0635</v>
      </c>
      <c r="V637" s="12" t="str">
        <f t="shared" si="243"/>
        <v>оригинал</v>
      </c>
    </row>
    <row r="638" ht="15" customHeight="1">
      <c r="A638" s="10">
        <v>636</v>
      </c>
      <c r="B638" s="11" t="str">
        <f>RAW_Продажи!A637</f>
        <v>11/28/2025</v>
      </c>
      <c r="C638" s="11" t="str">
        <f>RAW_Продажи!B637</f>
        <v>263-24</v>
      </c>
      <c r="D638" s="11" t="str">
        <f>RAW_Продажи!C637</f>
        <v>2</v>
      </c>
      <c r="E638" s="11" t="str">
        <f>RAW_Продажи!D637</f>
        <v xml:space="preserve">8500 ₽</v>
      </c>
      <c r="F638" s="11" t="str">
        <f>RAW_Продажи!E637</f>
        <v>C0636</v>
      </c>
      <c r="G638" s="11" t="str">
        <f>RAW_Продажи!F637</f>
        <v>P003</v>
      </c>
      <c r="H638" s="11" t="str">
        <f>RAW_Продажи!G637</f>
        <v>завершен</v>
      </c>
      <c r="I638" s="12" t="str">
        <f t="shared" si="235"/>
        <v>263-24</v>
      </c>
      <c r="J638" s="12" t="str">
        <f t="shared" si="236"/>
        <v>₽</v>
      </c>
      <c r="K638" s="12">
        <f t="shared" si="237"/>
        <v>8500</v>
      </c>
      <c r="L638" s="19">
        <f t="shared" si="238"/>
        <v>45989</v>
      </c>
      <c r="M638" s="13" t="str">
        <f t="shared" si="239"/>
        <v>АРТ-263</v>
      </c>
      <c r="N638" s="13">
        <f t="shared" si="240"/>
        <v>2</v>
      </c>
      <c r="O638" s="13" t="str">
        <f>IFERROR(VLOOKUP(J638,Справочники!$G$6:$H$8,2,0),"RUB")</f>
        <v>RUB</v>
      </c>
      <c r="P638" s="14">
        <f>ROUND(K638*IFERROR(VLOOKUP(J638,Справочники!$G$6:$I$8,3,0),1),2)</f>
        <v>8500</v>
      </c>
      <c r="Q638" s="13" t="str">
        <f>IFERROR(VLOOKUP(H638,Справочники!$D$6:$E$14,2,0),"НЕИЗВЕСТНО")</f>
        <v>Завершен</v>
      </c>
      <c r="R638" s="20">
        <f>IFERROR(INDEX(Товары_очищенные!$Q$3:$Q$503,MATCH(M638,Товары_очищенные!$L$3:$L$503,0)),"нет в каталоге")</f>
        <v>11000</v>
      </c>
      <c r="S638" s="21" t="str">
        <f>IFERROR(INDEX(Товары_очищенные!$N$3:$N$503,MATCH(M638,Товары_очищенные!$L$3:$L$503,0)),"нет в каталоге")</f>
        <v>Наушники</v>
      </c>
      <c r="T638" s="21" t="str">
        <f t="shared" si="241"/>
        <v>OK</v>
      </c>
      <c r="U638" s="12" t="str">
        <f t="shared" si="242"/>
        <v>28/11/2025|АРТ-263|C0636</v>
      </c>
      <c r="V638" s="12" t="str">
        <f t="shared" si="243"/>
        <v>оригинал</v>
      </c>
    </row>
    <row r="639" ht="15" customHeight="1">
      <c r="A639" s="10">
        <v>637</v>
      </c>
      <c r="B639" s="11" t="str">
        <f>RAW_Продажи!A638</f>
        <v>11/29/2025</v>
      </c>
      <c r="C639" s="11" t="str">
        <f>RAW_Продажи!B638</f>
        <v>№АРТ-150</v>
      </c>
      <c r="D639" s="11" t="str">
        <f>RAW_Продажи!C638</f>
        <v>3</v>
      </c>
      <c r="E639" s="11" t="str">
        <f>RAW_Продажи!D638</f>
        <v>$105</v>
      </c>
      <c r="F639" s="11" t="str">
        <f>RAW_Продажи!E638</f>
        <v>C0637</v>
      </c>
      <c r="G639" s="11" t="str">
        <f>RAW_Продажи!F638</f>
        <v>P025</v>
      </c>
      <c r="H639" s="11" t="str">
        <f>RAW_Продажи!G638</f>
        <v>completed</v>
      </c>
      <c r="I639" s="12" t="str">
        <f t="shared" si="235"/>
        <v>150</v>
      </c>
      <c r="J639" s="12" t="str">
        <f t="shared" si="236"/>
        <v>$</v>
      </c>
      <c r="K639" s="12">
        <f t="shared" si="237"/>
        <v>105</v>
      </c>
      <c r="L639" s="19">
        <f t="shared" si="238"/>
        <v>45990</v>
      </c>
      <c r="M639" s="13" t="str">
        <f t="shared" si="239"/>
        <v>АРТ-150</v>
      </c>
      <c r="N639" s="13">
        <f t="shared" si="240"/>
        <v>3</v>
      </c>
      <c r="O639" s="13" t="str">
        <f>IFERROR(VLOOKUP(J639,Справочники!$G$6:$H$8,2,0),"RUB")</f>
        <v>USD</v>
      </c>
      <c r="P639" s="14">
        <f>ROUND(K639*IFERROR(VLOOKUP(J639,Справочники!$G$6:$I$8,3,0),1),2)</f>
        <v>9975</v>
      </c>
      <c r="Q639" s="13" t="str">
        <f>IFERROR(VLOOKUP(H639,Справочники!$D$6:$E$14,2,0),"НЕИЗВЕСТНО")</f>
        <v>Завершен</v>
      </c>
      <c r="R639" s="20">
        <f>IFERROR(INDEX(Товары_очищенные!$Q$3:$Q$503,MATCH(M639,Товары_очищенные!$L$3:$L$503,0)),"нет в каталоге")</f>
        <v>142500</v>
      </c>
      <c r="S639" s="21" t="str">
        <f>IFERROR(INDEX(Товары_очищенные!$N$3:$N$503,MATCH(M639,Товары_очищенные!$L$3:$L$503,0)),"нет в каталоге")</f>
        <v>Ноутбуки</v>
      </c>
      <c r="T639" s="21" t="str">
        <f t="shared" si="241"/>
        <v>OK</v>
      </c>
      <c r="U639" s="12" t="str">
        <f t="shared" si="242"/>
        <v>29/11/2025|АРТ-150|C0637</v>
      </c>
      <c r="V639" s="12" t="str">
        <f t="shared" si="243"/>
        <v>оригинал</v>
      </c>
    </row>
    <row r="640" ht="15" customHeight="1">
      <c r="A640" s="10">
        <v>638</v>
      </c>
      <c r="B640" s="11" t="str">
        <f>RAW_Продажи!A639</f>
        <v>11/29/2025</v>
      </c>
      <c r="C640" s="11" t="str">
        <f>RAW_Продажи!B639</f>
        <v>АРТ_494</v>
      </c>
      <c r="D640" s="11" t="str">
        <f>RAW_Продажи!C639</f>
        <v>2</v>
      </c>
      <c r="E640" s="11" t="str">
        <f>RAW_Продажи!D639</f>
        <v>€85</v>
      </c>
      <c r="F640" s="11" t="str">
        <f>RAW_Продажи!E639</f>
        <v>C0638</v>
      </c>
      <c r="G640" s="11" t="str">
        <f>RAW_Продажи!F639</f>
        <v>P010</v>
      </c>
      <c r="H640" s="11" t="str">
        <f>RAW_Продажи!G639</f>
        <v>отменен</v>
      </c>
      <c r="I640" s="12" t="str">
        <f t="shared" si="235"/>
        <v>494</v>
      </c>
      <c r="J640" s="12" t="str">
        <f t="shared" si="236"/>
        <v>€</v>
      </c>
      <c r="K640" s="12">
        <f t="shared" si="237"/>
        <v>85</v>
      </c>
      <c r="L640" s="19">
        <f t="shared" si="238"/>
        <v>45990</v>
      </c>
      <c r="M640" s="13" t="str">
        <f t="shared" si="239"/>
        <v>АРТ-494</v>
      </c>
      <c r="N640" s="13">
        <f t="shared" si="240"/>
        <v>2</v>
      </c>
      <c r="O640" s="13" t="str">
        <f>IFERROR(VLOOKUP(J640,Справочники!$G$6:$H$8,2,0),"RUB")</f>
        <v>EUR</v>
      </c>
      <c r="P640" s="14">
        <f>ROUND(K640*IFERROR(VLOOKUP(J640,Справочники!$G$6:$I$8,3,0),1),2)</f>
        <v>8500</v>
      </c>
      <c r="Q640" s="13" t="str">
        <f>IFERROR(VLOOKUP(H640,Справочники!$D$6:$E$14,2,0),"НЕИЗВЕСТНО")</f>
        <v>Отменен</v>
      </c>
      <c r="R640" s="20">
        <f>IFERROR(INDEX(Товары_очищенные!$Q$3:$Q$503,MATCH(M640,Товары_очищенные!$L$3:$L$503,0)),"нет в каталоге")</f>
        <v>14000</v>
      </c>
      <c r="S640" s="21" t="str">
        <f>IFERROR(INDEX(Товары_очищенные!$N$3:$N$503,MATCH(M640,Товары_очищенные!$L$3:$L$503,0)),"нет в каталоге")</f>
        <v>Наушники</v>
      </c>
      <c r="T640" s="21" t="str">
        <f t="shared" si="241"/>
        <v>OK</v>
      </c>
      <c r="U640" s="12" t="str">
        <f t="shared" si="242"/>
        <v>29/11/2025|АРТ-494|C0638</v>
      </c>
      <c r="V640" s="12" t="str">
        <f t="shared" si="243"/>
        <v>оригинал</v>
      </c>
    </row>
    <row r="641" ht="15" customHeight="1">
      <c r="A641" s="10">
        <v>639</v>
      </c>
      <c r="B641" s="11" t="str">
        <f>RAW_Продажи!A640</f>
        <v>11/30/2025</v>
      </c>
      <c r="C641" s="11" t="str">
        <f>RAW_Продажи!B640</f>
        <v>315/24</v>
      </c>
      <c r="D641" s="11" t="str">
        <f>RAW_Продажи!C640</f>
        <v xml:space="preserve">1 шт.</v>
      </c>
      <c r="E641" s="11" t="str">
        <f>RAW_Продажи!D640</f>
        <v xml:space="preserve">7800 ₽</v>
      </c>
      <c r="F641" s="11" t="str">
        <f>RAW_Продажи!E640</f>
        <v>C0639</v>
      </c>
      <c r="G641" s="11" t="str">
        <f>RAW_Продажи!F640</f>
        <v>P033</v>
      </c>
      <c r="H641" s="11" t="str">
        <f>RAW_Продажи!G640</f>
        <v>canceled</v>
      </c>
      <c r="I641" s="12" t="str">
        <f t="shared" si="235"/>
        <v>315/24</v>
      </c>
      <c r="J641" s="12" t="str">
        <f t="shared" si="236"/>
        <v>₽</v>
      </c>
      <c r="K641" s="12">
        <f t="shared" si="237"/>
        <v>7800</v>
      </c>
      <c r="L641" s="19">
        <f t="shared" si="238"/>
        <v>45991</v>
      </c>
      <c r="M641" s="13" t="str">
        <f t="shared" si="239"/>
        <v>АРТ-315</v>
      </c>
      <c r="N641" s="13">
        <f t="shared" si="240"/>
        <v>1</v>
      </c>
      <c r="O641" s="13" t="str">
        <f>IFERROR(VLOOKUP(J641,Справочники!$G$6:$H$8,2,0),"RUB")</f>
        <v>RUB</v>
      </c>
      <c r="P641" s="14">
        <f>ROUND(K641*IFERROR(VLOOKUP(J641,Справочники!$G$6:$I$8,3,0),1),2)</f>
        <v>7800</v>
      </c>
      <c r="Q641" s="13" t="str">
        <f>IFERROR(VLOOKUP(H641,Справочники!$D$6:$E$14,2,0),"НЕИЗВЕСТНО")</f>
        <v>Отменен</v>
      </c>
      <c r="R641" s="20">
        <f>IFERROR(INDEX(Товары_очищенные!$Q$3:$Q$503,MATCH(M641,Товары_очищенные!$L$3:$L$503,0)),"нет в каталоге")</f>
        <v>72000</v>
      </c>
      <c r="S641" s="21" t="str">
        <f>IFERROR(INDEX(Товары_очищенные!$N$3:$N$503,MATCH(M641,Товары_очищенные!$L$3:$L$503,0)),"нет в каталоге")</f>
        <v>Смартфоны</v>
      </c>
      <c r="T641" s="21" t="str">
        <f t="shared" si="241"/>
        <v>OK</v>
      </c>
      <c r="U641" s="12" t="str">
        <f t="shared" si="242"/>
        <v>30/11/2025|АРТ-315|C0639</v>
      </c>
      <c r="V641" s="12" t="str">
        <f t="shared" si="243"/>
        <v>оригинал</v>
      </c>
    </row>
    <row r="642" ht="15" customHeight="1">
      <c r="A642" s="10">
        <v>640</v>
      </c>
      <c r="B642" s="11" t="str">
        <f>RAW_Продажи!A641</f>
        <v>11/30/2025</v>
      </c>
      <c r="C642" s="11" t="str">
        <f>RAW_Продажи!B641</f>
        <v>№АРТ-411</v>
      </c>
      <c r="D642" s="11" t="str">
        <f>RAW_Продажи!C641</f>
        <v>-3</v>
      </c>
      <c r="E642" s="11" t="str">
        <f>RAW_Продажи!D641</f>
        <v>$120</v>
      </c>
      <c r="F642" s="11" t="str">
        <f>RAW_Продажи!E641</f>
        <v>C0640</v>
      </c>
      <c r="G642" s="11" t="str">
        <f>RAW_Продажи!F641</f>
        <v>P047</v>
      </c>
      <c r="H642" s="11" t="str">
        <f>RAW_Продажи!G641</f>
        <v>Завершен</v>
      </c>
      <c r="I642" s="12" t="str">
        <f t="shared" si="235"/>
        <v>411</v>
      </c>
      <c r="J642" s="12" t="str">
        <f t="shared" si="236"/>
        <v>$</v>
      </c>
      <c r="K642" s="12">
        <f t="shared" si="237"/>
        <v>120</v>
      </c>
      <c r="L642" s="19">
        <f t="shared" si="238"/>
        <v>45991</v>
      </c>
      <c r="M642" s="13" t="str">
        <f t="shared" si="239"/>
        <v>АРТ-411</v>
      </c>
      <c r="N642" s="13">
        <f t="shared" si="240"/>
        <v>-3</v>
      </c>
      <c r="O642" s="13" t="str">
        <f>IFERROR(VLOOKUP(J642,Справочники!$G$6:$H$8,2,0),"RUB")</f>
        <v>USD</v>
      </c>
      <c r="P642" s="14">
        <f>ROUND(K642*IFERROR(VLOOKUP(J642,Справочники!$G$6:$I$8,3,0),1),2)</f>
        <v>11400</v>
      </c>
      <c r="Q642" s="13" t="str">
        <f>IFERROR(VLOOKUP(H642,Справочники!$D$6:$E$14,2,0),"НЕИЗВЕСТНО")</f>
        <v>Завершен</v>
      </c>
      <c r="R642" s="20">
        <f>IFERROR(INDEX(Товары_очищенные!$Q$3:$Q$503,MATCH(M642,Товары_очищенные!$L$3:$L$503,0)),"нет в каталоге")</f>
        <v>41500</v>
      </c>
      <c r="S642" s="21" t="str">
        <f>IFERROR(INDEX(Товары_очищенные!$N$3:$N$503,MATCH(M642,Товары_очищенные!$L$3:$L$503,0)),"нет в каталоге")</f>
        <v>Наушники</v>
      </c>
      <c r="T642" s="21" t="str">
        <f t="shared" si="241"/>
        <v>OK</v>
      </c>
      <c r="U642" s="12" t="str">
        <f t="shared" si="242"/>
        <v>30/11/2025|АРТ-411|C0640</v>
      </c>
      <c r="V642" s="12" t="str">
        <f t="shared" si="243"/>
        <v>оригинал</v>
      </c>
    </row>
    <row r="643" ht="15" customHeight="1">
      <c r="A643" s="10">
        <v>641</v>
      </c>
      <c r="B643" s="11" t="str">
        <f>RAW_Продажи!A642</f>
        <v>12/01/2025</v>
      </c>
      <c r="C643" s="11" t="str">
        <f>RAW_Продажи!B642</f>
        <v>АРТ_321</v>
      </c>
      <c r="D643" s="11" t="str">
        <f>RAW_Продажи!C642</f>
        <v>2</v>
      </c>
      <c r="E643" s="11" t="str">
        <f>RAW_Продажи!D642</f>
        <v>€100</v>
      </c>
      <c r="F643" s="11" t="str">
        <f>RAW_Продажи!E642</f>
        <v>C0641</v>
      </c>
      <c r="G643" s="11" t="str">
        <f>RAW_Продажи!F642</f>
        <v>P020</v>
      </c>
      <c r="H643" s="11" t="str">
        <f>RAW_Продажи!G642</f>
        <v>возврат</v>
      </c>
      <c r="I643" s="12" t="str">
        <f t="shared" si="235"/>
        <v>321</v>
      </c>
      <c r="J643" s="12" t="str">
        <f t="shared" si="236"/>
        <v>€</v>
      </c>
      <c r="K643" s="12">
        <f t="shared" si="237"/>
        <v>100</v>
      </c>
      <c r="L643" s="19">
        <f t="shared" si="238"/>
        <v>45992</v>
      </c>
      <c r="M643" s="13" t="str">
        <f t="shared" si="239"/>
        <v>АРТ-321</v>
      </c>
      <c r="N643" s="13">
        <f t="shared" si="240"/>
        <v>2</v>
      </c>
      <c r="O643" s="13" t="str">
        <f>IFERROR(VLOOKUP(J643,Справочники!$G$6:$H$8,2,0),"RUB")</f>
        <v>EUR</v>
      </c>
      <c r="P643" s="14">
        <f>ROUND(K643*IFERROR(VLOOKUP(J643,Справочники!$G$6:$I$8,3,0),1),2)</f>
        <v>10000</v>
      </c>
      <c r="Q643" s="13" t="str">
        <f>IFERROR(VLOOKUP(H643,Справочники!$D$6:$E$14,2,0),"НЕИЗВЕСТНО")</f>
        <v>Возврат</v>
      </c>
      <c r="R643" s="20">
        <f>IFERROR(INDEX(Товары_очищенные!$Q$3:$Q$503,MATCH(M643,Товары_очищенные!$L$3:$L$503,0)),"нет в каталоге")</f>
        <v>188000</v>
      </c>
      <c r="S643" s="21" t="str">
        <f>IFERROR(INDEX(Товары_очищенные!$N$3:$N$503,MATCH(M643,Товары_очищенные!$L$3:$L$503,0)),"нет в каталоге")</f>
        <v>Телевизоры</v>
      </c>
      <c r="T643" s="21" t="str">
        <f t="shared" si="241"/>
        <v>OK</v>
      </c>
      <c r="U643" s="12" t="str">
        <f t="shared" si="242"/>
        <v>01/12/2025|АРТ-321|C0641</v>
      </c>
      <c r="V643" s="12" t="str">
        <f t="shared" si="243"/>
        <v>оригинал</v>
      </c>
    </row>
    <row r="644" ht="15" customHeight="1">
      <c r="A644" s="10">
        <v>642</v>
      </c>
      <c r="B644" s="11" t="str">
        <f>RAW_Продажи!A643</f>
        <v>12/01/2025</v>
      </c>
      <c r="C644" s="11" t="str">
        <f>RAW_Продажи!B643</f>
        <v>155-24</v>
      </c>
      <c r="D644" s="11" t="str">
        <f>RAW_Продажи!C643</f>
        <v>1</v>
      </c>
      <c r="E644" s="11" t="str">
        <f>RAW_Продажи!D643</f>
        <v xml:space="preserve">9200 ₽</v>
      </c>
      <c r="F644" s="11" t="str">
        <f>RAW_Продажи!E643</f>
        <v>C0642</v>
      </c>
      <c r="G644" s="11" t="str">
        <f>RAW_Продажи!F643</f>
        <v>P002</v>
      </c>
      <c r="H644" s="11" t="str">
        <f>RAW_Продажи!G643</f>
        <v>завершен</v>
      </c>
      <c r="I644" s="12" t="str">
        <f t="shared" si="235"/>
        <v>155-24</v>
      </c>
      <c r="J644" s="12" t="str">
        <f t="shared" si="236"/>
        <v>₽</v>
      </c>
      <c r="K644" s="12">
        <f t="shared" si="237"/>
        <v>9200</v>
      </c>
      <c r="L644" s="19">
        <f t="shared" si="238"/>
        <v>45992</v>
      </c>
      <c r="M644" s="13" t="str">
        <f t="shared" si="239"/>
        <v>АРТ-155</v>
      </c>
      <c r="N644" s="13">
        <f t="shared" si="240"/>
        <v>1</v>
      </c>
      <c r="O644" s="13" t="str">
        <f>IFERROR(VLOOKUP(J644,Справочники!$G$6:$H$8,2,0),"RUB")</f>
        <v>RUB</v>
      </c>
      <c r="P644" s="14">
        <f>ROUND(K644*IFERROR(VLOOKUP(J644,Справочники!$G$6:$I$8,3,0),1),2)</f>
        <v>9200</v>
      </c>
      <c r="Q644" s="13" t="str">
        <f>IFERROR(VLOOKUP(H644,Справочники!$D$6:$E$14,2,0),"НЕИЗВЕСТНО")</f>
        <v>Завершен</v>
      </c>
      <c r="R644" s="20">
        <f>IFERROR(INDEX(Товары_очищенные!$Q$3:$Q$503,MATCH(M644,Товары_очищенные!$L$3:$L$503,0)),"нет в каталоге")</f>
        <v>16000</v>
      </c>
      <c r="S644" s="21" t="str">
        <f>IFERROR(INDEX(Товары_очищенные!$N$3:$N$503,MATCH(M644,Товары_очищенные!$L$3:$L$503,0)),"нет в каталоге")</f>
        <v>Наушники</v>
      </c>
      <c r="T644" s="21" t="str">
        <f t="shared" si="241"/>
        <v>OK</v>
      </c>
      <c r="U644" s="12" t="str">
        <f t="shared" si="242"/>
        <v>01/12/2025|АРТ-155|C0642</v>
      </c>
      <c r="V644" s="12" t="str">
        <f t="shared" si="243"/>
        <v>оригинал</v>
      </c>
    </row>
    <row r="645" ht="15" customHeight="1">
      <c r="A645" s="10">
        <v>643</v>
      </c>
      <c r="B645" s="11" t="str">
        <f>RAW_Продажи!A644</f>
        <v>12/02/2025</v>
      </c>
      <c r="C645" s="11" t="str">
        <f>RAW_Продажи!B644</f>
        <v>№АРТ-056</v>
      </c>
      <c r="D645" s="11" t="str">
        <f>RAW_Продажи!C644</f>
        <v>3</v>
      </c>
      <c r="E645" s="11" t="str">
        <f>RAW_Продажи!D644</f>
        <v>$90</v>
      </c>
      <c r="F645" s="11" t="str">
        <f>RAW_Продажи!E644</f>
        <v>C0643</v>
      </c>
      <c r="G645" s="11" t="str">
        <f>RAW_Продажи!F644</f>
        <v>P038</v>
      </c>
      <c r="H645" s="11" t="str">
        <f>RAW_Продажи!G644</f>
        <v>completed</v>
      </c>
      <c r="I645" s="12" t="str">
        <f t="shared" si="235"/>
        <v>056</v>
      </c>
      <c r="J645" s="12" t="str">
        <f t="shared" si="236"/>
        <v>$</v>
      </c>
      <c r="K645" s="12">
        <f t="shared" si="237"/>
        <v>90</v>
      </c>
      <c r="L645" s="19">
        <f t="shared" si="238"/>
        <v>45993</v>
      </c>
      <c r="M645" s="13" t="str">
        <f t="shared" si="239"/>
        <v>АРТ-056</v>
      </c>
      <c r="N645" s="13">
        <f t="shared" si="240"/>
        <v>3</v>
      </c>
      <c r="O645" s="13" t="str">
        <f>IFERROR(VLOOKUP(J645,Справочники!$G$6:$H$8,2,0),"RUB")</f>
        <v>USD</v>
      </c>
      <c r="P645" s="14">
        <f>ROUND(K645*IFERROR(VLOOKUP(J645,Справочники!$G$6:$I$8,3,0),1),2)</f>
        <v>8550</v>
      </c>
      <c r="Q645" s="13" t="str">
        <f>IFERROR(VLOOKUP(H645,Справочники!$D$6:$E$14,2,0),"НЕИЗВЕСТНО")</f>
        <v>Завершен</v>
      </c>
      <c r="R645" s="20">
        <f>IFERROR(INDEX(Товары_очищенные!$Q$3:$Q$503,MATCH(M645,Товары_очищенные!$L$3:$L$503,0)),"нет в каталоге")</f>
        <v>10500</v>
      </c>
      <c r="S645" s="21" t="str">
        <f>IFERROR(INDEX(Товары_очищенные!$N$3:$N$503,MATCH(M645,Товары_очищенные!$L$3:$L$503,0)),"нет в каталоге")</f>
        <v>Аксессуары</v>
      </c>
      <c r="T645" s="21" t="str">
        <f t="shared" si="241"/>
        <v>OK</v>
      </c>
      <c r="U645" s="12" t="str">
        <f t="shared" si="242"/>
        <v>02/12/2025|АРТ-056|C0643</v>
      </c>
      <c r="V645" s="12" t="str">
        <f t="shared" si="243"/>
        <v>оригинал</v>
      </c>
    </row>
    <row r="646" ht="15" customHeight="1">
      <c r="A646" s="10">
        <v>644</v>
      </c>
      <c r="B646" s="11" t="str">
        <f>RAW_Продажи!A645</f>
        <v>12/02/2025</v>
      </c>
      <c r="C646" s="11" t="str">
        <f>RAW_Продажи!B645</f>
        <v>АРТ_492</v>
      </c>
      <c r="D646" s="11" t="str">
        <f>RAW_Продажи!C645</f>
        <v>2</v>
      </c>
      <c r="E646" s="11" t="str">
        <f>RAW_Продажи!D645</f>
        <v>€70</v>
      </c>
      <c r="F646" s="11" t="str">
        <f>RAW_Продажи!E645</f>
        <v>C0644</v>
      </c>
      <c r="G646" s="11" t="str">
        <f>RAW_Продажи!F645</f>
        <v>P016</v>
      </c>
      <c r="H646" s="11" t="str">
        <f>RAW_Продажи!G645</f>
        <v>Завершен</v>
      </c>
      <c r="I646" s="12" t="str">
        <f t="shared" si="235"/>
        <v>492</v>
      </c>
      <c r="J646" s="12" t="str">
        <f t="shared" si="236"/>
        <v>€</v>
      </c>
      <c r="K646" s="12">
        <f t="shared" si="237"/>
        <v>70</v>
      </c>
      <c r="L646" s="19">
        <f t="shared" si="238"/>
        <v>45993</v>
      </c>
      <c r="M646" s="13" t="str">
        <f t="shared" si="239"/>
        <v>АРТ-492</v>
      </c>
      <c r="N646" s="13">
        <f t="shared" si="240"/>
        <v>2</v>
      </c>
      <c r="O646" s="13" t="str">
        <f>IFERROR(VLOOKUP(J646,Справочники!$G$6:$H$8,2,0),"RUB")</f>
        <v>EUR</v>
      </c>
      <c r="P646" s="14">
        <f>ROUND(K646*IFERROR(VLOOKUP(J646,Справочники!$G$6:$I$8,3,0),1),2)</f>
        <v>7000</v>
      </c>
      <c r="Q646" s="13" t="str">
        <f>IFERROR(VLOOKUP(H646,Справочники!$D$6:$E$14,2,0),"НЕИЗВЕСТНО")</f>
        <v>Завершен</v>
      </c>
      <c r="R646" s="20">
        <f>IFERROR(INDEX(Товары_очищенные!$Q$3:$Q$503,MATCH(M646,Товары_очищенные!$L$3:$L$503,0)),"нет в каталоге")</f>
        <v>64000</v>
      </c>
      <c r="S646" s="21" t="str">
        <f>IFERROR(INDEX(Товары_очищенные!$N$3:$N$503,MATCH(M646,Товары_очищенные!$L$3:$L$503,0)),"нет в каталоге")</f>
        <v>Телевизоры</v>
      </c>
      <c r="T646" s="21" t="str">
        <f t="shared" si="241"/>
        <v>OK</v>
      </c>
      <c r="U646" s="12" t="str">
        <f t="shared" si="242"/>
        <v>02/12/2025|АРТ-492|C0644</v>
      </c>
      <c r="V646" s="12" t="str">
        <f t="shared" si="243"/>
        <v>оригинал</v>
      </c>
    </row>
    <row r="647" ht="15" customHeight="1">
      <c r="A647" s="10">
        <v>645</v>
      </c>
      <c r="B647" s="11" t="str">
        <f>RAW_Продажи!A646</f>
        <v>12/03/2025</v>
      </c>
      <c r="C647" s="11" t="str">
        <f>RAW_Продажи!B646</f>
        <v>300/24</v>
      </c>
      <c r="D647" s="11" t="str">
        <f>RAW_Продажи!C646</f>
        <v xml:space="preserve">1 шт.</v>
      </c>
      <c r="E647" s="11" t="str">
        <f>RAW_Продажи!D646</f>
        <v xml:space="preserve">6500 ₽</v>
      </c>
      <c r="F647" s="11" t="str">
        <f>RAW_Продажи!E646</f>
        <v>C0645</v>
      </c>
      <c r="G647" s="11" t="str">
        <f>RAW_Продажи!F646</f>
        <v>P029</v>
      </c>
      <c r="H647" s="11" t="str">
        <f>RAW_Продажи!G646</f>
        <v>canceled</v>
      </c>
      <c r="I647" s="12" t="str">
        <f t="shared" si="235"/>
        <v>300/24</v>
      </c>
      <c r="J647" s="12" t="str">
        <f t="shared" si="236"/>
        <v>₽</v>
      </c>
      <c r="K647" s="12">
        <f t="shared" si="237"/>
        <v>6500</v>
      </c>
      <c r="L647" s="19">
        <f t="shared" si="238"/>
        <v>45994</v>
      </c>
      <c r="M647" s="13" t="str">
        <f t="shared" si="239"/>
        <v>АРТ-300</v>
      </c>
      <c r="N647" s="13">
        <f t="shared" si="240"/>
        <v>1</v>
      </c>
      <c r="O647" s="13" t="str">
        <f>IFERROR(VLOOKUP(J647,Справочники!$G$6:$H$8,2,0),"RUB")</f>
        <v>RUB</v>
      </c>
      <c r="P647" s="14">
        <f>ROUND(K647*IFERROR(VLOOKUP(J647,Справочники!$G$6:$I$8,3,0),1),2)</f>
        <v>6500</v>
      </c>
      <c r="Q647" s="13" t="str">
        <f>IFERROR(VLOOKUP(H647,Справочники!$D$6:$E$14,2,0),"НЕИЗВЕСТНО")</f>
        <v>Отменен</v>
      </c>
      <c r="R647" s="20">
        <f>IFERROR(INDEX(Товары_очищенные!$Q$3:$Q$503,MATCH(M647,Товары_очищенные!$L$3:$L$503,0)),"нет в каталоге")</f>
        <v>68000</v>
      </c>
      <c r="S647" s="21" t="str">
        <f>IFERROR(INDEX(Товары_очищенные!$N$3:$N$503,MATCH(M647,Товары_очищенные!$L$3:$L$503,0)),"нет в каталоге")</f>
        <v>Телевизоры</v>
      </c>
      <c r="T647" s="21" t="str">
        <f t="shared" si="241"/>
        <v>OK</v>
      </c>
      <c r="U647" s="12" t="str">
        <f t="shared" si="242"/>
        <v>03/12/2025|АРТ-300|C0645</v>
      </c>
      <c r="V647" s="12" t="str">
        <f t="shared" si="243"/>
        <v>оригинал</v>
      </c>
    </row>
    <row r="648" ht="15" customHeight="1">
      <c r="A648" s="10">
        <v>646</v>
      </c>
      <c r="B648" s="11" t="str">
        <f>RAW_Продажи!A647</f>
        <v>12/03/2025</v>
      </c>
      <c r="C648" s="11" t="str">
        <f>RAW_Продажи!B647</f>
        <v>№АРТ-391</v>
      </c>
      <c r="D648" s="11" t="str">
        <f>RAW_Продажи!C647</f>
        <v>-1</v>
      </c>
      <c r="E648" s="11" t="str">
        <f>RAW_Продажи!D647</f>
        <v>$110</v>
      </c>
      <c r="F648" s="11" t="str">
        <f>RAW_Продажи!E647</f>
        <v>C0646</v>
      </c>
      <c r="G648" s="11" t="str">
        <f>RAW_Продажи!F647</f>
        <v>P035</v>
      </c>
      <c r="H648" s="11" t="str">
        <f>RAW_Продажи!G647</f>
        <v>отменен</v>
      </c>
      <c r="I648" s="12" t="str">
        <f t="shared" si="235"/>
        <v>391</v>
      </c>
      <c r="J648" s="12" t="str">
        <f t="shared" si="236"/>
        <v>$</v>
      </c>
      <c r="K648" s="12">
        <f t="shared" si="237"/>
        <v>110</v>
      </c>
      <c r="L648" s="19">
        <f t="shared" si="238"/>
        <v>45994</v>
      </c>
      <c r="M648" s="13" t="str">
        <f t="shared" si="239"/>
        <v>АРТ-391</v>
      </c>
      <c r="N648" s="13">
        <f t="shared" si="240"/>
        <v>-1</v>
      </c>
      <c r="O648" s="13" t="str">
        <f>IFERROR(VLOOKUP(J648,Справочники!$G$6:$H$8,2,0),"RUB")</f>
        <v>USD</v>
      </c>
      <c r="P648" s="14">
        <f>ROUND(K648*IFERROR(VLOOKUP(J648,Справочники!$G$6:$I$8,3,0),1),2)</f>
        <v>10450</v>
      </c>
      <c r="Q648" s="13" t="str">
        <f>IFERROR(VLOOKUP(H648,Справочники!$D$6:$E$14,2,0),"НЕИЗВЕСТНО")</f>
        <v>Отменен</v>
      </c>
      <c r="R648" s="20">
        <f>IFERROR(INDEX(Товары_очищенные!$Q$3:$Q$503,MATCH(M648,Товары_очищенные!$L$3:$L$503,0)),"нет в каталоге")</f>
        <v>18990</v>
      </c>
      <c r="S648" s="21" t="str">
        <f>IFERROR(INDEX(Товары_очищенные!$N$3:$N$503,MATCH(M648,Товары_очищенные!$L$3:$L$503,0)),"нет в каталоге")</f>
        <v>Наушники</v>
      </c>
      <c r="T648" s="21" t="str">
        <f t="shared" si="241"/>
        <v>OK</v>
      </c>
      <c r="U648" s="12" t="str">
        <f t="shared" si="242"/>
        <v>03/12/2025|АРТ-391|C0646</v>
      </c>
      <c r="V648" s="12" t="str">
        <f t="shared" si="243"/>
        <v>оригинал</v>
      </c>
    </row>
    <row r="649" ht="15" customHeight="1">
      <c r="A649" s="10">
        <v>647</v>
      </c>
      <c r="B649" s="11" t="str">
        <f>RAW_Продажи!A648</f>
        <v>12/04/2025</v>
      </c>
      <c r="C649" s="11" t="str">
        <f>RAW_Продажи!B648</f>
        <v>АРТ_364</v>
      </c>
      <c r="D649" s="11" t="str">
        <f>RAW_Продажи!C648</f>
        <v>3</v>
      </c>
      <c r="E649" s="11" t="str">
        <f>RAW_Продажи!D648</f>
        <v>€90</v>
      </c>
      <c r="F649" s="11" t="str">
        <f>RAW_Продажи!E648</f>
        <v>C0647</v>
      </c>
      <c r="G649" s="11" t="str">
        <f>RAW_Продажи!F648</f>
        <v>P046</v>
      </c>
      <c r="H649" s="11" t="str">
        <f>RAW_Продажи!G648</f>
        <v>возврат</v>
      </c>
      <c r="I649" s="12" t="str">
        <f t="shared" si="235"/>
        <v>364</v>
      </c>
      <c r="J649" s="12" t="str">
        <f t="shared" si="236"/>
        <v>€</v>
      </c>
      <c r="K649" s="12">
        <f t="shared" si="237"/>
        <v>90</v>
      </c>
      <c r="L649" s="19">
        <f t="shared" si="238"/>
        <v>45995</v>
      </c>
      <c r="M649" s="13" t="str">
        <f t="shared" si="239"/>
        <v>АРТ-364</v>
      </c>
      <c r="N649" s="13">
        <f t="shared" si="240"/>
        <v>3</v>
      </c>
      <c r="O649" s="13" t="str">
        <f>IFERROR(VLOOKUP(J649,Справочники!$G$6:$H$8,2,0),"RUB")</f>
        <v>EUR</v>
      </c>
      <c r="P649" s="14">
        <f>ROUND(K649*IFERROR(VLOOKUP(J649,Справочники!$G$6:$I$8,3,0),1),2)</f>
        <v>9000</v>
      </c>
      <c r="Q649" s="13" t="str">
        <f>IFERROR(VLOOKUP(H649,Справочники!$D$6:$E$14,2,0),"НЕИЗВЕСТНО")</f>
        <v>Возврат</v>
      </c>
      <c r="R649" s="20">
        <f>IFERROR(INDEX(Товары_очищенные!$Q$3:$Q$503,MATCH(M649,Товары_очищенные!$L$3:$L$503,0)),"нет в каталоге")</f>
        <v>139990</v>
      </c>
      <c r="S649" s="21" t="str">
        <f>IFERROR(INDEX(Товары_очищенные!$N$3:$N$503,MATCH(M649,Товары_очищенные!$L$3:$L$503,0)),"нет в каталоге")</f>
        <v>Телевизоры</v>
      </c>
      <c r="T649" s="21" t="str">
        <f t="shared" si="241"/>
        <v>OK</v>
      </c>
      <c r="U649" s="12" t="str">
        <f t="shared" si="242"/>
        <v>04/12/2025|АРТ-364|C0647</v>
      </c>
      <c r="V649" s="12" t="str">
        <f t="shared" si="243"/>
        <v>оригинал</v>
      </c>
    </row>
    <row r="650" ht="15" customHeight="1">
      <c r="A650" s="10">
        <v>648</v>
      </c>
      <c r="B650" s="11" t="str">
        <f>RAW_Продажи!A649</f>
        <v>12/04/2025</v>
      </c>
      <c r="C650" s="11" t="str">
        <f>RAW_Продажи!B649</f>
        <v>233-24</v>
      </c>
      <c r="D650" s="11" t="str">
        <f>RAW_Продажи!C649</f>
        <v>2</v>
      </c>
      <c r="E650" s="11" t="str">
        <f>RAW_Продажи!D649</f>
        <v xml:space="preserve">8000 ₽</v>
      </c>
      <c r="F650" s="11" t="str">
        <f>RAW_Продажи!E649</f>
        <v>C0648</v>
      </c>
      <c r="G650" s="11" t="str">
        <f>RAW_Продажи!F649</f>
        <v>P022</v>
      </c>
      <c r="H650" s="11" t="str">
        <f>RAW_Продажи!G649</f>
        <v>Завершен</v>
      </c>
      <c r="I650" s="12" t="str">
        <f t="shared" si="235"/>
        <v>233-24</v>
      </c>
      <c r="J650" s="12" t="str">
        <f t="shared" si="236"/>
        <v>₽</v>
      </c>
      <c r="K650" s="12">
        <f t="shared" si="237"/>
        <v>8000</v>
      </c>
      <c r="L650" s="19">
        <f t="shared" si="238"/>
        <v>45995</v>
      </c>
      <c r="M650" s="13" t="str">
        <f t="shared" si="239"/>
        <v>АРТ-233</v>
      </c>
      <c r="N650" s="13">
        <f t="shared" si="240"/>
        <v>2</v>
      </c>
      <c r="O650" s="13" t="str">
        <f>IFERROR(VLOOKUP(J650,Справочники!$G$6:$H$8,2,0),"RUB")</f>
        <v>RUB</v>
      </c>
      <c r="P650" s="14">
        <f>ROUND(K650*IFERROR(VLOOKUP(J650,Справочники!$G$6:$I$8,3,0),1),2)</f>
        <v>8000</v>
      </c>
      <c r="Q650" s="13" t="str">
        <f>IFERROR(VLOOKUP(H650,Справочники!$D$6:$E$14,2,0),"НЕИЗВЕСТНО")</f>
        <v>Завершен</v>
      </c>
      <c r="R650" s="20">
        <f>IFERROR(INDEX(Товары_очищенные!$Q$3:$Q$503,MATCH(M650,Товары_очищенные!$L$3:$L$503,0)),"нет в каталоге")</f>
        <v>41500</v>
      </c>
      <c r="S650" s="21" t="str">
        <f>IFERROR(INDEX(Товары_очищенные!$N$3:$N$503,MATCH(M650,Товары_очищенные!$L$3:$L$503,0)),"нет в каталоге")</f>
        <v>Смартфоны</v>
      </c>
      <c r="T650" s="21" t="str">
        <f t="shared" si="241"/>
        <v>OK</v>
      </c>
      <c r="U650" s="12" t="str">
        <f t="shared" si="242"/>
        <v>04/12/2025|АРТ-233|C0648</v>
      </c>
      <c r="V650" s="12" t="str">
        <f t="shared" si="243"/>
        <v>оригинал</v>
      </c>
    </row>
    <row r="651" ht="15" customHeight="1">
      <c r="A651" s="10">
        <v>649</v>
      </c>
      <c r="B651" s="11" t="str">
        <f>RAW_Продажи!A650</f>
        <v>12/05/2025</v>
      </c>
      <c r="C651" s="11" t="str">
        <f>RAW_Продажи!B650</f>
        <v>№АРТ-122</v>
      </c>
      <c r="D651" s="11" t="str">
        <f>RAW_Продажи!C650</f>
        <v>1</v>
      </c>
      <c r="E651" s="11" t="str">
        <f>RAW_Продажи!D650</f>
        <v>$95</v>
      </c>
      <c r="F651" s="11" t="str">
        <f>RAW_Продажи!E650</f>
        <v>C0649</v>
      </c>
      <c r="G651" s="11" t="str">
        <f>RAW_Продажи!F650</f>
        <v>P043</v>
      </c>
      <c r="H651" s="11" t="str">
        <f>RAW_Продажи!G650</f>
        <v>завершен</v>
      </c>
      <c r="I651" s="12" t="str">
        <f t="shared" si="235"/>
        <v>122</v>
      </c>
      <c r="J651" s="12" t="str">
        <f t="shared" si="236"/>
        <v>$</v>
      </c>
      <c r="K651" s="12">
        <f t="shared" si="237"/>
        <v>95</v>
      </c>
      <c r="L651" s="19">
        <f t="shared" si="238"/>
        <v>45996</v>
      </c>
      <c r="M651" s="13" t="str">
        <f t="shared" si="239"/>
        <v>АРТ-122</v>
      </c>
      <c r="N651" s="13">
        <f t="shared" si="240"/>
        <v>1</v>
      </c>
      <c r="O651" s="13" t="str">
        <f>IFERROR(VLOOKUP(J651,Справочники!$G$6:$H$8,2,0),"RUB")</f>
        <v>USD</v>
      </c>
      <c r="P651" s="14">
        <f>ROUND(K651*IFERROR(VLOOKUP(J651,Справочники!$G$6:$I$8,3,0),1),2)</f>
        <v>9025</v>
      </c>
      <c r="Q651" s="13" t="str">
        <f>IFERROR(VLOOKUP(H651,Справочники!$D$6:$E$14,2,0),"НЕИЗВЕСТНО")</f>
        <v>Завершен</v>
      </c>
      <c r="R651" s="20">
        <f>IFERROR(INDEX(Товары_очищенные!$Q$3:$Q$503,MATCH(M651,Товары_очищенные!$L$3:$L$503,0)),"нет в каталоге")</f>
        <v>82500</v>
      </c>
      <c r="S651" s="21" t="str">
        <f>IFERROR(INDEX(Товары_очищенные!$N$3:$N$503,MATCH(M651,Товары_очищенные!$L$3:$L$503,0)),"нет в каталоге")</f>
        <v>Часы</v>
      </c>
      <c r="T651" s="21" t="str">
        <f t="shared" si="241"/>
        <v>OK</v>
      </c>
      <c r="U651" s="12" t="str">
        <f t="shared" si="242"/>
        <v>05/12/2025|АРТ-122|C0649</v>
      </c>
      <c r="V651" s="12" t="str">
        <f t="shared" si="243"/>
        <v>оригинал</v>
      </c>
    </row>
    <row r="652" ht="15" customHeight="1">
      <c r="A652" s="10">
        <v>650</v>
      </c>
      <c r="B652" s="11" t="str">
        <f>RAW_Продажи!A651</f>
        <v>12/05/2025</v>
      </c>
      <c r="C652" s="11" t="str">
        <f>RAW_Продажи!B651</f>
        <v>АРТ_486</v>
      </c>
      <c r="D652" s="11" t="str">
        <f>RAW_Продажи!C651</f>
        <v>2</v>
      </c>
      <c r="E652" s="11" t="str">
        <f>RAW_Продажи!D651</f>
        <v>€75</v>
      </c>
      <c r="F652" s="11" t="str">
        <f>RAW_Продажи!E651</f>
        <v>C0650</v>
      </c>
      <c r="G652" s="11" t="str">
        <f>RAW_Продажи!F651</f>
        <v>P030</v>
      </c>
      <c r="H652" s="11" t="str">
        <f>RAW_Продажи!G651</f>
        <v>completed</v>
      </c>
      <c r="I652" s="12" t="str">
        <f t="shared" si="235"/>
        <v>486</v>
      </c>
      <c r="J652" s="12" t="str">
        <f t="shared" si="236"/>
        <v>€</v>
      </c>
      <c r="K652" s="12">
        <f t="shared" si="237"/>
        <v>75</v>
      </c>
      <c r="L652" s="19">
        <f t="shared" si="238"/>
        <v>45996</v>
      </c>
      <c r="M652" s="13" t="str">
        <f t="shared" si="239"/>
        <v>АРТ-486</v>
      </c>
      <c r="N652" s="13">
        <f t="shared" si="240"/>
        <v>2</v>
      </c>
      <c r="O652" s="13" t="str">
        <f>IFERROR(VLOOKUP(J652,Справочники!$G$6:$H$8,2,0),"RUB")</f>
        <v>EUR</v>
      </c>
      <c r="P652" s="14">
        <f>ROUND(K652*IFERROR(VLOOKUP(J652,Справочники!$G$6:$I$8,3,0),1),2)</f>
        <v>7500</v>
      </c>
      <c r="Q652" s="13" t="str">
        <f>IFERROR(VLOOKUP(H652,Справочники!$D$6:$E$14,2,0),"НЕИЗВЕСТНО")</f>
        <v>Завершен</v>
      </c>
      <c r="R652" s="20">
        <f>IFERROR(INDEX(Товары_очищенные!$Q$3:$Q$503,MATCH(M652,Товары_очищенные!$L$3:$L$503,0)),"нет в каталоге")</f>
        <v>35500</v>
      </c>
      <c r="S652" s="21" t="str">
        <f>IFERROR(INDEX(Товары_очищенные!$N$3:$N$503,MATCH(M652,Товары_очищенные!$L$3:$L$503,0)),"нет в каталоге")</f>
        <v>Смартфоны</v>
      </c>
      <c r="T652" s="21" t="str">
        <f t="shared" si="241"/>
        <v>OK</v>
      </c>
      <c r="U652" s="12" t="str">
        <f t="shared" si="242"/>
        <v>05/12/2025|АРТ-486|C0650</v>
      </c>
      <c r="V652" s="12" t="str">
        <f t="shared" si="243"/>
        <v>оригинал</v>
      </c>
    </row>
    <row r="653" ht="15" customHeight="1">
      <c r="A653" s="10">
        <v>651</v>
      </c>
      <c r="B653" s="11" t="str">
        <f>RAW_Продажи!A652</f>
        <v>12/06/2025</v>
      </c>
      <c r="C653" s="11" t="str">
        <f>RAW_Продажи!B652</f>
        <v>367/24</v>
      </c>
      <c r="D653" s="11" t="str">
        <f>RAW_Продажи!C652</f>
        <v xml:space="preserve">3 шт.</v>
      </c>
      <c r="E653" s="11" t="str">
        <f>RAW_Продажи!D652</f>
        <v xml:space="preserve">7000 ₽</v>
      </c>
      <c r="F653" s="11" t="str">
        <f>RAW_Продажи!E652</f>
        <v>C0651</v>
      </c>
      <c r="G653" s="11" t="str">
        <f>RAW_Продажи!F652</f>
        <v>P012</v>
      </c>
      <c r="H653" s="11" t="str">
        <f>RAW_Продажи!G652</f>
        <v>отменен</v>
      </c>
      <c r="I653" s="12" t="str">
        <f t="shared" si="235"/>
        <v>367/24</v>
      </c>
      <c r="J653" s="12" t="str">
        <f t="shared" si="236"/>
        <v>₽</v>
      </c>
      <c r="K653" s="12">
        <f t="shared" si="237"/>
        <v>7000</v>
      </c>
      <c r="L653" s="19">
        <f t="shared" si="238"/>
        <v>45997</v>
      </c>
      <c r="M653" s="13" t="str">
        <f t="shared" si="239"/>
        <v>АРТ-367</v>
      </c>
      <c r="N653" s="13">
        <f t="shared" si="240"/>
        <v>3</v>
      </c>
      <c r="O653" s="13" t="str">
        <f>IFERROR(VLOOKUP(J653,Справочники!$G$6:$H$8,2,0),"RUB")</f>
        <v>RUB</v>
      </c>
      <c r="P653" s="14">
        <f>ROUND(K653*IFERROR(VLOOKUP(J653,Справочники!$G$6:$I$8,3,0),1),2)</f>
        <v>7000</v>
      </c>
      <c r="Q653" s="13" t="str">
        <f>IFERROR(VLOOKUP(H653,Справочники!$D$6:$E$14,2,0),"НЕИЗВЕСТНО")</f>
        <v>Отменен</v>
      </c>
      <c r="R653" s="20">
        <f>IFERROR(INDEX(Товары_очищенные!$Q$3:$Q$503,MATCH(M653,Товары_очищенные!$L$3:$L$503,0)),"нет в каталоге")</f>
        <v>19990</v>
      </c>
      <c r="S653" s="21" t="str">
        <f>IFERROR(INDEX(Товары_очищенные!$N$3:$N$503,MATCH(M653,Товары_очищенные!$L$3:$L$503,0)),"нет в каталоге")</f>
        <v>Наушники</v>
      </c>
      <c r="T653" s="21" t="str">
        <f t="shared" si="241"/>
        <v>OK</v>
      </c>
      <c r="U653" s="12" t="str">
        <f t="shared" si="242"/>
        <v>06/12/2025|АРТ-367|C0651</v>
      </c>
      <c r="V653" s="12" t="str">
        <f t="shared" si="243"/>
        <v>оригинал</v>
      </c>
    </row>
    <row r="654" ht="15" customHeight="1">
      <c r="A654" s="10">
        <v>652</v>
      </c>
      <c r="B654" s="11" t="str">
        <f>RAW_Продажи!A653</f>
        <v>12/06/2025</v>
      </c>
      <c r="C654" s="11" t="str">
        <f>RAW_Продажи!B653</f>
        <v>№АРТ-196</v>
      </c>
      <c r="D654" s="11" t="str">
        <f>RAW_Продажи!C653</f>
        <v>-2</v>
      </c>
      <c r="E654" s="11" t="str">
        <f>RAW_Продажи!D653</f>
        <v>$115</v>
      </c>
      <c r="F654" s="11" t="str">
        <f>RAW_Продажи!E653</f>
        <v>C0652</v>
      </c>
      <c r="G654" s="11" t="str">
        <f>RAW_Продажи!F653</f>
        <v>P007</v>
      </c>
      <c r="H654" s="11" t="str">
        <f>RAW_Продажи!G653</f>
        <v>canceled</v>
      </c>
      <c r="I654" s="12" t="str">
        <f t="shared" si="235"/>
        <v>196</v>
      </c>
      <c r="J654" s="12" t="str">
        <f t="shared" si="236"/>
        <v>$</v>
      </c>
      <c r="K654" s="12">
        <f t="shared" si="237"/>
        <v>115</v>
      </c>
      <c r="L654" s="19">
        <f t="shared" si="238"/>
        <v>45997</v>
      </c>
      <c r="M654" s="13" t="str">
        <f t="shared" si="239"/>
        <v>АРТ-196</v>
      </c>
      <c r="N654" s="13">
        <f t="shared" si="240"/>
        <v>-2</v>
      </c>
      <c r="O654" s="13" t="str">
        <f>IFERROR(VLOOKUP(J654,Справочники!$G$6:$H$8,2,0),"RUB")</f>
        <v>USD</v>
      </c>
      <c r="P654" s="14">
        <f>ROUND(K654*IFERROR(VLOOKUP(J654,Справочники!$G$6:$I$8,3,0),1),2)</f>
        <v>10925</v>
      </c>
      <c r="Q654" s="13" t="str">
        <f>IFERROR(VLOOKUP(H654,Справочники!$D$6:$E$14,2,0),"НЕИЗВЕСТНО")</f>
        <v>Отменен</v>
      </c>
      <c r="R654" s="20">
        <f>IFERROR(INDEX(Товары_очищенные!$Q$3:$Q$503,MATCH(M654,Товары_очищенные!$L$3:$L$503,0)),"нет в каталоге")</f>
        <v>53990</v>
      </c>
      <c r="S654" s="21" t="str">
        <f>IFERROR(INDEX(Товары_очищенные!$N$3:$N$503,MATCH(M654,Товары_очищенные!$L$3:$L$503,0)),"нет в каталоге")</f>
        <v>Смартфоны</v>
      </c>
      <c r="T654" s="21" t="str">
        <f t="shared" si="241"/>
        <v>OK</v>
      </c>
      <c r="U654" s="12" t="str">
        <f t="shared" si="242"/>
        <v>06/12/2025|АРТ-196|C0652</v>
      </c>
      <c r="V654" s="12" t="str">
        <f t="shared" si="243"/>
        <v>оригинал</v>
      </c>
    </row>
    <row r="655" ht="15" customHeight="1">
      <c r="A655" s="10">
        <v>653</v>
      </c>
      <c r="B655" s="11" t="str">
        <f>RAW_Продажи!A654</f>
        <v>12/07/2025</v>
      </c>
      <c r="C655" s="11" t="str">
        <f>RAW_Продажи!B654</f>
        <v>АРТ_385</v>
      </c>
      <c r="D655" s="11" t="str">
        <f>RAW_Продажи!C654</f>
        <v>1</v>
      </c>
      <c r="E655" s="11" t="str">
        <f>RAW_Продажи!D654</f>
        <v>€95</v>
      </c>
      <c r="F655" s="11" t="str">
        <f>RAW_Продажи!E654</f>
        <v>C0653</v>
      </c>
      <c r="G655" s="11" t="str">
        <f>RAW_Продажи!F654</f>
        <v>P023</v>
      </c>
      <c r="H655" s="11" t="str">
        <f>RAW_Продажи!G654</f>
        <v>Завершен</v>
      </c>
      <c r="I655" s="12" t="str">
        <f t="shared" si="235"/>
        <v>385</v>
      </c>
      <c r="J655" s="12" t="str">
        <f t="shared" si="236"/>
        <v>€</v>
      </c>
      <c r="K655" s="12">
        <f t="shared" si="237"/>
        <v>95</v>
      </c>
      <c r="L655" s="19">
        <f t="shared" si="238"/>
        <v>45998</v>
      </c>
      <c r="M655" s="13" t="str">
        <f t="shared" si="239"/>
        <v>АРТ-385</v>
      </c>
      <c r="N655" s="13">
        <f t="shared" si="240"/>
        <v>1</v>
      </c>
      <c r="O655" s="13" t="str">
        <f>IFERROR(VLOOKUP(J655,Справочники!$G$6:$H$8,2,0),"RUB")</f>
        <v>EUR</v>
      </c>
      <c r="P655" s="14">
        <f>ROUND(K655*IFERROR(VLOOKUP(J655,Справочники!$G$6:$I$8,3,0),1),2)</f>
        <v>9500</v>
      </c>
      <c r="Q655" s="13" t="str">
        <f>IFERROR(VLOOKUP(H655,Справочники!$D$6:$E$14,2,0),"НЕИЗВЕСТНО")</f>
        <v>Завершен</v>
      </c>
      <c r="R655" s="20">
        <f>IFERROR(INDEX(Товары_очищенные!$Q$3:$Q$503,MATCH(M655,Товары_очищенные!$L$3:$L$503,0)),"нет в каталоге")</f>
        <v>116990</v>
      </c>
      <c r="S655" s="21" t="str">
        <f>IFERROR(INDEX(Товары_очищенные!$N$3:$N$503,MATCH(M655,Товары_очищенные!$L$3:$L$503,0)),"нет в каталоге")</f>
        <v>Ноутбуки</v>
      </c>
      <c r="T655" s="21" t="str">
        <f t="shared" si="241"/>
        <v>OK</v>
      </c>
      <c r="U655" s="12" t="str">
        <f t="shared" si="242"/>
        <v>07/12/2025|АРТ-385|C0653</v>
      </c>
      <c r="V655" s="12" t="str">
        <f t="shared" si="243"/>
        <v>оригинал</v>
      </c>
    </row>
    <row r="656" ht="15" customHeight="1">
      <c r="A656" s="10">
        <v>654</v>
      </c>
      <c r="B656" s="11" t="str">
        <f>RAW_Продажи!A655</f>
        <v>12/07/2025</v>
      </c>
      <c r="C656" s="11" t="str">
        <f>RAW_Продажи!B655</f>
        <v>242-24</v>
      </c>
      <c r="D656" s="11" t="str">
        <f>RAW_Продажи!C655</f>
        <v>2</v>
      </c>
      <c r="E656" s="11" t="str">
        <f>RAW_Продажи!D655</f>
        <v xml:space="preserve">8500 ₽</v>
      </c>
      <c r="F656" s="11" t="str">
        <f>RAW_Продажи!E655</f>
        <v>C0654</v>
      </c>
      <c r="G656" s="11" t="str">
        <f>RAW_Продажи!F655</f>
        <v>P045</v>
      </c>
      <c r="H656" s="11" t="str">
        <f>RAW_Продажи!G655</f>
        <v>возврат</v>
      </c>
      <c r="I656" s="12" t="str">
        <f t="shared" si="235"/>
        <v>242-24</v>
      </c>
      <c r="J656" s="12" t="str">
        <f t="shared" si="236"/>
        <v>₽</v>
      </c>
      <c r="K656" s="12">
        <f t="shared" si="237"/>
        <v>8500</v>
      </c>
      <c r="L656" s="19">
        <f t="shared" si="238"/>
        <v>45998</v>
      </c>
      <c r="M656" s="13" t="str">
        <f t="shared" si="239"/>
        <v>АРТ-242</v>
      </c>
      <c r="N656" s="13">
        <f t="shared" si="240"/>
        <v>2</v>
      </c>
      <c r="O656" s="13" t="str">
        <f>IFERROR(VLOOKUP(J656,Справочники!$G$6:$H$8,2,0),"RUB")</f>
        <v>RUB</v>
      </c>
      <c r="P656" s="14">
        <f>ROUND(K656*IFERROR(VLOOKUP(J656,Справочники!$G$6:$I$8,3,0),1),2)</f>
        <v>8500</v>
      </c>
      <c r="Q656" s="13" t="str">
        <f>IFERROR(VLOOKUP(H656,Справочники!$D$6:$E$14,2,0),"НЕИЗВЕСТНО")</f>
        <v>Возврат</v>
      </c>
      <c r="R656" s="20">
        <f>IFERROR(INDEX(Товары_очищенные!$Q$3:$Q$503,MATCH(M656,Товары_очищенные!$L$3:$L$503,0)),"нет в каталоге")</f>
        <v>58000</v>
      </c>
      <c r="S656" s="21" t="str">
        <f>IFERROR(INDEX(Товары_очищенные!$N$3:$N$503,MATCH(M656,Товары_очищенные!$L$3:$L$503,0)),"нет в каталоге")</f>
        <v>Наушники</v>
      </c>
      <c r="T656" s="21" t="str">
        <f t="shared" si="241"/>
        <v>OK</v>
      </c>
      <c r="U656" s="12" t="str">
        <f t="shared" si="242"/>
        <v>07/12/2025|АРТ-242|C0654</v>
      </c>
      <c r="V656" s="12" t="str">
        <f t="shared" si="243"/>
        <v>оригинал</v>
      </c>
    </row>
    <row r="657" ht="15" customHeight="1">
      <c r="A657" s="10">
        <v>655</v>
      </c>
      <c r="B657" s="11" t="str">
        <f>RAW_Продажи!A656</f>
        <v>12/08/2025</v>
      </c>
      <c r="C657" s="11" t="str">
        <f>RAW_Продажи!B656</f>
        <v>№АРТ-089</v>
      </c>
      <c r="D657" s="11" t="str">
        <f>RAW_Продажи!C656</f>
        <v>3</v>
      </c>
      <c r="E657" s="11" t="str">
        <f>RAW_Продажи!D656</f>
        <v>$105</v>
      </c>
      <c r="F657" s="11" t="str">
        <f>RAW_Продажи!E656</f>
        <v>C0655</v>
      </c>
      <c r="G657" s="11" t="str">
        <f>RAW_Продажи!F656</f>
        <v>P008</v>
      </c>
      <c r="H657" s="11" t="str">
        <f>RAW_Продажи!G656</f>
        <v>завершен</v>
      </c>
      <c r="I657" s="12" t="str">
        <f t="shared" si="235"/>
        <v>089</v>
      </c>
      <c r="J657" s="12" t="str">
        <f t="shared" si="236"/>
        <v>$</v>
      </c>
      <c r="K657" s="12">
        <f t="shared" si="237"/>
        <v>105</v>
      </c>
      <c r="L657" s="19">
        <f t="shared" si="238"/>
        <v>45999</v>
      </c>
      <c r="M657" s="13" t="str">
        <f t="shared" si="239"/>
        <v>АРТ-089</v>
      </c>
      <c r="N657" s="13">
        <f t="shared" si="240"/>
        <v>3</v>
      </c>
      <c r="O657" s="13" t="str">
        <f>IFERROR(VLOOKUP(J657,Справочники!$G$6:$H$8,2,0),"RUB")</f>
        <v>USD</v>
      </c>
      <c r="P657" s="14">
        <f>ROUND(K657*IFERROR(VLOOKUP(J657,Справочники!$G$6:$I$8,3,0),1),2)</f>
        <v>9975</v>
      </c>
      <c r="Q657" s="13" t="str">
        <f>IFERROR(VLOOKUP(H657,Справочники!$D$6:$E$14,2,0),"НЕИЗВЕСТНО")</f>
        <v>Завершен</v>
      </c>
      <c r="R657" s="20">
        <f>IFERROR(INDEX(Товары_очищенные!$Q$3:$Q$503,MATCH(M657,Товары_очищенные!$L$3:$L$503,0)),"нет в каталоге")</f>
        <v>53500</v>
      </c>
      <c r="S657" s="21" t="str">
        <f>IFERROR(INDEX(Товары_очищенные!$N$3:$N$503,MATCH(M657,Товары_очищенные!$L$3:$L$503,0)),"нет в каталоге")</f>
        <v>Телевизоры</v>
      </c>
      <c r="T657" s="21" t="str">
        <f t="shared" si="241"/>
        <v>OK</v>
      </c>
      <c r="U657" s="12" t="str">
        <f t="shared" si="242"/>
        <v>08/12/2025|АРТ-089|C0655</v>
      </c>
      <c r="V657" s="12" t="str">
        <f t="shared" si="243"/>
        <v>оригинал</v>
      </c>
    </row>
    <row r="658" ht="15" customHeight="1">
      <c r="A658" s="10">
        <v>656</v>
      </c>
      <c r="B658" s="11" t="str">
        <f>RAW_Продажи!A657</f>
        <v>12/08/2025</v>
      </c>
      <c r="C658" s="11" t="str">
        <f>RAW_Продажи!B657</f>
        <v>АРТ_434</v>
      </c>
      <c r="D658" s="11" t="str">
        <f>RAW_Продажи!C657</f>
        <v>2</v>
      </c>
      <c r="E658" s="11" t="str">
        <f>RAW_Продажи!D657</f>
        <v>€85</v>
      </c>
      <c r="F658" s="11" t="str">
        <f>RAW_Продажи!E657</f>
        <v>C0656</v>
      </c>
      <c r="G658" s="11" t="str">
        <f>RAW_Продажи!F657</f>
        <v>P031</v>
      </c>
      <c r="H658" s="11" t="str">
        <f>RAW_Продажи!G657</f>
        <v>completed</v>
      </c>
      <c r="I658" s="12" t="str">
        <f t="shared" si="235"/>
        <v>434</v>
      </c>
      <c r="J658" s="12" t="str">
        <f t="shared" si="236"/>
        <v>€</v>
      </c>
      <c r="K658" s="12">
        <f t="shared" si="237"/>
        <v>85</v>
      </c>
      <c r="L658" s="19">
        <f t="shared" si="238"/>
        <v>45999</v>
      </c>
      <c r="M658" s="13" t="str">
        <f t="shared" si="239"/>
        <v>АРТ-434</v>
      </c>
      <c r="N658" s="13">
        <f t="shared" si="240"/>
        <v>2</v>
      </c>
      <c r="O658" s="13" t="str">
        <f>IFERROR(VLOOKUP(J658,Справочники!$G$6:$H$8,2,0),"RUB")</f>
        <v>EUR</v>
      </c>
      <c r="P658" s="14">
        <f>ROUND(K658*IFERROR(VLOOKUP(J658,Справочники!$G$6:$I$8,3,0),1),2)</f>
        <v>8500</v>
      </c>
      <c r="Q658" s="13" t="str">
        <f>IFERROR(VLOOKUP(H658,Справочники!$D$6:$E$14,2,0),"НЕИЗВЕСТНО")</f>
        <v>Завершен</v>
      </c>
      <c r="R658" s="20">
        <f>IFERROR(INDEX(Товары_очищенные!$Q$3:$Q$503,MATCH(M658,Товары_очищенные!$L$3:$L$503,0)),"нет в каталоге")</f>
        <v>42000</v>
      </c>
      <c r="S658" s="21" t="str">
        <f>IFERROR(INDEX(Товары_очищенные!$N$3:$N$503,MATCH(M658,Товары_очищенные!$L$3:$L$503,0)),"нет в каталоге")</f>
        <v>Мониторы</v>
      </c>
      <c r="T658" s="21" t="str">
        <f t="shared" si="241"/>
        <v>OK</v>
      </c>
      <c r="U658" s="12" t="str">
        <f t="shared" si="242"/>
        <v>08/12/2025|АРТ-434|C0656</v>
      </c>
      <c r="V658" s="12" t="str">
        <f t="shared" si="243"/>
        <v>оригинал</v>
      </c>
    </row>
    <row r="659" ht="15" customHeight="1">
      <c r="A659" s="10">
        <v>657</v>
      </c>
      <c r="B659" s="11" t="str">
        <f>RAW_Продажи!A658</f>
        <v>12/09/2025</v>
      </c>
      <c r="C659" s="11" t="str">
        <f>RAW_Продажи!B658</f>
        <v>331/24</v>
      </c>
      <c r="D659" s="11" t="str">
        <f>RAW_Продажи!C658</f>
        <v xml:space="preserve">1 шт.</v>
      </c>
      <c r="E659" s="11" t="str">
        <f>RAW_Продажи!D658</f>
        <v xml:space="preserve">7800 ₽</v>
      </c>
      <c r="F659" s="11" t="str">
        <f>RAW_Продажи!E658</f>
        <v>C0657</v>
      </c>
      <c r="G659" s="11" t="str">
        <f>RAW_Продажи!F658</f>
        <v>P019</v>
      </c>
      <c r="H659" s="11" t="str">
        <f>RAW_Продажи!G658</f>
        <v>Завершен</v>
      </c>
      <c r="I659" s="12" t="str">
        <f t="shared" si="235"/>
        <v>331/24</v>
      </c>
      <c r="J659" s="12" t="str">
        <f t="shared" si="236"/>
        <v>₽</v>
      </c>
      <c r="K659" s="12">
        <f t="shared" si="237"/>
        <v>7800</v>
      </c>
      <c r="L659" s="19">
        <f t="shared" si="238"/>
        <v>46000</v>
      </c>
      <c r="M659" s="13" t="str">
        <f t="shared" si="239"/>
        <v>АРТ-331</v>
      </c>
      <c r="N659" s="13">
        <f t="shared" si="240"/>
        <v>1</v>
      </c>
      <c r="O659" s="13" t="str">
        <f>IFERROR(VLOOKUP(J659,Справочники!$G$6:$H$8,2,0),"RUB")</f>
        <v>RUB</v>
      </c>
      <c r="P659" s="14">
        <f>ROUND(K659*IFERROR(VLOOKUP(J659,Справочники!$G$6:$I$8,3,0),1),2)</f>
        <v>7800</v>
      </c>
      <c r="Q659" s="13" t="str">
        <f>IFERROR(VLOOKUP(H659,Справочники!$D$6:$E$14,2,0),"НЕИЗВЕСТНО")</f>
        <v>Завершен</v>
      </c>
      <c r="R659" s="20">
        <f>IFERROR(INDEX(Товары_очищенные!$Q$3:$Q$503,MATCH(M659,Товары_очищенные!$L$3:$L$503,0)),"нет в каталоге")</f>
        <v>69990</v>
      </c>
      <c r="S659" s="21" t="str">
        <f>IFERROR(INDEX(Товары_очищенные!$N$3:$N$503,MATCH(M659,Товары_очищенные!$L$3:$L$503,0)),"нет в каталоге")</f>
        <v>Часы</v>
      </c>
      <c r="T659" s="21" t="str">
        <f t="shared" si="241"/>
        <v>OK</v>
      </c>
      <c r="U659" s="12" t="str">
        <f t="shared" si="242"/>
        <v>09/12/2025|АРТ-331|C0657</v>
      </c>
      <c r="V659" s="12" t="str">
        <f t="shared" si="243"/>
        <v>оригинал</v>
      </c>
    </row>
    <row r="660" ht="15" customHeight="1">
      <c r="A660" s="10">
        <v>658</v>
      </c>
      <c r="B660" s="11" t="str">
        <f>RAW_Продажи!A659</f>
        <v>12/09/2025</v>
      </c>
      <c r="C660" s="11" t="str">
        <f>RAW_Продажи!B659</f>
        <v>№АРТ-194</v>
      </c>
      <c r="D660" s="11" t="str">
        <f>RAW_Продажи!C659</f>
        <v>-3</v>
      </c>
      <c r="E660" s="11" t="str">
        <f>RAW_Продажи!D659</f>
        <v>$120</v>
      </c>
      <c r="F660" s="11" t="str">
        <f>RAW_Продажи!E659</f>
        <v>C0658</v>
      </c>
      <c r="G660" s="11" t="str">
        <f>RAW_Продажи!F659</f>
        <v>P042</v>
      </c>
      <c r="H660" s="11" t="str">
        <f>RAW_Продажи!G659</f>
        <v>canceled</v>
      </c>
      <c r="I660" s="12" t="str">
        <f t="shared" si="235"/>
        <v>194</v>
      </c>
      <c r="J660" s="12" t="str">
        <f t="shared" si="236"/>
        <v>$</v>
      </c>
      <c r="K660" s="12">
        <f t="shared" si="237"/>
        <v>120</v>
      </c>
      <c r="L660" s="19">
        <f t="shared" si="238"/>
        <v>46000</v>
      </c>
      <c r="M660" s="13" t="str">
        <f t="shared" si="239"/>
        <v>АРТ-194</v>
      </c>
      <c r="N660" s="13">
        <f t="shared" si="240"/>
        <v>-3</v>
      </c>
      <c r="O660" s="13" t="str">
        <f>IFERROR(VLOOKUP(J660,Справочники!$G$6:$H$8,2,0),"RUB")</f>
        <v>USD</v>
      </c>
      <c r="P660" s="14">
        <f>ROUND(K660*IFERROR(VLOOKUP(J660,Справочники!$G$6:$I$8,3,0),1),2)</f>
        <v>11400</v>
      </c>
      <c r="Q660" s="13" t="str">
        <f>IFERROR(VLOOKUP(H660,Справочники!$D$6:$E$14,2,0),"НЕИЗВЕСТНО")</f>
        <v>Отменен</v>
      </c>
      <c r="R660" s="20">
        <f>IFERROR(INDEX(Товары_очищенные!$Q$3:$Q$503,MATCH(M660,Товары_очищенные!$L$3:$L$503,0)),"нет в каталоге")</f>
        <v>127000</v>
      </c>
      <c r="S660" s="21" t="str">
        <f>IFERROR(INDEX(Товары_очищенные!$N$3:$N$503,MATCH(M660,Товары_очищенные!$L$3:$L$503,0)),"нет в каталоге")</f>
        <v>Ноутбуки</v>
      </c>
      <c r="T660" s="21" t="str">
        <f t="shared" si="241"/>
        <v>OK</v>
      </c>
      <c r="U660" s="12" t="str">
        <f t="shared" si="242"/>
        <v>09/12/2025|АРТ-194|C0658</v>
      </c>
      <c r="V660" s="12" t="str">
        <f t="shared" si="243"/>
        <v>оригинал</v>
      </c>
    </row>
    <row r="661" ht="15" customHeight="1">
      <c r="A661" s="10">
        <v>659</v>
      </c>
      <c r="B661" s="11" t="str">
        <f>RAW_Продажи!A660</f>
        <v>12/10/2025</v>
      </c>
      <c r="C661" s="11" t="str">
        <f>RAW_Продажи!B660</f>
        <v>АРТ_291</v>
      </c>
      <c r="D661" s="11" t="str">
        <f>RAW_Продажи!C660</f>
        <v>2</v>
      </c>
      <c r="E661" s="11" t="str">
        <f>RAW_Продажи!D660</f>
        <v>€100</v>
      </c>
      <c r="F661" s="11" t="str">
        <f>RAW_Продажи!E660</f>
        <v>C0659</v>
      </c>
      <c r="G661" s="11" t="str">
        <f>RAW_Продажи!F660</f>
        <v>P005</v>
      </c>
      <c r="H661" s="11" t="str">
        <f>RAW_Продажи!G660</f>
        <v>отменен</v>
      </c>
      <c r="I661" s="12" t="str">
        <f t="shared" si="235"/>
        <v>291</v>
      </c>
      <c r="J661" s="12" t="str">
        <f t="shared" si="236"/>
        <v>€</v>
      </c>
      <c r="K661" s="12">
        <f t="shared" si="237"/>
        <v>100</v>
      </c>
      <c r="L661" s="19">
        <f t="shared" si="238"/>
        <v>46001</v>
      </c>
      <c r="M661" s="13" t="str">
        <f t="shared" si="239"/>
        <v>АРТ-291</v>
      </c>
      <c r="N661" s="13">
        <f t="shared" si="240"/>
        <v>2</v>
      </c>
      <c r="O661" s="13" t="str">
        <f>IFERROR(VLOOKUP(J661,Справочники!$G$6:$H$8,2,0),"RUB")</f>
        <v>EUR</v>
      </c>
      <c r="P661" s="14">
        <f>ROUND(K661*IFERROR(VLOOKUP(J661,Справочники!$G$6:$I$8,3,0),1),2)</f>
        <v>10000</v>
      </c>
      <c r="Q661" s="13" t="str">
        <f>IFERROR(VLOOKUP(H661,Справочники!$D$6:$E$14,2,0),"НЕИЗВЕСТНО")</f>
        <v>Отменен</v>
      </c>
      <c r="R661" s="20">
        <f>IFERROR(INDEX(Товары_очищенные!$Q$3:$Q$503,MATCH(M661,Товары_очищенные!$L$3:$L$503,0)),"нет в каталоге")</f>
        <v>65000</v>
      </c>
      <c r="S661" s="21" t="str">
        <f>IFERROR(INDEX(Товары_очищенные!$N$3:$N$503,MATCH(M661,Товары_очищенные!$L$3:$L$503,0)),"нет в каталоге")</f>
        <v>Часы</v>
      </c>
      <c r="T661" s="21" t="str">
        <f t="shared" si="241"/>
        <v>OK</v>
      </c>
      <c r="U661" s="12" t="str">
        <f t="shared" si="242"/>
        <v>10/12/2025|АРТ-291|C0659</v>
      </c>
      <c r="V661" s="12" t="str">
        <f t="shared" si="243"/>
        <v>оригинал</v>
      </c>
    </row>
    <row r="662" ht="15" customHeight="1">
      <c r="A662" s="10">
        <v>660</v>
      </c>
      <c r="B662" s="11" t="str">
        <f>RAW_Продажи!A661</f>
        <v>12/10/2025</v>
      </c>
      <c r="C662" s="11" t="str">
        <f>RAW_Продажи!B661</f>
        <v>138-24</v>
      </c>
      <c r="D662" s="11" t="str">
        <f>RAW_Продажи!C661</f>
        <v>1</v>
      </c>
      <c r="E662" s="11" t="str">
        <f>RAW_Продажи!D661</f>
        <v xml:space="preserve">9200 ₽</v>
      </c>
      <c r="F662" s="11" t="str">
        <f>RAW_Продажи!E661</f>
        <v>C0660</v>
      </c>
      <c r="G662" s="11" t="str">
        <f>RAW_Продажи!F661</f>
        <v>P036</v>
      </c>
      <c r="H662" s="11" t="str">
        <f>RAW_Продажи!G661</f>
        <v>возврат</v>
      </c>
      <c r="I662" s="12" t="str">
        <f t="shared" si="235"/>
        <v>138-24</v>
      </c>
      <c r="J662" s="12" t="str">
        <f t="shared" si="236"/>
        <v>₽</v>
      </c>
      <c r="K662" s="12">
        <f t="shared" si="237"/>
        <v>9200</v>
      </c>
      <c r="L662" s="19">
        <f t="shared" si="238"/>
        <v>46001</v>
      </c>
      <c r="M662" s="13" t="str">
        <f t="shared" si="239"/>
        <v>АРТ-138</v>
      </c>
      <c r="N662" s="13">
        <f t="shared" si="240"/>
        <v>1</v>
      </c>
      <c r="O662" s="13" t="str">
        <f>IFERROR(VLOOKUP(J662,Справочники!$G$6:$H$8,2,0),"RUB")</f>
        <v>RUB</v>
      </c>
      <c r="P662" s="14">
        <f>ROUND(K662*IFERROR(VLOOKUP(J662,Справочники!$G$6:$I$8,3,0),1),2)</f>
        <v>9200</v>
      </c>
      <c r="Q662" s="13" t="str">
        <f>IFERROR(VLOOKUP(H662,Справочники!$D$6:$E$14,2,0),"НЕИЗВЕСТНО")</f>
        <v>Возврат</v>
      </c>
      <c r="R662" s="20">
        <f>IFERROR(INDEX(Товары_очищенные!$Q$3:$Q$503,MATCH(M662,Товары_очищенные!$L$3:$L$503,0)),"нет в каталоге")</f>
        <v>24000</v>
      </c>
      <c r="S662" s="21" t="str">
        <f>IFERROR(INDEX(Товары_очищенные!$N$3:$N$503,MATCH(M662,Товары_очищенные!$L$3:$L$503,0)),"нет в каталоге")</f>
        <v>Наушники</v>
      </c>
      <c r="T662" s="21" t="str">
        <f t="shared" si="241"/>
        <v>OK</v>
      </c>
      <c r="U662" s="12" t="str">
        <f t="shared" si="242"/>
        <v>10/12/2025|АРТ-138|C0660</v>
      </c>
      <c r="V662" s="12" t="str">
        <f t="shared" si="243"/>
        <v>оригинал</v>
      </c>
    </row>
    <row r="663" ht="15" customHeight="1">
      <c r="A663" s="10">
        <v>661</v>
      </c>
      <c r="B663" s="11" t="str">
        <f>RAW_Продажи!A662</f>
        <v>12/11/2025</v>
      </c>
      <c r="C663" s="11" t="str">
        <f>RAW_Продажи!B662</f>
        <v>№АРТ-014</v>
      </c>
      <c r="D663" s="11" t="str">
        <f>RAW_Продажи!C662</f>
        <v>3</v>
      </c>
      <c r="E663" s="11" t="str">
        <f>RAW_Продажи!D662</f>
        <v>$90</v>
      </c>
      <c r="F663" s="11" t="str">
        <f>RAW_Продажи!E662</f>
        <v>C0661</v>
      </c>
      <c r="G663" s="11" t="str">
        <f>RAW_Продажи!F662</f>
        <v>P014</v>
      </c>
      <c r="H663" s="11" t="str">
        <f>RAW_Продажи!G662</f>
        <v>Завершен</v>
      </c>
      <c r="I663" s="12" t="str">
        <f t="shared" si="235"/>
        <v>014</v>
      </c>
      <c r="J663" s="12" t="str">
        <f t="shared" si="236"/>
        <v>$</v>
      </c>
      <c r="K663" s="12">
        <f t="shared" si="237"/>
        <v>90</v>
      </c>
      <c r="L663" s="19">
        <f t="shared" si="238"/>
        <v>46002</v>
      </c>
      <c r="M663" s="13" t="str">
        <f t="shared" si="239"/>
        <v>АРТ-014</v>
      </c>
      <c r="N663" s="13">
        <f t="shared" si="240"/>
        <v>3</v>
      </c>
      <c r="O663" s="13" t="str">
        <f>IFERROR(VLOOKUP(J663,Справочники!$G$6:$H$8,2,0),"RUB")</f>
        <v>USD</v>
      </c>
      <c r="P663" s="14">
        <f>ROUND(K663*IFERROR(VLOOKUP(J663,Справочники!$G$6:$I$8,3,0),1),2)</f>
        <v>8550</v>
      </c>
      <c r="Q663" s="13" t="str">
        <f>IFERROR(VLOOKUP(H663,Справочники!$D$6:$E$14,2,0),"НЕИЗВЕСТНО")</f>
        <v>Завершен</v>
      </c>
      <c r="R663" s="20">
        <f>IFERROR(INDEX(Товары_очищенные!$Q$3:$Q$503,MATCH(M663,Товары_очищенные!$L$3:$L$503,0)),"нет в каталоге")</f>
        <v>147500</v>
      </c>
      <c r="S663" s="21" t="str">
        <f>IFERROR(INDEX(Товары_очищенные!$N$3:$N$503,MATCH(M663,Товары_очищенные!$L$3:$L$503,0)),"нет в каталоге")</f>
        <v>Телевизоры</v>
      </c>
      <c r="T663" s="21" t="str">
        <f t="shared" si="241"/>
        <v>OK</v>
      </c>
      <c r="U663" s="12" t="str">
        <f t="shared" si="242"/>
        <v>11/12/2025|АРТ-014|C0661</v>
      </c>
      <c r="V663" s="12" t="str">
        <f t="shared" si="243"/>
        <v>оригинал</v>
      </c>
    </row>
    <row r="664" ht="15" customHeight="1">
      <c r="A664" s="10">
        <v>662</v>
      </c>
      <c r="B664" s="11" t="str">
        <f>RAW_Продажи!A663</f>
        <v>12/11/2025</v>
      </c>
      <c r="C664" s="11" t="str">
        <f>RAW_Продажи!B663</f>
        <v>АРТ_453</v>
      </c>
      <c r="D664" s="11" t="str">
        <f>RAW_Продажи!C663</f>
        <v>2</v>
      </c>
      <c r="E664" s="11" t="str">
        <f>RAW_Продажи!D663</f>
        <v>€70</v>
      </c>
      <c r="F664" s="11" t="str">
        <f>RAW_Продажи!E663</f>
        <v>C0662</v>
      </c>
      <c r="G664" s="11" t="str">
        <f>RAW_Продажи!F663</f>
        <v>P028</v>
      </c>
      <c r="H664" s="11" t="str">
        <f>RAW_Продажи!G663</f>
        <v>завершен</v>
      </c>
      <c r="I664" s="12" t="str">
        <f t="shared" si="235"/>
        <v>453</v>
      </c>
      <c r="J664" s="12" t="str">
        <f t="shared" si="236"/>
        <v>€</v>
      </c>
      <c r="K664" s="12">
        <f t="shared" si="237"/>
        <v>70</v>
      </c>
      <c r="L664" s="19">
        <f t="shared" si="238"/>
        <v>46002</v>
      </c>
      <c r="M664" s="13" t="str">
        <f t="shared" si="239"/>
        <v>АРТ-453</v>
      </c>
      <c r="N664" s="13">
        <f t="shared" si="240"/>
        <v>2</v>
      </c>
      <c r="O664" s="13" t="str">
        <f>IFERROR(VLOOKUP(J664,Справочники!$G$6:$H$8,2,0),"RUB")</f>
        <v>EUR</v>
      </c>
      <c r="P664" s="14">
        <f>ROUND(K664*IFERROR(VLOOKUP(J664,Справочники!$G$6:$I$8,3,0),1),2)</f>
        <v>7000</v>
      </c>
      <c r="Q664" s="13" t="str">
        <f>IFERROR(VLOOKUP(H664,Справочники!$D$6:$E$14,2,0),"НЕИЗВЕСТНО")</f>
        <v>Завершен</v>
      </c>
      <c r="R664" s="20">
        <f>IFERROR(INDEX(Товары_очищенные!$Q$3:$Q$503,MATCH(M664,Товары_очищенные!$L$3:$L$503,0)),"нет в каталоге")</f>
        <v>41500</v>
      </c>
      <c r="S664" s="21" t="str">
        <f>IFERROR(INDEX(Товары_очищенные!$N$3:$N$503,MATCH(M664,Товары_очищенные!$L$3:$L$503,0)),"нет в каталоге")</f>
        <v>Наушники</v>
      </c>
      <c r="T664" s="21" t="str">
        <f t="shared" si="241"/>
        <v>OK</v>
      </c>
      <c r="U664" s="12" t="str">
        <f t="shared" si="242"/>
        <v>11/12/2025|АРТ-453|C0662</v>
      </c>
      <c r="V664" s="12" t="str">
        <f t="shared" si="243"/>
        <v>оригинал</v>
      </c>
    </row>
    <row r="665" ht="15" customHeight="1">
      <c r="A665" s="10">
        <v>663</v>
      </c>
      <c r="B665" s="11" t="str">
        <f>RAW_Продажи!A664</f>
        <v>12/12/2025</v>
      </c>
      <c r="C665" s="11" t="str">
        <f>RAW_Продажи!B664</f>
        <v>393/24</v>
      </c>
      <c r="D665" s="11" t="str">
        <f>RAW_Продажи!C664</f>
        <v xml:space="preserve">1 шт.</v>
      </c>
      <c r="E665" s="11" t="str">
        <f>RAW_Продажи!D664</f>
        <v xml:space="preserve">6500 ₽</v>
      </c>
      <c r="F665" s="11" t="str">
        <f>RAW_Продажи!E664</f>
        <v>C0663</v>
      </c>
      <c r="G665" s="11" t="str">
        <f>RAW_Продажи!F664</f>
        <v>P009</v>
      </c>
      <c r="H665" s="11" t="str">
        <f>RAW_Продажи!G664</f>
        <v>completed</v>
      </c>
      <c r="I665" s="12" t="str">
        <f t="shared" si="235"/>
        <v>393/24</v>
      </c>
      <c r="J665" s="12" t="str">
        <f t="shared" si="236"/>
        <v>₽</v>
      </c>
      <c r="K665" s="12">
        <f t="shared" si="237"/>
        <v>6500</v>
      </c>
      <c r="L665" s="19">
        <f t="shared" si="238"/>
        <v>46003</v>
      </c>
      <c r="M665" s="13" t="str">
        <f t="shared" si="239"/>
        <v>АРТ-393</v>
      </c>
      <c r="N665" s="13">
        <f t="shared" si="240"/>
        <v>1</v>
      </c>
      <c r="O665" s="13" t="str">
        <f>IFERROR(VLOOKUP(J665,Справочники!$G$6:$H$8,2,0),"RUB")</f>
        <v>RUB</v>
      </c>
      <c r="P665" s="14">
        <f>ROUND(K665*IFERROR(VLOOKUP(J665,Справочники!$G$6:$I$8,3,0),1),2)</f>
        <v>6500</v>
      </c>
      <c r="Q665" s="13" t="str">
        <f>IFERROR(VLOOKUP(H665,Справочники!$D$6:$E$14,2,0),"НЕИЗВЕСТНО")</f>
        <v>Завершен</v>
      </c>
      <c r="R665" s="20">
        <f>IFERROR(INDEX(Товары_очищенные!$Q$3:$Q$503,MATCH(M665,Товары_очищенные!$L$3:$L$503,0)),"нет в каталоге")</f>
        <v>19800</v>
      </c>
      <c r="S665" s="21" t="str">
        <f>IFERROR(INDEX(Товары_очищенные!$N$3:$N$503,MATCH(M665,Товары_очищенные!$L$3:$L$503,0)),"нет в каталоге")</f>
        <v>Наушники</v>
      </c>
      <c r="T665" s="21" t="str">
        <f t="shared" si="241"/>
        <v>OK</v>
      </c>
      <c r="U665" s="12" t="str">
        <f t="shared" si="242"/>
        <v>12/12/2025|АРТ-393|C0663</v>
      </c>
      <c r="V665" s="12" t="str">
        <f t="shared" si="243"/>
        <v>оригинал</v>
      </c>
    </row>
    <row r="666" ht="15" customHeight="1">
      <c r="A666" s="10">
        <v>664</v>
      </c>
      <c r="B666" s="11" t="str">
        <f>RAW_Продажи!A665</f>
        <v>12/12/2025</v>
      </c>
      <c r="C666" s="11" t="str">
        <f>RAW_Продажи!B665</f>
        <v>№АРТ-273</v>
      </c>
      <c r="D666" s="11" t="str">
        <f>RAW_Продажи!C665</f>
        <v>-1</v>
      </c>
      <c r="E666" s="11" t="str">
        <f>RAW_Продажи!D665</f>
        <v>$110</v>
      </c>
      <c r="F666" s="11" t="str">
        <f>RAW_Продажи!E665</f>
        <v>C0664</v>
      </c>
      <c r="G666" s="11" t="str">
        <f>RAW_Продажи!F665</f>
        <v>P041</v>
      </c>
      <c r="H666" s="11" t="str">
        <f>RAW_Продажи!G665</f>
        <v>отменен</v>
      </c>
      <c r="I666" s="12" t="str">
        <f t="shared" si="235"/>
        <v>273</v>
      </c>
      <c r="J666" s="12" t="str">
        <f t="shared" si="236"/>
        <v>$</v>
      </c>
      <c r="K666" s="12">
        <f t="shared" si="237"/>
        <v>110</v>
      </c>
      <c r="L666" s="19">
        <f t="shared" si="238"/>
        <v>46003</v>
      </c>
      <c r="M666" s="13" t="str">
        <f t="shared" si="239"/>
        <v>АРТ-273</v>
      </c>
      <c r="N666" s="13">
        <f t="shared" si="240"/>
        <v>-1</v>
      </c>
      <c r="O666" s="13" t="str">
        <f>IFERROR(VLOOKUP(J666,Справочники!$G$6:$H$8,2,0),"RUB")</f>
        <v>USD</v>
      </c>
      <c r="P666" s="14">
        <f>ROUND(K666*IFERROR(VLOOKUP(J666,Справочники!$G$6:$I$8,3,0),1),2)</f>
        <v>10450</v>
      </c>
      <c r="Q666" s="13" t="str">
        <f>IFERROR(VLOOKUP(H666,Справочники!$D$6:$E$14,2,0),"НЕИЗВЕСТНО")</f>
        <v>Отменен</v>
      </c>
      <c r="R666" s="20">
        <f>IFERROR(INDEX(Товары_очищенные!$Q$3:$Q$503,MATCH(M666,Товары_очищенные!$L$3:$L$503,0)),"нет в каталоге")</f>
        <v>46500</v>
      </c>
      <c r="S666" s="21" t="str">
        <f>IFERROR(INDEX(Товары_очищенные!$N$3:$N$503,MATCH(M666,Товары_очищенные!$L$3:$L$503,0)),"нет в каталоге")</f>
        <v>Смартфоны</v>
      </c>
      <c r="T666" s="21" t="str">
        <f t="shared" si="241"/>
        <v>OK</v>
      </c>
      <c r="U666" s="12" t="str">
        <f t="shared" si="242"/>
        <v>12/12/2025|АРТ-273|C0664</v>
      </c>
      <c r="V666" s="12" t="str">
        <f t="shared" si="243"/>
        <v>оригинал</v>
      </c>
    </row>
    <row r="667" ht="15" customHeight="1">
      <c r="A667" s="10">
        <v>665</v>
      </c>
      <c r="B667" s="11" t="str">
        <f>RAW_Продажи!A666</f>
        <v>12/13/2025</v>
      </c>
      <c r="C667" s="11" t="str">
        <f>RAW_Продажи!B666</f>
        <v>АРТ_371</v>
      </c>
      <c r="D667" s="11" t="str">
        <f>RAW_Продажи!C666</f>
        <v>3</v>
      </c>
      <c r="E667" s="11" t="str">
        <f>RAW_Продажи!D666</f>
        <v>€90</v>
      </c>
      <c r="F667" s="11" t="str">
        <f>RAW_Продажи!E666</f>
        <v>C0665</v>
      </c>
      <c r="G667" s="11" t="str">
        <f>RAW_Продажи!F666</f>
        <v>P017</v>
      </c>
      <c r="H667" s="11" t="str">
        <f>RAW_Продажи!G666</f>
        <v>canceled</v>
      </c>
      <c r="I667" s="12" t="str">
        <f t="shared" si="235"/>
        <v>371</v>
      </c>
      <c r="J667" s="12" t="str">
        <f t="shared" si="236"/>
        <v>€</v>
      </c>
      <c r="K667" s="12">
        <f t="shared" si="237"/>
        <v>90</v>
      </c>
      <c r="L667" s="19">
        <f t="shared" si="238"/>
        <v>46004</v>
      </c>
      <c r="M667" s="13" t="str">
        <f t="shared" si="239"/>
        <v>АРТ-371</v>
      </c>
      <c r="N667" s="13">
        <f t="shared" si="240"/>
        <v>3</v>
      </c>
      <c r="O667" s="13" t="str">
        <f>IFERROR(VLOOKUP(J667,Справочники!$G$6:$H$8,2,0),"RUB")</f>
        <v>EUR</v>
      </c>
      <c r="P667" s="14">
        <f>ROUND(K667*IFERROR(VLOOKUP(J667,Справочники!$G$6:$I$8,3,0),1),2)</f>
        <v>9000</v>
      </c>
      <c r="Q667" s="13" t="str">
        <f>IFERROR(VLOOKUP(H667,Справочники!$D$6:$E$14,2,0),"НЕИЗВЕСТНО")</f>
        <v>Отменен</v>
      </c>
      <c r="R667" s="20">
        <f>IFERROR(INDEX(Товары_очищенные!$Q$3:$Q$503,MATCH(M667,Товары_очищенные!$L$3:$L$503,0)),"нет в каталоге")</f>
        <v>48000</v>
      </c>
      <c r="S667" s="21" t="str">
        <f>IFERROR(INDEX(Товары_очищенные!$N$3:$N$503,MATCH(M667,Товары_очищенные!$L$3:$L$503,0)),"нет в каталоге")</f>
        <v>Мониторы</v>
      </c>
      <c r="T667" s="21" t="str">
        <f t="shared" si="241"/>
        <v>OK</v>
      </c>
      <c r="U667" s="12" t="str">
        <f t="shared" si="242"/>
        <v>13/12/2025|АРТ-371|C0665</v>
      </c>
      <c r="V667" s="12" t="str">
        <f t="shared" si="243"/>
        <v>оригинал</v>
      </c>
    </row>
    <row r="668" ht="15" customHeight="1">
      <c r="A668" s="10">
        <v>666</v>
      </c>
      <c r="B668" s="11" t="str">
        <f>RAW_Продажи!A667</f>
        <v>12/13/2025</v>
      </c>
      <c r="C668" s="11" t="str">
        <f>RAW_Продажи!B667</f>
        <v>105-24</v>
      </c>
      <c r="D668" s="11" t="str">
        <f>RAW_Продажи!C667</f>
        <v>2</v>
      </c>
      <c r="E668" s="11" t="str">
        <f>RAW_Продажи!D667</f>
        <v xml:space="preserve">8000 ₽</v>
      </c>
      <c r="F668" s="11" t="str">
        <f>RAW_Продажи!E667</f>
        <v>C0666</v>
      </c>
      <c r="G668" s="11" t="str">
        <f>RAW_Продажи!F667</f>
        <v>P032</v>
      </c>
      <c r="H668" s="11" t="str">
        <f>RAW_Продажи!G667</f>
        <v>Завершен</v>
      </c>
      <c r="I668" s="12" t="str">
        <f t="shared" si="235"/>
        <v>105-24</v>
      </c>
      <c r="J668" s="12" t="str">
        <f t="shared" si="236"/>
        <v>₽</v>
      </c>
      <c r="K668" s="12">
        <f t="shared" si="237"/>
        <v>8000</v>
      </c>
      <c r="L668" s="19">
        <f t="shared" si="238"/>
        <v>46004</v>
      </c>
      <c r="M668" s="13" t="str">
        <f t="shared" si="239"/>
        <v>АРТ-105</v>
      </c>
      <c r="N668" s="13">
        <f t="shared" si="240"/>
        <v>2</v>
      </c>
      <c r="O668" s="13" t="str">
        <f>IFERROR(VLOOKUP(J668,Справочники!$G$6:$H$8,2,0),"RUB")</f>
        <v>RUB</v>
      </c>
      <c r="P668" s="14">
        <f>ROUND(K668*IFERROR(VLOOKUP(J668,Справочники!$G$6:$I$8,3,0),1),2)</f>
        <v>8000</v>
      </c>
      <c r="Q668" s="13" t="str">
        <f>IFERROR(VLOOKUP(H668,Справочники!$D$6:$E$14,2,0),"НЕИЗВЕСТНО")</f>
        <v>Завершен</v>
      </c>
      <c r="R668" s="20">
        <f>IFERROR(INDEX(Товары_очищенные!$Q$3:$Q$503,MATCH(M668,Товары_очищенные!$L$3:$L$503,0)),"нет в каталоге")</f>
        <v>152000</v>
      </c>
      <c r="S668" s="21" t="str">
        <f>IFERROR(INDEX(Товары_очищенные!$N$3:$N$503,MATCH(M668,Товары_очищенные!$L$3:$L$503,0)),"нет в каталоге")</f>
        <v>Ноутбуки</v>
      </c>
      <c r="T668" s="21" t="str">
        <f t="shared" si="241"/>
        <v>OK</v>
      </c>
      <c r="U668" s="12" t="str">
        <f t="shared" si="242"/>
        <v>13/12/2025|АРТ-105|C0666</v>
      </c>
      <c r="V668" s="12" t="str">
        <f t="shared" si="243"/>
        <v>оригинал</v>
      </c>
    </row>
    <row r="669" ht="15" customHeight="1">
      <c r="A669" s="10">
        <v>667</v>
      </c>
      <c r="B669" s="11" t="str">
        <f>RAW_Продажи!A668</f>
        <v>12/14/2025</v>
      </c>
      <c r="C669" s="11" t="str">
        <f>RAW_Продажи!B668</f>
        <v>№АРТ-039</v>
      </c>
      <c r="D669" s="11" t="str">
        <f>RAW_Продажи!C668</f>
        <v>1</v>
      </c>
      <c r="E669" s="11" t="str">
        <f>RAW_Продажи!D668</f>
        <v>$95</v>
      </c>
      <c r="F669" s="11" t="str">
        <f>RAW_Продажи!E668</f>
        <v>C0667</v>
      </c>
      <c r="G669" s="11" t="str">
        <f>RAW_Продажи!F668</f>
        <v>P049</v>
      </c>
      <c r="H669" s="11" t="str">
        <f>RAW_Продажи!G668</f>
        <v>возврат</v>
      </c>
      <c r="I669" s="12" t="str">
        <f t="shared" si="235"/>
        <v>039</v>
      </c>
      <c r="J669" s="12" t="str">
        <f t="shared" si="236"/>
        <v>$</v>
      </c>
      <c r="K669" s="12">
        <f t="shared" si="237"/>
        <v>95</v>
      </c>
      <c r="L669" s="19">
        <f t="shared" si="238"/>
        <v>46005</v>
      </c>
      <c r="M669" s="13" t="str">
        <f t="shared" si="239"/>
        <v>АРТ-039</v>
      </c>
      <c r="N669" s="13">
        <f t="shared" si="240"/>
        <v>1</v>
      </c>
      <c r="O669" s="13" t="str">
        <f>IFERROR(VLOOKUP(J669,Справочники!$G$6:$H$8,2,0),"RUB")</f>
        <v>USD</v>
      </c>
      <c r="P669" s="14">
        <f>ROUND(K669*IFERROR(VLOOKUP(J669,Справочники!$G$6:$I$8,3,0),1),2)</f>
        <v>9025</v>
      </c>
      <c r="Q669" s="13" t="str">
        <f>IFERROR(VLOOKUP(H669,Справочники!$D$6:$E$14,2,0),"НЕИЗВЕСТНО")</f>
        <v>Возврат</v>
      </c>
      <c r="R669" s="20">
        <f>IFERROR(INDEX(Товары_очищенные!$Q$3:$Q$503,MATCH(M669,Товары_очищенные!$L$3:$L$503,0)),"нет в каталоге")</f>
        <v>71000</v>
      </c>
      <c r="S669" s="21" t="str">
        <f>IFERROR(INDEX(Товары_очищенные!$N$3:$N$503,MATCH(M669,Товары_очищенные!$L$3:$L$503,0)),"нет в каталоге")</f>
        <v>Часы</v>
      </c>
      <c r="T669" s="21" t="str">
        <f t="shared" si="241"/>
        <v>OK</v>
      </c>
      <c r="U669" s="12" t="str">
        <f t="shared" si="242"/>
        <v>14/12/2025|АРТ-039|C0667</v>
      </c>
      <c r="V669" s="12" t="str">
        <f t="shared" si="243"/>
        <v>оригинал</v>
      </c>
    </row>
    <row r="670" ht="15" customHeight="1">
      <c r="A670" s="10">
        <v>668</v>
      </c>
      <c r="B670" s="11" t="str">
        <f>RAW_Продажи!A669</f>
        <v>12/14/2025</v>
      </c>
      <c r="C670" s="11" t="str">
        <f>RAW_Продажи!B669</f>
        <v>АРТ_461</v>
      </c>
      <c r="D670" s="11" t="str">
        <f>RAW_Продажи!C669</f>
        <v>2</v>
      </c>
      <c r="E670" s="11" t="str">
        <f>RAW_Продажи!D669</f>
        <v>€75</v>
      </c>
      <c r="F670" s="11" t="str">
        <f>RAW_Продажи!E669</f>
        <v>C0668</v>
      </c>
      <c r="G670" s="11" t="str">
        <f>RAW_Продажи!F669</f>
        <v>P006</v>
      </c>
      <c r="H670" s="11" t="str">
        <f>RAW_Продажи!G669</f>
        <v>завершен</v>
      </c>
      <c r="I670" s="12" t="str">
        <f t="shared" si="235"/>
        <v>461</v>
      </c>
      <c r="J670" s="12" t="str">
        <f t="shared" si="236"/>
        <v>€</v>
      </c>
      <c r="K670" s="12">
        <f t="shared" si="237"/>
        <v>75</v>
      </c>
      <c r="L670" s="19">
        <f t="shared" si="238"/>
        <v>46005</v>
      </c>
      <c r="M670" s="13" t="str">
        <f t="shared" si="239"/>
        <v>АРТ-461</v>
      </c>
      <c r="N670" s="13">
        <f t="shared" si="240"/>
        <v>2</v>
      </c>
      <c r="O670" s="13" t="str">
        <f>IFERROR(VLOOKUP(J670,Справочники!$G$6:$H$8,2,0),"RUB")</f>
        <v>EUR</v>
      </c>
      <c r="P670" s="14">
        <f>ROUND(K670*IFERROR(VLOOKUP(J670,Справочники!$G$6:$I$8,3,0),1),2)</f>
        <v>7500</v>
      </c>
      <c r="Q670" s="13" t="str">
        <f>IFERROR(VLOOKUP(H670,Справочники!$D$6:$E$14,2,0),"НЕИЗВЕСТНО")</f>
        <v>Завершен</v>
      </c>
      <c r="R670" s="20">
        <f>IFERROR(INDEX(Товары_очищенные!$Q$3:$Q$503,MATCH(M670,Товары_очищенные!$L$3:$L$503,0)),"нет в каталоге")</f>
        <v>46000</v>
      </c>
      <c r="S670" s="21" t="str">
        <f>IFERROR(INDEX(Товары_очищенные!$N$3:$N$503,MATCH(M670,Товары_очищенные!$L$3:$L$503,0)),"нет в каталоге")</f>
        <v>Часы</v>
      </c>
      <c r="T670" s="21" t="str">
        <f t="shared" si="241"/>
        <v>OK</v>
      </c>
      <c r="U670" s="12" t="str">
        <f t="shared" si="242"/>
        <v>14/12/2025|АРТ-461|C0668</v>
      </c>
      <c r="V670" s="12" t="str">
        <f t="shared" si="243"/>
        <v>оригинал</v>
      </c>
    </row>
    <row r="671" ht="15" customHeight="1">
      <c r="A671" s="10">
        <v>669</v>
      </c>
      <c r="B671" s="11" t="str">
        <f>RAW_Продажи!A670</f>
        <v>12/15/2025</v>
      </c>
      <c r="C671" s="11" t="str">
        <f>RAW_Продажи!B670</f>
        <v>377/24</v>
      </c>
      <c r="D671" s="11" t="str">
        <f>RAW_Продажи!C670</f>
        <v xml:space="preserve">3 шт.</v>
      </c>
      <c r="E671" s="11" t="str">
        <f>RAW_Продажи!D670</f>
        <v xml:space="preserve">7000 ₽</v>
      </c>
      <c r="F671" s="11" t="str">
        <f>RAW_Продажи!E670</f>
        <v>C0669</v>
      </c>
      <c r="G671" s="11" t="str">
        <f>RAW_Продажи!F670</f>
        <v>P024</v>
      </c>
      <c r="H671" s="11" t="str">
        <f>RAW_Продажи!G670</f>
        <v>completed</v>
      </c>
      <c r="I671" s="12" t="str">
        <f t="shared" si="235"/>
        <v>377/24</v>
      </c>
      <c r="J671" s="12" t="str">
        <f t="shared" si="236"/>
        <v>₽</v>
      </c>
      <c r="K671" s="12">
        <f t="shared" si="237"/>
        <v>7000</v>
      </c>
      <c r="L671" s="19">
        <f t="shared" si="238"/>
        <v>46006</v>
      </c>
      <c r="M671" s="13" t="str">
        <f t="shared" si="239"/>
        <v>АРТ-377</v>
      </c>
      <c r="N671" s="13">
        <f t="shared" si="240"/>
        <v>3</v>
      </c>
      <c r="O671" s="13" t="str">
        <f>IFERROR(VLOOKUP(J671,Справочники!$G$6:$H$8,2,0),"RUB")</f>
        <v>RUB</v>
      </c>
      <c r="P671" s="14">
        <f>ROUND(K671*IFERROR(VLOOKUP(J671,Справочники!$G$6:$I$8,3,0),1),2)</f>
        <v>7000</v>
      </c>
      <c r="Q671" s="13" t="str">
        <f>IFERROR(VLOOKUP(H671,Справочники!$D$6:$E$14,2,0),"НЕИЗВЕСТНО")</f>
        <v>Завершен</v>
      </c>
      <c r="R671" s="20">
        <f>IFERROR(INDEX(Товары_очищенные!$Q$3:$Q$503,MATCH(M671,Товары_очищенные!$L$3:$L$503,0)),"нет в каталоге")</f>
        <v>23500</v>
      </c>
      <c r="S671" s="21" t="str">
        <f>IFERROR(INDEX(Товары_очищенные!$N$3:$N$503,MATCH(M671,Товары_очищенные!$L$3:$L$503,0)),"нет в каталоге")</f>
        <v>Часы</v>
      </c>
      <c r="T671" s="21" t="str">
        <f t="shared" si="241"/>
        <v>OK</v>
      </c>
      <c r="U671" s="12" t="str">
        <f t="shared" si="242"/>
        <v>15/12/2025|АРТ-377|C0669</v>
      </c>
      <c r="V671" s="12" t="str">
        <f t="shared" si="243"/>
        <v>оригинал</v>
      </c>
    </row>
    <row r="672" ht="15" customHeight="1">
      <c r="A672" s="10">
        <v>670</v>
      </c>
      <c r="B672" s="11" t="str">
        <f>RAW_Продажи!A671</f>
        <v>12/15/2025</v>
      </c>
      <c r="C672" s="11" t="str">
        <f>RAW_Продажи!B671</f>
        <v>№АРТ-121</v>
      </c>
      <c r="D672" s="11" t="str">
        <f>RAW_Продажи!C671</f>
        <v>-2</v>
      </c>
      <c r="E672" s="11" t="str">
        <f>RAW_Продажи!D671</f>
        <v>$115</v>
      </c>
      <c r="F672" s="11" t="str">
        <f>RAW_Продажи!E671</f>
        <v>C0670</v>
      </c>
      <c r="G672" s="11" t="str">
        <f>RAW_Продажи!F671</f>
        <v>P015</v>
      </c>
      <c r="H672" s="11" t="str">
        <f>RAW_Продажи!G671</f>
        <v>Завершен</v>
      </c>
      <c r="I672" s="12" t="str">
        <f t="shared" si="235"/>
        <v>121</v>
      </c>
      <c r="J672" s="12" t="str">
        <f t="shared" si="236"/>
        <v>$</v>
      </c>
      <c r="K672" s="12">
        <f t="shared" si="237"/>
        <v>115</v>
      </c>
      <c r="L672" s="19">
        <f t="shared" si="238"/>
        <v>46006</v>
      </c>
      <c r="M672" s="13" t="str">
        <f t="shared" si="239"/>
        <v>АРТ-121</v>
      </c>
      <c r="N672" s="13">
        <f t="shared" si="240"/>
        <v>-2</v>
      </c>
      <c r="O672" s="13" t="str">
        <f>IFERROR(VLOOKUP(J672,Справочники!$G$6:$H$8,2,0),"RUB")</f>
        <v>USD</v>
      </c>
      <c r="P672" s="14">
        <f>ROUND(K672*IFERROR(VLOOKUP(J672,Справочники!$G$6:$I$8,3,0),1),2)</f>
        <v>10925</v>
      </c>
      <c r="Q672" s="13" t="str">
        <f>IFERROR(VLOOKUP(H672,Справочники!$D$6:$E$14,2,0),"НЕИЗВЕСТНО")</f>
        <v>Завершен</v>
      </c>
      <c r="R672" s="20">
        <f>IFERROR(INDEX(Товары_очищенные!$Q$3:$Q$503,MATCH(M672,Товары_очищенные!$L$3:$L$503,0)),"нет в каталоге")</f>
        <v>84990</v>
      </c>
      <c r="S672" s="21" t="str">
        <f>IFERROR(INDEX(Товары_очищенные!$N$3:$N$503,MATCH(M672,Товары_очищенные!$L$3:$L$503,0)),"нет в каталоге")</f>
        <v>Часы</v>
      </c>
      <c r="T672" s="21" t="str">
        <f t="shared" si="241"/>
        <v>OK</v>
      </c>
      <c r="U672" s="12" t="str">
        <f t="shared" si="242"/>
        <v>15/12/2025|АРТ-121|C0670</v>
      </c>
      <c r="V672" s="12" t="str">
        <f t="shared" si="243"/>
        <v>оригинал</v>
      </c>
    </row>
    <row r="673" ht="15" customHeight="1">
      <c r="A673" s="10">
        <v>671</v>
      </c>
      <c r="B673" s="11" t="str">
        <f>RAW_Продажи!A672</f>
        <v>12/16/2025</v>
      </c>
      <c r="C673" s="11" t="str">
        <f>RAW_Продажи!B672</f>
        <v>АРТ_337</v>
      </c>
      <c r="D673" s="11" t="str">
        <f>RAW_Продажи!C672</f>
        <v>1</v>
      </c>
      <c r="E673" s="11" t="str">
        <f>RAW_Продажи!D672</f>
        <v>€95</v>
      </c>
      <c r="F673" s="11" t="str">
        <f>RAW_Продажи!E672</f>
        <v>C0671</v>
      </c>
      <c r="G673" s="11" t="str">
        <f>RAW_Продажи!F672</f>
        <v>P037</v>
      </c>
      <c r="H673" s="11" t="str">
        <f>RAW_Продажи!G672</f>
        <v>canceled</v>
      </c>
      <c r="I673" s="12" t="str">
        <f t="shared" si="235"/>
        <v>337</v>
      </c>
      <c r="J673" s="12" t="str">
        <f t="shared" si="236"/>
        <v>€</v>
      </c>
      <c r="K673" s="12">
        <f t="shared" si="237"/>
        <v>95</v>
      </c>
      <c r="L673" s="19">
        <f t="shared" si="238"/>
        <v>46007</v>
      </c>
      <c r="M673" s="13" t="str">
        <f t="shared" si="239"/>
        <v>АРТ-337</v>
      </c>
      <c r="N673" s="13">
        <f t="shared" si="240"/>
        <v>1</v>
      </c>
      <c r="O673" s="13" t="str">
        <f>IFERROR(VLOOKUP(J673,Справочники!$G$6:$H$8,2,0),"RUB")</f>
        <v>EUR</v>
      </c>
      <c r="P673" s="14">
        <f>ROUND(K673*IFERROR(VLOOKUP(J673,Справочники!$G$6:$I$8,3,0),1),2)</f>
        <v>9500</v>
      </c>
      <c r="Q673" s="13" t="str">
        <f>IFERROR(VLOOKUP(H673,Справочники!$D$6:$E$14,2,0),"НЕИЗВЕСТНО")</f>
        <v>Отменен</v>
      </c>
      <c r="R673" s="20">
        <f>IFERROR(INDEX(Товары_очищенные!$Q$3:$Q$503,MATCH(M673,Товары_очищенные!$L$3:$L$503,0)),"нет в каталоге")</f>
        <v>64990</v>
      </c>
      <c r="S673" s="21" t="str">
        <f>IFERROR(INDEX(Товары_очищенные!$N$3:$N$503,MATCH(M673,Товары_очищенные!$L$3:$L$503,0)),"нет в каталоге")</f>
        <v>Смартфоны</v>
      </c>
      <c r="T673" s="21" t="str">
        <f t="shared" si="241"/>
        <v>OK</v>
      </c>
      <c r="U673" s="12" t="str">
        <f t="shared" si="242"/>
        <v>16/12/2025|АРТ-337|C0671</v>
      </c>
      <c r="V673" s="12" t="str">
        <f t="shared" si="243"/>
        <v>оригинал</v>
      </c>
    </row>
    <row r="674" ht="15" customHeight="1">
      <c r="A674" s="10">
        <v>672</v>
      </c>
      <c r="B674" s="11" t="str">
        <f>RAW_Продажи!A673</f>
        <v>12/16/2025</v>
      </c>
      <c r="C674" s="11" t="str">
        <f>RAW_Продажи!B673</f>
        <v>285-24</v>
      </c>
      <c r="D674" s="11" t="str">
        <f>RAW_Продажи!C673</f>
        <v>2</v>
      </c>
      <c r="E674" s="11" t="str">
        <f>RAW_Продажи!D673</f>
        <v xml:space="preserve">8500 ₽</v>
      </c>
      <c r="F674" s="11" t="str">
        <f>RAW_Продажи!E673</f>
        <v>C0672</v>
      </c>
      <c r="G674" s="11" t="str">
        <f>RAW_Продажи!F673</f>
        <v>P048</v>
      </c>
      <c r="H674" s="11" t="str">
        <f>RAW_Продажи!G673</f>
        <v>отменен</v>
      </c>
      <c r="I674" s="12" t="str">
        <f t="shared" si="235"/>
        <v>285-24</v>
      </c>
      <c r="J674" s="12" t="str">
        <f t="shared" si="236"/>
        <v>₽</v>
      </c>
      <c r="K674" s="12">
        <f t="shared" si="237"/>
        <v>8500</v>
      </c>
      <c r="L674" s="19">
        <f t="shared" si="238"/>
        <v>46007</v>
      </c>
      <c r="M674" s="13" t="str">
        <f t="shared" si="239"/>
        <v>АРТ-285</v>
      </c>
      <c r="N674" s="13">
        <f t="shared" si="240"/>
        <v>2</v>
      </c>
      <c r="O674" s="13" t="str">
        <f>IFERROR(VLOOKUP(J674,Справочники!$G$6:$H$8,2,0),"RUB")</f>
        <v>RUB</v>
      </c>
      <c r="P674" s="14">
        <f>ROUND(K674*IFERROR(VLOOKUP(J674,Справочники!$G$6:$I$8,3,0),1),2)</f>
        <v>8500</v>
      </c>
      <c r="Q674" s="13" t="str">
        <f>IFERROR(VLOOKUP(H674,Справочники!$D$6:$E$14,2,0),"НЕИЗВЕСТНО")</f>
        <v>Отменен</v>
      </c>
      <c r="R674" s="20">
        <f>IFERROR(INDEX(Товары_очищенные!$Q$3:$Q$503,MATCH(M674,Товары_очищенные!$L$3:$L$503,0)),"нет в каталоге")</f>
        <v>87500</v>
      </c>
      <c r="S674" s="21" t="str">
        <f>IFERROR(INDEX(Товары_очищенные!$N$3:$N$503,MATCH(M674,Товары_очищенные!$L$3:$L$503,0)),"нет в каталоге")</f>
        <v>Мониторы</v>
      </c>
      <c r="T674" s="21" t="str">
        <f t="shared" si="241"/>
        <v>OK</v>
      </c>
      <c r="U674" s="12" t="str">
        <f t="shared" si="242"/>
        <v>16/12/2025|АРТ-285|C0672</v>
      </c>
      <c r="V674" s="12" t="str">
        <f t="shared" si="243"/>
        <v>оригинал</v>
      </c>
    </row>
    <row r="675" ht="15" customHeight="1">
      <c r="A675" s="10">
        <v>673</v>
      </c>
      <c r="B675" s="11" t="str">
        <f>RAW_Продажи!A674</f>
        <v>12/17/2025</v>
      </c>
      <c r="C675" s="11" t="str">
        <f>RAW_Продажи!B674</f>
        <v>№АРТ-160</v>
      </c>
      <c r="D675" s="11" t="str">
        <f>RAW_Продажи!C674</f>
        <v>3</v>
      </c>
      <c r="E675" s="11" t="str">
        <f>RAW_Продажи!D674</f>
        <v>$105</v>
      </c>
      <c r="F675" s="11" t="str">
        <f>RAW_Продажи!E674</f>
        <v>C0673</v>
      </c>
      <c r="G675" s="11" t="str">
        <f>RAW_Продажи!F674</f>
        <v>P004</v>
      </c>
      <c r="H675" s="11" t="str">
        <f>RAW_Продажи!G674</f>
        <v>возврат</v>
      </c>
      <c r="I675" s="12" t="str">
        <f t="shared" si="235"/>
        <v>160</v>
      </c>
      <c r="J675" s="12" t="str">
        <f t="shared" si="236"/>
        <v>$</v>
      </c>
      <c r="K675" s="12">
        <f t="shared" si="237"/>
        <v>105</v>
      </c>
      <c r="L675" s="19">
        <f t="shared" si="238"/>
        <v>46008</v>
      </c>
      <c r="M675" s="13" t="str">
        <f t="shared" si="239"/>
        <v>АРТ-160</v>
      </c>
      <c r="N675" s="13">
        <f t="shared" si="240"/>
        <v>3</v>
      </c>
      <c r="O675" s="13" t="str">
        <f>IFERROR(VLOOKUP(J675,Справочники!$G$6:$H$8,2,0),"RUB")</f>
        <v>USD</v>
      </c>
      <c r="P675" s="14">
        <f>ROUND(K675*IFERROR(VLOOKUP(J675,Справочники!$G$6:$I$8,3,0),1),2)</f>
        <v>9975</v>
      </c>
      <c r="Q675" s="13" t="str">
        <f>IFERROR(VLOOKUP(H675,Справочники!$D$6:$E$14,2,0),"НЕИЗВЕСТНО")</f>
        <v>Возврат</v>
      </c>
      <c r="R675" s="20">
        <f>IFERROR(INDEX(Товары_очищенные!$Q$3:$Q$503,MATCH(M675,Товары_очищенные!$L$3:$L$503,0)),"нет в каталоге")</f>
        <v>8990</v>
      </c>
      <c r="S675" s="21" t="str">
        <f>IFERROR(INDEX(Товары_очищенные!$N$3:$N$503,MATCH(M675,Товары_очищенные!$L$3:$L$503,0)),"нет в каталоге")</f>
        <v>Аксессуары</v>
      </c>
      <c r="T675" s="21" t="str">
        <f t="shared" si="241"/>
        <v>OK</v>
      </c>
      <c r="U675" s="12" t="str">
        <f t="shared" si="242"/>
        <v>17/12/2025|АРТ-160|C0673</v>
      </c>
      <c r="V675" s="12" t="str">
        <f t="shared" si="243"/>
        <v>оригинал</v>
      </c>
    </row>
    <row r="676" ht="15" customHeight="1">
      <c r="A676" s="10">
        <v>674</v>
      </c>
      <c r="B676" s="11" t="str">
        <f>RAW_Продажи!A675</f>
        <v>12/17/2025</v>
      </c>
      <c r="C676" s="11" t="str">
        <f>RAW_Продажи!B675</f>
        <v>АРТ_430</v>
      </c>
      <c r="D676" s="11" t="str">
        <f>RAW_Продажи!C675</f>
        <v>2</v>
      </c>
      <c r="E676" s="11" t="str">
        <f>RAW_Продажи!D675</f>
        <v>€85</v>
      </c>
      <c r="F676" s="11" t="str">
        <f>RAW_Продажи!E675</f>
        <v>C0674</v>
      </c>
      <c r="G676" s="11" t="str">
        <f>RAW_Продажи!F675</f>
        <v>P026</v>
      </c>
      <c r="H676" s="11" t="str">
        <f>RAW_Продажи!G675</f>
        <v>Завершен</v>
      </c>
      <c r="I676" s="12" t="str">
        <f t="shared" ref="I676:I739" si="244">SUBSTITUTE(SUBSTITUTE(C676,"№АРТ-",""),"АРТ_","")</f>
        <v>430</v>
      </c>
      <c r="J676" s="12" t="str">
        <f t="shared" ref="J676:J739" si="245">IF(LEFT(TRIM(E676),1)="$","$",IF(LEFT(TRIM(E676),1)="€","€","₽"))</f>
        <v>€</v>
      </c>
      <c r="K676" s="12">
        <f t="shared" ref="K676:K739" si="246">VALUE(SUBSTITUTE(SUBSTITUTE(SUBSTITUTE(SUBSTITUTE(TRIM(E676),"$",""),"€",""),"₽","")," ",""))</f>
        <v>85</v>
      </c>
      <c r="L676" s="19">
        <f t="shared" ref="L676:L739" si="247">DATE(VALUE(MID(B676,7,4)),VALUE(LEFT(B676,2)),VALUE(MID(B676,4,2)))</f>
        <v>46008</v>
      </c>
      <c r="M676" s="13" t="str">
        <f t="shared" ref="M676:M739" si="248">"АРТ-"&amp;LEFT(I676,3)</f>
        <v>АРТ-430</v>
      </c>
      <c r="N676" s="13">
        <f t="shared" ref="N676:N739" si="249">VALUE(LEFT(TRIM(D676),FIND(" ",TRIM(D676)&amp;" ")-1))</f>
        <v>2</v>
      </c>
      <c r="O676" s="13" t="str">
        <f>IFERROR(VLOOKUP(J676,Справочники!$G$6:$H$8,2,0),"RUB")</f>
        <v>EUR</v>
      </c>
      <c r="P676" s="14">
        <f>ROUND(K676*IFERROR(VLOOKUP(J676,Справочники!$G$6:$I$8,3,0),1),2)</f>
        <v>8500</v>
      </c>
      <c r="Q676" s="13" t="str">
        <f>IFERROR(VLOOKUP(H676,Справочники!$D$6:$E$14,2,0),"НЕИЗВЕСТНО")</f>
        <v>Завершен</v>
      </c>
      <c r="R676" s="20">
        <f>IFERROR(INDEX(Товары_очищенные!$Q$3:$Q$503,MATCH(M676,Товары_очищенные!$L$3:$L$503,0)),"нет в каталоге")</f>
        <v>14990</v>
      </c>
      <c r="S676" s="21" t="str">
        <f>IFERROR(INDEX(Товары_очищенные!$N$3:$N$503,MATCH(M676,Товары_очищенные!$L$3:$L$503,0)),"нет в каталоге")</f>
        <v>Наушники</v>
      </c>
      <c r="T676" s="21" t="str">
        <f t="shared" ref="T676:T739" si="250">IF(ISNUMBER(R676),IF(P676&lt;=R676*1.5,"OK","Цена выше розницы"),"—")</f>
        <v>OK</v>
      </c>
      <c r="U676" s="12" t="str">
        <f t="shared" ref="U676:U739" si="251">TEXT(L676,"DD.MM.YYYY")&amp;"|"&amp;M676&amp;"|"&amp;F676</f>
        <v>17/12/2025|АРТ-430|C0674</v>
      </c>
      <c r="V676" s="12" t="str">
        <f t="shared" ref="V676:V739" si="252">IF(COUNTIF($U$3:U676,U676)&gt;1,"ДУБЛЬ","оригинал")</f>
        <v>оригинал</v>
      </c>
    </row>
    <row r="677" ht="15" customHeight="1">
      <c r="A677" s="10">
        <v>675</v>
      </c>
      <c r="B677" s="11" t="str">
        <f>RAW_Продажи!A676</f>
        <v>12/18/2025</v>
      </c>
      <c r="C677" s="11" t="str">
        <f>RAW_Продажи!B676</f>
        <v>335/24</v>
      </c>
      <c r="D677" s="11" t="str">
        <f>RAW_Продажи!C676</f>
        <v xml:space="preserve">1 шт.</v>
      </c>
      <c r="E677" s="11" t="str">
        <f>RAW_Продажи!D676</f>
        <v xml:space="preserve">7800 ₽</v>
      </c>
      <c r="F677" s="11" t="str">
        <f>RAW_Продажи!E676</f>
        <v>C0675</v>
      </c>
      <c r="G677" s="11" t="str">
        <f>RAW_Продажи!F676</f>
        <v>P013</v>
      </c>
      <c r="H677" s="11" t="str">
        <f>RAW_Продажи!G676</f>
        <v>завершен</v>
      </c>
      <c r="I677" s="12" t="str">
        <f t="shared" si="244"/>
        <v>335/24</v>
      </c>
      <c r="J677" s="12" t="str">
        <f t="shared" si="245"/>
        <v>₽</v>
      </c>
      <c r="K677" s="12">
        <f t="shared" si="246"/>
        <v>7800</v>
      </c>
      <c r="L677" s="19">
        <f t="shared" si="247"/>
        <v>46009</v>
      </c>
      <c r="M677" s="13" t="str">
        <f t="shared" si="248"/>
        <v>АРТ-335</v>
      </c>
      <c r="N677" s="13">
        <f t="shared" si="249"/>
        <v>1</v>
      </c>
      <c r="O677" s="13" t="str">
        <f>IFERROR(VLOOKUP(J677,Справочники!$G$6:$H$8,2,0),"RUB")</f>
        <v>RUB</v>
      </c>
      <c r="P677" s="14">
        <f>ROUND(K677*IFERROR(VLOOKUP(J677,Справочники!$G$6:$I$8,3,0),1),2)</f>
        <v>7800</v>
      </c>
      <c r="Q677" s="13" t="str">
        <f>IFERROR(VLOOKUP(H677,Справочники!$D$6:$E$14,2,0),"НЕИЗВЕСТНО")</f>
        <v>Завершен</v>
      </c>
      <c r="R677" s="20">
        <f>IFERROR(INDEX(Товары_очищенные!$Q$3:$Q$503,MATCH(M677,Товары_очищенные!$L$3:$L$503,0)),"нет в каталоге")</f>
        <v>47000</v>
      </c>
      <c r="S677" s="21" t="str">
        <f>IFERROR(INDEX(Товары_очищенные!$N$3:$N$503,MATCH(M677,Товары_очищенные!$L$3:$L$503,0)),"нет в каталоге")</f>
        <v>Планшеты</v>
      </c>
      <c r="T677" s="21" t="str">
        <f t="shared" si="250"/>
        <v>OK</v>
      </c>
      <c r="U677" s="12" t="str">
        <f t="shared" si="251"/>
        <v>18/12/2025|АРТ-335|C0675</v>
      </c>
      <c r="V677" s="12" t="str">
        <f t="shared" si="252"/>
        <v>оригинал</v>
      </c>
    </row>
    <row r="678" ht="15" customHeight="1">
      <c r="A678" s="10">
        <v>676</v>
      </c>
      <c r="B678" s="11" t="str">
        <f>RAW_Продажи!A677</f>
        <v>12/18/2025</v>
      </c>
      <c r="C678" s="11" t="str">
        <f>RAW_Продажи!B677</f>
        <v>№АРТ-198</v>
      </c>
      <c r="D678" s="11" t="str">
        <f>RAW_Продажи!C677</f>
        <v>-3</v>
      </c>
      <c r="E678" s="11" t="str">
        <f>RAW_Продажи!D677</f>
        <v>$120</v>
      </c>
      <c r="F678" s="11" t="str">
        <f>RAW_Продажи!E677</f>
        <v>C0676</v>
      </c>
      <c r="G678" s="11" t="str">
        <f>RAW_Продажи!F677</f>
        <v>P034</v>
      </c>
      <c r="H678" s="11" t="str">
        <f>RAW_Продажи!G677</f>
        <v>completed</v>
      </c>
      <c r="I678" s="12" t="str">
        <f t="shared" si="244"/>
        <v>198</v>
      </c>
      <c r="J678" s="12" t="str">
        <f t="shared" si="245"/>
        <v>$</v>
      </c>
      <c r="K678" s="12">
        <f t="shared" si="246"/>
        <v>120</v>
      </c>
      <c r="L678" s="19">
        <f t="shared" si="247"/>
        <v>46009</v>
      </c>
      <c r="M678" s="13" t="str">
        <f t="shared" si="248"/>
        <v>АРТ-198</v>
      </c>
      <c r="N678" s="13">
        <f t="shared" si="249"/>
        <v>-3</v>
      </c>
      <c r="O678" s="13" t="str">
        <f>IFERROR(VLOOKUP(J678,Справочники!$G$6:$H$8,2,0),"RUB")</f>
        <v>USD</v>
      </c>
      <c r="P678" s="14">
        <f>ROUND(K678*IFERROR(VLOOKUP(J678,Справочники!$G$6:$I$8,3,0),1),2)</f>
        <v>11400</v>
      </c>
      <c r="Q678" s="13" t="str">
        <f>IFERROR(VLOOKUP(H678,Справочники!$D$6:$E$14,2,0),"НЕИЗВЕСТНО")</f>
        <v>Завершен</v>
      </c>
      <c r="R678" s="20">
        <f>IFERROR(INDEX(Товары_очищенные!$Q$3:$Q$503,MATCH(M678,Товары_очищенные!$L$3:$L$503,0)),"нет в каталоге")</f>
        <v>55500</v>
      </c>
      <c r="S678" s="21" t="str">
        <f>IFERROR(INDEX(Товары_очищенные!$N$3:$N$503,MATCH(M678,Товары_очищенные!$L$3:$L$503,0)),"нет в каталоге")</f>
        <v>Смартфоны</v>
      </c>
      <c r="T678" s="21" t="str">
        <f t="shared" si="250"/>
        <v>OK</v>
      </c>
      <c r="U678" s="12" t="str">
        <f t="shared" si="251"/>
        <v>18/12/2025|АРТ-198|C0676</v>
      </c>
      <c r="V678" s="12" t="str">
        <f t="shared" si="252"/>
        <v>оригинал</v>
      </c>
    </row>
    <row r="679" ht="15" customHeight="1">
      <c r="A679" s="10">
        <v>677</v>
      </c>
      <c r="B679" s="11" t="str">
        <f>RAW_Продажи!A678</f>
        <v>12/19/2025</v>
      </c>
      <c r="C679" s="11" t="str">
        <f>RAW_Продажи!B678</f>
        <v>АРТ_379</v>
      </c>
      <c r="D679" s="11" t="str">
        <f>RAW_Продажи!C678</f>
        <v>2</v>
      </c>
      <c r="E679" s="11" t="str">
        <f>RAW_Продажи!D678</f>
        <v>€100</v>
      </c>
      <c r="F679" s="11" t="str">
        <f>RAW_Продажи!E678</f>
        <v>C0677</v>
      </c>
      <c r="G679" s="11" t="str">
        <f>RAW_Продажи!F678</f>
        <v>P044</v>
      </c>
      <c r="H679" s="11" t="str">
        <f>RAW_Продажи!G678</f>
        <v>отменен</v>
      </c>
      <c r="I679" s="12" t="str">
        <f t="shared" si="244"/>
        <v>379</v>
      </c>
      <c r="J679" s="12" t="str">
        <f t="shared" si="245"/>
        <v>€</v>
      </c>
      <c r="K679" s="12">
        <f t="shared" si="246"/>
        <v>100</v>
      </c>
      <c r="L679" s="19">
        <f t="shared" si="247"/>
        <v>46010</v>
      </c>
      <c r="M679" s="13" t="str">
        <f t="shared" si="248"/>
        <v>АРТ-379</v>
      </c>
      <c r="N679" s="13">
        <f t="shared" si="249"/>
        <v>2</v>
      </c>
      <c r="O679" s="13" t="str">
        <f>IFERROR(VLOOKUP(J679,Справочники!$G$6:$H$8,2,0),"RUB")</f>
        <v>EUR</v>
      </c>
      <c r="P679" s="14">
        <f>ROUND(K679*IFERROR(VLOOKUP(J679,Справочники!$G$6:$I$8,3,0),1),2)</f>
        <v>10000</v>
      </c>
      <c r="Q679" s="13" t="str">
        <f>IFERROR(VLOOKUP(H679,Справочники!$D$6:$E$14,2,0),"НЕИЗВЕСТНО")</f>
        <v>Отменен</v>
      </c>
      <c r="R679" s="20">
        <f>IFERROR(INDEX(Товары_очищенные!$Q$3:$Q$503,MATCH(M679,Товары_очищенные!$L$3:$L$503,0)),"нет в каталоге")</f>
        <v>36990</v>
      </c>
      <c r="S679" s="21" t="str">
        <f>IFERROR(INDEX(Товары_очищенные!$N$3:$N$503,MATCH(M679,Товары_очищенные!$L$3:$L$503,0)),"нет в каталоге")</f>
        <v>Планшеты</v>
      </c>
      <c r="T679" s="21" t="str">
        <f t="shared" si="250"/>
        <v>OK</v>
      </c>
      <c r="U679" s="12" t="str">
        <f t="shared" si="251"/>
        <v>19/12/2025|АРТ-379|C0677</v>
      </c>
      <c r="V679" s="12" t="str">
        <f t="shared" si="252"/>
        <v>оригинал</v>
      </c>
    </row>
    <row r="680" ht="15" customHeight="1">
      <c r="A680" s="10">
        <v>678</v>
      </c>
      <c r="B680" s="11" t="str">
        <f>RAW_Продажи!A679</f>
        <v>12/19/2025</v>
      </c>
      <c r="C680" s="11" t="str">
        <f>RAW_Продажи!B679</f>
        <v>116-24</v>
      </c>
      <c r="D680" s="11" t="str">
        <f>RAW_Продажи!C679</f>
        <v>1</v>
      </c>
      <c r="E680" s="11" t="str">
        <f>RAW_Продажи!D679</f>
        <v xml:space="preserve">9200 ₽</v>
      </c>
      <c r="F680" s="11" t="str">
        <f>RAW_Продажи!E679</f>
        <v>C0678</v>
      </c>
      <c r="G680" s="11" t="str">
        <f>RAW_Продажи!F679</f>
        <v>P001</v>
      </c>
      <c r="H680" s="11" t="str">
        <f>RAW_Продажи!G679</f>
        <v>canceled</v>
      </c>
      <c r="I680" s="12" t="str">
        <f t="shared" si="244"/>
        <v>116-24</v>
      </c>
      <c r="J680" s="12" t="str">
        <f t="shared" si="245"/>
        <v>₽</v>
      </c>
      <c r="K680" s="12">
        <f t="shared" si="246"/>
        <v>9200</v>
      </c>
      <c r="L680" s="19">
        <f t="shared" si="247"/>
        <v>46010</v>
      </c>
      <c r="M680" s="13" t="str">
        <f t="shared" si="248"/>
        <v>АРТ-116</v>
      </c>
      <c r="N680" s="13">
        <f t="shared" si="249"/>
        <v>1</v>
      </c>
      <c r="O680" s="13" t="str">
        <f>IFERROR(VLOOKUP(J680,Справочники!$G$6:$H$8,2,0),"RUB")</f>
        <v>RUB</v>
      </c>
      <c r="P680" s="14">
        <f>ROUND(K680*IFERROR(VLOOKUP(J680,Справочники!$G$6:$I$8,3,0),1),2)</f>
        <v>9200</v>
      </c>
      <c r="Q680" s="13" t="str">
        <f>IFERROR(VLOOKUP(H680,Справочники!$D$6:$E$14,2,0),"НЕИЗВЕСТНО")</f>
        <v>Отменен</v>
      </c>
      <c r="R680" s="20">
        <f>IFERROR(INDEX(Товары_очищенные!$Q$3:$Q$503,MATCH(M680,Товары_очищенные!$L$3:$L$503,0)),"нет в каталоге")</f>
        <v>72500</v>
      </c>
      <c r="S680" s="21" t="str">
        <f>IFERROR(INDEX(Товары_очищенные!$N$3:$N$503,MATCH(M680,Товары_очищенные!$L$3:$L$503,0)),"нет в каталоге")</f>
        <v>Мониторы</v>
      </c>
      <c r="T680" s="21" t="str">
        <f t="shared" si="250"/>
        <v>OK</v>
      </c>
      <c r="U680" s="12" t="str">
        <f t="shared" si="251"/>
        <v>19/12/2025|АРТ-116|C0678</v>
      </c>
      <c r="V680" s="12" t="str">
        <f t="shared" si="252"/>
        <v>оригинал</v>
      </c>
    </row>
    <row r="681" ht="15" customHeight="1">
      <c r="A681" s="10">
        <v>679</v>
      </c>
      <c r="B681" s="11" t="str">
        <f>RAW_Продажи!A680</f>
        <v>12/20/2025</v>
      </c>
      <c r="C681" s="11" t="str">
        <f>RAW_Продажи!B680</f>
        <v>№АРТ-066</v>
      </c>
      <c r="D681" s="11" t="str">
        <f>RAW_Продажи!C680</f>
        <v>3</v>
      </c>
      <c r="E681" s="11" t="str">
        <f>RAW_Продажи!D680</f>
        <v>$90</v>
      </c>
      <c r="F681" s="11" t="str">
        <f>RAW_Продажи!E680</f>
        <v>C0679</v>
      </c>
      <c r="G681" s="11" t="str">
        <f>RAW_Продажи!F680</f>
        <v>P021</v>
      </c>
      <c r="H681" s="11" t="str">
        <f>RAW_Продажи!G680</f>
        <v>Завершен</v>
      </c>
      <c r="I681" s="12" t="str">
        <f t="shared" si="244"/>
        <v>066</v>
      </c>
      <c r="J681" s="12" t="str">
        <f t="shared" si="245"/>
        <v>$</v>
      </c>
      <c r="K681" s="12">
        <f t="shared" si="246"/>
        <v>90</v>
      </c>
      <c r="L681" s="19">
        <f t="shared" si="247"/>
        <v>46011</v>
      </c>
      <c r="M681" s="13" t="str">
        <f t="shared" si="248"/>
        <v>АРТ-066</v>
      </c>
      <c r="N681" s="13">
        <f t="shared" si="249"/>
        <v>3</v>
      </c>
      <c r="O681" s="13" t="str">
        <f>IFERROR(VLOOKUP(J681,Справочники!$G$6:$H$8,2,0),"RUB")</f>
        <v>USD</v>
      </c>
      <c r="P681" s="14">
        <f>ROUND(K681*IFERROR(VLOOKUP(J681,Справочники!$G$6:$I$8,3,0),1),2)</f>
        <v>8550</v>
      </c>
      <c r="Q681" s="13" t="str">
        <f>IFERROR(VLOOKUP(H681,Справочники!$D$6:$E$14,2,0),"НЕИЗВЕСТНО")</f>
        <v>Завершен</v>
      </c>
      <c r="R681" s="20">
        <f>IFERROR(INDEX(Товары_очищенные!$Q$3:$Q$503,MATCH(M681,Товары_очищенные!$L$3:$L$503,0)),"нет в каталоге")</f>
        <v>57800</v>
      </c>
      <c r="S681" s="21" t="str">
        <f>IFERROR(INDEX(Товары_очищенные!$N$3:$N$503,MATCH(M681,Товары_очищенные!$L$3:$L$503,0)),"нет в каталоге")</f>
        <v>Смартфоны</v>
      </c>
      <c r="T681" s="21" t="str">
        <f t="shared" si="250"/>
        <v>OK</v>
      </c>
      <c r="U681" s="12" t="str">
        <f t="shared" si="251"/>
        <v>20/12/2025|АРТ-066|C0679</v>
      </c>
      <c r="V681" s="12" t="str">
        <f t="shared" si="252"/>
        <v>оригинал</v>
      </c>
    </row>
    <row r="682" ht="15" customHeight="1">
      <c r="A682" s="10">
        <v>680</v>
      </c>
      <c r="B682" s="11" t="str">
        <f>RAW_Продажи!A681</f>
        <v>12/20/2025</v>
      </c>
      <c r="C682" s="11" t="str">
        <f>RAW_Продажи!B681</f>
        <v>АРТ_471</v>
      </c>
      <c r="D682" s="11" t="str">
        <f>RAW_Продажи!C681</f>
        <v>2</v>
      </c>
      <c r="E682" s="11" t="str">
        <f>RAW_Продажи!D681</f>
        <v>€70</v>
      </c>
      <c r="F682" s="11" t="str">
        <f>RAW_Продажи!E681</f>
        <v>C0680</v>
      </c>
      <c r="G682" s="11" t="str">
        <f>RAW_Продажи!F681</f>
        <v>P039</v>
      </c>
      <c r="H682" s="11" t="str">
        <f>RAW_Продажи!G681</f>
        <v>возврат</v>
      </c>
      <c r="I682" s="12" t="str">
        <f t="shared" si="244"/>
        <v>471</v>
      </c>
      <c r="J682" s="12" t="str">
        <f t="shared" si="245"/>
        <v>€</v>
      </c>
      <c r="K682" s="12">
        <f t="shared" si="246"/>
        <v>70</v>
      </c>
      <c r="L682" s="19">
        <f t="shared" si="247"/>
        <v>46011</v>
      </c>
      <c r="M682" s="13" t="str">
        <f t="shared" si="248"/>
        <v>АРТ-471</v>
      </c>
      <c r="N682" s="13">
        <f t="shared" si="249"/>
        <v>2</v>
      </c>
      <c r="O682" s="13" t="str">
        <f>IFERROR(VLOOKUP(J682,Справочники!$G$6:$H$8,2,0),"RUB")</f>
        <v>EUR</v>
      </c>
      <c r="P682" s="14">
        <f>ROUND(K682*IFERROR(VLOOKUP(J682,Справочники!$G$6:$I$8,3,0),1),2)</f>
        <v>7000</v>
      </c>
      <c r="Q682" s="13" t="str">
        <f>IFERROR(VLOOKUP(H682,Справочники!$D$6:$E$14,2,0),"НЕИЗВЕСТНО")</f>
        <v>Возврат</v>
      </c>
      <c r="R682" s="20">
        <f>IFERROR(INDEX(Товары_очищенные!$Q$3:$Q$503,MATCH(M682,Товары_очищенные!$L$3:$L$503,0)),"нет в каталоге")</f>
        <v>61000</v>
      </c>
      <c r="S682" s="21" t="str">
        <f>IFERROR(INDEX(Товары_очищенные!$N$3:$N$503,MATCH(M682,Товары_очищенные!$L$3:$L$503,0)),"нет в каталоге")</f>
        <v>Телевизоры</v>
      </c>
      <c r="T682" s="21" t="str">
        <f t="shared" si="250"/>
        <v>OK</v>
      </c>
      <c r="U682" s="12" t="str">
        <f t="shared" si="251"/>
        <v>20/12/2025|АРТ-471|C0680</v>
      </c>
      <c r="V682" s="12" t="str">
        <f t="shared" si="252"/>
        <v>оригинал</v>
      </c>
    </row>
    <row r="683" ht="15" customHeight="1">
      <c r="A683" s="10">
        <v>681</v>
      </c>
      <c r="B683" s="11" t="str">
        <f>RAW_Продажи!A682</f>
        <v>12/21/2025</v>
      </c>
      <c r="C683" s="11" t="str">
        <f>RAW_Продажи!B682</f>
        <v>312/24</v>
      </c>
      <c r="D683" s="11" t="str">
        <f>RAW_Продажи!C682</f>
        <v xml:space="preserve">1 шт.</v>
      </c>
      <c r="E683" s="11" t="str">
        <f>RAW_Продажи!D682</f>
        <v xml:space="preserve">6500 ₽</v>
      </c>
      <c r="F683" s="11" t="str">
        <f>RAW_Продажи!E682</f>
        <v>C0681</v>
      </c>
      <c r="G683" s="11" t="str">
        <f>RAW_Продажи!F682</f>
        <v>P050</v>
      </c>
      <c r="H683" s="11" t="str">
        <f>RAW_Продажи!G682</f>
        <v>завершен</v>
      </c>
      <c r="I683" s="12" t="str">
        <f t="shared" si="244"/>
        <v>312/24</v>
      </c>
      <c r="J683" s="12" t="str">
        <f t="shared" si="245"/>
        <v>₽</v>
      </c>
      <c r="K683" s="12">
        <f t="shared" si="246"/>
        <v>6500</v>
      </c>
      <c r="L683" s="19">
        <f t="shared" si="247"/>
        <v>46012</v>
      </c>
      <c r="M683" s="13" t="str">
        <f t="shared" si="248"/>
        <v>АРТ-312</v>
      </c>
      <c r="N683" s="13">
        <f t="shared" si="249"/>
        <v>1</v>
      </c>
      <c r="O683" s="13" t="str">
        <f>IFERROR(VLOOKUP(J683,Справочники!$G$6:$H$8,2,0),"RUB")</f>
        <v>RUB</v>
      </c>
      <c r="P683" s="14">
        <f>ROUND(K683*IFERROR(VLOOKUP(J683,Справочники!$G$6:$I$8,3,0),1),2)</f>
        <v>6500</v>
      </c>
      <c r="Q683" s="13" t="str">
        <f>IFERROR(VLOOKUP(H683,Справочники!$D$6:$E$14,2,0),"НЕИЗВЕСТНО")</f>
        <v>Завершен</v>
      </c>
      <c r="R683" s="20">
        <f>IFERROR(INDEX(Товары_очищенные!$Q$3:$Q$503,MATCH(M683,Товары_очищенные!$L$3:$L$503,0)),"нет в каталоге")</f>
        <v>67000</v>
      </c>
      <c r="S683" s="21" t="str">
        <f>IFERROR(INDEX(Товары_очищенные!$N$3:$N$503,MATCH(M683,Товары_очищенные!$L$3:$L$503,0)),"нет в каталоге")</f>
        <v>Планшеты</v>
      </c>
      <c r="T683" s="21" t="str">
        <f t="shared" si="250"/>
        <v>OK</v>
      </c>
      <c r="U683" s="12" t="str">
        <f t="shared" si="251"/>
        <v>21/12/2025|АРТ-312|C0681</v>
      </c>
      <c r="V683" s="12" t="str">
        <f t="shared" si="252"/>
        <v>оригинал</v>
      </c>
    </row>
    <row r="684" ht="15" customHeight="1">
      <c r="A684" s="10">
        <v>682</v>
      </c>
      <c r="B684" s="11" t="str">
        <f>RAW_Продажи!A683</f>
        <v>12/21/2025</v>
      </c>
      <c r="C684" s="11" t="str">
        <f>RAW_Продажи!B683</f>
        <v>№АРТ-328</v>
      </c>
      <c r="D684" s="11" t="str">
        <f>RAW_Продажи!C683</f>
        <v>-1</v>
      </c>
      <c r="E684" s="11" t="str">
        <f>RAW_Продажи!D683</f>
        <v>$110</v>
      </c>
      <c r="F684" s="11" t="str">
        <f>RAW_Продажи!E683</f>
        <v>C0682</v>
      </c>
      <c r="G684" s="11" t="str">
        <f>RAW_Продажи!F683</f>
        <v>P011</v>
      </c>
      <c r="H684" s="11" t="str">
        <f>RAW_Продажи!G683</f>
        <v>completed</v>
      </c>
      <c r="I684" s="12" t="str">
        <f t="shared" si="244"/>
        <v>328</v>
      </c>
      <c r="J684" s="12" t="str">
        <f t="shared" si="245"/>
        <v>$</v>
      </c>
      <c r="K684" s="12">
        <f t="shared" si="246"/>
        <v>110</v>
      </c>
      <c r="L684" s="19">
        <f t="shared" si="247"/>
        <v>46012</v>
      </c>
      <c r="M684" s="13" t="str">
        <f t="shared" si="248"/>
        <v>АРТ-328</v>
      </c>
      <c r="N684" s="13">
        <f t="shared" si="249"/>
        <v>-1</v>
      </c>
      <c r="O684" s="13" t="str">
        <f>IFERROR(VLOOKUP(J684,Справочники!$G$6:$H$8,2,0),"RUB")</f>
        <v>USD</v>
      </c>
      <c r="P684" s="14">
        <f>ROUND(K684*IFERROR(VLOOKUP(J684,Справочники!$G$6:$I$8,3,0),1),2)</f>
        <v>10450</v>
      </c>
      <c r="Q684" s="13" t="str">
        <f>IFERROR(VLOOKUP(H684,Справочники!$D$6:$E$14,2,0),"НЕИЗВЕСТНО")</f>
        <v>Завершен</v>
      </c>
      <c r="R684" s="20">
        <f>IFERROR(INDEX(Товары_очищенные!$Q$3:$Q$503,MATCH(M684,Товары_очищенные!$L$3:$L$503,0)),"нет в каталоге")</f>
        <v>11990</v>
      </c>
      <c r="S684" s="21" t="str">
        <f>IFERROR(INDEX(Товары_очищенные!$N$3:$N$503,MATCH(M684,Товары_очищенные!$L$3:$L$503,0)),"нет в каталоге")</f>
        <v>Аксессуары</v>
      </c>
      <c r="T684" s="21" t="str">
        <f t="shared" si="250"/>
        <v>OK</v>
      </c>
      <c r="U684" s="12" t="str">
        <f t="shared" si="251"/>
        <v>21/12/2025|АРТ-328|C0682</v>
      </c>
      <c r="V684" s="12" t="str">
        <f t="shared" si="252"/>
        <v>оригинал</v>
      </c>
    </row>
    <row r="685" ht="15" customHeight="1">
      <c r="A685" s="10">
        <v>683</v>
      </c>
      <c r="B685" s="11" t="str">
        <f>RAW_Продажи!A684</f>
        <v>12/22/2025</v>
      </c>
      <c r="C685" s="11" t="str">
        <f>RAW_Продажи!B684</f>
        <v>АРТ_282</v>
      </c>
      <c r="D685" s="11" t="str">
        <f>RAW_Продажи!C684</f>
        <v>3</v>
      </c>
      <c r="E685" s="11" t="str">
        <f>RAW_Продажи!D684</f>
        <v>€90</v>
      </c>
      <c r="F685" s="11" t="str">
        <f>RAW_Продажи!E684</f>
        <v>C0683</v>
      </c>
      <c r="G685" s="11" t="str">
        <f>RAW_Продажи!F684</f>
        <v>P027</v>
      </c>
      <c r="H685" s="11" t="str">
        <f>RAW_Продажи!G684</f>
        <v>Завершен</v>
      </c>
      <c r="I685" s="12" t="str">
        <f t="shared" si="244"/>
        <v>282</v>
      </c>
      <c r="J685" s="12" t="str">
        <f t="shared" si="245"/>
        <v>€</v>
      </c>
      <c r="K685" s="12">
        <f t="shared" si="246"/>
        <v>90</v>
      </c>
      <c r="L685" s="19">
        <f t="shared" si="247"/>
        <v>46013</v>
      </c>
      <c r="M685" s="13" t="str">
        <f t="shared" si="248"/>
        <v>АРТ-282</v>
      </c>
      <c r="N685" s="13">
        <f t="shared" si="249"/>
        <v>3</v>
      </c>
      <c r="O685" s="13" t="str">
        <f>IFERROR(VLOOKUP(J685,Справочники!$G$6:$H$8,2,0),"RUB")</f>
        <v>EUR</v>
      </c>
      <c r="P685" s="14">
        <f>ROUND(K685*IFERROR(VLOOKUP(J685,Справочники!$G$6:$I$8,3,0),1),2)</f>
        <v>9000</v>
      </c>
      <c r="Q685" s="13" t="str">
        <f>IFERROR(VLOOKUP(H685,Справочники!$D$6:$E$14,2,0),"НЕИЗВЕСТНО")</f>
        <v>Завершен</v>
      </c>
      <c r="R685" s="20">
        <f>IFERROR(INDEX(Товары_очищенные!$Q$3:$Q$503,MATCH(M685,Товары_очищенные!$L$3:$L$503,0)),"нет в каталоге")</f>
        <v>34500</v>
      </c>
      <c r="S685" s="21" t="str">
        <f>IFERROR(INDEX(Товары_очищенные!$N$3:$N$503,MATCH(M685,Товары_очищенные!$L$3:$L$503,0)),"нет в каталоге")</f>
        <v>Наушники</v>
      </c>
      <c r="T685" s="21" t="str">
        <f t="shared" si="250"/>
        <v>OK</v>
      </c>
      <c r="U685" s="12" t="str">
        <f t="shared" si="251"/>
        <v>22/12/2025|АРТ-282|C0683</v>
      </c>
      <c r="V685" s="12" t="str">
        <f t="shared" si="252"/>
        <v>оригинал</v>
      </c>
    </row>
    <row r="686" ht="15" customHeight="1">
      <c r="A686" s="10">
        <v>684</v>
      </c>
      <c r="B686" s="11" t="str">
        <f>RAW_Продажи!A685</f>
        <v>12/22/2025</v>
      </c>
      <c r="C686" s="11" t="str">
        <f>RAW_Продажи!B685</f>
        <v>259-24</v>
      </c>
      <c r="D686" s="11" t="str">
        <f>RAW_Продажи!C685</f>
        <v>2</v>
      </c>
      <c r="E686" s="11" t="str">
        <f>RAW_Продажи!D685</f>
        <v xml:space="preserve">8000 ₽</v>
      </c>
      <c r="F686" s="11" t="str">
        <f>RAW_Продажи!E685</f>
        <v>C0684</v>
      </c>
      <c r="G686" s="11" t="str">
        <f>RAW_Продажи!F685</f>
        <v>P018</v>
      </c>
      <c r="H686" s="11" t="str">
        <f>RAW_Продажи!G685</f>
        <v>canceled</v>
      </c>
      <c r="I686" s="12" t="str">
        <f t="shared" si="244"/>
        <v>259-24</v>
      </c>
      <c r="J686" s="12" t="str">
        <f t="shared" si="245"/>
        <v>₽</v>
      </c>
      <c r="K686" s="12">
        <f t="shared" si="246"/>
        <v>8000</v>
      </c>
      <c r="L686" s="19">
        <f t="shared" si="247"/>
        <v>46013</v>
      </c>
      <c r="M686" s="13" t="str">
        <f t="shared" si="248"/>
        <v>АРТ-259</v>
      </c>
      <c r="N686" s="13">
        <f t="shared" si="249"/>
        <v>2</v>
      </c>
      <c r="O686" s="13" t="str">
        <f>IFERROR(VLOOKUP(J686,Справочники!$G$6:$H$8,2,0),"RUB")</f>
        <v>RUB</v>
      </c>
      <c r="P686" s="14">
        <f>ROUND(K686*IFERROR(VLOOKUP(J686,Справочники!$G$6:$I$8,3,0),1),2)</f>
        <v>8000</v>
      </c>
      <c r="Q686" s="13" t="str">
        <f>IFERROR(VLOOKUP(H686,Справочники!$D$6:$E$14,2,0),"НЕИЗВЕСТНО")</f>
        <v>Отменен</v>
      </c>
      <c r="R686" s="20">
        <f>IFERROR(INDEX(Товары_очищенные!$Q$3:$Q$503,MATCH(M686,Товары_очищенные!$L$3:$L$503,0)),"нет в каталоге")</f>
        <v>92990</v>
      </c>
      <c r="S686" s="21" t="str">
        <f>IFERROR(INDEX(Товары_очищенные!$N$3:$N$503,MATCH(M686,Товары_очищенные!$L$3:$L$503,0)),"нет в каталоге")</f>
        <v>Телевизоры</v>
      </c>
      <c r="T686" s="21" t="str">
        <f t="shared" si="250"/>
        <v>OK</v>
      </c>
      <c r="U686" s="12" t="str">
        <f t="shared" si="251"/>
        <v>22/12/2025|АРТ-259|C0684</v>
      </c>
      <c r="V686" s="12" t="str">
        <f t="shared" si="252"/>
        <v>оригинал</v>
      </c>
    </row>
    <row r="687" ht="15" customHeight="1">
      <c r="A687" s="10">
        <v>685</v>
      </c>
      <c r="B687" s="11" t="str">
        <f>RAW_Продажи!A686</f>
        <v>12/23/2025</v>
      </c>
      <c r="C687" s="11" t="str">
        <f>RAW_Продажи!B686</f>
        <v>№АРТ-103</v>
      </c>
      <c r="D687" s="11" t="str">
        <f>RAW_Продажи!C686</f>
        <v>1</v>
      </c>
      <c r="E687" s="11" t="str">
        <f>RAW_Продажи!D686</f>
        <v>$95</v>
      </c>
      <c r="F687" s="11" t="str">
        <f>RAW_Продажи!E686</f>
        <v>C0685</v>
      </c>
      <c r="G687" s="11" t="str">
        <f>RAW_Продажи!F686</f>
        <v>P040</v>
      </c>
      <c r="H687" s="11" t="str">
        <f>RAW_Продажи!G686</f>
        <v>отменен</v>
      </c>
      <c r="I687" s="12" t="str">
        <f t="shared" si="244"/>
        <v>103</v>
      </c>
      <c r="J687" s="12" t="str">
        <f t="shared" si="245"/>
        <v>$</v>
      </c>
      <c r="K687" s="12">
        <f t="shared" si="246"/>
        <v>95</v>
      </c>
      <c r="L687" s="19">
        <f t="shared" si="247"/>
        <v>46014</v>
      </c>
      <c r="M687" s="13" t="str">
        <f t="shared" si="248"/>
        <v>АРТ-103</v>
      </c>
      <c r="N687" s="13">
        <f t="shared" si="249"/>
        <v>1</v>
      </c>
      <c r="O687" s="13" t="str">
        <f>IFERROR(VLOOKUP(J687,Справочники!$G$6:$H$8,2,0),"RUB")</f>
        <v>USD</v>
      </c>
      <c r="P687" s="14">
        <f>ROUND(K687*IFERROR(VLOOKUP(J687,Справочники!$G$6:$I$8,3,0),1),2)</f>
        <v>9025</v>
      </c>
      <c r="Q687" s="13" t="str">
        <f>IFERROR(VLOOKUP(H687,Справочники!$D$6:$E$14,2,0),"НЕИЗВЕСТНО")</f>
        <v>Отменен</v>
      </c>
      <c r="R687" s="20">
        <f>IFERROR(INDEX(Товары_очищенные!$Q$3:$Q$503,MATCH(M687,Товары_очищенные!$L$3:$L$503,0)),"нет в каталоге")</f>
        <v>149990</v>
      </c>
      <c r="S687" s="21" t="str">
        <f>IFERROR(INDEX(Товары_очищенные!$N$3:$N$503,MATCH(M687,Товары_очищенные!$L$3:$L$503,0)),"нет в каталоге")</f>
        <v>Ноутбуки</v>
      </c>
      <c r="T687" s="21" t="str">
        <f t="shared" si="250"/>
        <v>OK</v>
      </c>
      <c r="U687" s="12" t="str">
        <f t="shared" si="251"/>
        <v>23/12/2025|АРТ-103|C0685</v>
      </c>
      <c r="V687" s="12" t="str">
        <f t="shared" si="252"/>
        <v>оригинал</v>
      </c>
    </row>
    <row r="688" ht="15" customHeight="1">
      <c r="A688" s="10">
        <v>686</v>
      </c>
      <c r="B688" s="11" t="str">
        <f>RAW_Продажи!A687</f>
        <v>12/23/2025</v>
      </c>
      <c r="C688" s="11" t="str">
        <f>RAW_Продажи!B687</f>
        <v>АРТ_490</v>
      </c>
      <c r="D688" s="11" t="str">
        <f>RAW_Продажи!C687</f>
        <v>2</v>
      </c>
      <c r="E688" s="11" t="str">
        <f>RAW_Продажи!D687</f>
        <v>€75</v>
      </c>
      <c r="F688" s="11" t="str">
        <f>RAW_Продажи!E687</f>
        <v>C0686</v>
      </c>
      <c r="G688" s="11" t="str">
        <f>RAW_Продажи!F687</f>
        <v>P003</v>
      </c>
      <c r="H688" s="11" t="str">
        <f>RAW_Продажи!G687</f>
        <v>возврат</v>
      </c>
      <c r="I688" s="12" t="str">
        <f t="shared" si="244"/>
        <v>490</v>
      </c>
      <c r="J688" s="12" t="str">
        <f t="shared" si="245"/>
        <v>€</v>
      </c>
      <c r="K688" s="12">
        <f t="shared" si="246"/>
        <v>75</v>
      </c>
      <c r="L688" s="19">
        <f t="shared" si="247"/>
        <v>46014</v>
      </c>
      <c r="M688" s="13" t="str">
        <f t="shared" si="248"/>
        <v>АРТ-490</v>
      </c>
      <c r="N688" s="13">
        <f t="shared" si="249"/>
        <v>2</v>
      </c>
      <c r="O688" s="13" t="str">
        <f>IFERROR(VLOOKUP(J688,Справочники!$G$6:$H$8,2,0),"RUB")</f>
        <v>EUR</v>
      </c>
      <c r="P688" s="14">
        <f>ROUND(K688*IFERROR(VLOOKUP(J688,Справочники!$G$6:$I$8,3,0),1),2)</f>
        <v>7500</v>
      </c>
      <c r="Q688" s="13" t="str">
        <f>IFERROR(VLOOKUP(H688,Справочники!$D$6:$E$14,2,0),"НЕИЗВЕСТНО")</f>
        <v>Возврат</v>
      </c>
      <c r="R688" s="20">
        <f>IFERROR(INDEX(Товары_очищенные!$Q$3:$Q$503,MATCH(M688,Товары_очищенные!$L$3:$L$503,0)),"нет в каталоге")</f>
        <v>61990</v>
      </c>
      <c r="S688" s="21" t="str">
        <f>IFERROR(INDEX(Товары_очищенные!$N$3:$N$503,MATCH(M688,Товары_очищенные!$L$3:$L$503,0)),"нет в каталоге")</f>
        <v>Телевизоры</v>
      </c>
      <c r="T688" s="21" t="str">
        <f t="shared" si="250"/>
        <v>OK</v>
      </c>
      <c r="U688" s="12" t="str">
        <f t="shared" si="251"/>
        <v>23/12/2025|АРТ-490|C0686</v>
      </c>
      <c r="V688" s="12" t="str">
        <f t="shared" si="252"/>
        <v>оригинал</v>
      </c>
    </row>
    <row r="689" ht="15" customHeight="1">
      <c r="A689" s="10">
        <v>687</v>
      </c>
      <c r="B689" s="11" t="str">
        <f>RAW_Продажи!A688</f>
        <v>12/24/2025</v>
      </c>
      <c r="C689" s="11" t="str">
        <f>RAW_Продажи!B688</f>
        <v>378/24</v>
      </c>
      <c r="D689" s="11" t="str">
        <f>RAW_Продажи!C688</f>
        <v xml:space="preserve">3 шт.</v>
      </c>
      <c r="E689" s="11" t="str">
        <f>RAW_Продажи!D688</f>
        <v xml:space="preserve">7000 ₽</v>
      </c>
      <c r="F689" s="11" t="str">
        <f>RAW_Продажи!E688</f>
        <v>C0687</v>
      </c>
      <c r="G689" s="11" t="str">
        <f>RAW_Продажи!F688</f>
        <v>P025</v>
      </c>
      <c r="H689" s="11" t="str">
        <f>RAW_Продажи!G688</f>
        <v>Завершен</v>
      </c>
      <c r="I689" s="12" t="str">
        <f t="shared" si="244"/>
        <v>378/24</v>
      </c>
      <c r="J689" s="12" t="str">
        <f t="shared" si="245"/>
        <v>₽</v>
      </c>
      <c r="K689" s="12">
        <f t="shared" si="246"/>
        <v>7000</v>
      </c>
      <c r="L689" s="19">
        <f t="shared" si="247"/>
        <v>46015</v>
      </c>
      <c r="M689" s="13" t="str">
        <f t="shared" si="248"/>
        <v>АРТ-378</v>
      </c>
      <c r="N689" s="13">
        <f t="shared" si="249"/>
        <v>3</v>
      </c>
      <c r="O689" s="13" t="str">
        <f>IFERROR(VLOOKUP(J689,Справочники!$G$6:$H$8,2,0),"RUB")</f>
        <v>RUB</v>
      </c>
      <c r="P689" s="14">
        <f>ROUND(K689*IFERROR(VLOOKUP(J689,Справочники!$G$6:$I$8,3,0),1),2)</f>
        <v>7000</v>
      </c>
      <c r="Q689" s="13" t="str">
        <f>IFERROR(VLOOKUP(H689,Справочники!$D$6:$E$14,2,0),"НЕИЗВЕСТНО")</f>
        <v>Завершен</v>
      </c>
      <c r="R689" s="20">
        <f>IFERROR(INDEX(Товары_очищенные!$Q$3:$Q$503,MATCH(M689,Товары_очищенные!$L$3:$L$503,0)),"нет в каталоге")</f>
        <v>26500</v>
      </c>
      <c r="S689" s="21" t="str">
        <f>IFERROR(INDEX(Товары_очищенные!$N$3:$N$503,MATCH(M689,Товары_очищенные!$L$3:$L$503,0)),"нет в каталоге")</f>
        <v>Часы</v>
      </c>
      <c r="T689" s="21" t="str">
        <f t="shared" si="250"/>
        <v>OK</v>
      </c>
      <c r="U689" s="12" t="str">
        <f t="shared" si="251"/>
        <v>24/12/2025|АРТ-378|C0687</v>
      </c>
      <c r="V689" s="12" t="str">
        <f t="shared" si="252"/>
        <v>оригинал</v>
      </c>
    </row>
    <row r="690" ht="15" customHeight="1">
      <c r="A690" s="10">
        <v>688</v>
      </c>
      <c r="B690" s="11" t="str">
        <f>RAW_Продажи!A689</f>
        <v>12/24/2025</v>
      </c>
      <c r="C690" s="11" t="str">
        <f>RAW_Продажи!B689</f>
        <v>№АРТ-236</v>
      </c>
      <c r="D690" s="11" t="str">
        <f>RAW_Продажи!C689</f>
        <v>-2</v>
      </c>
      <c r="E690" s="11" t="str">
        <f>RAW_Продажи!D689</f>
        <v>$115</v>
      </c>
      <c r="F690" s="11" t="str">
        <f>RAW_Продажи!E689</f>
        <v>C0688</v>
      </c>
      <c r="G690" s="11" t="str">
        <f>RAW_Продажи!F689</f>
        <v>P010</v>
      </c>
      <c r="H690" s="11" t="str">
        <f>RAW_Продажи!G689</f>
        <v>завершен</v>
      </c>
      <c r="I690" s="12" t="str">
        <f t="shared" si="244"/>
        <v>236</v>
      </c>
      <c r="J690" s="12" t="str">
        <f t="shared" si="245"/>
        <v>$</v>
      </c>
      <c r="K690" s="12">
        <f t="shared" si="246"/>
        <v>115</v>
      </c>
      <c r="L690" s="19">
        <f t="shared" si="247"/>
        <v>46015</v>
      </c>
      <c r="M690" s="13" t="str">
        <f t="shared" si="248"/>
        <v>АРТ-236</v>
      </c>
      <c r="N690" s="13">
        <f t="shared" si="249"/>
        <v>-2</v>
      </c>
      <c r="O690" s="13" t="str">
        <f>IFERROR(VLOOKUP(J690,Справочники!$G$6:$H$8,2,0),"RUB")</f>
        <v>USD</v>
      </c>
      <c r="P690" s="14">
        <f>ROUND(K690*IFERROR(VLOOKUP(J690,Справочники!$G$6:$I$8,3,0),1),2)</f>
        <v>10925</v>
      </c>
      <c r="Q690" s="13" t="str">
        <f>IFERROR(VLOOKUP(H690,Справочники!$D$6:$E$14,2,0),"НЕИЗВЕСТНО")</f>
        <v>Завершен</v>
      </c>
      <c r="R690" s="20">
        <f>IFERROR(INDEX(Товары_очищенные!$Q$3:$Q$503,MATCH(M690,Товары_очищенные!$L$3:$L$503,0)),"нет в каталоге")</f>
        <v>58000</v>
      </c>
      <c r="S690" s="21" t="str">
        <f>IFERROR(INDEX(Товары_очищенные!$N$3:$N$503,MATCH(M690,Товары_очищенные!$L$3:$L$503,0)),"нет в каталоге")</f>
        <v>Планшеты</v>
      </c>
      <c r="T690" s="21" t="str">
        <f t="shared" si="250"/>
        <v>OK</v>
      </c>
      <c r="U690" s="12" t="str">
        <f t="shared" si="251"/>
        <v>24/12/2025|АРТ-236|C0688</v>
      </c>
      <c r="V690" s="12" t="str">
        <f t="shared" si="252"/>
        <v>оригинал</v>
      </c>
    </row>
    <row r="691" ht="15" customHeight="1">
      <c r="A691" s="10">
        <v>689</v>
      </c>
      <c r="B691" s="11" t="str">
        <f>RAW_Продажи!A690</f>
        <v>12/25/2025</v>
      </c>
      <c r="C691" s="11" t="str">
        <f>RAW_Продажи!B690</f>
        <v>АРТ_322</v>
      </c>
      <c r="D691" s="11" t="str">
        <f>RAW_Продажи!C690</f>
        <v>1</v>
      </c>
      <c r="E691" s="11" t="str">
        <f>RAW_Продажи!D690</f>
        <v>€95</v>
      </c>
      <c r="F691" s="11" t="str">
        <f>RAW_Продажи!E690</f>
        <v>C0689</v>
      </c>
      <c r="G691" s="11" t="str">
        <f>RAW_Продажи!F690</f>
        <v>P033</v>
      </c>
      <c r="H691" s="11" t="str">
        <f>RAW_Продажи!G690</f>
        <v>completed</v>
      </c>
      <c r="I691" s="12" t="str">
        <f t="shared" si="244"/>
        <v>322</v>
      </c>
      <c r="J691" s="12" t="str">
        <f t="shared" si="245"/>
        <v>€</v>
      </c>
      <c r="K691" s="12">
        <f t="shared" si="246"/>
        <v>95</v>
      </c>
      <c r="L691" s="19">
        <f t="shared" si="247"/>
        <v>46016</v>
      </c>
      <c r="M691" s="13" t="str">
        <f t="shared" si="248"/>
        <v>АРТ-322</v>
      </c>
      <c r="N691" s="13">
        <f t="shared" si="249"/>
        <v>1</v>
      </c>
      <c r="O691" s="13" t="str">
        <f>IFERROR(VLOOKUP(J691,Справочники!$G$6:$H$8,2,0),"RUB")</f>
        <v>EUR</v>
      </c>
      <c r="P691" s="14">
        <f>ROUND(K691*IFERROR(VLOOKUP(J691,Справочники!$G$6:$I$8,3,0),1),2)</f>
        <v>9500</v>
      </c>
      <c r="Q691" s="13" t="str">
        <f>IFERROR(VLOOKUP(H691,Справочники!$D$6:$E$14,2,0),"НЕИЗВЕСТНО")</f>
        <v>Завершен</v>
      </c>
      <c r="R691" s="20">
        <f>IFERROR(INDEX(Товары_очищенные!$Q$3:$Q$503,MATCH(M691,Товары_очищенные!$L$3:$L$503,0)),"нет в каталоге")</f>
        <v>12990</v>
      </c>
      <c r="S691" s="21" t="str">
        <f>IFERROR(INDEX(Товары_очищенные!$N$3:$N$503,MATCH(M691,Товары_очищенные!$L$3:$L$503,0)),"нет в каталоге")</f>
        <v>Наушники</v>
      </c>
      <c r="T691" s="21" t="str">
        <f t="shared" si="250"/>
        <v>OK</v>
      </c>
      <c r="U691" s="12" t="str">
        <f t="shared" si="251"/>
        <v>25/12/2025|АРТ-322|C0689</v>
      </c>
      <c r="V691" s="12" t="str">
        <f t="shared" si="252"/>
        <v>оригинал</v>
      </c>
    </row>
    <row r="692" ht="15" customHeight="1">
      <c r="A692" s="10">
        <v>690</v>
      </c>
      <c r="B692" s="11" t="str">
        <f>RAW_Продажи!A691</f>
        <v>12/25/2025</v>
      </c>
      <c r="C692" s="11" t="str">
        <f>RAW_Продажи!B691</f>
        <v>134-24</v>
      </c>
      <c r="D692" s="11" t="str">
        <f>RAW_Продажи!C691</f>
        <v>2</v>
      </c>
      <c r="E692" s="11" t="str">
        <f>RAW_Продажи!D691</f>
        <v xml:space="preserve">8500 ₽</v>
      </c>
      <c r="F692" s="11" t="str">
        <f>RAW_Продажи!E691</f>
        <v>C0690</v>
      </c>
      <c r="G692" s="11" t="str">
        <f>RAW_Продажи!F691</f>
        <v>P047</v>
      </c>
      <c r="H692" s="11" t="str">
        <f>RAW_Продажи!G691</f>
        <v>отменен</v>
      </c>
      <c r="I692" s="12" t="str">
        <f t="shared" si="244"/>
        <v>134-24</v>
      </c>
      <c r="J692" s="12" t="str">
        <f t="shared" si="245"/>
        <v>₽</v>
      </c>
      <c r="K692" s="12">
        <f t="shared" si="246"/>
        <v>8500</v>
      </c>
      <c r="L692" s="19">
        <f t="shared" si="247"/>
        <v>46016</v>
      </c>
      <c r="M692" s="13" t="str">
        <f t="shared" si="248"/>
        <v>АРТ-134</v>
      </c>
      <c r="N692" s="13">
        <f t="shared" si="249"/>
        <v>2</v>
      </c>
      <c r="O692" s="13" t="str">
        <f>IFERROR(VLOOKUP(J692,Справочники!$G$6:$H$8,2,0),"RUB")</f>
        <v>RUB</v>
      </c>
      <c r="P692" s="14">
        <f>ROUND(K692*IFERROR(VLOOKUP(J692,Справочники!$G$6:$I$8,3,0),1),2)</f>
        <v>8500</v>
      </c>
      <c r="Q692" s="13" t="str">
        <f>IFERROR(VLOOKUP(H692,Справочники!$D$6:$E$14,2,0),"НЕИЗВЕСТНО")</f>
        <v>Отменен</v>
      </c>
      <c r="R692" s="20">
        <f>IFERROR(INDEX(Товары_очищенные!$Q$3:$Q$503,MATCH(M692,Товары_очищенные!$L$3:$L$503,0)),"нет в каталоге")</f>
        <v>124000</v>
      </c>
      <c r="S692" s="21" t="str">
        <f>IFERROR(INDEX(Товары_очищенные!$N$3:$N$503,MATCH(M692,Товары_очищенные!$L$3:$L$503,0)),"нет в каталоге")</f>
        <v>Телевизоры</v>
      </c>
      <c r="T692" s="21" t="str">
        <f t="shared" si="250"/>
        <v>OK</v>
      </c>
      <c r="U692" s="12" t="str">
        <f t="shared" si="251"/>
        <v>25/12/2025|АРТ-134|C0690</v>
      </c>
      <c r="V692" s="12" t="str">
        <f t="shared" si="252"/>
        <v>оригинал</v>
      </c>
    </row>
    <row r="693" ht="15" customHeight="1">
      <c r="A693" s="10">
        <v>691</v>
      </c>
      <c r="B693" s="11" t="str">
        <f>RAW_Продажи!A692</f>
        <v>12/26/2025</v>
      </c>
      <c r="C693" s="11" t="str">
        <f>RAW_Продажи!B692</f>
        <v>№АРТ-008</v>
      </c>
      <c r="D693" s="11" t="str">
        <f>RAW_Продажи!C692</f>
        <v>3</v>
      </c>
      <c r="E693" s="11" t="str">
        <f>RAW_Продажи!D692</f>
        <v>$105</v>
      </c>
      <c r="F693" s="11" t="str">
        <f>RAW_Продажи!E692</f>
        <v>C0691</v>
      </c>
      <c r="G693" s="11" t="str">
        <f>RAW_Продажи!F692</f>
        <v>P020</v>
      </c>
      <c r="H693" s="11" t="str">
        <f>RAW_Продажи!G692</f>
        <v>canceled</v>
      </c>
      <c r="I693" s="12" t="str">
        <f t="shared" si="244"/>
        <v>008</v>
      </c>
      <c r="J693" s="12" t="str">
        <f t="shared" si="245"/>
        <v>$</v>
      </c>
      <c r="K693" s="12">
        <f t="shared" si="246"/>
        <v>105</v>
      </c>
      <c r="L693" s="19">
        <f t="shared" si="247"/>
        <v>46017</v>
      </c>
      <c r="M693" s="13" t="str">
        <f t="shared" si="248"/>
        <v>АРТ-008</v>
      </c>
      <c r="N693" s="13">
        <f t="shared" si="249"/>
        <v>3</v>
      </c>
      <c r="O693" s="13" t="str">
        <f>IFERROR(VLOOKUP(J693,Справочники!$G$6:$H$8,2,0),"RUB")</f>
        <v>USD</v>
      </c>
      <c r="P693" s="14">
        <f>ROUND(K693*IFERROR(VLOOKUP(J693,Справочники!$G$6:$I$8,3,0),1),2)</f>
        <v>9975</v>
      </c>
      <c r="Q693" s="13" t="str">
        <f>IFERROR(VLOOKUP(H693,Справочники!$D$6:$E$14,2,0),"НЕИЗВЕСТНО")</f>
        <v>Отменен</v>
      </c>
      <c r="R693" s="20">
        <f>IFERROR(INDEX(Товары_очищенные!$Q$3:$Q$503,MATCH(M693,Товары_очищенные!$L$3:$L$503,0)),"нет в каталоге")</f>
        <v>68900</v>
      </c>
      <c r="S693" s="21" t="str">
        <f>IFERROR(INDEX(Товары_очищенные!$N$3:$N$503,MATCH(M693,Товары_очищенные!$L$3:$L$503,0)),"нет в каталоге")</f>
        <v>Смартфоны</v>
      </c>
      <c r="T693" s="21" t="str">
        <f t="shared" si="250"/>
        <v>OK</v>
      </c>
      <c r="U693" s="12" t="str">
        <f t="shared" si="251"/>
        <v>26/12/2025|АРТ-008|C0691</v>
      </c>
      <c r="V693" s="12" t="str">
        <f t="shared" si="252"/>
        <v>оригинал</v>
      </c>
    </row>
    <row r="694" ht="15" customHeight="1">
      <c r="A694" s="10">
        <v>692</v>
      </c>
      <c r="B694" s="11" t="str">
        <f>RAW_Продажи!A693</f>
        <v>12/26/2025</v>
      </c>
      <c r="C694" s="11" t="str">
        <f>RAW_Продажи!B693</f>
        <v>АРТ_474</v>
      </c>
      <c r="D694" s="11" t="str">
        <f>RAW_Продажи!C693</f>
        <v>2</v>
      </c>
      <c r="E694" s="11" t="str">
        <f>RAW_Продажи!D693</f>
        <v>€85</v>
      </c>
      <c r="F694" s="11" t="str">
        <f>RAW_Продажи!E693</f>
        <v>C0692</v>
      </c>
      <c r="G694" s="11" t="str">
        <f>RAW_Продажи!F693</f>
        <v>P002</v>
      </c>
      <c r="H694" s="11" t="str">
        <f>RAW_Продажи!G693</f>
        <v>Завершен</v>
      </c>
      <c r="I694" s="12" t="str">
        <f t="shared" si="244"/>
        <v>474</v>
      </c>
      <c r="J694" s="12" t="str">
        <f t="shared" si="245"/>
        <v>€</v>
      </c>
      <c r="K694" s="12">
        <f t="shared" si="246"/>
        <v>85</v>
      </c>
      <c r="L694" s="19">
        <f t="shared" si="247"/>
        <v>46017</v>
      </c>
      <c r="M694" s="13" t="str">
        <f t="shared" si="248"/>
        <v>АРТ-474</v>
      </c>
      <c r="N694" s="13">
        <f t="shared" si="249"/>
        <v>2</v>
      </c>
      <c r="O694" s="13" t="str">
        <f>IFERROR(VLOOKUP(J694,Справочники!$G$6:$H$8,2,0),"RUB")</f>
        <v>EUR</v>
      </c>
      <c r="P694" s="14">
        <f>ROUND(K694*IFERROR(VLOOKUP(J694,Справочники!$G$6:$I$8,3,0),1),2)</f>
        <v>8500</v>
      </c>
      <c r="Q694" s="13" t="str">
        <f>IFERROR(VLOOKUP(H694,Справочники!$D$6:$E$14,2,0),"НЕИЗВЕСТНО")</f>
        <v>Завершен</v>
      </c>
      <c r="R694" s="20">
        <f>IFERROR(INDEX(Товары_очищенные!$Q$3:$Q$503,MATCH(M694,Товары_очищенные!$L$3:$L$503,0)),"нет в каталоге")</f>
        <v>9800</v>
      </c>
      <c r="S694" s="21" t="str">
        <f>IFERROR(INDEX(Товары_очищенные!$N$3:$N$503,MATCH(M694,Товары_очищенные!$L$3:$L$503,0)),"нет в каталоге")</f>
        <v>Наушники</v>
      </c>
      <c r="T694" s="21" t="str">
        <f t="shared" si="250"/>
        <v>OK</v>
      </c>
      <c r="U694" s="12" t="str">
        <f t="shared" si="251"/>
        <v>26/12/2025|АРТ-474|C0692</v>
      </c>
      <c r="V694" s="12" t="str">
        <f t="shared" si="252"/>
        <v>оригинал</v>
      </c>
    </row>
    <row r="695" ht="15" customHeight="1">
      <c r="A695" s="10">
        <v>693</v>
      </c>
      <c r="B695" s="11" t="str">
        <f>RAW_Продажи!A694</f>
        <v>12/27/2025</v>
      </c>
      <c r="C695" s="11" t="str">
        <f>RAW_Продажи!B694</f>
        <v>346/24</v>
      </c>
      <c r="D695" s="11" t="str">
        <f>RAW_Продажи!C694</f>
        <v xml:space="preserve">1 шт.</v>
      </c>
      <c r="E695" s="11" t="str">
        <f>RAW_Продажи!D694</f>
        <v xml:space="preserve">7800 ₽</v>
      </c>
      <c r="F695" s="11" t="str">
        <f>RAW_Продажи!E694</f>
        <v>C0693</v>
      </c>
      <c r="G695" s="11" t="str">
        <f>RAW_Продажи!F694</f>
        <v>P038</v>
      </c>
      <c r="H695" s="11" t="str">
        <f>RAW_Продажи!G694</f>
        <v>возврат</v>
      </c>
      <c r="I695" s="12" t="str">
        <f t="shared" si="244"/>
        <v>346/24</v>
      </c>
      <c r="J695" s="12" t="str">
        <f t="shared" si="245"/>
        <v>₽</v>
      </c>
      <c r="K695" s="12">
        <f t="shared" si="246"/>
        <v>7800</v>
      </c>
      <c r="L695" s="19">
        <f t="shared" si="247"/>
        <v>46018</v>
      </c>
      <c r="M695" s="13" t="str">
        <f t="shared" si="248"/>
        <v>АРТ-346</v>
      </c>
      <c r="N695" s="13">
        <f t="shared" si="249"/>
        <v>1</v>
      </c>
      <c r="O695" s="13" t="str">
        <f>IFERROR(VLOOKUP(J695,Справочники!$G$6:$H$8,2,0),"RUB")</f>
        <v>RUB</v>
      </c>
      <c r="P695" s="14">
        <f>ROUND(K695*IFERROR(VLOOKUP(J695,Справочники!$G$6:$I$8,3,0),1),2)</f>
        <v>7800</v>
      </c>
      <c r="Q695" s="13" t="str">
        <f>IFERROR(VLOOKUP(H695,Справочники!$D$6:$E$14,2,0),"НЕИЗВЕСТНО")</f>
        <v>Возврат</v>
      </c>
      <c r="R695" s="20">
        <f>IFERROR(INDEX(Товары_очищенные!$Q$3:$Q$503,MATCH(M695,Товары_очищенные!$L$3:$L$503,0)),"нет в каталоге")</f>
        <v>19990</v>
      </c>
      <c r="S695" s="21" t="str">
        <f>IFERROR(INDEX(Товары_очищенные!$N$3:$N$503,MATCH(M695,Товары_очищенные!$L$3:$L$503,0)),"нет в каталоге")</f>
        <v>Наушники</v>
      </c>
      <c r="T695" s="21" t="str">
        <f t="shared" si="250"/>
        <v>OK</v>
      </c>
      <c r="U695" s="12" t="str">
        <f t="shared" si="251"/>
        <v>27/12/2025|АРТ-346|C0693</v>
      </c>
      <c r="V695" s="12" t="str">
        <f t="shared" si="252"/>
        <v>оригинал</v>
      </c>
    </row>
    <row r="696" ht="15" customHeight="1">
      <c r="A696" s="10">
        <v>694</v>
      </c>
      <c r="B696" s="11" t="str">
        <f>RAW_Продажи!A695</f>
        <v>12/27/2025</v>
      </c>
      <c r="C696" s="11" t="str">
        <f>RAW_Продажи!B695</f>
        <v>№АРТ-352</v>
      </c>
      <c r="D696" s="11" t="str">
        <f>RAW_Продажи!C695</f>
        <v>-3</v>
      </c>
      <c r="E696" s="11" t="str">
        <f>RAW_Продажи!D695</f>
        <v>$120</v>
      </c>
      <c r="F696" s="11" t="str">
        <f>RAW_Продажи!E695</f>
        <v>C0694</v>
      </c>
      <c r="G696" s="11" t="str">
        <f>RAW_Продажи!F695</f>
        <v>P016</v>
      </c>
      <c r="H696" s="11" t="str">
        <f>RAW_Продажи!G695</f>
        <v>завершен</v>
      </c>
      <c r="I696" s="12" t="str">
        <f t="shared" si="244"/>
        <v>352</v>
      </c>
      <c r="J696" s="12" t="str">
        <f t="shared" si="245"/>
        <v>$</v>
      </c>
      <c r="K696" s="12">
        <f t="shared" si="246"/>
        <v>120</v>
      </c>
      <c r="L696" s="19">
        <f t="shared" si="247"/>
        <v>46018</v>
      </c>
      <c r="M696" s="13" t="str">
        <f t="shared" si="248"/>
        <v>АРТ-352</v>
      </c>
      <c r="N696" s="13">
        <f t="shared" si="249"/>
        <v>-3</v>
      </c>
      <c r="O696" s="13" t="str">
        <f>IFERROR(VLOOKUP(J696,Справочники!$G$6:$H$8,2,0),"RUB")</f>
        <v>USD</v>
      </c>
      <c r="P696" s="14">
        <f>ROUND(K696*IFERROR(VLOOKUP(J696,Справочники!$G$6:$I$8,3,0),1),2)</f>
        <v>11400</v>
      </c>
      <c r="Q696" s="13" t="str">
        <f>IFERROR(VLOOKUP(H696,Справочники!$D$6:$E$14,2,0),"НЕИЗВЕСТНО")</f>
        <v>Завершен</v>
      </c>
      <c r="R696" s="20">
        <f>IFERROR(INDEX(Товары_очищенные!$Q$3:$Q$503,MATCH(M696,Товары_очищенные!$L$3:$L$503,0)),"нет в каталоге")</f>
        <v>6990</v>
      </c>
      <c r="S696" s="21" t="str">
        <f>IFERROR(INDEX(Товары_очищенные!$N$3:$N$503,MATCH(M696,Товары_очищенные!$L$3:$L$503,0)),"нет в каталоге")</f>
        <v>Аксессуары</v>
      </c>
      <c r="T696" s="21" t="str">
        <f t="shared" si="250"/>
        <v xml:space="preserve">Цена выше розницы</v>
      </c>
      <c r="U696" s="12" t="str">
        <f t="shared" si="251"/>
        <v>27/12/2025|АРТ-352|C0694</v>
      </c>
      <c r="V696" s="12" t="str">
        <f t="shared" si="252"/>
        <v>оригинал</v>
      </c>
    </row>
    <row r="697" ht="15" customHeight="1">
      <c r="A697" s="10">
        <v>695</v>
      </c>
      <c r="B697" s="11" t="str">
        <f>RAW_Продажи!A696</f>
        <v>12/28/2025</v>
      </c>
      <c r="C697" s="11" t="str">
        <f>RAW_Продажи!B696</f>
        <v>АРТ_303</v>
      </c>
      <c r="D697" s="11" t="str">
        <f>RAW_Продажи!C696</f>
        <v>2</v>
      </c>
      <c r="E697" s="11" t="str">
        <f>RAW_Продажи!D696</f>
        <v>€100</v>
      </c>
      <c r="F697" s="11" t="str">
        <f>RAW_Продажи!E696</f>
        <v>C0695</v>
      </c>
      <c r="G697" s="11" t="str">
        <f>RAW_Продажи!F696</f>
        <v>P029</v>
      </c>
      <c r="H697" s="11" t="str">
        <f>RAW_Продажи!G696</f>
        <v>completed</v>
      </c>
      <c r="I697" s="12" t="str">
        <f t="shared" si="244"/>
        <v>303</v>
      </c>
      <c r="J697" s="12" t="str">
        <f t="shared" si="245"/>
        <v>€</v>
      </c>
      <c r="K697" s="12">
        <f t="shared" si="246"/>
        <v>100</v>
      </c>
      <c r="L697" s="19">
        <f t="shared" si="247"/>
        <v>46019</v>
      </c>
      <c r="M697" s="13" t="str">
        <f t="shared" si="248"/>
        <v>АРТ-303</v>
      </c>
      <c r="N697" s="13">
        <f t="shared" si="249"/>
        <v>2</v>
      </c>
      <c r="O697" s="13" t="str">
        <f>IFERROR(VLOOKUP(J697,Справочники!$G$6:$H$8,2,0),"RUB")</f>
        <v>EUR</v>
      </c>
      <c r="P697" s="14">
        <f>ROUND(K697*IFERROR(VLOOKUP(J697,Справочники!$G$6:$I$8,3,0),1),2)</f>
        <v>10000</v>
      </c>
      <c r="Q697" s="13" t="str">
        <f>IFERROR(VLOOKUP(H697,Справочники!$D$6:$E$14,2,0),"НЕИЗВЕСТНО")</f>
        <v>Завершен</v>
      </c>
      <c r="R697" s="20">
        <f>IFERROR(INDEX(Товары_очищенные!$Q$3:$Q$503,MATCH(M697,Товары_очищенные!$L$3:$L$503,0)),"нет в каталоге")</f>
        <v>8800</v>
      </c>
      <c r="S697" s="21" t="str">
        <f>IFERROR(INDEX(Товары_очищенные!$N$3:$N$503,MATCH(M697,Товары_очищенные!$L$3:$L$503,0)),"нет в каталоге")</f>
        <v>Наушники</v>
      </c>
      <c r="T697" s="21" t="str">
        <f t="shared" si="250"/>
        <v>OK</v>
      </c>
      <c r="U697" s="12" t="str">
        <f t="shared" si="251"/>
        <v>28/12/2025|АРТ-303|C0695</v>
      </c>
      <c r="V697" s="12" t="str">
        <f t="shared" si="252"/>
        <v>оригинал</v>
      </c>
    </row>
    <row r="698" ht="15" customHeight="1">
      <c r="A698" s="10">
        <v>696</v>
      </c>
      <c r="B698" s="11" t="str">
        <f>RAW_Продажи!A697</f>
        <v>12/28/2025</v>
      </c>
      <c r="C698" s="11" t="str">
        <f>RAW_Продажи!B697</f>
        <v>283-24</v>
      </c>
      <c r="D698" s="11" t="str">
        <f>RAW_Продажи!C697</f>
        <v>1</v>
      </c>
      <c r="E698" s="11" t="str">
        <f>RAW_Продажи!D697</f>
        <v xml:space="preserve">9200 ₽</v>
      </c>
      <c r="F698" s="11" t="str">
        <f>RAW_Продажи!E697</f>
        <v>C0696</v>
      </c>
      <c r="G698" s="11" t="str">
        <f>RAW_Продажи!F697</f>
        <v>P035</v>
      </c>
      <c r="H698" s="11" t="str">
        <f>RAW_Продажи!G697</f>
        <v>Завершен</v>
      </c>
      <c r="I698" s="12" t="str">
        <f t="shared" si="244"/>
        <v>283-24</v>
      </c>
      <c r="J698" s="12" t="str">
        <f t="shared" si="245"/>
        <v>₽</v>
      </c>
      <c r="K698" s="12">
        <f t="shared" si="246"/>
        <v>9200</v>
      </c>
      <c r="L698" s="19">
        <f t="shared" si="247"/>
        <v>46019</v>
      </c>
      <c r="M698" s="13" t="str">
        <f t="shared" si="248"/>
        <v>АРТ-283</v>
      </c>
      <c r="N698" s="13">
        <f t="shared" si="249"/>
        <v>1</v>
      </c>
      <c r="O698" s="13" t="str">
        <f>IFERROR(VLOOKUP(J698,Справочники!$G$6:$H$8,2,0),"RUB")</f>
        <v>RUB</v>
      </c>
      <c r="P698" s="14">
        <f>ROUND(K698*IFERROR(VLOOKUP(J698,Справочники!$G$6:$I$8,3,0),1),2)</f>
        <v>9200</v>
      </c>
      <c r="Q698" s="13" t="str">
        <f>IFERROR(VLOOKUP(H698,Справочники!$D$6:$E$14,2,0),"НЕИЗВЕСТНО")</f>
        <v>Завершен</v>
      </c>
      <c r="R698" s="20">
        <f>IFERROR(INDEX(Товары_очищенные!$Q$3:$Q$503,MATCH(M698,Товары_очищенные!$L$3:$L$503,0)),"нет в каталоге")</f>
        <v>84990</v>
      </c>
      <c r="S698" s="21" t="str">
        <f>IFERROR(INDEX(Товары_очищенные!$N$3:$N$503,MATCH(M698,Товары_очищенные!$L$3:$L$503,0)),"нет в каталоге")</f>
        <v>Мониторы</v>
      </c>
      <c r="T698" s="21" t="str">
        <f t="shared" si="250"/>
        <v>OK</v>
      </c>
      <c r="U698" s="12" t="str">
        <f t="shared" si="251"/>
        <v>28/12/2025|АРТ-283|C0696</v>
      </c>
      <c r="V698" s="12" t="str">
        <f t="shared" si="252"/>
        <v>оригинал</v>
      </c>
    </row>
    <row r="699" ht="15" customHeight="1">
      <c r="A699" s="10">
        <v>697</v>
      </c>
      <c r="B699" s="11" t="str">
        <f>RAW_Продажи!A698</f>
        <v>12/29/2025</v>
      </c>
      <c r="C699" s="11" t="str">
        <f>RAW_Продажи!B698</f>
        <v>№АРТ-168</v>
      </c>
      <c r="D699" s="11" t="str">
        <f>RAW_Продажи!C698</f>
        <v>3</v>
      </c>
      <c r="E699" s="11" t="str">
        <f>RAW_Продажи!D698</f>
        <v>$90</v>
      </c>
      <c r="F699" s="11" t="str">
        <f>RAW_Продажи!E698</f>
        <v>C0697</v>
      </c>
      <c r="G699" s="11" t="str">
        <f>RAW_Продажи!F698</f>
        <v>P046</v>
      </c>
      <c r="H699" s="11" t="str">
        <f>RAW_Продажи!G698</f>
        <v>canceled</v>
      </c>
      <c r="I699" s="12" t="str">
        <f t="shared" si="244"/>
        <v>168</v>
      </c>
      <c r="J699" s="12" t="str">
        <f t="shared" si="245"/>
        <v>$</v>
      </c>
      <c r="K699" s="12">
        <f t="shared" si="246"/>
        <v>90</v>
      </c>
      <c r="L699" s="19">
        <f t="shared" si="247"/>
        <v>46020</v>
      </c>
      <c r="M699" s="13" t="str">
        <f t="shared" si="248"/>
        <v>АРТ-168</v>
      </c>
      <c r="N699" s="13">
        <f t="shared" si="249"/>
        <v>3</v>
      </c>
      <c r="O699" s="13" t="str">
        <f>IFERROR(VLOOKUP(J699,Справочники!$G$6:$H$8,2,0),"RUB")</f>
        <v>USD</v>
      </c>
      <c r="P699" s="14">
        <f>ROUND(K699*IFERROR(VLOOKUP(J699,Справочники!$G$6:$I$8,3,0),1),2)</f>
        <v>8550</v>
      </c>
      <c r="Q699" s="13" t="str">
        <f>IFERROR(VLOOKUP(H699,Справочники!$D$6:$E$14,2,0),"НЕИЗВЕСТНО")</f>
        <v>Отменен</v>
      </c>
      <c r="R699" s="20">
        <f>IFERROR(INDEX(Товары_очищенные!$Q$3:$Q$503,MATCH(M699,Товары_очищенные!$L$3:$L$503,0)),"нет в каталоге")</f>
        <v>85000</v>
      </c>
      <c r="S699" s="21" t="str">
        <f>IFERROR(INDEX(Товары_очищенные!$N$3:$N$503,MATCH(M699,Товары_очищенные!$L$3:$L$503,0)),"нет в каталоге")</f>
        <v>Планшеты</v>
      </c>
      <c r="T699" s="21" t="str">
        <f t="shared" si="250"/>
        <v>OK</v>
      </c>
      <c r="U699" s="12" t="str">
        <f t="shared" si="251"/>
        <v>29/12/2025|АРТ-168|C0697</v>
      </c>
      <c r="V699" s="12" t="str">
        <f t="shared" si="252"/>
        <v>оригинал</v>
      </c>
    </row>
    <row r="700" ht="15" customHeight="1">
      <c r="A700" s="10">
        <v>698</v>
      </c>
      <c r="B700" s="11" t="str">
        <f>RAW_Продажи!A699</f>
        <v>12/29/2025</v>
      </c>
      <c r="C700" s="11" t="str">
        <f>RAW_Продажи!B699</f>
        <v>АРТ_492</v>
      </c>
      <c r="D700" s="11" t="str">
        <f>RAW_Продажи!C699</f>
        <v>2</v>
      </c>
      <c r="E700" s="11" t="str">
        <f>RAW_Продажи!D699</f>
        <v>€70</v>
      </c>
      <c r="F700" s="11" t="str">
        <f>RAW_Продажи!E699</f>
        <v>C0698</v>
      </c>
      <c r="G700" s="11" t="str">
        <f>RAW_Продажи!F699</f>
        <v>P022</v>
      </c>
      <c r="H700" s="11" t="str">
        <f>RAW_Продажи!G699</f>
        <v>отменен</v>
      </c>
      <c r="I700" s="12" t="str">
        <f t="shared" si="244"/>
        <v>492</v>
      </c>
      <c r="J700" s="12" t="str">
        <f t="shared" si="245"/>
        <v>€</v>
      </c>
      <c r="K700" s="12">
        <f t="shared" si="246"/>
        <v>70</v>
      </c>
      <c r="L700" s="19">
        <f t="shared" si="247"/>
        <v>46020</v>
      </c>
      <c r="M700" s="13" t="str">
        <f t="shared" si="248"/>
        <v>АРТ-492</v>
      </c>
      <c r="N700" s="13">
        <f t="shared" si="249"/>
        <v>2</v>
      </c>
      <c r="O700" s="13" t="str">
        <f>IFERROR(VLOOKUP(J700,Справочники!$G$6:$H$8,2,0),"RUB")</f>
        <v>EUR</v>
      </c>
      <c r="P700" s="14">
        <f>ROUND(K700*IFERROR(VLOOKUP(J700,Справочники!$G$6:$I$8,3,0),1),2)</f>
        <v>7000</v>
      </c>
      <c r="Q700" s="13" t="str">
        <f>IFERROR(VLOOKUP(H700,Справочники!$D$6:$E$14,2,0),"НЕИЗВЕСТНО")</f>
        <v>Отменен</v>
      </c>
      <c r="R700" s="20">
        <f>IFERROR(INDEX(Товары_очищенные!$Q$3:$Q$503,MATCH(M700,Товары_очищенные!$L$3:$L$503,0)),"нет в каталоге")</f>
        <v>64000</v>
      </c>
      <c r="S700" s="21" t="str">
        <f>IFERROR(INDEX(Товары_очищенные!$N$3:$N$503,MATCH(M700,Товары_очищенные!$L$3:$L$503,0)),"нет в каталоге")</f>
        <v>Телевизоры</v>
      </c>
      <c r="T700" s="21" t="str">
        <f t="shared" si="250"/>
        <v>OK</v>
      </c>
      <c r="U700" s="12" t="str">
        <f t="shared" si="251"/>
        <v>29/12/2025|АРТ-492|C0698</v>
      </c>
      <c r="V700" s="12" t="str">
        <f t="shared" si="252"/>
        <v>оригинал</v>
      </c>
    </row>
    <row r="701" ht="15" customHeight="1">
      <c r="A701" s="10">
        <v>699</v>
      </c>
      <c r="B701" s="11" t="str">
        <f>RAW_Продажи!A700</f>
        <v>12/30/2025</v>
      </c>
      <c r="C701" s="11" t="str">
        <f>RAW_Продажи!B700</f>
        <v>306/24</v>
      </c>
      <c r="D701" s="11" t="str">
        <f>RAW_Продажи!C700</f>
        <v xml:space="preserve">1 шт.</v>
      </c>
      <c r="E701" s="11" t="str">
        <f>RAW_Продажи!D700</f>
        <v xml:space="preserve">6500 ₽</v>
      </c>
      <c r="F701" s="11" t="str">
        <f>RAW_Продажи!E700</f>
        <v>C0699</v>
      </c>
      <c r="G701" s="11" t="str">
        <f>RAW_Продажи!F700</f>
        <v>P043</v>
      </c>
      <c r="H701" s="11" t="str">
        <f>RAW_Продажи!G700</f>
        <v>возврат</v>
      </c>
      <c r="I701" s="12" t="str">
        <f t="shared" si="244"/>
        <v>306/24</v>
      </c>
      <c r="J701" s="12" t="str">
        <f t="shared" si="245"/>
        <v>₽</v>
      </c>
      <c r="K701" s="12">
        <f t="shared" si="246"/>
        <v>6500</v>
      </c>
      <c r="L701" s="19">
        <f t="shared" si="247"/>
        <v>46021</v>
      </c>
      <c r="M701" s="13" t="str">
        <f t="shared" si="248"/>
        <v>АРТ-306</v>
      </c>
      <c r="N701" s="13">
        <f t="shared" si="249"/>
        <v>1</v>
      </c>
      <c r="O701" s="13" t="str">
        <f>IFERROR(VLOOKUP(J701,Справочники!$G$6:$H$8,2,0),"RUB")</f>
        <v>RUB</v>
      </c>
      <c r="P701" s="14">
        <f>ROUND(K701*IFERROR(VLOOKUP(J701,Справочники!$G$6:$I$8,3,0),1),2)</f>
        <v>6500</v>
      </c>
      <c r="Q701" s="13" t="str">
        <f>IFERROR(VLOOKUP(H701,Справочники!$D$6:$E$14,2,0),"НЕИЗВЕСТНО")</f>
        <v>Возврат</v>
      </c>
      <c r="R701" s="20">
        <f>IFERROR(INDEX(Товары_очищенные!$Q$3:$Q$503,MATCH(M701,Товары_очищенные!$L$3:$L$503,0)),"нет в каталоге")</f>
        <v>62000</v>
      </c>
      <c r="S701" s="21" t="str">
        <f>IFERROR(INDEX(Товары_очищенные!$N$3:$N$503,MATCH(M701,Товары_очищенные!$L$3:$L$503,0)),"нет в каталоге")</f>
        <v>Мониторы</v>
      </c>
      <c r="T701" s="21" t="str">
        <f t="shared" si="250"/>
        <v>OK</v>
      </c>
      <c r="U701" s="12" t="str">
        <f t="shared" si="251"/>
        <v>30/12/2025|АРТ-306|C0699</v>
      </c>
      <c r="V701" s="12" t="str">
        <f t="shared" si="252"/>
        <v>оригинал</v>
      </c>
    </row>
    <row r="702" ht="15" customHeight="1">
      <c r="A702" s="10">
        <v>700</v>
      </c>
      <c r="B702" s="11" t="str">
        <f>RAW_Продажи!A701</f>
        <v>12/30/2025</v>
      </c>
      <c r="C702" s="11" t="str">
        <f>RAW_Продажи!B701</f>
        <v>№АРТ-381</v>
      </c>
      <c r="D702" s="11" t="str">
        <f>RAW_Продажи!C701</f>
        <v>-1</v>
      </c>
      <c r="E702" s="11" t="str">
        <f>RAW_Продажи!D701</f>
        <v>$110</v>
      </c>
      <c r="F702" s="11" t="str">
        <f>RAW_Продажи!E701</f>
        <v>C0700</v>
      </c>
      <c r="G702" s="11" t="str">
        <f>RAW_Продажи!F701</f>
        <v>P030</v>
      </c>
      <c r="H702" s="11" t="str">
        <f>RAW_Продажи!G701</f>
        <v>Завершен</v>
      </c>
      <c r="I702" s="12" t="str">
        <f t="shared" si="244"/>
        <v>381</v>
      </c>
      <c r="J702" s="12" t="str">
        <f t="shared" si="245"/>
        <v>$</v>
      </c>
      <c r="K702" s="12">
        <f t="shared" si="246"/>
        <v>110</v>
      </c>
      <c r="L702" s="19">
        <f t="shared" si="247"/>
        <v>46021</v>
      </c>
      <c r="M702" s="13" t="str">
        <f t="shared" si="248"/>
        <v>АРТ-381</v>
      </c>
      <c r="N702" s="13">
        <f t="shared" si="249"/>
        <v>-1</v>
      </c>
      <c r="O702" s="13" t="str">
        <f>IFERROR(VLOOKUP(J702,Справочники!$G$6:$H$8,2,0),"RUB")</f>
        <v>USD</v>
      </c>
      <c r="P702" s="14">
        <f>ROUND(K702*IFERROR(VLOOKUP(J702,Справочники!$G$6:$I$8,3,0),1),2)</f>
        <v>10450</v>
      </c>
      <c r="Q702" s="13" t="str">
        <f>IFERROR(VLOOKUP(H702,Справочники!$D$6:$E$14,2,0),"НЕИЗВЕСТНО")</f>
        <v>Завершен</v>
      </c>
      <c r="R702" s="20">
        <f>IFERROR(INDEX(Товары_очищенные!$Q$3:$Q$503,MATCH(M702,Товары_очищенные!$L$3:$L$503,0)),"нет в каталоге")</f>
        <v>38500</v>
      </c>
      <c r="S702" s="21" t="str">
        <f>IFERROR(INDEX(Товары_очищенные!$N$3:$N$503,MATCH(M702,Товары_очищенные!$L$3:$L$503,0)),"нет в каталоге")</f>
        <v>Планшеты</v>
      </c>
      <c r="T702" s="21" t="str">
        <f t="shared" si="250"/>
        <v>OK</v>
      </c>
      <c r="U702" s="12" t="str">
        <f t="shared" si="251"/>
        <v>30/12/2025|АРТ-381|C0700</v>
      </c>
      <c r="V702" s="12" t="str">
        <f t="shared" si="252"/>
        <v>оригинал</v>
      </c>
    </row>
    <row r="703" ht="15" customHeight="1">
      <c r="A703" s="10">
        <v>701</v>
      </c>
      <c r="B703" s="11" t="str">
        <f>RAW_Продажи!A702</f>
        <v>12/31/2025</v>
      </c>
      <c r="C703" s="11" t="str">
        <f>RAW_Продажи!B702</f>
        <v>АРТ_375</v>
      </c>
      <c r="D703" s="11" t="str">
        <f>RAW_Продажи!C702</f>
        <v>3</v>
      </c>
      <c r="E703" s="11" t="str">
        <f>RAW_Продажи!D702</f>
        <v>€90</v>
      </c>
      <c r="F703" s="11" t="str">
        <f>RAW_Продажи!E702</f>
        <v>C0701</v>
      </c>
      <c r="G703" s="11" t="str">
        <f>RAW_Продажи!F702</f>
        <v>P012</v>
      </c>
      <c r="H703" s="11" t="str">
        <f>RAW_Продажи!G702</f>
        <v>завершен</v>
      </c>
      <c r="I703" s="12" t="str">
        <f t="shared" si="244"/>
        <v>375</v>
      </c>
      <c r="J703" s="12" t="str">
        <f t="shared" si="245"/>
        <v>€</v>
      </c>
      <c r="K703" s="12">
        <f t="shared" si="246"/>
        <v>90</v>
      </c>
      <c r="L703" s="19">
        <f t="shared" si="247"/>
        <v>46022</v>
      </c>
      <c r="M703" s="13" t="str">
        <f t="shared" si="248"/>
        <v>АРТ-375</v>
      </c>
      <c r="N703" s="13">
        <f t="shared" si="249"/>
        <v>3</v>
      </c>
      <c r="O703" s="13" t="str">
        <f>IFERROR(VLOOKUP(J703,Справочники!$G$6:$H$8,2,0),"RUB")</f>
        <v>EUR</v>
      </c>
      <c r="P703" s="14">
        <f>ROUND(K703*IFERROR(VLOOKUP(J703,Справочники!$G$6:$I$8,3,0),1),2)</f>
        <v>9000</v>
      </c>
      <c r="Q703" s="13" t="str">
        <f>IFERROR(VLOOKUP(H703,Справочники!$D$6:$E$14,2,0),"НЕИЗВЕСТНО")</f>
        <v>Завершен</v>
      </c>
      <c r="R703" s="20">
        <f>IFERROR(INDEX(Товары_очищенные!$Q$3:$Q$503,MATCH(M703,Товары_очищенные!$L$3:$L$503,0)),"нет в каталоге")</f>
        <v>14800</v>
      </c>
      <c r="S703" s="21" t="str">
        <f>IFERROR(INDEX(Товары_очищенные!$N$3:$N$503,MATCH(M703,Товары_очищенные!$L$3:$L$503,0)),"нет в каталоге")</f>
        <v>Аксессуары</v>
      </c>
      <c r="T703" s="21" t="str">
        <f t="shared" si="250"/>
        <v>OK</v>
      </c>
      <c r="U703" s="12" t="str">
        <f t="shared" si="251"/>
        <v>31/12/2025|АРТ-375|C0701</v>
      </c>
      <c r="V703" s="12" t="str">
        <f t="shared" si="252"/>
        <v>оригинал</v>
      </c>
    </row>
    <row r="704" ht="15" customHeight="1">
      <c r="A704" s="10">
        <v>702</v>
      </c>
      <c r="B704" s="11" t="str">
        <f>RAW_Продажи!A703</f>
        <v>12/31/2025</v>
      </c>
      <c r="C704" s="11" t="str">
        <f>RAW_Продажи!B703</f>
        <v>214-24</v>
      </c>
      <c r="D704" s="11" t="str">
        <f>RAW_Продажи!C703</f>
        <v>2</v>
      </c>
      <c r="E704" s="11" t="str">
        <f>RAW_Продажи!D703</f>
        <v xml:space="preserve">8000 ₽</v>
      </c>
      <c r="F704" s="11" t="str">
        <f>RAW_Продажи!E703</f>
        <v>C0702</v>
      </c>
      <c r="G704" s="11" t="str">
        <f>RAW_Продажи!F703</f>
        <v>P007</v>
      </c>
      <c r="H704" s="11" t="str">
        <f>RAW_Продажи!G703</f>
        <v>completed</v>
      </c>
      <c r="I704" s="12" t="str">
        <f t="shared" si="244"/>
        <v>214-24</v>
      </c>
      <c r="J704" s="12" t="str">
        <f t="shared" si="245"/>
        <v>₽</v>
      </c>
      <c r="K704" s="12">
        <f t="shared" si="246"/>
        <v>8000</v>
      </c>
      <c r="L704" s="19">
        <f t="shared" si="247"/>
        <v>46022</v>
      </c>
      <c r="M704" s="13" t="str">
        <f t="shared" si="248"/>
        <v>АРТ-214</v>
      </c>
      <c r="N704" s="13">
        <f t="shared" si="249"/>
        <v>2</v>
      </c>
      <c r="O704" s="13" t="str">
        <f>IFERROR(VLOOKUP(J704,Справочники!$G$6:$H$8,2,0),"RUB")</f>
        <v>RUB</v>
      </c>
      <c r="P704" s="14">
        <f>ROUND(K704*IFERROR(VLOOKUP(J704,Справочники!$G$6:$I$8,3,0),1),2)</f>
        <v>8000</v>
      </c>
      <c r="Q704" s="13" t="str">
        <f>IFERROR(VLOOKUP(H704,Справочники!$D$6:$E$14,2,0),"НЕИЗВЕСТНО")</f>
        <v>Завершен</v>
      </c>
      <c r="R704" s="20">
        <f>IFERROR(INDEX(Товары_очищенные!$Q$3:$Q$503,MATCH(M704,Товары_очищенные!$L$3:$L$503,0)),"нет в каталоге")</f>
        <v>26990</v>
      </c>
      <c r="S704" s="21" t="str">
        <f>IFERROR(INDEX(Товары_очищенные!$N$3:$N$503,MATCH(M704,Товары_очищенные!$L$3:$L$503,0)),"нет в каталоге")</f>
        <v>Планшеты</v>
      </c>
      <c r="T704" s="21" t="str">
        <f t="shared" si="250"/>
        <v>OK</v>
      </c>
      <c r="U704" s="12" t="str">
        <f t="shared" si="251"/>
        <v>31/12/2025|АРТ-214|C0702</v>
      </c>
      <c r="V704" s="12" t="str">
        <f t="shared" si="252"/>
        <v>оригинал</v>
      </c>
    </row>
    <row r="705" ht="15" customHeight="1">
      <c r="A705" s="10">
        <v>703</v>
      </c>
      <c r="B705" s="11" t="str">
        <f>RAW_Продажи!A704</f>
        <v>01/01/2026</v>
      </c>
      <c r="C705" s="11" t="str">
        <f>RAW_Продажи!B704</f>
        <v>№АРТ-021</v>
      </c>
      <c r="D705" s="11" t="str">
        <f>RAW_Продажи!C704</f>
        <v>1</v>
      </c>
      <c r="E705" s="11" t="str">
        <f>RAW_Продажи!D704</f>
        <v>$95</v>
      </c>
      <c r="F705" s="11" t="str">
        <f>RAW_Продажи!E704</f>
        <v>C0703</v>
      </c>
      <c r="G705" s="11" t="str">
        <f>RAW_Продажи!F704</f>
        <v>P023</v>
      </c>
      <c r="H705" s="11" t="str">
        <f>RAW_Продажи!G704</f>
        <v>отменен</v>
      </c>
      <c r="I705" s="12" t="str">
        <f t="shared" si="244"/>
        <v>021</v>
      </c>
      <c r="J705" s="12" t="str">
        <f t="shared" si="245"/>
        <v>$</v>
      </c>
      <c r="K705" s="12">
        <f t="shared" si="246"/>
        <v>95</v>
      </c>
      <c r="L705" s="19">
        <f t="shared" si="247"/>
        <v>46023</v>
      </c>
      <c r="M705" s="13" t="str">
        <f t="shared" si="248"/>
        <v>АРТ-021</v>
      </c>
      <c r="N705" s="13">
        <f t="shared" si="249"/>
        <v>1</v>
      </c>
      <c r="O705" s="13" t="str">
        <f>IFERROR(VLOOKUP(J705,Справочники!$G$6:$H$8,2,0),"RUB")</f>
        <v>USD</v>
      </c>
      <c r="P705" s="14">
        <f>ROUND(K705*IFERROR(VLOOKUP(J705,Справочники!$G$6:$I$8,3,0),1),2)</f>
        <v>9025</v>
      </c>
      <c r="Q705" s="13" t="str">
        <f>IFERROR(VLOOKUP(H705,Справочники!$D$6:$E$14,2,0),"НЕИЗВЕСТНО")</f>
        <v>Отменен</v>
      </c>
      <c r="R705" s="20">
        <f>IFERROR(INDEX(Товары_очищенные!$Q$3:$Q$503,MATCH(M705,Товары_очищенные!$L$3:$L$503,0)),"нет в каталоге")</f>
        <v>137000</v>
      </c>
      <c r="S705" s="21" t="str">
        <f>IFERROR(INDEX(Товары_очищенные!$N$3:$N$503,MATCH(M705,Товары_очищенные!$L$3:$L$503,0)),"нет в каталоге")</f>
        <v>Ноутбуки</v>
      </c>
      <c r="T705" s="21" t="str">
        <f t="shared" si="250"/>
        <v>OK</v>
      </c>
      <c r="U705" s="12" t="str">
        <f t="shared" si="251"/>
        <v>01/01/2026|АРТ-021|C0703</v>
      </c>
      <c r="V705" s="12" t="str">
        <f t="shared" si="252"/>
        <v>оригинал</v>
      </c>
    </row>
    <row r="706" ht="15" customHeight="1">
      <c r="A706" s="10">
        <v>704</v>
      </c>
      <c r="B706" s="11" t="str">
        <f>RAW_Продажи!A705</f>
        <v>01/01/2026</v>
      </c>
      <c r="C706" s="11" t="str">
        <f>RAW_Продажи!B705</f>
        <v>АРТ_439</v>
      </c>
      <c r="D706" s="11" t="str">
        <f>RAW_Продажи!C705</f>
        <v>2</v>
      </c>
      <c r="E706" s="11" t="str">
        <f>RAW_Продажи!D705</f>
        <v>€75</v>
      </c>
      <c r="F706" s="11" t="str">
        <f>RAW_Продажи!E705</f>
        <v>C0704</v>
      </c>
      <c r="G706" s="11" t="str">
        <f>RAW_Продажи!F705</f>
        <v>P045</v>
      </c>
      <c r="H706" s="11" t="str">
        <f>RAW_Продажи!G705</f>
        <v>canceled</v>
      </c>
      <c r="I706" s="12" t="str">
        <f t="shared" si="244"/>
        <v>439</v>
      </c>
      <c r="J706" s="12" t="str">
        <f t="shared" si="245"/>
        <v>€</v>
      </c>
      <c r="K706" s="12">
        <f t="shared" si="246"/>
        <v>75</v>
      </c>
      <c r="L706" s="19">
        <f t="shared" si="247"/>
        <v>46023</v>
      </c>
      <c r="M706" s="13" t="str">
        <f t="shared" si="248"/>
        <v>АРТ-439</v>
      </c>
      <c r="N706" s="13">
        <f t="shared" si="249"/>
        <v>2</v>
      </c>
      <c r="O706" s="13" t="str">
        <f>IFERROR(VLOOKUP(J706,Справочники!$G$6:$H$8,2,0),"RUB")</f>
        <v>EUR</v>
      </c>
      <c r="P706" s="14">
        <f>ROUND(K706*IFERROR(VLOOKUP(J706,Справочники!$G$6:$I$8,3,0),1),2)</f>
        <v>7500</v>
      </c>
      <c r="Q706" s="13" t="str">
        <f>IFERROR(VLOOKUP(H706,Справочники!$D$6:$E$14,2,0),"НЕИЗВЕСТНО")</f>
        <v>Отменен</v>
      </c>
      <c r="R706" s="20">
        <f>IFERROR(INDEX(Товары_очищенные!$Q$3:$Q$503,MATCH(M706,Товары_очищенные!$L$3:$L$503,0)),"нет в каталоге")</f>
        <v>29990</v>
      </c>
      <c r="S706" s="21" t="str">
        <f>IFERROR(INDEX(Товары_очищенные!$N$3:$N$503,MATCH(M706,Товары_очищенные!$L$3:$L$503,0)),"нет в каталоге")</f>
        <v>Планшеты</v>
      </c>
      <c r="T706" s="21" t="str">
        <f t="shared" si="250"/>
        <v>OK</v>
      </c>
      <c r="U706" s="12" t="str">
        <f t="shared" si="251"/>
        <v>01/01/2026|АРТ-439|C0704</v>
      </c>
      <c r="V706" s="12" t="str">
        <f t="shared" si="252"/>
        <v>оригинал</v>
      </c>
    </row>
    <row r="707" ht="15" customHeight="1">
      <c r="A707" s="10">
        <v>705</v>
      </c>
      <c r="B707" s="11" t="str">
        <f>RAW_Продажи!A706</f>
        <v>01/02/2026</v>
      </c>
      <c r="C707" s="11" t="str">
        <f>RAW_Продажи!B706</f>
        <v>323/24</v>
      </c>
      <c r="D707" s="11" t="str">
        <f>RAW_Продажи!C706</f>
        <v xml:space="preserve">3 шт.</v>
      </c>
      <c r="E707" s="11" t="str">
        <f>RAW_Продажи!D706</f>
        <v xml:space="preserve">7000 ₽</v>
      </c>
      <c r="F707" s="11" t="str">
        <f>RAW_Продажи!E706</f>
        <v>C0705</v>
      </c>
      <c r="G707" s="11" t="str">
        <f>RAW_Продажи!F706</f>
        <v>P008</v>
      </c>
      <c r="H707" s="11" t="str">
        <f>RAW_Продажи!G706</f>
        <v>Завершен</v>
      </c>
      <c r="I707" s="12" t="str">
        <f t="shared" si="244"/>
        <v>323/24</v>
      </c>
      <c r="J707" s="12" t="str">
        <f t="shared" si="245"/>
        <v>₽</v>
      </c>
      <c r="K707" s="12">
        <f t="shared" si="246"/>
        <v>7000</v>
      </c>
      <c r="L707" s="19">
        <f t="shared" si="247"/>
        <v>46024</v>
      </c>
      <c r="M707" s="13" t="str">
        <f t="shared" si="248"/>
        <v>АРТ-323</v>
      </c>
      <c r="N707" s="13">
        <f t="shared" si="249"/>
        <v>3</v>
      </c>
      <c r="O707" s="13" t="str">
        <f>IFERROR(VLOOKUP(J707,Справочники!$G$6:$H$8,2,0),"RUB")</f>
        <v>RUB</v>
      </c>
      <c r="P707" s="14">
        <f>ROUND(K707*IFERROR(VLOOKUP(J707,Справочники!$G$6:$I$8,3,0),1),2)</f>
        <v>7000</v>
      </c>
      <c r="Q707" s="13" t="str">
        <f>IFERROR(VLOOKUP(H707,Справочники!$D$6:$E$14,2,0),"НЕИЗВЕСТНО")</f>
        <v>Завершен</v>
      </c>
      <c r="R707" s="20">
        <f>IFERROR(INDEX(Товары_очищенные!$Q$3:$Q$503,MATCH(M707,Товары_очищенные!$L$3:$L$503,0)),"нет в каталоге")</f>
        <v>12500</v>
      </c>
      <c r="S707" s="21" t="str">
        <f>IFERROR(INDEX(Товары_очищенные!$N$3:$N$503,MATCH(M707,Товары_очищенные!$L$3:$L$503,0)),"нет в каталоге")</f>
        <v>Наушники</v>
      </c>
      <c r="T707" s="21" t="str">
        <f t="shared" si="250"/>
        <v>OK</v>
      </c>
      <c r="U707" s="12" t="str">
        <f t="shared" si="251"/>
        <v>02/01/2026|АРТ-323|C0705</v>
      </c>
      <c r="V707" s="12" t="str">
        <f t="shared" si="252"/>
        <v>оригинал</v>
      </c>
    </row>
    <row r="708" ht="15" customHeight="1">
      <c r="A708" s="10">
        <v>706</v>
      </c>
      <c r="B708" s="11" t="str">
        <f>RAW_Продажи!A707</f>
        <v>01/02/2026</v>
      </c>
      <c r="C708" s="11" t="str">
        <f>RAW_Продажи!B707</f>
        <v>№АРТ-192</v>
      </c>
      <c r="D708" s="11" t="str">
        <f>RAW_Продажи!C707</f>
        <v>-2</v>
      </c>
      <c r="E708" s="11" t="str">
        <f>RAW_Продажи!D707</f>
        <v>$115</v>
      </c>
      <c r="F708" s="11" t="str">
        <f>RAW_Продажи!E707</f>
        <v>C0706</v>
      </c>
      <c r="G708" s="11" t="str">
        <f>RAW_Продажи!F707</f>
        <v>P031</v>
      </c>
      <c r="H708" s="11" t="str">
        <f>RAW_Продажи!G707</f>
        <v>возврат</v>
      </c>
      <c r="I708" s="12" t="str">
        <f t="shared" si="244"/>
        <v>192</v>
      </c>
      <c r="J708" s="12" t="str">
        <f t="shared" si="245"/>
        <v>$</v>
      </c>
      <c r="K708" s="12">
        <f t="shared" si="246"/>
        <v>115</v>
      </c>
      <c r="L708" s="19">
        <f t="shared" si="247"/>
        <v>46024</v>
      </c>
      <c r="M708" s="13" t="str">
        <f t="shared" si="248"/>
        <v>АРТ-192</v>
      </c>
      <c r="N708" s="13">
        <f t="shared" si="249"/>
        <v>-2</v>
      </c>
      <c r="O708" s="13" t="str">
        <f>IFERROR(VLOOKUP(J708,Справочники!$G$6:$H$8,2,0),"RUB")</f>
        <v>USD</v>
      </c>
      <c r="P708" s="14">
        <f>ROUND(K708*IFERROR(VLOOKUP(J708,Справочники!$G$6:$I$8,3,0),1),2)</f>
        <v>10925</v>
      </c>
      <c r="Q708" s="13" t="str">
        <f>IFERROR(VLOOKUP(H708,Справочники!$D$6:$E$14,2,0),"НЕИЗВЕСТНО")</f>
        <v>Возврат</v>
      </c>
      <c r="R708" s="20">
        <f>IFERROR(INDEX(Товары_очищенные!$Q$3:$Q$503,MATCH(M708,Товары_очищенные!$L$3:$L$503,0)),"нет в каталоге")</f>
        <v>26500</v>
      </c>
      <c r="S708" s="21" t="str">
        <f>IFERROR(INDEX(Товары_очищенные!$N$3:$N$503,MATCH(M708,Товары_очищенные!$L$3:$L$503,0)),"нет в каталоге")</f>
        <v>Планшеты</v>
      </c>
      <c r="T708" s="21" t="str">
        <f t="shared" si="250"/>
        <v>OK</v>
      </c>
      <c r="U708" s="12" t="str">
        <f t="shared" si="251"/>
        <v>02/01/2026|АРТ-192|C0706</v>
      </c>
      <c r="V708" s="12" t="str">
        <f t="shared" si="252"/>
        <v>оригинал</v>
      </c>
    </row>
    <row r="709" ht="15" customHeight="1">
      <c r="A709" s="10">
        <v>707</v>
      </c>
      <c r="B709" s="11" t="str">
        <f>RAW_Продажи!A708</f>
        <v>01/03/2026</v>
      </c>
      <c r="C709" s="11" t="str">
        <f>RAW_Продажи!B708</f>
        <v>АРТ_343</v>
      </c>
      <c r="D709" s="11" t="str">
        <f>RAW_Продажи!C708</f>
        <v>1</v>
      </c>
      <c r="E709" s="11" t="str">
        <f>RAW_Продажи!D708</f>
        <v>€95</v>
      </c>
      <c r="F709" s="11" t="str">
        <f>RAW_Продажи!E708</f>
        <v>C0707</v>
      </c>
      <c r="G709" s="11" t="str">
        <f>RAW_Продажи!F708</f>
        <v>P019</v>
      </c>
      <c r="H709" s="11" t="str">
        <f>RAW_Продажи!G708</f>
        <v>завершен</v>
      </c>
      <c r="I709" s="12" t="str">
        <f t="shared" si="244"/>
        <v>343</v>
      </c>
      <c r="J709" s="12" t="str">
        <f t="shared" si="245"/>
        <v>€</v>
      </c>
      <c r="K709" s="12">
        <f t="shared" si="246"/>
        <v>95</v>
      </c>
      <c r="L709" s="19">
        <f t="shared" si="247"/>
        <v>46025</v>
      </c>
      <c r="M709" s="13" t="str">
        <f t="shared" si="248"/>
        <v>АРТ-343</v>
      </c>
      <c r="N709" s="13">
        <f t="shared" si="249"/>
        <v>1</v>
      </c>
      <c r="O709" s="13" t="str">
        <f>IFERROR(VLOOKUP(J709,Справочники!$G$6:$H$8,2,0),"RUB")</f>
        <v>EUR</v>
      </c>
      <c r="P709" s="14">
        <f>ROUND(K709*IFERROR(VLOOKUP(J709,Справочники!$G$6:$I$8,3,0),1),2)</f>
        <v>9500</v>
      </c>
      <c r="Q709" s="13" t="str">
        <f>IFERROR(VLOOKUP(H709,Справочники!$D$6:$E$14,2,0),"НЕИЗВЕСТНО")</f>
        <v>Завершен</v>
      </c>
      <c r="R709" s="20">
        <f>IFERROR(INDEX(Товары_очищенные!$Q$3:$Q$503,MATCH(M709,Товары_очищенные!$L$3:$L$503,0)),"нет в каталоге")</f>
        <v>84990</v>
      </c>
      <c r="S709" s="21" t="str">
        <f>IFERROR(INDEX(Товары_очищенные!$N$3:$N$503,MATCH(M709,Товары_очищенные!$L$3:$L$503,0)),"нет в каталоге")</f>
        <v>Телевизоры</v>
      </c>
      <c r="T709" s="21" t="str">
        <f t="shared" si="250"/>
        <v>OK</v>
      </c>
      <c r="U709" s="12" t="str">
        <f t="shared" si="251"/>
        <v>03/01/2026|АРТ-343|C0707</v>
      </c>
      <c r="V709" s="12" t="str">
        <f t="shared" si="252"/>
        <v>оригинал</v>
      </c>
    </row>
    <row r="710" ht="15" customHeight="1">
      <c r="A710" s="10">
        <v>708</v>
      </c>
      <c r="B710" s="11" t="str">
        <f>RAW_Продажи!A709</f>
        <v>01/03/2026</v>
      </c>
      <c r="C710" s="11" t="str">
        <f>RAW_Продажи!B709</f>
        <v>133-24</v>
      </c>
      <c r="D710" s="11" t="str">
        <f>RAW_Продажи!C709</f>
        <v>2</v>
      </c>
      <c r="E710" s="11" t="str">
        <f>RAW_Продажи!D709</f>
        <v xml:space="preserve">8500 ₽</v>
      </c>
      <c r="F710" s="11" t="str">
        <f>RAW_Продажи!E709</f>
        <v>C0708</v>
      </c>
      <c r="G710" s="11" t="str">
        <f>RAW_Продажи!F709</f>
        <v>P042</v>
      </c>
      <c r="H710" s="11" t="str">
        <f>RAW_Продажи!G709</f>
        <v>completed</v>
      </c>
      <c r="I710" s="12" t="str">
        <f t="shared" si="244"/>
        <v>133-24</v>
      </c>
      <c r="J710" s="12" t="str">
        <f t="shared" si="245"/>
        <v>₽</v>
      </c>
      <c r="K710" s="12">
        <f t="shared" si="246"/>
        <v>8500</v>
      </c>
      <c r="L710" s="19">
        <f t="shared" si="247"/>
        <v>46025</v>
      </c>
      <c r="M710" s="13" t="str">
        <f t="shared" si="248"/>
        <v>АРТ-133</v>
      </c>
      <c r="N710" s="13">
        <f t="shared" si="249"/>
        <v>2</v>
      </c>
      <c r="O710" s="13" t="str">
        <f>IFERROR(VLOOKUP(J710,Справочники!$G$6:$H$8,2,0),"RUB")</f>
        <v>RUB</v>
      </c>
      <c r="P710" s="14">
        <f>ROUND(K710*IFERROR(VLOOKUP(J710,Справочники!$G$6:$I$8,3,0),1),2)</f>
        <v>8500</v>
      </c>
      <c r="Q710" s="13" t="str">
        <f>IFERROR(VLOOKUP(H710,Справочники!$D$6:$E$14,2,0),"НЕИЗВЕСТНО")</f>
        <v>Завершен</v>
      </c>
      <c r="R710" s="20">
        <f>IFERROR(INDEX(Товары_очищенные!$Q$3:$Q$503,MATCH(M710,Товары_очищенные!$L$3:$L$503,0)),"нет в каталоге")</f>
        <v>126990</v>
      </c>
      <c r="S710" s="21" t="str">
        <f>IFERROR(INDEX(Товары_очищенные!$N$3:$N$503,MATCH(M710,Товары_очищенные!$L$3:$L$503,0)),"нет в каталоге")</f>
        <v>Телевизоры</v>
      </c>
      <c r="T710" s="21" t="str">
        <f t="shared" si="250"/>
        <v>OK</v>
      </c>
      <c r="U710" s="12" t="str">
        <f t="shared" si="251"/>
        <v>03/01/2026|АРТ-133|C0708</v>
      </c>
      <c r="V710" s="12" t="str">
        <f t="shared" si="252"/>
        <v>оригинал</v>
      </c>
    </row>
    <row r="711" ht="15" customHeight="1">
      <c r="A711" s="10">
        <v>709</v>
      </c>
      <c r="B711" s="11" t="str">
        <f>RAW_Продажи!A710</f>
        <v>01/04/2026</v>
      </c>
      <c r="C711" s="11" t="str">
        <f>RAW_Продажи!B710</f>
        <v>№АРТ-097</v>
      </c>
      <c r="D711" s="11" t="str">
        <f>RAW_Продажи!C710</f>
        <v>3</v>
      </c>
      <c r="E711" s="11" t="str">
        <f>RAW_Продажи!D710</f>
        <v>$105</v>
      </c>
      <c r="F711" s="11" t="str">
        <f>RAW_Продажи!E710</f>
        <v>C0709</v>
      </c>
      <c r="G711" s="11" t="str">
        <f>RAW_Продажи!F710</f>
        <v>P005</v>
      </c>
      <c r="H711" s="11" t="str">
        <f>RAW_Продажи!G710</f>
        <v>Завершен</v>
      </c>
      <c r="I711" s="12" t="str">
        <f t="shared" si="244"/>
        <v>097</v>
      </c>
      <c r="J711" s="12" t="str">
        <f t="shared" si="245"/>
        <v>$</v>
      </c>
      <c r="K711" s="12">
        <f t="shared" si="246"/>
        <v>105</v>
      </c>
      <c r="L711" s="19">
        <f t="shared" si="247"/>
        <v>46026</v>
      </c>
      <c r="M711" s="13" t="str">
        <f t="shared" si="248"/>
        <v>АРТ-097</v>
      </c>
      <c r="N711" s="13">
        <f t="shared" si="249"/>
        <v>3</v>
      </c>
      <c r="O711" s="13" t="str">
        <f>IFERROR(VLOOKUP(J711,Справочники!$G$6:$H$8,2,0),"RUB")</f>
        <v>USD</v>
      </c>
      <c r="P711" s="14">
        <f>ROUND(K711*IFERROR(VLOOKUP(J711,Справочники!$G$6:$I$8,3,0),1),2)</f>
        <v>9975</v>
      </c>
      <c r="Q711" s="13" t="str">
        <f>IFERROR(VLOOKUP(H711,Справочники!$D$6:$E$14,2,0),"НЕИЗВЕСТНО")</f>
        <v>Завершен</v>
      </c>
      <c r="R711" s="20">
        <f>IFERROR(INDEX(Товары_очищенные!$Q$3:$Q$503,MATCH(M711,Товары_очищенные!$L$3:$L$503,0)),"нет в каталоге")</f>
        <v>6990</v>
      </c>
      <c r="S711" s="21" t="str">
        <f>IFERROR(INDEX(Товары_очищенные!$N$3:$N$503,MATCH(M711,Товары_очищенные!$L$3:$L$503,0)),"нет в каталоге")</f>
        <v>Аксессуары</v>
      </c>
      <c r="T711" s="21" t="str">
        <f t="shared" si="250"/>
        <v>OK</v>
      </c>
      <c r="U711" s="12" t="str">
        <f t="shared" si="251"/>
        <v>04/01/2026|АРТ-097|C0709</v>
      </c>
      <c r="V711" s="12" t="str">
        <f t="shared" si="252"/>
        <v>оригинал</v>
      </c>
    </row>
    <row r="712" ht="15" customHeight="1">
      <c r="A712" s="10">
        <v>710</v>
      </c>
      <c r="B712" s="11" t="str">
        <f>RAW_Продажи!A711</f>
        <v>01/04/2026</v>
      </c>
      <c r="C712" s="11" t="str">
        <f>RAW_Продажи!B711</f>
        <v>АРТ_461</v>
      </c>
      <c r="D712" s="11" t="str">
        <f>RAW_Продажи!C711</f>
        <v>2</v>
      </c>
      <c r="E712" s="11" t="str">
        <f>RAW_Продажи!D711</f>
        <v>€85</v>
      </c>
      <c r="F712" s="11" t="str">
        <f>RAW_Продажи!E711</f>
        <v>C0710</v>
      </c>
      <c r="G712" s="11" t="str">
        <f>RAW_Продажи!F711</f>
        <v>P036</v>
      </c>
      <c r="H712" s="11" t="str">
        <f>RAW_Продажи!G711</f>
        <v>canceled</v>
      </c>
      <c r="I712" s="12" t="str">
        <f t="shared" si="244"/>
        <v>461</v>
      </c>
      <c r="J712" s="12" t="str">
        <f t="shared" si="245"/>
        <v>€</v>
      </c>
      <c r="K712" s="12">
        <f t="shared" si="246"/>
        <v>85</v>
      </c>
      <c r="L712" s="19">
        <f t="shared" si="247"/>
        <v>46026</v>
      </c>
      <c r="M712" s="13" t="str">
        <f t="shared" si="248"/>
        <v>АРТ-461</v>
      </c>
      <c r="N712" s="13">
        <f t="shared" si="249"/>
        <v>2</v>
      </c>
      <c r="O712" s="13" t="str">
        <f>IFERROR(VLOOKUP(J712,Справочники!$G$6:$H$8,2,0),"RUB")</f>
        <v>EUR</v>
      </c>
      <c r="P712" s="14">
        <f>ROUND(K712*IFERROR(VLOOKUP(J712,Справочники!$G$6:$I$8,3,0),1),2)</f>
        <v>8500</v>
      </c>
      <c r="Q712" s="13" t="str">
        <f>IFERROR(VLOOKUP(H712,Справочники!$D$6:$E$14,2,0),"НЕИЗВЕСТНО")</f>
        <v>Отменен</v>
      </c>
      <c r="R712" s="20">
        <f>IFERROR(INDEX(Товары_очищенные!$Q$3:$Q$503,MATCH(M712,Товары_очищенные!$L$3:$L$503,0)),"нет в каталоге")</f>
        <v>46000</v>
      </c>
      <c r="S712" s="21" t="str">
        <f>IFERROR(INDEX(Товары_очищенные!$N$3:$N$503,MATCH(M712,Товары_очищенные!$L$3:$L$503,0)),"нет в каталоге")</f>
        <v>Часы</v>
      </c>
      <c r="T712" s="21" t="str">
        <f t="shared" si="250"/>
        <v>OK</v>
      </c>
      <c r="U712" s="12" t="str">
        <f t="shared" si="251"/>
        <v>04/01/2026|АРТ-461|C0710</v>
      </c>
      <c r="V712" s="12" t="str">
        <f t="shared" si="252"/>
        <v>оригинал</v>
      </c>
    </row>
    <row r="713" ht="15" customHeight="1">
      <c r="A713" s="10">
        <v>711</v>
      </c>
      <c r="B713" s="11" t="str">
        <f>RAW_Продажи!A712</f>
        <v>01/05/2026</v>
      </c>
      <c r="C713" s="11" t="str">
        <f>RAW_Продажи!B712</f>
        <v>308/24</v>
      </c>
      <c r="D713" s="11" t="str">
        <f>RAW_Продажи!C712</f>
        <v xml:space="preserve">1 шт.</v>
      </c>
      <c r="E713" s="11" t="str">
        <f>RAW_Продажи!D712</f>
        <v xml:space="preserve">7800 ₽</v>
      </c>
      <c r="F713" s="11" t="str">
        <f>RAW_Продажи!E712</f>
        <v>C0711</v>
      </c>
      <c r="G713" s="11" t="str">
        <f>RAW_Продажи!F712</f>
        <v>P014</v>
      </c>
      <c r="H713" s="11" t="str">
        <f>RAW_Продажи!G712</f>
        <v>отменен</v>
      </c>
      <c r="I713" s="12" t="str">
        <f t="shared" si="244"/>
        <v>308/24</v>
      </c>
      <c r="J713" s="12" t="str">
        <f t="shared" si="245"/>
        <v>₽</v>
      </c>
      <c r="K713" s="12">
        <f t="shared" si="246"/>
        <v>7800</v>
      </c>
      <c r="L713" s="19">
        <f t="shared" si="247"/>
        <v>46027</v>
      </c>
      <c r="M713" s="13" t="str">
        <f t="shared" si="248"/>
        <v>АРТ-308</v>
      </c>
      <c r="N713" s="13">
        <f t="shared" si="249"/>
        <v>1</v>
      </c>
      <c r="O713" s="13" t="str">
        <f>IFERROR(VLOOKUP(J713,Справочники!$G$6:$H$8,2,0),"RUB")</f>
        <v>RUB</v>
      </c>
      <c r="P713" s="14">
        <f>ROUND(K713*IFERROR(VLOOKUP(J713,Справочники!$G$6:$I$8,3,0),1),2)</f>
        <v>7800</v>
      </c>
      <c r="Q713" s="13" t="str">
        <f>IFERROR(VLOOKUP(H713,Справочники!$D$6:$E$14,2,0),"НЕИЗВЕСТНО")</f>
        <v>Отменен</v>
      </c>
      <c r="R713" s="20">
        <f>IFERROR(INDEX(Товары_очищенные!$Q$3:$Q$503,MATCH(M713,Товары_очищенные!$L$3:$L$503,0)),"нет в каталоге")</f>
        <v>8500</v>
      </c>
      <c r="S713" s="21" t="str">
        <f>IFERROR(INDEX(Товары_очищенные!$N$3:$N$503,MATCH(M713,Товары_очищенные!$L$3:$L$503,0)),"нет в каталоге")</f>
        <v>Аксессуары</v>
      </c>
      <c r="T713" s="21" t="str">
        <f t="shared" si="250"/>
        <v>OK</v>
      </c>
      <c r="U713" s="12" t="str">
        <f t="shared" si="251"/>
        <v>05/01/2026|АРТ-308|C0711</v>
      </c>
      <c r="V713" s="12" t="str">
        <f t="shared" si="252"/>
        <v>оригинал</v>
      </c>
    </row>
    <row r="714" ht="15" customHeight="1">
      <c r="A714" s="10">
        <v>712</v>
      </c>
      <c r="B714" s="11" t="str">
        <f>RAW_Продажи!A713</f>
        <v>01/05/2026</v>
      </c>
      <c r="C714" s="11" t="str">
        <f>RAW_Продажи!B713</f>
        <v>№АРТ-390</v>
      </c>
      <c r="D714" s="11" t="str">
        <f>RAW_Продажи!C713</f>
        <v>-3</v>
      </c>
      <c r="E714" s="11" t="str">
        <f>RAW_Продажи!D713</f>
        <v>$120</v>
      </c>
      <c r="F714" s="11" t="str">
        <f>RAW_Продажи!E713</f>
        <v>C0712</v>
      </c>
      <c r="G714" s="11" t="str">
        <f>RAW_Продажи!F713</f>
        <v>P028</v>
      </c>
      <c r="H714" s="11" t="str">
        <f>RAW_Продажи!G713</f>
        <v>возврат</v>
      </c>
      <c r="I714" s="12" t="str">
        <f t="shared" si="244"/>
        <v>390</v>
      </c>
      <c r="J714" s="12" t="str">
        <f t="shared" si="245"/>
        <v>$</v>
      </c>
      <c r="K714" s="12">
        <f t="shared" si="246"/>
        <v>120</v>
      </c>
      <c r="L714" s="19">
        <f t="shared" si="247"/>
        <v>46027</v>
      </c>
      <c r="M714" s="13" t="str">
        <f t="shared" si="248"/>
        <v>АРТ-390</v>
      </c>
      <c r="N714" s="13">
        <f t="shared" si="249"/>
        <v>-3</v>
      </c>
      <c r="O714" s="13" t="str">
        <f>IFERROR(VLOOKUP(J714,Справочники!$G$6:$H$8,2,0),"RUB")</f>
        <v>USD</v>
      </c>
      <c r="P714" s="14">
        <f>ROUND(K714*IFERROR(VLOOKUP(J714,Справочники!$G$6:$I$8,3,0),1),2)</f>
        <v>11400</v>
      </c>
      <c r="Q714" s="13" t="str">
        <f>IFERROR(VLOOKUP(H714,Справочники!$D$6:$E$14,2,0),"НЕИЗВЕСТНО")</f>
        <v>Возврат</v>
      </c>
      <c r="R714" s="20">
        <f>IFERROR(INDEX(Товары_очищенные!$Q$3:$Q$503,MATCH(M714,Товары_очищенные!$L$3:$L$503,0)),"нет в каталоге")</f>
        <v>80000</v>
      </c>
      <c r="S714" s="21" t="str">
        <f>IFERROR(INDEX(Товары_очищенные!$N$3:$N$503,MATCH(M714,Товары_очищенные!$L$3:$L$503,0)),"нет в каталоге")</f>
        <v>Телевизоры</v>
      </c>
      <c r="T714" s="21" t="str">
        <f t="shared" si="250"/>
        <v>OK</v>
      </c>
      <c r="U714" s="12" t="str">
        <f t="shared" si="251"/>
        <v>05/01/2026|АРТ-390|C0712</v>
      </c>
      <c r="V714" s="12" t="str">
        <f t="shared" si="252"/>
        <v>оригинал</v>
      </c>
    </row>
    <row r="715" ht="15" customHeight="1">
      <c r="A715" s="10">
        <v>713</v>
      </c>
      <c r="B715" s="11" t="str">
        <f>RAW_Продажи!A714</f>
        <v>01/06/2026</v>
      </c>
      <c r="C715" s="11" t="str">
        <f>RAW_Продажи!B714</f>
        <v>АРТ_301</v>
      </c>
      <c r="D715" s="11" t="str">
        <f>RAW_Продажи!C714</f>
        <v>2</v>
      </c>
      <c r="E715" s="11" t="str">
        <f>RAW_Продажи!D714</f>
        <v>€100</v>
      </c>
      <c r="F715" s="11" t="str">
        <f>RAW_Продажи!E714</f>
        <v>C0713</v>
      </c>
      <c r="G715" s="11" t="str">
        <f>RAW_Продажи!F714</f>
        <v>P009</v>
      </c>
      <c r="H715" s="11" t="str">
        <f>RAW_Продажи!G714</f>
        <v>Завершен</v>
      </c>
      <c r="I715" s="12" t="str">
        <f t="shared" si="244"/>
        <v>301</v>
      </c>
      <c r="J715" s="12" t="str">
        <f t="shared" si="245"/>
        <v>€</v>
      </c>
      <c r="K715" s="12">
        <f t="shared" si="246"/>
        <v>100</v>
      </c>
      <c r="L715" s="19">
        <f t="shared" si="247"/>
        <v>46028</v>
      </c>
      <c r="M715" s="13" t="str">
        <f t="shared" si="248"/>
        <v>АРТ-301</v>
      </c>
      <c r="N715" s="13">
        <f t="shared" si="249"/>
        <v>2</v>
      </c>
      <c r="O715" s="13" t="str">
        <f>IFERROR(VLOOKUP(J715,Справочники!$G$6:$H$8,2,0),"RUB")</f>
        <v>EUR</v>
      </c>
      <c r="P715" s="14">
        <f>ROUND(K715*IFERROR(VLOOKUP(J715,Справочники!$G$6:$I$8,3,0),1),2)</f>
        <v>10000</v>
      </c>
      <c r="Q715" s="13" t="str">
        <f>IFERROR(VLOOKUP(H715,Справочники!$D$6:$E$14,2,0),"НЕИЗВЕСТНО")</f>
        <v>Завершен</v>
      </c>
      <c r="R715" s="20">
        <f>IFERROR(INDEX(Товары_очищенные!$Q$3:$Q$503,MATCH(M715,Товары_очищенные!$L$3:$L$503,0)),"нет в каталоге")</f>
        <v>7990</v>
      </c>
      <c r="S715" s="21" t="str">
        <f>IFERROR(INDEX(Товары_очищенные!$N$3:$N$503,MATCH(M715,Товары_очищенные!$L$3:$L$503,0)),"нет в каталоге")</f>
        <v>Наушники</v>
      </c>
      <c r="T715" s="21" t="str">
        <f t="shared" si="250"/>
        <v>OK</v>
      </c>
      <c r="U715" s="12" t="str">
        <f t="shared" si="251"/>
        <v>06/01/2026|АРТ-301|C0713</v>
      </c>
      <c r="V715" s="12" t="str">
        <f t="shared" si="252"/>
        <v>оригинал</v>
      </c>
    </row>
    <row r="716" ht="15" customHeight="1">
      <c r="A716" s="10">
        <v>714</v>
      </c>
      <c r="B716" s="11" t="str">
        <f>RAW_Продажи!A715</f>
        <v>01/06/2026</v>
      </c>
      <c r="C716" s="11" t="str">
        <f>RAW_Продажи!B715</f>
        <v>158-24</v>
      </c>
      <c r="D716" s="11" t="str">
        <f>RAW_Продажи!C715</f>
        <v>1</v>
      </c>
      <c r="E716" s="11" t="str">
        <f>RAW_Продажи!D715</f>
        <v xml:space="preserve">9200 ₽</v>
      </c>
      <c r="F716" s="11" t="str">
        <f>RAW_Продажи!E715</f>
        <v>C0714</v>
      </c>
      <c r="G716" s="11" t="str">
        <f>RAW_Продажи!F715</f>
        <v>P041</v>
      </c>
      <c r="H716" s="11" t="str">
        <f>RAW_Продажи!G715</f>
        <v>завершен</v>
      </c>
      <c r="I716" s="12" t="str">
        <f t="shared" si="244"/>
        <v>158-24</v>
      </c>
      <c r="J716" s="12" t="str">
        <f t="shared" si="245"/>
        <v>₽</v>
      </c>
      <c r="K716" s="12">
        <f t="shared" si="246"/>
        <v>9200</v>
      </c>
      <c r="L716" s="19">
        <f t="shared" si="247"/>
        <v>46028</v>
      </c>
      <c r="M716" s="13" t="str">
        <f t="shared" si="248"/>
        <v>АРТ-158</v>
      </c>
      <c r="N716" s="13">
        <f t="shared" si="249"/>
        <v>1</v>
      </c>
      <c r="O716" s="13" t="str">
        <f>IFERROR(VLOOKUP(J716,Справочники!$G$6:$H$8,2,0),"RUB")</f>
        <v>RUB</v>
      </c>
      <c r="P716" s="14">
        <f>ROUND(K716*IFERROR(VLOOKUP(J716,Справочники!$G$6:$I$8,3,0),1),2)</f>
        <v>9200</v>
      </c>
      <c r="Q716" s="13" t="str">
        <f>IFERROR(VLOOKUP(H716,Справочники!$D$6:$E$14,2,0),"НЕИЗВЕСТНО")</f>
        <v>Завершен</v>
      </c>
      <c r="R716" s="20">
        <f>IFERROR(INDEX(Товары_очищенные!$Q$3:$Q$503,MATCH(M716,Товары_очищенные!$L$3:$L$503,0)),"нет в каталоге")</f>
        <v>90000</v>
      </c>
      <c r="S716" s="21" t="str">
        <f>IFERROR(INDEX(Товары_очищенные!$N$3:$N$503,MATCH(M716,Товары_очищенные!$L$3:$L$503,0)),"нет в каталоге")</f>
        <v>Мониторы</v>
      </c>
      <c r="T716" s="21" t="str">
        <f t="shared" si="250"/>
        <v>OK</v>
      </c>
      <c r="U716" s="12" t="str">
        <f t="shared" si="251"/>
        <v>06/01/2026|АРТ-158|C0714</v>
      </c>
      <c r="V716" s="12" t="str">
        <f t="shared" si="252"/>
        <v>оригинал</v>
      </c>
    </row>
    <row r="717" ht="15" customHeight="1">
      <c r="A717" s="10">
        <v>715</v>
      </c>
      <c r="B717" s="11" t="str">
        <f>RAW_Продажи!A716</f>
        <v>01/07/2026</v>
      </c>
      <c r="C717" s="11" t="str">
        <f>RAW_Продажи!B716</f>
        <v>№АРТ-059</v>
      </c>
      <c r="D717" s="11" t="str">
        <f>RAW_Продажи!C716</f>
        <v>3</v>
      </c>
      <c r="E717" s="11" t="str">
        <f>RAW_Продажи!D716</f>
        <v>$90</v>
      </c>
      <c r="F717" s="11" t="str">
        <f>RAW_Продажи!E716</f>
        <v>C0715</v>
      </c>
      <c r="G717" s="11" t="str">
        <f>RAW_Продажи!F716</f>
        <v>P017</v>
      </c>
      <c r="H717" s="11" t="str">
        <f>RAW_Продажи!G716</f>
        <v>completed</v>
      </c>
      <c r="I717" s="12" t="str">
        <f t="shared" si="244"/>
        <v>059</v>
      </c>
      <c r="J717" s="12" t="str">
        <f t="shared" si="245"/>
        <v>$</v>
      </c>
      <c r="K717" s="12">
        <f t="shared" si="246"/>
        <v>90</v>
      </c>
      <c r="L717" s="19">
        <f t="shared" si="247"/>
        <v>46029</v>
      </c>
      <c r="M717" s="13" t="str">
        <f t="shared" si="248"/>
        <v>АРТ-059</v>
      </c>
      <c r="N717" s="13">
        <f t="shared" si="249"/>
        <v>3</v>
      </c>
      <c r="O717" s="13" t="str">
        <f>IFERROR(VLOOKUP(J717,Справочники!$G$6:$H$8,2,0),"RUB")</f>
        <v>USD</v>
      </c>
      <c r="P717" s="14">
        <f>ROUND(K717*IFERROR(VLOOKUP(J717,Справочники!$G$6:$I$8,3,0),1),2)</f>
        <v>8550</v>
      </c>
      <c r="Q717" s="13" t="str">
        <f>IFERROR(VLOOKUP(H717,Справочники!$D$6:$E$14,2,0),"НЕИЗВЕСТНО")</f>
        <v>Завершен</v>
      </c>
      <c r="R717" s="20">
        <f>IFERROR(INDEX(Товары_очищенные!$Q$3:$Q$503,MATCH(M717,Товары_очищенные!$L$3:$L$503,0)),"нет в каталоге")</f>
        <v>66000</v>
      </c>
      <c r="S717" s="21" t="str">
        <f>IFERROR(INDEX(Товары_очищенные!$N$3:$N$503,MATCH(M717,Товары_очищенные!$L$3:$L$503,0)),"нет в каталоге")</f>
        <v>Планшеты</v>
      </c>
      <c r="T717" s="21" t="str">
        <f t="shared" si="250"/>
        <v>OK</v>
      </c>
      <c r="U717" s="12" t="str">
        <f t="shared" si="251"/>
        <v>07/01/2026|АРТ-059|C0715</v>
      </c>
      <c r="V717" s="12" t="str">
        <f t="shared" si="252"/>
        <v>оригинал</v>
      </c>
    </row>
    <row r="718" ht="15" customHeight="1">
      <c r="A718" s="10">
        <v>716</v>
      </c>
      <c r="B718" s="11" t="str">
        <f>RAW_Продажи!A717</f>
        <v>01/07/2026</v>
      </c>
      <c r="C718" s="11" t="str">
        <f>RAW_Продажи!B717</f>
        <v>АРТ_469</v>
      </c>
      <c r="D718" s="11" t="str">
        <f>RAW_Продажи!C717</f>
        <v>2</v>
      </c>
      <c r="E718" s="11" t="str">
        <f>RAW_Продажи!D717</f>
        <v>€70</v>
      </c>
      <c r="F718" s="11" t="str">
        <f>RAW_Продажи!E717</f>
        <v>C0716</v>
      </c>
      <c r="G718" s="11" t="str">
        <f>RAW_Продажи!F717</f>
        <v>P032</v>
      </c>
      <c r="H718" s="11" t="str">
        <f>RAW_Продажи!G717</f>
        <v>отменен</v>
      </c>
      <c r="I718" s="12" t="str">
        <f t="shared" si="244"/>
        <v>469</v>
      </c>
      <c r="J718" s="12" t="str">
        <f t="shared" si="245"/>
        <v>€</v>
      </c>
      <c r="K718" s="12">
        <f t="shared" si="246"/>
        <v>70</v>
      </c>
      <c r="L718" s="19">
        <f t="shared" si="247"/>
        <v>46029</v>
      </c>
      <c r="M718" s="13" t="str">
        <f t="shared" si="248"/>
        <v>АРТ-469</v>
      </c>
      <c r="N718" s="13">
        <f t="shared" si="249"/>
        <v>2</v>
      </c>
      <c r="O718" s="13" t="str">
        <f>IFERROR(VLOOKUP(J718,Справочники!$G$6:$H$8,2,0),"RUB")</f>
        <v>EUR</v>
      </c>
      <c r="P718" s="14">
        <f>ROUND(K718*IFERROR(VLOOKUP(J718,Справочники!$G$6:$I$8,3,0),1),2)</f>
        <v>7000</v>
      </c>
      <c r="Q718" s="13" t="str">
        <f>IFERROR(VLOOKUP(H718,Справочники!$D$6:$E$14,2,0),"НЕИЗВЕСТНО")</f>
        <v>Отменен</v>
      </c>
      <c r="R718" s="20">
        <f>IFERROR(INDEX(Товары_очищенные!$Q$3:$Q$503,MATCH(M718,Товары_очищенные!$L$3:$L$503,0)),"нет в каталоге")</f>
        <v>58990</v>
      </c>
      <c r="S718" s="21" t="str">
        <f>IFERROR(INDEX(Товары_очищенные!$N$3:$N$503,MATCH(M718,Товары_очищенные!$L$3:$L$503,0)),"нет в каталоге")</f>
        <v>Телевизоры</v>
      </c>
      <c r="T718" s="21" t="str">
        <f t="shared" si="250"/>
        <v>OK</v>
      </c>
      <c r="U718" s="12" t="str">
        <f t="shared" si="251"/>
        <v>07/01/2026|АРТ-469|C0716</v>
      </c>
      <c r="V718" s="12" t="str">
        <f t="shared" si="252"/>
        <v>оригинал</v>
      </c>
    </row>
    <row r="719" ht="15" customHeight="1">
      <c r="A719" s="10">
        <v>717</v>
      </c>
      <c r="B719" s="11" t="str">
        <f>RAW_Продажи!A718</f>
        <v>01/08/2026</v>
      </c>
      <c r="C719" s="11" t="str">
        <f>RAW_Продажи!B718</f>
        <v>379/24</v>
      </c>
      <c r="D719" s="11" t="str">
        <f>RAW_Продажи!C718</f>
        <v xml:space="preserve">1 шт.</v>
      </c>
      <c r="E719" s="11" t="str">
        <f>RAW_Продажи!D718</f>
        <v xml:space="preserve">6500 ₽</v>
      </c>
      <c r="F719" s="11" t="str">
        <f>RAW_Продажи!E718</f>
        <v>C0717</v>
      </c>
      <c r="G719" s="11" t="str">
        <f>RAW_Продажи!F718</f>
        <v>P049</v>
      </c>
      <c r="H719" s="11" t="str">
        <f>RAW_Продажи!G718</f>
        <v>canceled</v>
      </c>
      <c r="I719" s="12" t="str">
        <f t="shared" si="244"/>
        <v>379/24</v>
      </c>
      <c r="J719" s="12" t="str">
        <f t="shared" si="245"/>
        <v>₽</v>
      </c>
      <c r="K719" s="12">
        <f t="shared" si="246"/>
        <v>6500</v>
      </c>
      <c r="L719" s="19">
        <f t="shared" si="247"/>
        <v>46030</v>
      </c>
      <c r="M719" s="13" t="str">
        <f t="shared" si="248"/>
        <v>АРТ-379</v>
      </c>
      <c r="N719" s="13">
        <f t="shared" si="249"/>
        <v>1</v>
      </c>
      <c r="O719" s="13" t="str">
        <f>IFERROR(VLOOKUP(J719,Справочники!$G$6:$H$8,2,0),"RUB")</f>
        <v>RUB</v>
      </c>
      <c r="P719" s="14">
        <f>ROUND(K719*IFERROR(VLOOKUP(J719,Справочники!$G$6:$I$8,3,0),1),2)</f>
        <v>6500</v>
      </c>
      <c r="Q719" s="13" t="str">
        <f>IFERROR(VLOOKUP(H719,Справочники!$D$6:$E$14,2,0),"НЕИЗВЕСТНО")</f>
        <v>Отменен</v>
      </c>
      <c r="R719" s="20">
        <f>IFERROR(INDEX(Товары_очищенные!$Q$3:$Q$503,MATCH(M719,Товары_очищенные!$L$3:$L$503,0)),"нет в каталоге")</f>
        <v>36990</v>
      </c>
      <c r="S719" s="21" t="str">
        <f>IFERROR(INDEX(Товары_очищенные!$N$3:$N$503,MATCH(M719,Товары_очищенные!$L$3:$L$503,0)),"нет в каталоге")</f>
        <v>Планшеты</v>
      </c>
      <c r="T719" s="21" t="str">
        <f t="shared" si="250"/>
        <v>OK</v>
      </c>
      <c r="U719" s="12" t="str">
        <f t="shared" si="251"/>
        <v>08/01/2026|АРТ-379|C0717</v>
      </c>
      <c r="V719" s="12" t="str">
        <f t="shared" si="252"/>
        <v>оригинал</v>
      </c>
    </row>
    <row r="720" ht="15" customHeight="1">
      <c r="A720" s="10">
        <v>718</v>
      </c>
      <c r="B720" s="11" t="str">
        <f>RAW_Продажи!A719</f>
        <v>01/08/2026</v>
      </c>
      <c r="C720" s="11" t="str">
        <f>RAW_Продажи!B719</f>
        <v>№АРТ-406</v>
      </c>
      <c r="D720" s="11" t="str">
        <f>RAW_Продажи!C719</f>
        <v>-1</v>
      </c>
      <c r="E720" s="11" t="str">
        <f>RAW_Продажи!D719</f>
        <v>$110</v>
      </c>
      <c r="F720" s="11" t="str">
        <f>RAW_Продажи!E719</f>
        <v>C0718</v>
      </c>
      <c r="G720" s="11" t="str">
        <f>RAW_Продажи!F719</f>
        <v>P006</v>
      </c>
      <c r="H720" s="11" t="str">
        <f>RAW_Продажи!G719</f>
        <v>Завершен</v>
      </c>
      <c r="I720" s="12" t="str">
        <f t="shared" si="244"/>
        <v>406</v>
      </c>
      <c r="J720" s="12" t="str">
        <f t="shared" si="245"/>
        <v>$</v>
      </c>
      <c r="K720" s="12">
        <f t="shared" si="246"/>
        <v>110</v>
      </c>
      <c r="L720" s="19">
        <f t="shared" si="247"/>
        <v>46030</v>
      </c>
      <c r="M720" s="13" t="str">
        <f t="shared" si="248"/>
        <v>АРТ-406</v>
      </c>
      <c r="N720" s="13">
        <f t="shared" si="249"/>
        <v>-1</v>
      </c>
      <c r="O720" s="13" t="str">
        <f>IFERROR(VLOOKUP(J720,Справочники!$G$6:$H$8,2,0),"RUB")</f>
        <v>USD</v>
      </c>
      <c r="P720" s="14">
        <f>ROUND(K720*IFERROR(VLOOKUP(J720,Справочники!$G$6:$I$8,3,0),1),2)</f>
        <v>10450</v>
      </c>
      <c r="Q720" s="13" t="str">
        <f>IFERROR(VLOOKUP(H720,Справочники!$D$6:$E$14,2,0),"НЕИЗВЕСТНО")</f>
        <v>Завершен</v>
      </c>
      <c r="R720" s="20">
        <f>IFERROR(INDEX(Товары_очищенные!$Q$3:$Q$503,MATCH(M720,Товары_очищенные!$L$3:$L$503,0)),"нет в каталоге")</f>
        <v>104990</v>
      </c>
      <c r="S720" s="21" t="str">
        <f>IFERROR(INDEX(Товары_очищенные!$N$3:$N$503,MATCH(M720,Товары_очищенные!$L$3:$L$503,0)),"нет в каталоге")</f>
        <v>Телевизоры</v>
      </c>
      <c r="T720" s="21" t="str">
        <f t="shared" si="250"/>
        <v>OK</v>
      </c>
      <c r="U720" s="12" t="str">
        <f t="shared" si="251"/>
        <v>08/01/2026|АРТ-406|C0718</v>
      </c>
      <c r="V720" s="12" t="str">
        <f t="shared" si="252"/>
        <v>оригинал</v>
      </c>
    </row>
    <row r="721" ht="15" customHeight="1">
      <c r="A721" s="10">
        <v>719</v>
      </c>
      <c r="B721" s="11" t="str">
        <f>RAW_Продажи!A720</f>
        <v>01/09/2026</v>
      </c>
      <c r="C721" s="11" t="str">
        <f>RAW_Продажи!B720</f>
        <v>АРТ_310</v>
      </c>
      <c r="D721" s="11" t="str">
        <f>RAW_Продажи!C720</f>
        <v>3</v>
      </c>
      <c r="E721" s="11" t="str">
        <f>RAW_Продажи!D720</f>
        <v>€90</v>
      </c>
      <c r="F721" s="11" t="str">
        <f>RAW_Продажи!E720</f>
        <v>C0719</v>
      </c>
      <c r="G721" s="11" t="str">
        <f>RAW_Продажи!F720</f>
        <v>P024</v>
      </c>
      <c r="H721" s="11" t="str">
        <f>RAW_Продажи!G720</f>
        <v>возврат</v>
      </c>
      <c r="I721" s="12" t="str">
        <f t="shared" si="244"/>
        <v>310</v>
      </c>
      <c r="J721" s="12" t="str">
        <f t="shared" si="245"/>
        <v>€</v>
      </c>
      <c r="K721" s="12">
        <f t="shared" si="246"/>
        <v>90</v>
      </c>
      <c r="L721" s="19">
        <f t="shared" si="247"/>
        <v>46031</v>
      </c>
      <c r="M721" s="13" t="str">
        <f t="shared" si="248"/>
        <v>АРТ-310</v>
      </c>
      <c r="N721" s="13">
        <f t="shared" si="249"/>
        <v>3</v>
      </c>
      <c r="O721" s="13" t="str">
        <f>IFERROR(VLOOKUP(J721,Справочники!$G$6:$H$8,2,0),"RUB")</f>
        <v>EUR</v>
      </c>
      <c r="P721" s="14">
        <f>ROUND(K721*IFERROR(VLOOKUP(J721,Справочники!$G$6:$I$8,3,0),1),2)</f>
        <v>9000</v>
      </c>
      <c r="Q721" s="13" t="str">
        <f>IFERROR(VLOOKUP(H721,Справочники!$D$6:$E$14,2,0),"НЕИЗВЕСТНО")</f>
        <v>Возврат</v>
      </c>
      <c r="R721" s="20">
        <f>IFERROR(INDEX(Товары_очищенные!$Q$3:$Q$503,MATCH(M721,Товары_очищенные!$L$3:$L$503,0)),"нет в каталоге")</f>
        <v>64990</v>
      </c>
      <c r="S721" s="21" t="str">
        <f>IFERROR(INDEX(Товары_очищенные!$N$3:$N$503,MATCH(M721,Товары_очищенные!$L$3:$L$503,0)),"нет в каталоге")</f>
        <v>Планшеты</v>
      </c>
      <c r="T721" s="21" t="str">
        <f t="shared" si="250"/>
        <v>OK</v>
      </c>
      <c r="U721" s="12" t="str">
        <f t="shared" si="251"/>
        <v>09/01/2026|АРТ-310|C0719</v>
      </c>
      <c r="V721" s="12" t="str">
        <f t="shared" si="252"/>
        <v>оригинал</v>
      </c>
    </row>
    <row r="722" ht="15" customHeight="1">
      <c r="A722" s="10">
        <v>720</v>
      </c>
      <c r="B722" s="11" t="str">
        <f>RAW_Продажи!A721</f>
        <v>01/09/2026</v>
      </c>
      <c r="C722" s="11" t="str">
        <f>RAW_Продажи!B721</f>
        <v>133-24</v>
      </c>
      <c r="D722" s="11" t="str">
        <f>RAW_Продажи!C721</f>
        <v>2</v>
      </c>
      <c r="E722" s="11" t="str">
        <f>RAW_Продажи!D721</f>
        <v xml:space="preserve">8000 ₽</v>
      </c>
      <c r="F722" s="11" t="str">
        <f>RAW_Продажи!E721</f>
        <v>C0720</v>
      </c>
      <c r="G722" s="11" t="str">
        <f>RAW_Продажи!F721</f>
        <v>P015</v>
      </c>
      <c r="H722" s="11" t="str">
        <f>RAW_Продажи!G721</f>
        <v>завершен</v>
      </c>
      <c r="I722" s="12" t="str">
        <f t="shared" si="244"/>
        <v>133-24</v>
      </c>
      <c r="J722" s="12" t="str">
        <f t="shared" si="245"/>
        <v>₽</v>
      </c>
      <c r="K722" s="12">
        <f t="shared" si="246"/>
        <v>8000</v>
      </c>
      <c r="L722" s="19">
        <f t="shared" si="247"/>
        <v>46031</v>
      </c>
      <c r="M722" s="13" t="str">
        <f t="shared" si="248"/>
        <v>АРТ-133</v>
      </c>
      <c r="N722" s="13">
        <f t="shared" si="249"/>
        <v>2</v>
      </c>
      <c r="O722" s="13" t="str">
        <f>IFERROR(VLOOKUP(J722,Справочники!$G$6:$H$8,2,0),"RUB")</f>
        <v>RUB</v>
      </c>
      <c r="P722" s="14">
        <f>ROUND(K722*IFERROR(VLOOKUP(J722,Справочники!$G$6:$I$8,3,0),1),2)</f>
        <v>8000</v>
      </c>
      <c r="Q722" s="13" t="str">
        <f>IFERROR(VLOOKUP(H722,Справочники!$D$6:$E$14,2,0),"НЕИЗВЕСТНО")</f>
        <v>Завершен</v>
      </c>
      <c r="R722" s="20">
        <f>IFERROR(INDEX(Товары_очищенные!$Q$3:$Q$503,MATCH(M722,Товары_очищенные!$L$3:$L$503,0)),"нет в каталоге")</f>
        <v>126990</v>
      </c>
      <c r="S722" s="21" t="str">
        <f>IFERROR(INDEX(Товары_очищенные!$N$3:$N$503,MATCH(M722,Товары_очищенные!$L$3:$L$503,0)),"нет в каталоге")</f>
        <v>Телевизоры</v>
      </c>
      <c r="T722" s="21" t="str">
        <f t="shared" si="250"/>
        <v>OK</v>
      </c>
      <c r="U722" s="12" t="str">
        <f t="shared" si="251"/>
        <v>09/01/2026|АРТ-133|C0720</v>
      </c>
      <c r="V722" s="12" t="str">
        <f t="shared" si="252"/>
        <v>оригинал</v>
      </c>
    </row>
    <row r="723" ht="15" customHeight="1">
      <c r="A723" s="10">
        <v>721</v>
      </c>
      <c r="B723" s="11" t="str">
        <f>RAW_Продажи!A722</f>
        <v>01/10/2026</v>
      </c>
      <c r="C723" s="11" t="str">
        <f>RAW_Продажи!B722</f>
        <v>№АРТ-064</v>
      </c>
      <c r="D723" s="11" t="str">
        <f>RAW_Продажи!C722</f>
        <v>1</v>
      </c>
      <c r="E723" s="11" t="str">
        <f>RAW_Продажи!D722</f>
        <v>$95</v>
      </c>
      <c r="F723" s="11" t="str">
        <f>RAW_Продажи!E722</f>
        <v>C0721</v>
      </c>
      <c r="G723" s="11" t="str">
        <f>RAW_Продажи!F722</f>
        <v>P037</v>
      </c>
      <c r="H723" s="11" t="str">
        <f>RAW_Продажи!G722</f>
        <v>completed</v>
      </c>
      <c r="I723" s="12" t="str">
        <f t="shared" si="244"/>
        <v>064</v>
      </c>
      <c r="J723" s="12" t="str">
        <f t="shared" si="245"/>
        <v>$</v>
      </c>
      <c r="K723" s="12">
        <f t="shared" si="246"/>
        <v>95</v>
      </c>
      <c r="L723" s="19">
        <f t="shared" si="247"/>
        <v>46032</v>
      </c>
      <c r="M723" s="13" t="str">
        <f t="shared" si="248"/>
        <v>АРТ-064</v>
      </c>
      <c r="N723" s="13">
        <f t="shared" si="249"/>
        <v>1</v>
      </c>
      <c r="O723" s="13" t="str">
        <f>IFERROR(VLOOKUP(J723,Справочники!$G$6:$H$8,2,0),"RUB")</f>
        <v>USD</v>
      </c>
      <c r="P723" s="14">
        <f>ROUND(K723*IFERROR(VLOOKUP(J723,Справочники!$G$6:$I$8,3,0),1),2)</f>
        <v>9025</v>
      </c>
      <c r="Q723" s="13" t="str">
        <f>IFERROR(VLOOKUP(H723,Справочники!$D$6:$E$14,2,0),"НЕИЗВЕСТНО")</f>
        <v>Завершен</v>
      </c>
      <c r="R723" s="20">
        <f>IFERROR(INDEX(Товары_очищенные!$Q$3:$Q$503,MATCH(M723,Товары_очищенные!$L$3:$L$503,0)),"нет в каталоге")</f>
        <v>56990</v>
      </c>
      <c r="S723" s="21" t="str">
        <f>IFERROR(INDEX(Товары_очищенные!$N$3:$N$503,MATCH(M723,Товары_очищенные!$L$3:$L$503,0)),"нет в каталоге")</f>
        <v>Смартфоны</v>
      </c>
      <c r="T723" s="21" t="str">
        <f t="shared" si="250"/>
        <v>OK</v>
      </c>
      <c r="U723" s="12" t="str">
        <f t="shared" si="251"/>
        <v>10/01/2026|АРТ-064|C0721</v>
      </c>
      <c r="V723" s="12" t="str">
        <f t="shared" si="252"/>
        <v>оригинал</v>
      </c>
    </row>
    <row r="724" ht="15" customHeight="1">
      <c r="A724" s="10">
        <v>722</v>
      </c>
      <c r="B724" s="11" t="str">
        <f>RAW_Продажи!A723</f>
        <v>01/10/2026</v>
      </c>
      <c r="C724" s="11" t="str">
        <f>RAW_Продажи!B723</f>
        <v>АРТ_463</v>
      </c>
      <c r="D724" s="11" t="str">
        <f>RAW_Продажи!C723</f>
        <v>2</v>
      </c>
      <c r="E724" s="11" t="str">
        <f>RAW_Продажи!D723</f>
        <v>€75</v>
      </c>
      <c r="F724" s="11" t="str">
        <f>RAW_Продажи!E723</f>
        <v>C0722</v>
      </c>
      <c r="G724" s="11" t="str">
        <f>RAW_Продажи!F723</f>
        <v>P048</v>
      </c>
      <c r="H724" s="11" t="str">
        <f>RAW_Продажи!G723</f>
        <v>Завершен</v>
      </c>
      <c r="I724" s="12" t="str">
        <f t="shared" si="244"/>
        <v>463</v>
      </c>
      <c r="J724" s="12" t="str">
        <f t="shared" si="245"/>
        <v>€</v>
      </c>
      <c r="K724" s="12">
        <f t="shared" si="246"/>
        <v>75</v>
      </c>
      <c r="L724" s="19">
        <f t="shared" si="247"/>
        <v>46032</v>
      </c>
      <c r="M724" s="13" t="str">
        <f t="shared" si="248"/>
        <v>АРТ-463</v>
      </c>
      <c r="N724" s="13">
        <f t="shared" si="249"/>
        <v>2</v>
      </c>
      <c r="O724" s="13" t="str">
        <f>IFERROR(VLOOKUP(J724,Справочники!$G$6:$H$8,2,0),"RUB")</f>
        <v>EUR</v>
      </c>
      <c r="P724" s="14">
        <f>ROUND(K724*IFERROR(VLOOKUP(J724,Справочники!$G$6:$I$8,3,0),1),2)</f>
        <v>7500</v>
      </c>
      <c r="Q724" s="13" t="str">
        <f>IFERROR(VLOOKUP(H724,Справочники!$D$6:$E$14,2,0),"НЕИЗВЕСТНО")</f>
        <v>Завершен</v>
      </c>
      <c r="R724" s="20">
        <f>IFERROR(INDEX(Товары_очищенные!$Q$3:$Q$503,MATCH(M724,Товары_очищенные!$L$3:$L$503,0)),"нет в каталоге")</f>
        <v>29990</v>
      </c>
      <c r="S724" s="21" t="str">
        <f>IFERROR(INDEX(Товары_очищенные!$N$3:$N$503,MATCH(M724,Товары_очищенные!$L$3:$L$503,0)),"нет в каталоге")</f>
        <v>Планшеты</v>
      </c>
      <c r="T724" s="21" t="str">
        <f t="shared" si="250"/>
        <v>OK</v>
      </c>
      <c r="U724" s="12" t="str">
        <f t="shared" si="251"/>
        <v>10/01/2026|АРТ-463|C0722</v>
      </c>
      <c r="V724" s="12" t="str">
        <f t="shared" si="252"/>
        <v>оригинал</v>
      </c>
    </row>
    <row r="725" ht="15" customHeight="1">
      <c r="A725" s="10">
        <v>723</v>
      </c>
      <c r="B725" s="11" t="str">
        <f>RAW_Продажи!A724</f>
        <v>01/11/2026</v>
      </c>
      <c r="C725" s="11" t="str">
        <f>RAW_Продажи!B724</f>
        <v>386/24</v>
      </c>
      <c r="D725" s="11" t="str">
        <f>RAW_Продажи!C724</f>
        <v xml:space="preserve">3 шт.</v>
      </c>
      <c r="E725" s="11" t="str">
        <f>RAW_Продажи!D724</f>
        <v xml:space="preserve">7000 ₽</v>
      </c>
      <c r="F725" s="11" t="str">
        <f>RAW_Продажи!E724</f>
        <v>C0723</v>
      </c>
      <c r="G725" s="11" t="str">
        <f>RAW_Продажи!F724</f>
        <v>P004</v>
      </c>
      <c r="H725" s="11" t="str">
        <f>RAW_Продажи!G724</f>
        <v>canceled</v>
      </c>
      <c r="I725" s="12" t="str">
        <f t="shared" si="244"/>
        <v>386/24</v>
      </c>
      <c r="J725" s="12" t="str">
        <f t="shared" si="245"/>
        <v>₽</v>
      </c>
      <c r="K725" s="12">
        <f t="shared" si="246"/>
        <v>7000</v>
      </c>
      <c r="L725" s="19">
        <f t="shared" si="247"/>
        <v>46033</v>
      </c>
      <c r="M725" s="13" t="str">
        <f t="shared" si="248"/>
        <v>АРТ-386</v>
      </c>
      <c r="N725" s="13">
        <f t="shared" si="249"/>
        <v>3</v>
      </c>
      <c r="O725" s="13" t="str">
        <f>IFERROR(VLOOKUP(J725,Справочники!$G$6:$H$8,2,0),"RUB")</f>
        <v>RUB</v>
      </c>
      <c r="P725" s="14">
        <f>ROUND(K725*IFERROR(VLOOKUP(J725,Справочники!$G$6:$I$8,3,0),1),2)</f>
        <v>7000</v>
      </c>
      <c r="Q725" s="13" t="str">
        <f>IFERROR(VLOOKUP(H725,Справочники!$D$6:$E$14,2,0),"НЕИЗВЕСТНО")</f>
        <v>Отменен</v>
      </c>
      <c r="R725" s="20">
        <f>IFERROR(INDEX(Товары_очищенные!$Q$3:$Q$503,MATCH(M725,Товары_очищенные!$L$3:$L$503,0)),"нет в каталоге")</f>
        <v>114000</v>
      </c>
      <c r="S725" s="21" t="str">
        <f>IFERROR(INDEX(Товары_очищенные!$N$3:$N$503,MATCH(M725,Товары_очищенные!$L$3:$L$503,0)),"нет в каталоге")</f>
        <v>Ноутбуки</v>
      </c>
      <c r="T725" s="21" t="str">
        <f t="shared" si="250"/>
        <v>OK</v>
      </c>
      <c r="U725" s="12" t="str">
        <f t="shared" si="251"/>
        <v>11/01/2026|АРТ-386|C0723</v>
      </c>
      <c r="V725" s="12" t="str">
        <f t="shared" si="252"/>
        <v>оригинал</v>
      </c>
    </row>
    <row r="726" ht="15" customHeight="1">
      <c r="A726" s="10">
        <v>724</v>
      </c>
      <c r="B726" s="11" t="str">
        <f>RAW_Продажи!A725</f>
        <v>01/11/2026</v>
      </c>
      <c r="C726" s="11" t="str">
        <f>RAW_Продажи!B725</f>
        <v>№АРТ-391</v>
      </c>
      <c r="D726" s="11" t="str">
        <f>RAW_Продажи!C725</f>
        <v>-2</v>
      </c>
      <c r="E726" s="11" t="str">
        <f>RAW_Продажи!D725</f>
        <v>$115</v>
      </c>
      <c r="F726" s="11" t="str">
        <f>RAW_Продажи!E725</f>
        <v>C0724</v>
      </c>
      <c r="G726" s="11" t="str">
        <f>RAW_Продажи!F725</f>
        <v>P026</v>
      </c>
      <c r="H726" s="11" t="str">
        <f>RAW_Продажи!G725</f>
        <v>отменен</v>
      </c>
      <c r="I726" s="12" t="str">
        <f t="shared" si="244"/>
        <v>391</v>
      </c>
      <c r="J726" s="12" t="str">
        <f t="shared" si="245"/>
        <v>$</v>
      </c>
      <c r="K726" s="12">
        <f t="shared" si="246"/>
        <v>115</v>
      </c>
      <c r="L726" s="19">
        <f t="shared" si="247"/>
        <v>46033</v>
      </c>
      <c r="M726" s="13" t="str">
        <f t="shared" si="248"/>
        <v>АРТ-391</v>
      </c>
      <c r="N726" s="13">
        <f t="shared" si="249"/>
        <v>-2</v>
      </c>
      <c r="O726" s="13" t="str">
        <f>IFERROR(VLOOKUP(J726,Справочники!$G$6:$H$8,2,0),"RUB")</f>
        <v>USD</v>
      </c>
      <c r="P726" s="14">
        <f>ROUND(K726*IFERROR(VLOOKUP(J726,Справочники!$G$6:$I$8,3,0),1),2)</f>
        <v>10925</v>
      </c>
      <c r="Q726" s="13" t="str">
        <f>IFERROR(VLOOKUP(H726,Справочники!$D$6:$E$14,2,0),"НЕИЗВЕСТНО")</f>
        <v>Отменен</v>
      </c>
      <c r="R726" s="20">
        <f>IFERROR(INDEX(Товары_очищенные!$Q$3:$Q$503,MATCH(M726,Товары_очищенные!$L$3:$L$503,0)),"нет в каталоге")</f>
        <v>18990</v>
      </c>
      <c r="S726" s="21" t="str">
        <f>IFERROR(INDEX(Товары_очищенные!$N$3:$N$503,MATCH(M726,Товары_очищенные!$L$3:$L$503,0)),"нет в каталоге")</f>
        <v>Наушники</v>
      </c>
      <c r="T726" s="21" t="str">
        <f t="shared" si="250"/>
        <v>OK</v>
      </c>
      <c r="U726" s="12" t="str">
        <f t="shared" si="251"/>
        <v>11/01/2026|АРТ-391|C0724</v>
      </c>
      <c r="V726" s="12" t="str">
        <f t="shared" si="252"/>
        <v>оригинал</v>
      </c>
    </row>
    <row r="727" ht="15" customHeight="1">
      <c r="A727" s="10">
        <v>725</v>
      </c>
      <c r="B727" s="11" t="str">
        <f>RAW_Продажи!A726</f>
        <v>01/12/2026</v>
      </c>
      <c r="C727" s="11" t="str">
        <f>RAW_Продажи!B726</f>
        <v>АРТ_246</v>
      </c>
      <c r="D727" s="11" t="str">
        <f>RAW_Продажи!C726</f>
        <v>1</v>
      </c>
      <c r="E727" s="11" t="str">
        <f>RAW_Продажи!D726</f>
        <v>€95</v>
      </c>
      <c r="F727" s="11" t="str">
        <f>RAW_Продажи!E726</f>
        <v>C0725</v>
      </c>
      <c r="G727" s="11" t="str">
        <f>RAW_Продажи!F726</f>
        <v>P013</v>
      </c>
      <c r="H727" s="11" t="str">
        <f>RAW_Продажи!G726</f>
        <v>возврат</v>
      </c>
      <c r="I727" s="12" t="str">
        <f t="shared" si="244"/>
        <v>246</v>
      </c>
      <c r="J727" s="12" t="str">
        <f t="shared" si="245"/>
        <v>€</v>
      </c>
      <c r="K727" s="12">
        <f t="shared" si="246"/>
        <v>95</v>
      </c>
      <c r="L727" s="19">
        <f t="shared" si="247"/>
        <v>46034</v>
      </c>
      <c r="M727" s="13" t="str">
        <f t="shared" si="248"/>
        <v>АРТ-246</v>
      </c>
      <c r="N727" s="13">
        <f t="shared" si="249"/>
        <v>1</v>
      </c>
      <c r="O727" s="13" t="str">
        <f>IFERROR(VLOOKUP(J727,Справочники!$G$6:$H$8,2,0),"RUB")</f>
        <v>EUR</v>
      </c>
      <c r="P727" s="14">
        <f>ROUND(K727*IFERROR(VLOOKUP(J727,Справочники!$G$6:$I$8,3,0),1),2)</f>
        <v>9500</v>
      </c>
      <c r="Q727" s="13" t="str">
        <f>IFERROR(VLOOKUP(H727,Справочники!$D$6:$E$14,2,0),"НЕИЗВЕСТНО")</f>
        <v>Возврат</v>
      </c>
      <c r="R727" s="20">
        <f>IFERROR(INDEX(Товары_очищенные!$Q$3:$Q$503,MATCH(M727,Товары_очищенные!$L$3:$L$503,0)),"нет в каталоге")</f>
        <v>80000</v>
      </c>
      <c r="S727" s="21" t="str">
        <f>IFERROR(INDEX(Товары_очищенные!$N$3:$N$503,MATCH(M727,Товары_очищенные!$L$3:$L$503,0)),"нет в каталоге")</f>
        <v>Мониторы</v>
      </c>
      <c r="T727" s="21" t="str">
        <f t="shared" si="250"/>
        <v>OK</v>
      </c>
      <c r="U727" s="12" t="str">
        <f t="shared" si="251"/>
        <v>12/01/2026|АРТ-246|C0725</v>
      </c>
      <c r="V727" s="12" t="str">
        <f t="shared" si="252"/>
        <v>оригинал</v>
      </c>
    </row>
    <row r="728" ht="15" customHeight="1">
      <c r="A728" s="10">
        <v>726</v>
      </c>
      <c r="B728" s="11" t="str">
        <f>RAW_Продажи!A727</f>
        <v>01/12/2026</v>
      </c>
      <c r="C728" s="11" t="str">
        <f>RAW_Продажи!B727</f>
        <v>257-24</v>
      </c>
      <c r="D728" s="11" t="str">
        <f>RAW_Продажи!C727</f>
        <v>2</v>
      </c>
      <c r="E728" s="11" t="str">
        <f>RAW_Продажи!D727</f>
        <v xml:space="preserve">8500 ₽</v>
      </c>
      <c r="F728" s="11" t="str">
        <f>RAW_Продажи!E727</f>
        <v>C0726</v>
      </c>
      <c r="G728" s="11" t="str">
        <f>RAW_Продажи!F727</f>
        <v>P034</v>
      </c>
      <c r="H728" s="11" t="str">
        <f>RAW_Продажи!G727</f>
        <v>Завершен</v>
      </c>
      <c r="I728" s="12" t="str">
        <f t="shared" si="244"/>
        <v>257-24</v>
      </c>
      <c r="J728" s="12" t="str">
        <f t="shared" si="245"/>
        <v>₽</v>
      </c>
      <c r="K728" s="12">
        <f t="shared" si="246"/>
        <v>8500</v>
      </c>
      <c r="L728" s="19">
        <f t="shared" si="247"/>
        <v>46034</v>
      </c>
      <c r="M728" s="13" t="str">
        <f t="shared" si="248"/>
        <v>АРТ-257</v>
      </c>
      <c r="N728" s="13">
        <f t="shared" si="249"/>
        <v>2</v>
      </c>
      <c r="O728" s="13" t="str">
        <f>IFERROR(VLOOKUP(J728,Справочники!$G$6:$H$8,2,0),"RUB")</f>
        <v>RUB</v>
      </c>
      <c r="P728" s="14">
        <f>ROUND(K728*IFERROR(VLOOKUP(J728,Справочники!$G$6:$I$8,3,0),1),2)</f>
        <v>8500</v>
      </c>
      <c r="Q728" s="13" t="str">
        <f>IFERROR(VLOOKUP(H728,Справочники!$D$6:$E$14,2,0),"НЕИЗВЕСТНО")</f>
        <v>Завершен</v>
      </c>
      <c r="R728" s="20">
        <f>IFERROR(INDEX(Товары_очищенные!$Q$3:$Q$503,MATCH(M728,Товары_очищенные!$L$3:$L$503,0)),"нет в каталоге")</f>
        <v>36500</v>
      </c>
      <c r="S728" s="21" t="str">
        <f>IFERROR(INDEX(Товары_очищенные!$N$3:$N$503,MATCH(M728,Товары_очищенные!$L$3:$L$503,0)),"нет в каталоге")</f>
        <v>Смартфоны</v>
      </c>
      <c r="T728" s="21" t="str">
        <f t="shared" si="250"/>
        <v>OK</v>
      </c>
      <c r="U728" s="12" t="str">
        <f t="shared" si="251"/>
        <v>12/01/2026|АРТ-257|C0726</v>
      </c>
      <c r="V728" s="12" t="str">
        <f t="shared" si="252"/>
        <v>оригинал</v>
      </c>
    </row>
    <row r="729" ht="15" customHeight="1">
      <c r="A729" s="10">
        <v>727</v>
      </c>
      <c r="B729" s="11" t="str">
        <f>RAW_Продажи!A728</f>
        <v>01/13/2026</v>
      </c>
      <c r="C729" s="11" t="str">
        <f>RAW_Продажи!B728</f>
        <v>№АРТ-141</v>
      </c>
      <c r="D729" s="11" t="str">
        <f>RAW_Продажи!C728</f>
        <v>3</v>
      </c>
      <c r="E729" s="11" t="str">
        <f>RAW_Продажи!D728</f>
        <v>$105</v>
      </c>
      <c r="F729" s="11" t="str">
        <f>RAW_Продажи!E728</f>
        <v>C0727</v>
      </c>
      <c r="G729" s="11" t="str">
        <f>RAW_Продажи!F728</f>
        <v>P044</v>
      </c>
      <c r="H729" s="11" t="str">
        <f>RAW_Продажи!G728</f>
        <v>завершен</v>
      </c>
      <c r="I729" s="12" t="str">
        <f t="shared" si="244"/>
        <v>141</v>
      </c>
      <c r="J729" s="12" t="str">
        <f t="shared" si="245"/>
        <v>$</v>
      </c>
      <c r="K729" s="12">
        <f t="shared" si="246"/>
        <v>105</v>
      </c>
      <c r="L729" s="19">
        <f t="shared" si="247"/>
        <v>46035</v>
      </c>
      <c r="M729" s="13" t="str">
        <f t="shared" si="248"/>
        <v>АРТ-141</v>
      </c>
      <c r="N729" s="13">
        <f t="shared" si="249"/>
        <v>3</v>
      </c>
      <c r="O729" s="13" t="str">
        <f>IFERROR(VLOOKUP(J729,Справочники!$G$6:$H$8,2,0),"RUB")</f>
        <v>USD</v>
      </c>
      <c r="P729" s="14">
        <f>ROUND(K729*IFERROR(VLOOKUP(J729,Справочники!$G$6:$I$8,3,0),1),2)</f>
        <v>9975</v>
      </c>
      <c r="Q729" s="13" t="str">
        <f>IFERROR(VLOOKUP(H729,Справочники!$D$6:$E$14,2,0),"НЕИЗВЕСТНО")</f>
        <v>Завершен</v>
      </c>
      <c r="R729" s="20">
        <f>IFERROR(INDEX(Товары_очищенные!$Q$3:$Q$503,MATCH(M729,Товары_очищенные!$L$3:$L$503,0)),"нет в каталоге")</f>
        <v>92500</v>
      </c>
      <c r="S729" s="21" t="str">
        <f>IFERROR(INDEX(Товары_очищенные!$N$3:$N$503,MATCH(M729,Товары_очищенные!$L$3:$L$503,0)),"нет в каталоге")</f>
        <v>Мониторы</v>
      </c>
      <c r="T729" s="21" t="str">
        <f t="shared" si="250"/>
        <v>OK</v>
      </c>
      <c r="U729" s="12" t="str">
        <f t="shared" si="251"/>
        <v>13/01/2026|АРТ-141|C0727</v>
      </c>
      <c r="V729" s="12" t="str">
        <f t="shared" si="252"/>
        <v>оригинал</v>
      </c>
    </row>
    <row r="730" ht="15" customHeight="1">
      <c r="A730" s="10">
        <v>728</v>
      </c>
      <c r="B730" s="11" t="str">
        <f>RAW_Продажи!A729</f>
        <v>01/13/2026</v>
      </c>
      <c r="C730" s="11" t="str">
        <f>RAW_Продажи!B729</f>
        <v>АРТ_476</v>
      </c>
      <c r="D730" s="11" t="str">
        <f>RAW_Продажи!C729</f>
        <v>2</v>
      </c>
      <c r="E730" s="11" t="str">
        <f>RAW_Продажи!D729</f>
        <v>€85</v>
      </c>
      <c r="F730" s="11" t="str">
        <f>RAW_Продажи!E729</f>
        <v>C0728</v>
      </c>
      <c r="G730" s="11" t="str">
        <f>RAW_Продажи!F729</f>
        <v>P001</v>
      </c>
      <c r="H730" s="11" t="str">
        <f>RAW_Продажи!G729</f>
        <v>completed</v>
      </c>
      <c r="I730" s="12" t="str">
        <f t="shared" si="244"/>
        <v>476</v>
      </c>
      <c r="J730" s="12" t="str">
        <f t="shared" si="245"/>
        <v>€</v>
      </c>
      <c r="K730" s="12">
        <f t="shared" si="246"/>
        <v>85</v>
      </c>
      <c r="L730" s="19">
        <f t="shared" si="247"/>
        <v>46035</v>
      </c>
      <c r="M730" s="13" t="str">
        <f t="shared" si="248"/>
        <v>АРТ-476</v>
      </c>
      <c r="N730" s="13">
        <f t="shared" si="249"/>
        <v>2</v>
      </c>
      <c r="O730" s="13" t="str">
        <f>IFERROR(VLOOKUP(J730,Справочники!$G$6:$H$8,2,0),"RUB")</f>
        <v>EUR</v>
      </c>
      <c r="P730" s="14">
        <f>ROUND(K730*IFERROR(VLOOKUP(J730,Справочники!$G$6:$I$8,3,0),1),2)</f>
        <v>8500</v>
      </c>
      <c r="Q730" s="13" t="str">
        <f>IFERROR(VLOOKUP(H730,Справочники!$D$6:$E$14,2,0),"НЕИЗВЕСТНО")</f>
        <v>Завершен</v>
      </c>
      <c r="R730" s="20">
        <f>IFERROR(INDEX(Товары_очищенные!$Q$3:$Q$503,MATCH(M730,Товары_очищенные!$L$3:$L$503,0)),"нет в каталоге")</f>
        <v>50500</v>
      </c>
      <c r="S730" s="21" t="str">
        <f>IFERROR(INDEX(Товары_очищенные!$N$3:$N$503,MATCH(M730,Товары_очищенные!$L$3:$L$503,0)),"нет в каталоге")</f>
        <v>Мониторы</v>
      </c>
      <c r="T730" s="21" t="str">
        <f t="shared" si="250"/>
        <v>OK</v>
      </c>
      <c r="U730" s="12" t="str">
        <f t="shared" si="251"/>
        <v>13/01/2026|АРТ-476|C0728</v>
      </c>
      <c r="V730" s="12" t="str">
        <f t="shared" si="252"/>
        <v>оригинал</v>
      </c>
    </row>
    <row r="731" ht="15" customHeight="1">
      <c r="A731" s="10">
        <v>729</v>
      </c>
      <c r="B731" s="11" t="str">
        <f>RAW_Продажи!A730</f>
        <v>01/14/2026</v>
      </c>
      <c r="C731" s="11" t="str">
        <f>RAW_Продажи!B730</f>
        <v>374/24</v>
      </c>
      <c r="D731" s="11" t="str">
        <f>RAW_Продажи!C730</f>
        <v xml:space="preserve">1 шт.</v>
      </c>
      <c r="E731" s="11" t="str">
        <f>RAW_Продажи!D730</f>
        <v xml:space="preserve">7800 ₽</v>
      </c>
      <c r="F731" s="11" t="str">
        <f>RAW_Продажи!E730</f>
        <v>C0729</v>
      </c>
      <c r="G731" s="11" t="str">
        <f>RAW_Продажи!F730</f>
        <v>P021</v>
      </c>
      <c r="H731" s="11" t="str">
        <f>RAW_Продажи!G730</f>
        <v>отменен</v>
      </c>
      <c r="I731" s="12" t="str">
        <f t="shared" si="244"/>
        <v>374/24</v>
      </c>
      <c r="J731" s="12" t="str">
        <f t="shared" si="245"/>
        <v>₽</v>
      </c>
      <c r="K731" s="12">
        <f t="shared" si="246"/>
        <v>7800</v>
      </c>
      <c r="L731" s="19">
        <f t="shared" si="247"/>
        <v>46036</v>
      </c>
      <c r="M731" s="13" t="str">
        <f t="shared" si="248"/>
        <v>АРТ-374</v>
      </c>
      <c r="N731" s="13">
        <f t="shared" si="249"/>
        <v>1</v>
      </c>
      <c r="O731" s="13" t="str">
        <f>IFERROR(VLOOKUP(J731,Справочники!$G$6:$H$8,2,0),"RUB")</f>
        <v>RUB</v>
      </c>
      <c r="P731" s="14">
        <f>ROUND(K731*IFERROR(VLOOKUP(J731,Справочники!$G$6:$I$8,3,0),1),2)</f>
        <v>7800</v>
      </c>
      <c r="Q731" s="13" t="str">
        <f>IFERROR(VLOOKUP(H731,Справочники!$D$6:$E$14,2,0),"НЕИЗВЕСТНО")</f>
        <v>Отменен</v>
      </c>
      <c r="R731" s="20">
        <f>IFERROR(INDEX(Товары_очищенные!$Q$3:$Q$503,MATCH(M731,Товары_очищенные!$L$3:$L$503,0)),"нет в каталоге")</f>
        <v>13500</v>
      </c>
      <c r="S731" s="21" t="str">
        <f>IFERROR(INDEX(Товары_очищенные!$N$3:$N$503,MATCH(M731,Товары_очищенные!$L$3:$L$503,0)),"нет в каталоге")</f>
        <v>Аксессуары</v>
      </c>
      <c r="T731" s="21" t="str">
        <f t="shared" si="250"/>
        <v>OK</v>
      </c>
      <c r="U731" s="12" t="str">
        <f t="shared" si="251"/>
        <v>14/01/2026|АРТ-374|C0729</v>
      </c>
      <c r="V731" s="12" t="str">
        <f t="shared" si="252"/>
        <v>оригинал</v>
      </c>
    </row>
    <row r="732" ht="15" customHeight="1">
      <c r="A732" s="10">
        <v>730</v>
      </c>
      <c r="B732" s="11" t="str">
        <f>RAW_Продажи!A731</f>
        <v>01/14/2026</v>
      </c>
      <c r="C732" s="11" t="str">
        <f>RAW_Продажи!B731</f>
        <v>№АРТ-357</v>
      </c>
      <c r="D732" s="11" t="str">
        <f>RAW_Продажи!C731</f>
        <v>-3</v>
      </c>
      <c r="E732" s="11" t="str">
        <f>RAW_Продажи!D731</f>
        <v>$120</v>
      </c>
      <c r="F732" s="11" t="str">
        <f>RAW_Продажи!E731</f>
        <v>C0730</v>
      </c>
      <c r="G732" s="11" t="str">
        <f>RAW_Продажи!F731</f>
        <v>P039</v>
      </c>
      <c r="H732" s="11" t="str">
        <f>RAW_Продажи!G731</f>
        <v>canceled</v>
      </c>
      <c r="I732" s="12" t="str">
        <f t="shared" si="244"/>
        <v>357</v>
      </c>
      <c r="J732" s="12" t="str">
        <f t="shared" si="245"/>
        <v>$</v>
      </c>
      <c r="K732" s="12">
        <f t="shared" si="246"/>
        <v>120</v>
      </c>
      <c r="L732" s="19">
        <f t="shared" si="247"/>
        <v>46036</v>
      </c>
      <c r="M732" s="13" t="str">
        <f t="shared" si="248"/>
        <v>АРТ-357</v>
      </c>
      <c r="N732" s="13">
        <f t="shared" si="249"/>
        <v>-3</v>
      </c>
      <c r="O732" s="13" t="str">
        <f>IFERROR(VLOOKUP(J732,Справочники!$G$6:$H$8,2,0),"RUB")</f>
        <v>USD</v>
      </c>
      <c r="P732" s="14">
        <f>ROUND(K732*IFERROR(VLOOKUP(J732,Справочники!$G$6:$I$8,3,0),1),2)</f>
        <v>11400</v>
      </c>
      <c r="Q732" s="13" t="str">
        <f>IFERROR(VLOOKUP(H732,Справочники!$D$6:$E$14,2,0),"НЕИЗВЕСТНО")</f>
        <v>Отменен</v>
      </c>
      <c r="R732" s="20">
        <f>IFERROR(INDEX(Товары_очищенные!$Q$3:$Q$503,MATCH(M732,Товары_очищенные!$L$3:$L$503,0)),"нет в каталоге")</f>
        <v>88000</v>
      </c>
      <c r="S732" s="21" t="str">
        <f>IFERROR(INDEX(Товары_очищенные!$N$3:$N$503,MATCH(M732,Товары_очищенные!$L$3:$L$503,0)),"нет в каталоге")</f>
        <v>Смартфоны</v>
      </c>
      <c r="T732" s="21" t="str">
        <f t="shared" si="250"/>
        <v>OK</v>
      </c>
      <c r="U732" s="12" t="str">
        <f t="shared" si="251"/>
        <v>14/01/2026|АРТ-357|C0730</v>
      </c>
      <c r="V732" s="12" t="str">
        <f t="shared" si="252"/>
        <v>оригинал</v>
      </c>
    </row>
    <row r="733" ht="15" customHeight="1">
      <c r="A733" s="10">
        <v>731</v>
      </c>
      <c r="B733" s="11" t="str">
        <f>RAW_Продажи!A732</f>
        <v>01/15/2026</v>
      </c>
      <c r="C733" s="11" t="str">
        <f>RAW_Продажи!B732</f>
        <v>АРТ_278</v>
      </c>
      <c r="D733" s="11" t="str">
        <f>RAW_Продажи!C732</f>
        <v>2</v>
      </c>
      <c r="E733" s="11" t="str">
        <f>RAW_Продажи!D732</f>
        <v>€100</v>
      </c>
      <c r="F733" s="11" t="str">
        <f>RAW_Продажи!E732</f>
        <v>C0731</v>
      </c>
      <c r="G733" s="11" t="str">
        <f>RAW_Продажи!F732</f>
        <v>P050</v>
      </c>
      <c r="H733" s="11" t="str">
        <f>RAW_Продажи!G732</f>
        <v>Завершен</v>
      </c>
      <c r="I733" s="12" t="str">
        <f t="shared" si="244"/>
        <v>278</v>
      </c>
      <c r="J733" s="12" t="str">
        <f t="shared" si="245"/>
        <v>€</v>
      </c>
      <c r="K733" s="12">
        <f t="shared" si="246"/>
        <v>100</v>
      </c>
      <c r="L733" s="19">
        <f t="shared" si="247"/>
        <v>46037</v>
      </c>
      <c r="M733" s="13" t="str">
        <f t="shared" si="248"/>
        <v>АРТ-278</v>
      </c>
      <c r="N733" s="13">
        <f t="shared" si="249"/>
        <v>2</v>
      </c>
      <c r="O733" s="13" t="str">
        <f>IFERROR(VLOOKUP(J733,Справочники!$G$6:$H$8,2,0),"RUB")</f>
        <v>EUR</v>
      </c>
      <c r="P733" s="14">
        <f>ROUND(K733*IFERROR(VLOOKUP(J733,Справочники!$G$6:$I$8,3,0),1),2)</f>
        <v>10000</v>
      </c>
      <c r="Q733" s="13" t="str">
        <f>IFERROR(VLOOKUP(H733,Справочники!$D$6:$E$14,2,0),"НЕИЗВЕСТНО")</f>
        <v>Завершен</v>
      </c>
      <c r="R733" s="20">
        <f>IFERROR(INDEX(Товары_очищенные!$Q$3:$Q$503,MATCH(M733,Товары_очищенные!$L$3:$L$503,0)),"нет в каталоге")</f>
        <v>112000</v>
      </c>
      <c r="S733" s="21" t="str">
        <f>IFERROR(INDEX(Товары_очищенные!$N$3:$N$503,MATCH(M733,Товары_очищенные!$L$3:$L$503,0)),"нет в каталоге")</f>
        <v>Телевизоры</v>
      </c>
      <c r="T733" s="21" t="str">
        <f t="shared" si="250"/>
        <v>OK</v>
      </c>
      <c r="U733" s="12" t="str">
        <f t="shared" si="251"/>
        <v>15/01/2026|АРТ-278|C0731</v>
      </c>
      <c r="V733" s="12" t="str">
        <f t="shared" si="252"/>
        <v>оригинал</v>
      </c>
    </row>
    <row r="734" ht="15" customHeight="1">
      <c r="A734" s="10">
        <v>732</v>
      </c>
      <c r="B734" s="11" t="str">
        <f>RAW_Продажи!A733</f>
        <v>01/15/2026</v>
      </c>
      <c r="C734" s="11" t="str">
        <f>RAW_Продажи!B733</f>
        <v>174-24</v>
      </c>
      <c r="D734" s="11" t="str">
        <f>RAW_Продажи!C733</f>
        <v>1</v>
      </c>
      <c r="E734" s="11" t="str">
        <f>RAW_Продажи!D733</f>
        <v xml:space="preserve">9200 ₽</v>
      </c>
      <c r="F734" s="11" t="str">
        <f>RAW_Продажи!E733</f>
        <v>C0732</v>
      </c>
      <c r="G734" s="11" t="str">
        <f>RAW_Продажи!F733</f>
        <v>P011</v>
      </c>
      <c r="H734" s="11" t="str">
        <f>RAW_Продажи!G733</f>
        <v>возврат</v>
      </c>
      <c r="I734" s="12" t="str">
        <f t="shared" si="244"/>
        <v>174-24</v>
      </c>
      <c r="J734" s="12" t="str">
        <f t="shared" si="245"/>
        <v>₽</v>
      </c>
      <c r="K734" s="12">
        <f t="shared" si="246"/>
        <v>9200</v>
      </c>
      <c r="L734" s="19">
        <f t="shared" si="247"/>
        <v>46037</v>
      </c>
      <c r="M734" s="13" t="str">
        <f t="shared" si="248"/>
        <v>АРТ-174</v>
      </c>
      <c r="N734" s="13">
        <f t="shared" si="249"/>
        <v>1</v>
      </c>
      <c r="O734" s="13" t="str">
        <f>IFERROR(VLOOKUP(J734,Справочники!$G$6:$H$8,2,0),"RUB")</f>
        <v>RUB</v>
      </c>
      <c r="P734" s="14">
        <f>ROUND(K734*IFERROR(VLOOKUP(J734,Справочники!$G$6:$I$8,3,0),1),2)</f>
        <v>9200</v>
      </c>
      <c r="Q734" s="13" t="str">
        <f>IFERROR(VLOOKUP(H734,Справочники!$D$6:$E$14,2,0),"НЕИЗВЕСТНО")</f>
        <v>Возврат</v>
      </c>
      <c r="R734" s="20">
        <f>IFERROR(INDEX(Товары_очищенные!$Q$3:$Q$503,MATCH(M734,Товары_очищенные!$L$3:$L$503,0)),"нет в каталоге")</f>
        <v>107500</v>
      </c>
      <c r="S734" s="21" t="str">
        <f>IFERROR(INDEX(Товары_очищенные!$N$3:$N$503,MATCH(M734,Товары_очищенные!$L$3:$L$503,0)),"нет в каталоге")</f>
        <v>Ноутбуки</v>
      </c>
      <c r="T734" s="21" t="str">
        <f t="shared" si="250"/>
        <v>OK</v>
      </c>
      <c r="U734" s="12" t="str">
        <f t="shared" si="251"/>
        <v>15/01/2026|АРТ-174|C0732</v>
      </c>
      <c r="V734" s="12" t="str">
        <f t="shared" si="252"/>
        <v>оригинал</v>
      </c>
    </row>
    <row r="735" ht="15" customHeight="1">
      <c r="A735" s="10">
        <v>733</v>
      </c>
      <c r="B735" s="11" t="str">
        <f>RAW_Продажи!A734</f>
        <v>01/16/2026</v>
      </c>
      <c r="C735" s="11" t="str">
        <f>RAW_Продажи!B734</f>
        <v>№АРТ-050</v>
      </c>
      <c r="D735" s="11" t="str">
        <f>RAW_Продажи!C734</f>
        <v>3</v>
      </c>
      <c r="E735" s="11" t="str">
        <f>RAW_Продажи!D734</f>
        <v>$90</v>
      </c>
      <c r="F735" s="11" t="str">
        <f>RAW_Продажи!E734</f>
        <v>C0733</v>
      </c>
      <c r="G735" s="11" t="str">
        <f>RAW_Продажи!F734</f>
        <v>P027</v>
      </c>
      <c r="H735" s="11" t="str">
        <f>RAW_Продажи!G734</f>
        <v>завершен</v>
      </c>
      <c r="I735" s="12" t="str">
        <f t="shared" si="244"/>
        <v>050</v>
      </c>
      <c r="J735" s="12" t="str">
        <f t="shared" si="245"/>
        <v>$</v>
      </c>
      <c r="K735" s="12">
        <f t="shared" si="246"/>
        <v>90</v>
      </c>
      <c r="L735" s="19">
        <f t="shared" si="247"/>
        <v>46038</v>
      </c>
      <c r="M735" s="13" t="str">
        <f t="shared" si="248"/>
        <v>АРТ-050</v>
      </c>
      <c r="N735" s="13">
        <f t="shared" si="249"/>
        <v>3</v>
      </c>
      <c r="O735" s="13" t="str">
        <f>IFERROR(VLOOKUP(J735,Справочники!$G$6:$H$8,2,0),"RUB")</f>
        <v>USD</v>
      </c>
      <c r="P735" s="14">
        <f>ROUND(K735*IFERROR(VLOOKUP(J735,Справочники!$G$6:$I$8,3,0),1),2)</f>
        <v>8550</v>
      </c>
      <c r="Q735" s="13" t="str">
        <f>IFERROR(VLOOKUP(H735,Справочники!$D$6:$E$14,2,0),"НЕИЗВЕСТНО")</f>
        <v>Завершен</v>
      </c>
      <c r="R735" s="20">
        <f>IFERROR(INDEX(Товары_очищенные!$Q$3:$Q$503,MATCH(M735,Товары_очищенные!$L$3:$L$503,0)),"нет в каталоге")</f>
        <v>53500</v>
      </c>
      <c r="S735" s="21" t="str">
        <f>IFERROR(INDEX(Товары_очищенные!$N$3:$N$503,MATCH(M735,Товары_очищенные!$L$3:$L$503,0)),"нет в каталоге")</f>
        <v>Смартфоны</v>
      </c>
      <c r="T735" s="21" t="str">
        <f t="shared" si="250"/>
        <v>OK</v>
      </c>
      <c r="U735" s="12" t="str">
        <f t="shared" si="251"/>
        <v>16/01/2026|АРТ-050|C0733</v>
      </c>
      <c r="V735" s="12" t="str">
        <f t="shared" si="252"/>
        <v>оригинал</v>
      </c>
    </row>
    <row r="736" ht="15" customHeight="1">
      <c r="A736" s="10">
        <v>734</v>
      </c>
      <c r="B736" s="11" t="str">
        <f>RAW_Продажи!A735</f>
        <v>01/16/2026</v>
      </c>
      <c r="C736" s="11" t="str">
        <f>RAW_Продажи!B735</f>
        <v>АРТ_443</v>
      </c>
      <c r="D736" s="11" t="str">
        <f>RAW_Продажи!C735</f>
        <v>2</v>
      </c>
      <c r="E736" s="11" t="str">
        <f>RAW_Продажи!D735</f>
        <v>€70</v>
      </c>
      <c r="F736" s="11" t="str">
        <f>RAW_Продажи!E735</f>
        <v>C0734</v>
      </c>
      <c r="G736" s="11" t="str">
        <f>RAW_Продажи!F735</f>
        <v>P018</v>
      </c>
      <c r="H736" s="11" t="str">
        <f>RAW_Продажи!G735</f>
        <v>completed</v>
      </c>
      <c r="I736" s="12" t="str">
        <f t="shared" si="244"/>
        <v>443</v>
      </c>
      <c r="J736" s="12" t="str">
        <f t="shared" si="245"/>
        <v>€</v>
      </c>
      <c r="K736" s="12">
        <f t="shared" si="246"/>
        <v>70</v>
      </c>
      <c r="L736" s="19">
        <f t="shared" si="247"/>
        <v>46038</v>
      </c>
      <c r="M736" s="13" t="str">
        <f t="shared" si="248"/>
        <v>АРТ-443</v>
      </c>
      <c r="N736" s="13">
        <f t="shared" si="249"/>
        <v>2</v>
      </c>
      <c r="O736" s="13" t="str">
        <f>IFERROR(VLOOKUP(J736,Справочники!$G$6:$H$8,2,0),"RUB")</f>
        <v>EUR</v>
      </c>
      <c r="P736" s="14">
        <f>ROUND(K736*IFERROR(VLOOKUP(J736,Справочники!$G$6:$I$8,3,0),1),2)</f>
        <v>7000</v>
      </c>
      <c r="Q736" s="13" t="str">
        <f>IFERROR(VLOOKUP(H736,Справочники!$D$6:$E$14,2,0),"НЕИЗВЕСТНО")</f>
        <v>Завершен</v>
      </c>
      <c r="R736" s="20">
        <f>IFERROR(INDEX(Товары_очищенные!$Q$3:$Q$503,MATCH(M736,Товары_очищенные!$L$3:$L$503,0)),"нет в каталоге")</f>
        <v>23500</v>
      </c>
      <c r="S736" s="21" t="str">
        <f>IFERROR(INDEX(Товары_очищенные!$N$3:$N$503,MATCH(M736,Товары_очищенные!$L$3:$L$503,0)),"нет в каталоге")</f>
        <v>Смартфоны</v>
      </c>
      <c r="T736" s="21" t="str">
        <f t="shared" si="250"/>
        <v>OK</v>
      </c>
      <c r="U736" s="12" t="str">
        <f t="shared" si="251"/>
        <v>16/01/2026|АРТ-443|C0734</v>
      </c>
      <c r="V736" s="12" t="str">
        <f t="shared" si="252"/>
        <v>оригинал</v>
      </c>
    </row>
    <row r="737" ht="15" customHeight="1">
      <c r="A737" s="10">
        <v>735</v>
      </c>
      <c r="B737" s="11" t="str">
        <f>RAW_Продажи!A736</f>
        <v>01/17/2026</v>
      </c>
      <c r="C737" s="11" t="str">
        <f>RAW_Продажи!B736</f>
        <v>397/24</v>
      </c>
      <c r="D737" s="11" t="str">
        <f>RAW_Продажи!C736</f>
        <v xml:space="preserve">1 шт.</v>
      </c>
      <c r="E737" s="11" t="str">
        <f>RAW_Продажи!D736</f>
        <v xml:space="preserve">6500 ₽</v>
      </c>
      <c r="F737" s="11" t="str">
        <f>RAW_Продажи!E736</f>
        <v>C0735</v>
      </c>
      <c r="G737" s="11" t="str">
        <f>RAW_Продажи!F736</f>
        <v>P040</v>
      </c>
      <c r="H737" s="11" t="str">
        <f>RAW_Продажи!G736</f>
        <v>Завершен</v>
      </c>
      <c r="I737" s="12" t="str">
        <f t="shared" si="244"/>
        <v>397/24</v>
      </c>
      <c r="J737" s="12" t="str">
        <f t="shared" si="245"/>
        <v>₽</v>
      </c>
      <c r="K737" s="12">
        <f t="shared" si="246"/>
        <v>6500</v>
      </c>
      <c r="L737" s="19">
        <f t="shared" si="247"/>
        <v>46039</v>
      </c>
      <c r="M737" s="13" t="str">
        <f t="shared" si="248"/>
        <v>АРТ-397</v>
      </c>
      <c r="N737" s="13">
        <f t="shared" si="249"/>
        <v>1</v>
      </c>
      <c r="O737" s="13" t="str">
        <f>IFERROR(VLOOKUP(J737,Справочники!$G$6:$H$8,2,0),"RUB")</f>
        <v>RUB</v>
      </c>
      <c r="P737" s="14">
        <f>ROUND(K737*IFERROR(VLOOKUP(J737,Справочники!$G$6:$I$8,3,0),1),2)</f>
        <v>6500</v>
      </c>
      <c r="Q737" s="13" t="str">
        <f>IFERROR(VLOOKUP(H737,Справочники!$D$6:$E$14,2,0),"НЕИЗВЕСТНО")</f>
        <v>Завершен</v>
      </c>
      <c r="R737" s="20">
        <f>IFERROR(INDEX(Товары_очищенные!$Q$3:$Q$503,MATCH(M737,Товары_очищенные!$L$3:$L$503,0)),"нет в каталоге")</f>
        <v>7990</v>
      </c>
      <c r="S737" s="21" t="str">
        <f>IFERROR(INDEX(Товары_очищенные!$N$3:$N$503,MATCH(M737,Товары_очищенные!$L$3:$L$503,0)),"нет в каталоге")</f>
        <v>Аксессуары</v>
      </c>
      <c r="T737" s="21" t="str">
        <f t="shared" si="250"/>
        <v>OK</v>
      </c>
      <c r="U737" s="12" t="str">
        <f t="shared" si="251"/>
        <v>17/01/2026|АРТ-397|C0735</v>
      </c>
      <c r="V737" s="12" t="str">
        <f t="shared" si="252"/>
        <v>оригинал</v>
      </c>
    </row>
    <row r="738" ht="15" customHeight="1">
      <c r="A738" s="10">
        <v>736</v>
      </c>
      <c r="B738" s="11" t="str">
        <f>RAW_Продажи!A737</f>
        <v>01/17/2026</v>
      </c>
      <c r="C738" s="11" t="str">
        <f>RAW_Продажи!B737</f>
        <v>№АРТ-391</v>
      </c>
      <c r="D738" s="11" t="str">
        <f>RAW_Продажи!C737</f>
        <v>-1</v>
      </c>
      <c r="E738" s="11" t="str">
        <f>RAW_Продажи!D737</f>
        <v>$110</v>
      </c>
      <c r="F738" s="11" t="str">
        <f>RAW_Продажи!E737</f>
        <v>C0736</v>
      </c>
      <c r="G738" s="11" t="str">
        <f>RAW_Продажи!F737</f>
        <v>P003</v>
      </c>
      <c r="H738" s="11" t="str">
        <f>RAW_Продажи!G737</f>
        <v>canceled</v>
      </c>
      <c r="I738" s="12" t="str">
        <f t="shared" si="244"/>
        <v>391</v>
      </c>
      <c r="J738" s="12" t="str">
        <f t="shared" si="245"/>
        <v>$</v>
      </c>
      <c r="K738" s="12">
        <f t="shared" si="246"/>
        <v>110</v>
      </c>
      <c r="L738" s="19">
        <f t="shared" si="247"/>
        <v>46039</v>
      </c>
      <c r="M738" s="13" t="str">
        <f t="shared" si="248"/>
        <v>АРТ-391</v>
      </c>
      <c r="N738" s="13">
        <f t="shared" si="249"/>
        <v>-1</v>
      </c>
      <c r="O738" s="13" t="str">
        <f>IFERROR(VLOOKUP(J738,Справочники!$G$6:$H$8,2,0),"RUB")</f>
        <v>USD</v>
      </c>
      <c r="P738" s="14">
        <f>ROUND(K738*IFERROR(VLOOKUP(J738,Справочники!$G$6:$I$8,3,0),1),2)</f>
        <v>10450</v>
      </c>
      <c r="Q738" s="13" t="str">
        <f>IFERROR(VLOOKUP(H738,Справочники!$D$6:$E$14,2,0),"НЕИЗВЕСТНО")</f>
        <v>Отменен</v>
      </c>
      <c r="R738" s="20">
        <f>IFERROR(INDEX(Товары_очищенные!$Q$3:$Q$503,MATCH(M738,Товары_очищенные!$L$3:$L$503,0)),"нет в каталоге")</f>
        <v>18990</v>
      </c>
      <c r="S738" s="21" t="str">
        <f>IFERROR(INDEX(Товары_очищенные!$N$3:$N$503,MATCH(M738,Товары_очищенные!$L$3:$L$503,0)),"нет в каталоге")</f>
        <v>Наушники</v>
      </c>
      <c r="T738" s="21" t="str">
        <f t="shared" si="250"/>
        <v>OK</v>
      </c>
      <c r="U738" s="12" t="str">
        <f t="shared" si="251"/>
        <v>17/01/2026|АРТ-391|C0736</v>
      </c>
      <c r="V738" s="12" t="str">
        <f t="shared" si="252"/>
        <v>оригинал</v>
      </c>
    </row>
    <row r="739" ht="15" customHeight="1">
      <c r="A739" s="10">
        <v>737</v>
      </c>
      <c r="B739" s="11" t="str">
        <f>RAW_Продажи!A738</f>
        <v>01/18/2026</v>
      </c>
      <c r="C739" s="11" t="str">
        <f>RAW_Продажи!B738</f>
        <v>АРТ_347</v>
      </c>
      <c r="D739" s="11" t="str">
        <f>RAW_Продажи!C738</f>
        <v>3</v>
      </c>
      <c r="E739" s="11" t="str">
        <f>RAW_Продажи!D738</f>
        <v>€90</v>
      </c>
      <c r="F739" s="11" t="str">
        <f>RAW_Продажи!E738</f>
        <v>C0737</v>
      </c>
      <c r="G739" s="11" t="str">
        <f>RAW_Продажи!F738</f>
        <v>P025</v>
      </c>
      <c r="H739" s="11" t="str">
        <f>RAW_Продажи!G738</f>
        <v>отменен</v>
      </c>
      <c r="I739" s="12" t="str">
        <f t="shared" si="244"/>
        <v>347</v>
      </c>
      <c r="J739" s="12" t="str">
        <f t="shared" si="245"/>
        <v>€</v>
      </c>
      <c r="K739" s="12">
        <f t="shared" si="246"/>
        <v>90</v>
      </c>
      <c r="L739" s="19">
        <f t="shared" si="247"/>
        <v>46040</v>
      </c>
      <c r="M739" s="13" t="str">
        <f t="shared" si="248"/>
        <v>АРТ-347</v>
      </c>
      <c r="N739" s="13">
        <f t="shared" si="249"/>
        <v>3</v>
      </c>
      <c r="O739" s="13" t="str">
        <f>IFERROR(VLOOKUP(J739,Справочники!$G$6:$H$8,2,0),"RUB")</f>
        <v>EUR</v>
      </c>
      <c r="P739" s="14">
        <f>ROUND(K739*IFERROR(VLOOKUP(J739,Справочники!$G$6:$I$8,3,0),1),2)</f>
        <v>9000</v>
      </c>
      <c r="Q739" s="13" t="str">
        <f>IFERROR(VLOOKUP(H739,Справочники!$D$6:$E$14,2,0),"НЕИЗВЕСТНО")</f>
        <v>Отменен</v>
      </c>
      <c r="R739" s="20">
        <f>IFERROR(INDEX(Товары_очищенные!$Q$3:$Q$503,MATCH(M739,Товары_очищенные!$L$3:$L$503,0)),"нет в каталоге")</f>
        <v>19000</v>
      </c>
      <c r="S739" s="21" t="str">
        <f>IFERROR(INDEX(Товары_очищенные!$N$3:$N$503,MATCH(M739,Товары_очищенные!$L$3:$L$503,0)),"нет в каталоге")</f>
        <v>Наушники</v>
      </c>
      <c r="T739" s="21" t="str">
        <f t="shared" si="250"/>
        <v>OK</v>
      </c>
      <c r="U739" s="12" t="str">
        <f t="shared" si="251"/>
        <v>18/01/2026|АРТ-347|C0737</v>
      </c>
      <c r="V739" s="12" t="str">
        <f t="shared" si="252"/>
        <v>оригинал</v>
      </c>
    </row>
    <row r="740" ht="15" customHeight="1">
      <c r="A740" s="10">
        <v>738</v>
      </c>
      <c r="B740" s="11" t="str">
        <f>RAW_Продажи!A739</f>
        <v>01/18/2026</v>
      </c>
      <c r="C740" s="11" t="str">
        <f>RAW_Продажи!B739</f>
        <v>131-24</v>
      </c>
      <c r="D740" s="11" t="str">
        <f>RAW_Продажи!C739</f>
        <v>2</v>
      </c>
      <c r="E740" s="11" t="str">
        <f>RAW_Продажи!D739</f>
        <v xml:space="preserve">8000 ₽</v>
      </c>
      <c r="F740" s="11" t="str">
        <f>RAW_Продажи!E739</f>
        <v>C0738</v>
      </c>
      <c r="G740" s="11" t="str">
        <f>RAW_Продажи!F739</f>
        <v>P010</v>
      </c>
      <c r="H740" s="11" t="str">
        <f>RAW_Продажи!G739</f>
        <v>возврат</v>
      </c>
      <c r="I740" s="12" t="str">
        <f t="shared" ref="I740:I803" si="253">SUBSTITUTE(SUBSTITUTE(C740,"№АРТ-",""),"АРТ_","")</f>
        <v>131-24</v>
      </c>
      <c r="J740" s="12" t="str">
        <f t="shared" ref="J740:J803" si="254">IF(LEFT(TRIM(E740),1)="$","$",IF(LEFT(TRIM(E740),1)="€","€","₽"))</f>
        <v>₽</v>
      </c>
      <c r="K740" s="12">
        <f t="shared" ref="K740:K803" si="255">VALUE(SUBSTITUTE(SUBSTITUTE(SUBSTITUTE(SUBSTITUTE(TRIM(E740),"$",""),"€",""),"₽","")," ",""))</f>
        <v>8000</v>
      </c>
      <c r="L740" s="19">
        <f t="shared" ref="L740:L803" si="256">DATE(VALUE(MID(B740,7,4)),VALUE(LEFT(B740,2)),VALUE(MID(B740,4,2)))</f>
        <v>46040</v>
      </c>
      <c r="M740" s="13" t="str">
        <f t="shared" ref="M740:M803" si="257">"АРТ-"&amp;LEFT(I740,3)</f>
        <v>АРТ-131</v>
      </c>
      <c r="N740" s="13">
        <f t="shared" ref="N740:N803" si="258">VALUE(LEFT(TRIM(D740),FIND(" ",TRIM(D740)&amp;" ")-1))</f>
        <v>2</v>
      </c>
      <c r="O740" s="13" t="str">
        <f>IFERROR(VLOOKUP(J740,Справочники!$G$6:$H$8,2,0),"RUB")</f>
        <v>RUB</v>
      </c>
      <c r="P740" s="14">
        <f>ROUND(K740*IFERROR(VLOOKUP(J740,Справочники!$G$6:$I$8,3,0),1),2)</f>
        <v>8000</v>
      </c>
      <c r="Q740" s="13" t="str">
        <f>IFERROR(VLOOKUP(H740,Справочники!$D$6:$E$14,2,0),"НЕИЗВЕСТНО")</f>
        <v>Возврат</v>
      </c>
      <c r="R740" s="20">
        <f>IFERROR(INDEX(Товары_очищенные!$Q$3:$Q$503,MATCH(M740,Товары_очищенные!$L$3:$L$503,0)),"нет в каталоге")</f>
        <v>41500</v>
      </c>
      <c r="S740" s="21" t="str">
        <f>IFERROR(INDEX(Товары_очищенные!$N$3:$N$503,MATCH(M740,Товары_очищенные!$L$3:$L$503,0)),"нет в каталоге")</f>
        <v>Планшеты</v>
      </c>
      <c r="T740" s="21" t="str">
        <f t="shared" ref="T740:T803" si="259">IF(ISNUMBER(R740),IF(P740&lt;=R740*1.5,"OK","Цена выше розницы"),"—")</f>
        <v>OK</v>
      </c>
      <c r="U740" s="12" t="str">
        <f t="shared" ref="U740:U803" si="260">TEXT(L740,"DD.MM.YYYY")&amp;"|"&amp;M740&amp;"|"&amp;F740</f>
        <v>18/01/2026|АРТ-131|C0738</v>
      </c>
      <c r="V740" s="12" t="str">
        <f t="shared" ref="V740:V803" si="261">IF(COUNTIF($U$3:U740,U740)&gt;1,"ДУБЛЬ","оригинал")</f>
        <v>оригинал</v>
      </c>
    </row>
    <row r="741" ht="15" customHeight="1">
      <c r="A741" s="10">
        <v>739</v>
      </c>
      <c r="B741" s="11" t="str">
        <f>RAW_Продажи!A740</f>
        <v>01/19/2026</v>
      </c>
      <c r="C741" s="11" t="str">
        <f>RAW_Продажи!B740</f>
        <v>№АРТ-105</v>
      </c>
      <c r="D741" s="11" t="str">
        <f>RAW_Продажи!C740</f>
        <v>1</v>
      </c>
      <c r="E741" s="11" t="str">
        <f>RAW_Продажи!D740</f>
        <v>$95</v>
      </c>
      <c r="F741" s="11" t="str">
        <f>RAW_Продажи!E740</f>
        <v>C0739</v>
      </c>
      <c r="G741" s="11" t="str">
        <f>RAW_Продажи!F740</f>
        <v>P033</v>
      </c>
      <c r="H741" s="11" t="str">
        <f>RAW_Продажи!G740</f>
        <v>Завершен</v>
      </c>
      <c r="I741" s="12" t="str">
        <f t="shared" si="253"/>
        <v>105</v>
      </c>
      <c r="J741" s="12" t="str">
        <f t="shared" si="254"/>
        <v>$</v>
      </c>
      <c r="K741" s="12">
        <f t="shared" si="255"/>
        <v>95</v>
      </c>
      <c r="L741" s="19">
        <f t="shared" si="256"/>
        <v>46041</v>
      </c>
      <c r="M741" s="13" t="str">
        <f t="shared" si="257"/>
        <v>АРТ-105</v>
      </c>
      <c r="N741" s="13">
        <f t="shared" si="258"/>
        <v>1</v>
      </c>
      <c r="O741" s="13" t="str">
        <f>IFERROR(VLOOKUP(J741,Справочники!$G$6:$H$8,2,0),"RUB")</f>
        <v>USD</v>
      </c>
      <c r="P741" s="14">
        <f>ROUND(K741*IFERROR(VLOOKUP(J741,Справочники!$G$6:$I$8,3,0),1),2)</f>
        <v>9025</v>
      </c>
      <c r="Q741" s="13" t="str">
        <f>IFERROR(VLOOKUP(H741,Справочники!$D$6:$E$14,2,0),"НЕИЗВЕСТНО")</f>
        <v>Завершен</v>
      </c>
      <c r="R741" s="20">
        <f>IFERROR(INDEX(Товары_очищенные!$Q$3:$Q$503,MATCH(M741,Товары_очищенные!$L$3:$L$503,0)),"нет в каталоге")</f>
        <v>152000</v>
      </c>
      <c r="S741" s="21" t="str">
        <f>IFERROR(INDEX(Товары_очищенные!$N$3:$N$503,MATCH(M741,Товары_очищенные!$L$3:$L$503,0)),"нет в каталоге")</f>
        <v>Ноутбуки</v>
      </c>
      <c r="T741" s="21" t="str">
        <f t="shared" si="259"/>
        <v>OK</v>
      </c>
      <c r="U741" s="12" t="str">
        <f t="shared" si="260"/>
        <v>19/01/2026|АРТ-105|C0739</v>
      </c>
      <c r="V741" s="12" t="str">
        <f t="shared" si="261"/>
        <v>оригинал</v>
      </c>
    </row>
    <row r="742" ht="15" customHeight="1">
      <c r="A742" s="10">
        <v>740</v>
      </c>
      <c r="B742" s="11" t="str">
        <f>RAW_Продажи!A741</f>
        <v>01/19/2026</v>
      </c>
      <c r="C742" s="11" t="str">
        <f>RAW_Продажи!B741</f>
        <v>АРТ_472</v>
      </c>
      <c r="D742" s="11" t="str">
        <f>RAW_Продажи!C741</f>
        <v>2</v>
      </c>
      <c r="E742" s="11" t="str">
        <f>RAW_Продажи!D741</f>
        <v>€75</v>
      </c>
      <c r="F742" s="11" t="str">
        <f>RAW_Продажи!E741</f>
        <v>C0740</v>
      </c>
      <c r="G742" s="11" t="str">
        <f>RAW_Продажи!F741</f>
        <v>P047</v>
      </c>
      <c r="H742" s="11" t="str">
        <f>RAW_Продажи!G741</f>
        <v>завершен</v>
      </c>
      <c r="I742" s="12" t="str">
        <f t="shared" si="253"/>
        <v>472</v>
      </c>
      <c r="J742" s="12" t="str">
        <f t="shared" si="254"/>
        <v>€</v>
      </c>
      <c r="K742" s="12">
        <f t="shared" si="255"/>
        <v>75</v>
      </c>
      <c r="L742" s="19">
        <f t="shared" si="256"/>
        <v>46041</v>
      </c>
      <c r="M742" s="13" t="str">
        <f t="shared" si="257"/>
        <v>АРТ-472</v>
      </c>
      <c r="N742" s="13">
        <f t="shared" si="258"/>
        <v>2</v>
      </c>
      <c r="O742" s="13" t="str">
        <f>IFERROR(VLOOKUP(J742,Справочники!$G$6:$H$8,2,0),"RUB")</f>
        <v>EUR</v>
      </c>
      <c r="P742" s="14">
        <f>ROUND(K742*IFERROR(VLOOKUP(J742,Справочники!$G$6:$I$8,3,0),1),2)</f>
        <v>7500</v>
      </c>
      <c r="Q742" s="13" t="str">
        <f>IFERROR(VLOOKUP(H742,Справочники!$D$6:$E$14,2,0),"НЕИЗВЕСТНО")</f>
        <v>Завершен</v>
      </c>
      <c r="R742" s="20">
        <f>IFERROR(INDEX(Товары_очищенные!$Q$3:$Q$503,MATCH(M742,Товары_очищенные!$L$3:$L$503,0)),"нет в каталоге")</f>
        <v>8990</v>
      </c>
      <c r="S742" s="21" t="str">
        <f>IFERROR(INDEX(Товары_очищенные!$N$3:$N$503,MATCH(M742,Товары_очищенные!$L$3:$L$503,0)),"нет в каталоге")</f>
        <v>Наушники</v>
      </c>
      <c r="T742" s="21" t="str">
        <f t="shared" si="259"/>
        <v>OK</v>
      </c>
      <c r="U742" s="12" t="str">
        <f t="shared" si="260"/>
        <v>19/01/2026|АРТ-472|C0740</v>
      </c>
      <c r="V742" s="12" t="str">
        <f t="shared" si="261"/>
        <v>оригинал</v>
      </c>
    </row>
    <row r="743" ht="15" customHeight="1">
      <c r="A743" s="10">
        <v>741</v>
      </c>
      <c r="B743" s="11" t="str">
        <f>RAW_Продажи!A742</f>
        <v>01/20/2026</v>
      </c>
      <c r="C743" s="11" t="str">
        <f>RAW_Продажи!B742</f>
        <v>351/24</v>
      </c>
      <c r="D743" s="11" t="str">
        <f>RAW_Продажи!C742</f>
        <v xml:space="preserve">3 шт.</v>
      </c>
      <c r="E743" s="11" t="str">
        <f>RAW_Продажи!D742</f>
        <v xml:space="preserve">7000 ₽</v>
      </c>
      <c r="F743" s="11" t="str">
        <f>RAW_Продажи!E742</f>
        <v>C0741</v>
      </c>
      <c r="G743" s="11" t="str">
        <f>RAW_Продажи!F742</f>
        <v>P020</v>
      </c>
      <c r="H743" s="11" t="str">
        <f>RAW_Продажи!G742</f>
        <v>completed</v>
      </c>
      <c r="I743" s="12" t="str">
        <f t="shared" si="253"/>
        <v>351/24</v>
      </c>
      <c r="J743" s="12" t="str">
        <f t="shared" si="254"/>
        <v>₽</v>
      </c>
      <c r="K743" s="12">
        <f t="shared" si="255"/>
        <v>7000</v>
      </c>
      <c r="L743" s="19">
        <f t="shared" si="256"/>
        <v>46042</v>
      </c>
      <c r="M743" s="13" t="str">
        <f t="shared" si="257"/>
        <v>АРТ-351</v>
      </c>
      <c r="N743" s="13">
        <f t="shared" si="258"/>
        <v>3</v>
      </c>
      <c r="O743" s="13" t="str">
        <f>IFERROR(VLOOKUP(J743,Справочники!$G$6:$H$8,2,0),"RUB")</f>
        <v>RUB</v>
      </c>
      <c r="P743" s="14">
        <f>ROUND(K743*IFERROR(VLOOKUP(J743,Справочники!$G$6:$I$8,3,0),1),2)</f>
        <v>7000</v>
      </c>
      <c r="Q743" s="13" t="str">
        <f>IFERROR(VLOOKUP(H743,Справочники!$D$6:$E$14,2,0),"НЕИЗВЕСТНО")</f>
        <v>Завершен</v>
      </c>
      <c r="R743" s="20">
        <f>IFERROR(INDEX(Товары_очищенные!$Q$3:$Q$503,MATCH(M743,Товары_очищенные!$L$3:$L$503,0)),"нет в каталоге")</f>
        <v>57000</v>
      </c>
      <c r="S743" s="21" t="str">
        <f>IFERROR(INDEX(Товары_очищенные!$N$3:$N$503,MATCH(M743,Товары_очищенные!$L$3:$L$503,0)),"нет в каталоге")</f>
        <v>Мониторы</v>
      </c>
      <c r="T743" s="21" t="str">
        <f t="shared" si="259"/>
        <v>OK</v>
      </c>
      <c r="U743" s="12" t="str">
        <f t="shared" si="260"/>
        <v>20/01/2026|АРТ-351|C0741</v>
      </c>
      <c r="V743" s="12" t="str">
        <f t="shared" si="261"/>
        <v>оригинал</v>
      </c>
    </row>
    <row r="744" ht="15" customHeight="1">
      <c r="A744" s="10">
        <v>742</v>
      </c>
      <c r="B744" s="11" t="str">
        <f>RAW_Продажи!A743</f>
        <v>01/20/2026</v>
      </c>
      <c r="C744" s="11" t="str">
        <f>RAW_Продажи!B743</f>
        <v>№АРТ-351</v>
      </c>
      <c r="D744" s="11" t="str">
        <f>RAW_Продажи!C743</f>
        <v>-2</v>
      </c>
      <c r="E744" s="11" t="str">
        <f>RAW_Продажи!D743</f>
        <v>$115</v>
      </c>
      <c r="F744" s="11" t="str">
        <f>RAW_Продажи!E743</f>
        <v>C0742</v>
      </c>
      <c r="G744" s="11" t="str">
        <f>RAW_Продажи!F743</f>
        <v>P002</v>
      </c>
      <c r="H744" s="11" t="str">
        <f>RAW_Продажи!G743</f>
        <v>отменен</v>
      </c>
      <c r="I744" s="12" t="str">
        <f t="shared" si="253"/>
        <v>351</v>
      </c>
      <c r="J744" s="12" t="str">
        <f t="shared" si="254"/>
        <v>$</v>
      </c>
      <c r="K744" s="12">
        <f t="shared" si="255"/>
        <v>115</v>
      </c>
      <c r="L744" s="19">
        <f t="shared" si="256"/>
        <v>46042</v>
      </c>
      <c r="M744" s="13" t="str">
        <f t="shared" si="257"/>
        <v>АРТ-351</v>
      </c>
      <c r="N744" s="13">
        <f t="shared" si="258"/>
        <v>-2</v>
      </c>
      <c r="O744" s="13" t="str">
        <f>IFERROR(VLOOKUP(J744,Справочники!$G$6:$H$8,2,0),"RUB")</f>
        <v>USD</v>
      </c>
      <c r="P744" s="14">
        <f>ROUND(K744*IFERROR(VLOOKUP(J744,Справочники!$G$6:$I$8,3,0),1),2)</f>
        <v>10925</v>
      </c>
      <c r="Q744" s="13" t="str">
        <f>IFERROR(VLOOKUP(H744,Справочники!$D$6:$E$14,2,0),"НЕИЗВЕСТНО")</f>
        <v>Отменен</v>
      </c>
      <c r="R744" s="20">
        <f>IFERROR(INDEX(Товары_очищенные!$Q$3:$Q$503,MATCH(M744,Товары_очищенные!$L$3:$L$503,0)),"нет в каталоге")</f>
        <v>57000</v>
      </c>
      <c r="S744" s="21" t="str">
        <f>IFERROR(INDEX(Товары_очищенные!$N$3:$N$503,MATCH(M744,Товары_очищенные!$L$3:$L$503,0)),"нет в каталоге")</f>
        <v>Мониторы</v>
      </c>
      <c r="T744" s="21" t="str">
        <f t="shared" si="259"/>
        <v>OK</v>
      </c>
      <c r="U744" s="12" t="str">
        <f t="shared" si="260"/>
        <v>20/01/2026|АРТ-351|C0742</v>
      </c>
      <c r="V744" s="12" t="str">
        <f t="shared" si="261"/>
        <v>оригинал</v>
      </c>
    </row>
    <row r="745" ht="15" customHeight="1">
      <c r="A745" s="10">
        <v>743</v>
      </c>
      <c r="B745" s="11" t="str">
        <f>RAW_Продажи!A744</f>
        <v>01/21/2026</v>
      </c>
      <c r="C745" s="11" t="str">
        <f>RAW_Продажи!B744</f>
        <v>АРТ_324</v>
      </c>
      <c r="D745" s="11" t="str">
        <f>RAW_Продажи!C744</f>
        <v>1</v>
      </c>
      <c r="E745" s="11" t="str">
        <f>RAW_Продажи!D744</f>
        <v>€95</v>
      </c>
      <c r="F745" s="11" t="str">
        <f>RAW_Продажи!E744</f>
        <v>C0743</v>
      </c>
      <c r="G745" s="11" t="str">
        <f>RAW_Продажи!F744</f>
        <v>P038</v>
      </c>
      <c r="H745" s="11" t="str">
        <f>RAW_Продажи!G744</f>
        <v>canceled</v>
      </c>
      <c r="I745" s="12" t="str">
        <f t="shared" si="253"/>
        <v>324</v>
      </c>
      <c r="J745" s="12" t="str">
        <f t="shared" si="254"/>
        <v>€</v>
      </c>
      <c r="K745" s="12">
        <f t="shared" si="255"/>
        <v>95</v>
      </c>
      <c r="L745" s="19">
        <f t="shared" si="256"/>
        <v>46043</v>
      </c>
      <c r="M745" s="13" t="str">
        <f t="shared" si="257"/>
        <v>АРТ-324</v>
      </c>
      <c r="N745" s="13">
        <f t="shared" si="258"/>
        <v>1</v>
      </c>
      <c r="O745" s="13" t="str">
        <f>IFERROR(VLOOKUP(J745,Справочники!$G$6:$H$8,2,0),"RUB")</f>
        <v>EUR</v>
      </c>
      <c r="P745" s="14">
        <f>ROUND(K745*IFERROR(VLOOKUP(J745,Справочники!$G$6:$I$8,3,0),1),2)</f>
        <v>9500</v>
      </c>
      <c r="Q745" s="13" t="str">
        <f>IFERROR(VLOOKUP(H745,Справочники!$D$6:$E$14,2,0),"НЕИЗВЕСТНО")</f>
        <v>Отменен</v>
      </c>
      <c r="R745" s="20">
        <f>IFERROR(INDEX(Товары_очищенные!$Q$3:$Q$503,MATCH(M745,Товары_очищенные!$L$3:$L$503,0)),"нет в каталоге")</f>
        <v>13800</v>
      </c>
      <c r="S745" s="21" t="str">
        <f>IFERROR(INDEX(Товары_очищенные!$N$3:$N$503,MATCH(M745,Товары_очищенные!$L$3:$L$503,0)),"нет в каталоге")</f>
        <v>Наушники</v>
      </c>
      <c r="T745" s="21" t="str">
        <f t="shared" si="259"/>
        <v>OK</v>
      </c>
      <c r="U745" s="12" t="str">
        <f t="shared" si="260"/>
        <v>21/01/2026|АРТ-324|C0743</v>
      </c>
      <c r="V745" s="12" t="str">
        <f t="shared" si="261"/>
        <v>оригинал</v>
      </c>
    </row>
    <row r="746" ht="15" customHeight="1">
      <c r="A746" s="10">
        <v>744</v>
      </c>
      <c r="B746" s="11" t="str">
        <f>RAW_Продажи!A745</f>
        <v>01/21/2026</v>
      </c>
      <c r="C746" s="11" t="str">
        <f>RAW_Продажи!B745</f>
        <v>196-24</v>
      </c>
      <c r="D746" s="11" t="str">
        <f>RAW_Продажи!C745</f>
        <v>2</v>
      </c>
      <c r="E746" s="11" t="str">
        <f>RAW_Продажи!D745</f>
        <v xml:space="preserve">8500 ₽</v>
      </c>
      <c r="F746" s="11" t="str">
        <f>RAW_Продажи!E745</f>
        <v>C0744</v>
      </c>
      <c r="G746" s="11" t="str">
        <f>RAW_Продажи!F745</f>
        <v>P016</v>
      </c>
      <c r="H746" s="11" t="str">
        <f>RAW_Продажи!G745</f>
        <v>Завершен</v>
      </c>
      <c r="I746" s="12" t="str">
        <f t="shared" si="253"/>
        <v>196-24</v>
      </c>
      <c r="J746" s="12" t="str">
        <f t="shared" si="254"/>
        <v>₽</v>
      </c>
      <c r="K746" s="12">
        <f t="shared" si="255"/>
        <v>8500</v>
      </c>
      <c r="L746" s="19">
        <f t="shared" si="256"/>
        <v>46043</v>
      </c>
      <c r="M746" s="13" t="str">
        <f t="shared" si="257"/>
        <v>АРТ-196</v>
      </c>
      <c r="N746" s="13">
        <f t="shared" si="258"/>
        <v>2</v>
      </c>
      <c r="O746" s="13" t="str">
        <f>IFERROR(VLOOKUP(J746,Справочники!$G$6:$H$8,2,0),"RUB")</f>
        <v>RUB</v>
      </c>
      <c r="P746" s="14">
        <f>ROUND(K746*IFERROR(VLOOKUP(J746,Справочники!$G$6:$I$8,3,0),1),2)</f>
        <v>8500</v>
      </c>
      <c r="Q746" s="13" t="str">
        <f>IFERROR(VLOOKUP(H746,Справочники!$D$6:$E$14,2,0),"НЕИЗВЕСТНО")</f>
        <v>Завершен</v>
      </c>
      <c r="R746" s="20">
        <f>IFERROR(INDEX(Товары_очищенные!$Q$3:$Q$503,MATCH(M746,Товары_очищенные!$L$3:$L$503,0)),"нет в каталоге")</f>
        <v>53990</v>
      </c>
      <c r="S746" s="21" t="str">
        <f>IFERROR(INDEX(Товары_очищенные!$N$3:$N$503,MATCH(M746,Товары_очищенные!$L$3:$L$503,0)),"нет в каталоге")</f>
        <v>Смартфоны</v>
      </c>
      <c r="T746" s="21" t="str">
        <f t="shared" si="259"/>
        <v>OK</v>
      </c>
      <c r="U746" s="12" t="str">
        <f t="shared" si="260"/>
        <v>21/01/2026|АРТ-196|C0744</v>
      </c>
      <c r="V746" s="12" t="str">
        <f t="shared" si="261"/>
        <v>оригинал</v>
      </c>
    </row>
    <row r="747" ht="15" customHeight="1">
      <c r="A747" s="10">
        <v>745</v>
      </c>
      <c r="B747" s="11" t="str">
        <f>RAW_Продажи!A746</f>
        <v>01/22/2026</v>
      </c>
      <c r="C747" s="11" t="str">
        <f>RAW_Продажи!B746</f>
        <v>№АРТ-083</v>
      </c>
      <c r="D747" s="11" t="str">
        <f>RAW_Продажи!C746</f>
        <v>3</v>
      </c>
      <c r="E747" s="11" t="str">
        <f>RAW_Продажи!D746</f>
        <v>$105</v>
      </c>
      <c r="F747" s="11" t="str">
        <f>RAW_Продажи!E746</f>
        <v>C0745</v>
      </c>
      <c r="G747" s="11" t="str">
        <f>RAW_Продажи!F746</f>
        <v>P029</v>
      </c>
      <c r="H747" s="11" t="str">
        <f>RAW_Продажи!G746</f>
        <v>возврат</v>
      </c>
      <c r="I747" s="12" t="str">
        <f t="shared" si="253"/>
        <v>083</v>
      </c>
      <c r="J747" s="12" t="str">
        <f t="shared" si="254"/>
        <v>$</v>
      </c>
      <c r="K747" s="12">
        <f t="shared" si="255"/>
        <v>105</v>
      </c>
      <c r="L747" s="19">
        <f t="shared" si="256"/>
        <v>46044</v>
      </c>
      <c r="M747" s="13" t="str">
        <f t="shared" si="257"/>
        <v>АРТ-083</v>
      </c>
      <c r="N747" s="13">
        <f t="shared" si="258"/>
        <v>3</v>
      </c>
      <c r="O747" s="13" t="str">
        <f>IFERROR(VLOOKUP(J747,Справочники!$G$6:$H$8,2,0),"RUB")</f>
        <v>USD</v>
      </c>
      <c r="P747" s="14">
        <f>ROUND(K747*IFERROR(VLOOKUP(J747,Справочники!$G$6:$I$8,3,0),1),2)</f>
        <v>9975</v>
      </c>
      <c r="Q747" s="13" t="str">
        <f>IFERROR(VLOOKUP(H747,Справочники!$D$6:$E$14,2,0),"НЕИЗВЕСТНО")</f>
        <v>Возврат</v>
      </c>
      <c r="R747" s="20">
        <f>IFERROR(INDEX(Товары_очищенные!$Q$3:$Q$503,MATCH(M747,Товары_очищенные!$L$3:$L$503,0)),"нет в каталоге")</f>
        <v>38500</v>
      </c>
      <c r="S747" s="21" t="str">
        <f>IFERROR(INDEX(Товары_очищенные!$N$3:$N$503,MATCH(M747,Товары_очищенные!$L$3:$L$503,0)),"нет в каталоге")</f>
        <v>Часы</v>
      </c>
      <c r="T747" s="21" t="str">
        <f t="shared" si="259"/>
        <v>OK</v>
      </c>
      <c r="U747" s="12" t="str">
        <f t="shared" si="260"/>
        <v>22/01/2026|АРТ-083|C0745</v>
      </c>
      <c r="V747" s="12" t="str">
        <f t="shared" si="261"/>
        <v>оригинал</v>
      </c>
    </row>
    <row r="748" ht="15" customHeight="1">
      <c r="A748" s="10">
        <v>746</v>
      </c>
      <c r="B748" s="11" t="str">
        <f>RAW_Продажи!A747</f>
        <v>01/22/2026</v>
      </c>
      <c r="C748" s="11" t="str">
        <f>RAW_Продажи!B747</f>
        <v>АРТ_428</v>
      </c>
      <c r="D748" s="11" t="str">
        <f>RAW_Продажи!C747</f>
        <v>2</v>
      </c>
      <c r="E748" s="11" t="str">
        <f>RAW_Продажи!D747</f>
        <v>€85</v>
      </c>
      <c r="F748" s="11" t="str">
        <f>RAW_Продажи!E747</f>
        <v>C0746</v>
      </c>
      <c r="G748" s="11" t="str">
        <f>RAW_Продажи!F747</f>
        <v>P035</v>
      </c>
      <c r="H748" s="11" t="str">
        <f>RAW_Продажи!G747</f>
        <v>завершен</v>
      </c>
      <c r="I748" s="12" t="str">
        <f t="shared" si="253"/>
        <v>428</v>
      </c>
      <c r="J748" s="12" t="str">
        <f t="shared" si="254"/>
        <v>€</v>
      </c>
      <c r="K748" s="12">
        <f t="shared" si="255"/>
        <v>85</v>
      </c>
      <c r="L748" s="19">
        <f t="shared" si="256"/>
        <v>46044</v>
      </c>
      <c r="M748" s="13" t="str">
        <f t="shared" si="257"/>
        <v>АРТ-428</v>
      </c>
      <c r="N748" s="13">
        <f t="shared" si="258"/>
        <v>2</v>
      </c>
      <c r="O748" s="13" t="str">
        <f>IFERROR(VLOOKUP(J748,Справочники!$G$6:$H$8,2,0),"RUB")</f>
        <v>EUR</v>
      </c>
      <c r="P748" s="14">
        <f>ROUND(K748*IFERROR(VLOOKUP(J748,Справочники!$G$6:$I$8,3,0),1),2)</f>
        <v>8500</v>
      </c>
      <c r="Q748" s="13" t="str">
        <f>IFERROR(VLOOKUP(H748,Справочники!$D$6:$E$14,2,0),"НЕИЗВЕСТНО")</f>
        <v>Завершен</v>
      </c>
      <c r="R748" s="20">
        <f>IFERROR(INDEX(Товары_очищенные!$Q$3:$Q$503,MATCH(M748,Товары_очищенные!$L$3:$L$503,0)),"нет в каталоге")</f>
        <v>48000</v>
      </c>
      <c r="S748" s="21" t="str">
        <f>IFERROR(INDEX(Товары_очищенные!$N$3:$N$503,MATCH(M748,Товары_очищенные!$L$3:$L$503,0)),"нет в каталоге")</f>
        <v>Телевизоры</v>
      </c>
      <c r="T748" s="21" t="str">
        <f t="shared" si="259"/>
        <v>OK</v>
      </c>
      <c r="U748" s="12" t="str">
        <f t="shared" si="260"/>
        <v>22/01/2026|АРТ-428|C0746</v>
      </c>
      <c r="V748" s="12" t="str">
        <f t="shared" si="261"/>
        <v>оригинал</v>
      </c>
    </row>
    <row r="749" ht="15" customHeight="1">
      <c r="A749" s="10">
        <v>747</v>
      </c>
      <c r="B749" s="11" t="str">
        <f>RAW_Продажи!A748</f>
        <v>01/23/2026</v>
      </c>
      <c r="C749" s="11" t="str">
        <f>RAW_Продажи!B748</f>
        <v>333/24</v>
      </c>
      <c r="D749" s="11" t="str">
        <f>RAW_Продажи!C748</f>
        <v xml:space="preserve">1 шт.</v>
      </c>
      <c r="E749" s="11" t="str">
        <f>RAW_Продажи!D748</f>
        <v xml:space="preserve">7800 ₽</v>
      </c>
      <c r="F749" s="11" t="str">
        <f>RAW_Продажи!E748</f>
        <v>C0747</v>
      </c>
      <c r="G749" s="11" t="str">
        <f>RAW_Продажи!F748</f>
        <v>P046</v>
      </c>
      <c r="H749" s="11" t="str">
        <f>RAW_Продажи!G748</f>
        <v>completed</v>
      </c>
      <c r="I749" s="12" t="str">
        <f t="shared" si="253"/>
        <v>333/24</v>
      </c>
      <c r="J749" s="12" t="str">
        <f t="shared" si="254"/>
        <v>₽</v>
      </c>
      <c r="K749" s="12">
        <f t="shared" si="255"/>
        <v>7800</v>
      </c>
      <c r="L749" s="19">
        <f t="shared" si="256"/>
        <v>46045</v>
      </c>
      <c r="M749" s="13" t="str">
        <f t="shared" si="257"/>
        <v>АРТ-333</v>
      </c>
      <c r="N749" s="13">
        <f t="shared" si="258"/>
        <v>1</v>
      </c>
      <c r="O749" s="13" t="str">
        <f>IFERROR(VLOOKUP(J749,Справочники!$G$6:$H$8,2,0),"RUB")</f>
        <v>RUB</v>
      </c>
      <c r="P749" s="14">
        <f>ROUND(K749*IFERROR(VLOOKUP(J749,Справочники!$G$6:$I$8,3,0),1),2)</f>
        <v>7800</v>
      </c>
      <c r="Q749" s="13" t="str">
        <f>IFERROR(VLOOKUP(H749,Справочники!$D$6:$E$14,2,0),"НЕИЗВЕСТНО")</f>
        <v>Завершен</v>
      </c>
      <c r="R749" s="20">
        <f>IFERROR(INDEX(Товары_очищенные!$Q$3:$Q$503,MATCH(M749,Товары_очищенные!$L$3:$L$503,0)),"нет в каталоге")</f>
        <v>72000</v>
      </c>
      <c r="S749" s="21" t="str">
        <f>IFERROR(INDEX(Товары_очищенные!$N$3:$N$503,MATCH(M749,Товары_очищенные!$L$3:$L$503,0)),"нет в каталоге")</f>
        <v>Часы</v>
      </c>
      <c r="T749" s="21" t="str">
        <f t="shared" si="259"/>
        <v>OK</v>
      </c>
      <c r="U749" s="12" t="str">
        <f t="shared" si="260"/>
        <v>23/01/2026|АРТ-333|C0747</v>
      </c>
      <c r="V749" s="12" t="str">
        <f t="shared" si="261"/>
        <v>оригинал</v>
      </c>
    </row>
    <row r="750" ht="15" customHeight="1">
      <c r="A750" s="10">
        <v>748</v>
      </c>
      <c r="B750" s="11" t="str">
        <f>RAW_Продажи!A749</f>
        <v>01/23/2026</v>
      </c>
      <c r="C750" s="11" t="str">
        <f>RAW_Продажи!B749</f>
        <v>№АРТ-326</v>
      </c>
      <c r="D750" s="11" t="str">
        <f>RAW_Продажи!C749</f>
        <v>-3</v>
      </c>
      <c r="E750" s="11" t="str">
        <f>RAW_Продажи!D749</f>
        <v>$120</v>
      </c>
      <c r="F750" s="11" t="str">
        <f>RAW_Продажи!E749</f>
        <v>C0748</v>
      </c>
      <c r="G750" s="11" t="str">
        <f>RAW_Продажи!F749</f>
        <v>P022</v>
      </c>
      <c r="H750" s="11" t="str">
        <f>RAW_Продажи!G749</f>
        <v>Завершен</v>
      </c>
      <c r="I750" s="12" t="str">
        <f t="shared" si="253"/>
        <v>326</v>
      </c>
      <c r="J750" s="12" t="str">
        <f t="shared" si="254"/>
        <v>$</v>
      </c>
      <c r="K750" s="12">
        <f t="shared" si="255"/>
        <v>120</v>
      </c>
      <c r="L750" s="19">
        <f t="shared" si="256"/>
        <v>46045</v>
      </c>
      <c r="M750" s="13" t="str">
        <f t="shared" si="257"/>
        <v>АРТ-326</v>
      </c>
      <c r="N750" s="13">
        <f t="shared" si="258"/>
        <v>-3</v>
      </c>
      <c r="O750" s="13" t="str">
        <f>IFERROR(VLOOKUP(J750,Справочники!$G$6:$H$8,2,0),"RUB")</f>
        <v>USD</v>
      </c>
      <c r="P750" s="14">
        <f>ROUND(K750*IFERROR(VLOOKUP(J750,Справочники!$G$6:$I$8,3,0),1),2)</f>
        <v>11400</v>
      </c>
      <c r="Q750" s="13" t="str">
        <f>IFERROR(VLOOKUP(H750,Справочники!$D$6:$E$14,2,0),"НЕИЗВЕСТНО")</f>
        <v>Завершен</v>
      </c>
      <c r="R750" s="20">
        <f>IFERROR(INDEX(Товары_очищенные!$Q$3:$Q$503,MATCH(M750,Товары_очищенные!$L$3:$L$503,0)),"нет в каталоге")</f>
        <v>64500</v>
      </c>
      <c r="S750" s="21" t="str">
        <f>IFERROR(INDEX(Товары_очищенные!$N$3:$N$503,MATCH(M750,Товары_очищенные!$L$3:$L$503,0)),"нет в каталоге")</f>
        <v>Мониторы</v>
      </c>
      <c r="T750" s="21" t="str">
        <f t="shared" si="259"/>
        <v>OK</v>
      </c>
      <c r="U750" s="12" t="str">
        <f t="shared" si="260"/>
        <v>23/01/2026|АРТ-326|C0748</v>
      </c>
      <c r="V750" s="12" t="str">
        <f t="shared" si="261"/>
        <v>оригинал</v>
      </c>
    </row>
    <row r="751" ht="15" customHeight="1">
      <c r="A751" s="10">
        <v>749</v>
      </c>
      <c r="B751" s="11" t="str">
        <f>RAW_Продажи!A750</f>
        <v>01/24/2026</v>
      </c>
      <c r="C751" s="11" t="str">
        <f>RAW_Продажи!B750</f>
        <v>АРТ_315</v>
      </c>
      <c r="D751" s="11" t="str">
        <f>RAW_Продажи!C750</f>
        <v>2</v>
      </c>
      <c r="E751" s="11" t="str">
        <f>RAW_Продажи!D750</f>
        <v>€100</v>
      </c>
      <c r="F751" s="11" t="str">
        <f>RAW_Продажи!E750</f>
        <v>C0749</v>
      </c>
      <c r="G751" s="11" t="str">
        <f>RAW_Продажи!F750</f>
        <v>P043</v>
      </c>
      <c r="H751" s="11" t="str">
        <f>RAW_Продажи!G750</f>
        <v>canceled</v>
      </c>
      <c r="I751" s="12" t="str">
        <f t="shared" si="253"/>
        <v>315</v>
      </c>
      <c r="J751" s="12" t="str">
        <f t="shared" si="254"/>
        <v>€</v>
      </c>
      <c r="K751" s="12">
        <f t="shared" si="255"/>
        <v>100</v>
      </c>
      <c r="L751" s="19">
        <f t="shared" si="256"/>
        <v>46046</v>
      </c>
      <c r="M751" s="13" t="str">
        <f t="shared" si="257"/>
        <v>АРТ-315</v>
      </c>
      <c r="N751" s="13">
        <f t="shared" si="258"/>
        <v>2</v>
      </c>
      <c r="O751" s="13" t="str">
        <f>IFERROR(VLOOKUP(J751,Справочники!$G$6:$H$8,2,0),"RUB")</f>
        <v>EUR</v>
      </c>
      <c r="P751" s="14">
        <f>ROUND(K751*IFERROR(VLOOKUP(J751,Справочники!$G$6:$I$8,3,0),1),2)</f>
        <v>10000</v>
      </c>
      <c r="Q751" s="13" t="str">
        <f>IFERROR(VLOOKUP(H751,Справочники!$D$6:$E$14,2,0),"НЕИЗВЕСТНО")</f>
        <v>Отменен</v>
      </c>
      <c r="R751" s="20">
        <f>IFERROR(INDEX(Товары_очищенные!$Q$3:$Q$503,MATCH(M751,Товары_очищенные!$L$3:$L$503,0)),"нет в каталоге")</f>
        <v>72000</v>
      </c>
      <c r="S751" s="21" t="str">
        <f>IFERROR(INDEX(Товары_очищенные!$N$3:$N$503,MATCH(M751,Товары_очищенные!$L$3:$L$503,0)),"нет в каталоге")</f>
        <v>Смартфоны</v>
      </c>
      <c r="T751" s="21" t="str">
        <f t="shared" si="259"/>
        <v>OK</v>
      </c>
      <c r="U751" s="12" t="str">
        <f t="shared" si="260"/>
        <v>24/01/2026|АРТ-315|C0749</v>
      </c>
      <c r="V751" s="12" t="str">
        <f t="shared" si="261"/>
        <v>оригинал</v>
      </c>
    </row>
    <row r="752" ht="15" customHeight="1">
      <c r="A752" s="10">
        <v>750</v>
      </c>
      <c r="B752" s="11" t="str">
        <f>RAW_Продажи!A751</f>
        <v>01/24/2026</v>
      </c>
      <c r="C752" s="11" t="str">
        <f>RAW_Продажи!B751</f>
        <v>221-24</v>
      </c>
      <c r="D752" s="11" t="str">
        <f>RAW_Продажи!C751</f>
        <v>1</v>
      </c>
      <c r="E752" s="11" t="str">
        <f>RAW_Продажи!D751</f>
        <v xml:space="preserve">9200 ₽</v>
      </c>
      <c r="F752" s="11" t="str">
        <f>RAW_Продажи!E751</f>
        <v>C0750</v>
      </c>
      <c r="G752" s="11" t="str">
        <f>RAW_Продажи!F751</f>
        <v>P030</v>
      </c>
      <c r="H752" s="11" t="str">
        <f>RAW_Продажи!G751</f>
        <v>отменен</v>
      </c>
      <c r="I752" s="12" t="str">
        <f t="shared" si="253"/>
        <v>221-24</v>
      </c>
      <c r="J752" s="12" t="str">
        <f t="shared" si="254"/>
        <v>₽</v>
      </c>
      <c r="K752" s="12">
        <f t="shared" si="255"/>
        <v>9200</v>
      </c>
      <c r="L752" s="19">
        <f t="shared" si="256"/>
        <v>46046</v>
      </c>
      <c r="M752" s="13" t="str">
        <f t="shared" si="257"/>
        <v>АРТ-221</v>
      </c>
      <c r="N752" s="13">
        <f t="shared" si="258"/>
        <v>1</v>
      </c>
      <c r="O752" s="13" t="str">
        <f>IFERROR(VLOOKUP(J752,Справочники!$G$6:$H$8,2,0),"RUB")</f>
        <v>RUB</v>
      </c>
      <c r="P752" s="14">
        <f>ROUND(K752*IFERROR(VLOOKUP(J752,Справочники!$G$6:$I$8,3,0),1),2)</f>
        <v>9200</v>
      </c>
      <c r="Q752" s="13" t="str">
        <f>IFERROR(VLOOKUP(H752,Справочники!$D$6:$E$14,2,0),"НЕИЗВЕСТНО")</f>
        <v>Отменен</v>
      </c>
      <c r="R752" s="20">
        <f>IFERROR(INDEX(Товары_очищенные!$Q$3:$Q$503,MATCH(M752,Товары_очищенные!$L$3:$L$503,0)),"нет в каталоге")</f>
        <v>24000</v>
      </c>
      <c r="S752" s="21" t="str">
        <f>IFERROR(INDEX(Товары_очищенные!$N$3:$N$503,MATCH(M752,Товары_очищенные!$L$3:$L$503,0)),"нет в каталоге")</f>
        <v>Наушники</v>
      </c>
      <c r="T752" s="21" t="str">
        <f t="shared" si="259"/>
        <v>OK</v>
      </c>
      <c r="U752" s="12" t="str">
        <f t="shared" si="260"/>
        <v>24/01/2026|АРТ-221|C0750</v>
      </c>
      <c r="V752" s="12" t="str">
        <f t="shared" si="261"/>
        <v>оригинал</v>
      </c>
    </row>
    <row r="753" ht="15" customHeight="1">
      <c r="A753" s="10">
        <v>751</v>
      </c>
      <c r="B753" s="11" t="str">
        <f>RAW_Продажи!A752</f>
        <v>01/25/2026</v>
      </c>
      <c r="C753" s="11" t="str">
        <f>RAW_Продажи!B752</f>
        <v>№АРТ-043</v>
      </c>
      <c r="D753" s="11" t="str">
        <f>RAW_Продажи!C752</f>
        <v>3</v>
      </c>
      <c r="E753" s="11" t="str">
        <f>RAW_Продажи!D752</f>
        <v>$90</v>
      </c>
      <c r="F753" s="11" t="str">
        <f>RAW_Продажи!E752</f>
        <v>C0751</v>
      </c>
      <c r="G753" s="11" t="str">
        <f>RAW_Продажи!F752</f>
        <v>P012</v>
      </c>
      <c r="H753" s="11" t="str">
        <f>RAW_Продажи!G752</f>
        <v>возврат</v>
      </c>
      <c r="I753" s="12" t="str">
        <f t="shared" si="253"/>
        <v>043</v>
      </c>
      <c r="J753" s="12" t="str">
        <f t="shared" si="254"/>
        <v>$</v>
      </c>
      <c r="K753" s="12">
        <f t="shared" si="255"/>
        <v>90</v>
      </c>
      <c r="L753" s="19">
        <f t="shared" si="256"/>
        <v>46047</v>
      </c>
      <c r="M753" s="13" t="str">
        <f t="shared" si="257"/>
        <v>АРТ-043</v>
      </c>
      <c r="N753" s="13">
        <f t="shared" si="258"/>
        <v>3</v>
      </c>
      <c r="O753" s="13" t="str">
        <f>IFERROR(VLOOKUP(J753,Справочники!$G$6:$H$8,2,0),"RUB")</f>
        <v>USD</v>
      </c>
      <c r="P753" s="14">
        <f>ROUND(K753*IFERROR(VLOOKUP(J753,Справочники!$G$6:$I$8,3,0),1),2)</f>
        <v>8550</v>
      </c>
      <c r="Q753" s="13" t="str">
        <f>IFERROR(VLOOKUP(H753,Справочники!$D$6:$E$14,2,0),"НЕИЗВЕСТНО")</f>
        <v>Возврат</v>
      </c>
      <c r="R753" s="20">
        <f>IFERROR(INDEX(Товары_очищенные!$Q$3:$Q$503,MATCH(M753,Товары_очищенные!$L$3:$L$503,0)),"нет в каталоге")</f>
        <v>134990</v>
      </c>
      <c r="S753" s="21" t="str">
        <f>IFERROR(INDEX(Товары_очищенные!$N$3:$N$503,MATCH(M753,Товары_очищенные!$L$3:$L$503,0)),"нет в каталоге")</f>
        <v>Телевизоры</v>
      </c>
      <c r="T753" s="21" t="str">
        <f t="shared" si="259"/>
        <v>OK</v>
      </c>
      <c r="U753" s="12" t="str">
        <f t="shared" si="260"/>
        <v>25/01/2026|АРТ-043|C0751</v>
      </c>
      <c r="V753" s="12" t="str">
        <f t="shared" si="261"/>
        <v>оригинал</v>
      </c>
    </row>
    <row r="754" ht="15" customHeight="1">
      <c r="A754" s="10">
        <v>752</v>
      </c>
      <c r="B754" s="11" t="str">
        <f>RAW_Продажи!A753</f>
        <v>01/25/2026</v>
      </c>
      <c r="C754" s="11" t="str">
        <f>RAW_Продажи!B753</f>
        <v>АРТ_448</v>
      </c>
      <c r="D754" s="11" t="str">
        <f>RAW_Продажи!C753</f>
        <v>2</v>
      </c>
      <c r="E754" s="11" t="str">
        <f>RAW_Продажи!D753</f>
        <v>€70</v>
      </c>
      <c r="F754" s="11" t="str">
        <f>RAW_Продажи!E753</f>
        <v>C0752</v>
      </c>
      <c r="G754" s="11" t="str">
        <f>RAW_Продажи!F753</f>
        <v>P007</v>
      </c>
      <c r="H754" s="11" t="str">
        <f>RAW_Продажи!G753</f>
        <v>Завершен</v>
      </c>
      <c r="I754" s="12" t="str">
        <f t="shared" si="253"/>
        <v>448</v>
      </c>
      <c r="J754" s="12" t="str">
        <f t="shared" si="254"/>
        <v>€</v>
      </c>
      <c r="K754" s="12">
        <f t="shared" si="255"/>
        <v>70</v>
      </c>
      <c r="L754" s="19">
        <f t="shared" si="256"/>
        <v>46047</v>
      </c>
      <c r="M754" s="13" t="str">
        <f t="shared" si="257"/>
        <v>АРТ-448</v>
      </c>
      <c r="N754" s="13">
        <f t="shared" si="258"/>
        <v>2</v>
      </c>
      <c r="O754" s="13" t="str">
        <f>IFERROR(VLOOKUP(J754,Справочники!$G$6:$H$8,2,0),"RUB")</f>
        <v>EUR</v>
      </c>
      <c r="P754" s="14">
        <f>ROUND(K754*IFERROR(VLOOKUP(J754,Справочники!$G$6:$I$8,3,0),1),2)</f>
        <v>7000</v>
      </c>
      <c r="Q754" s="13" t="str">
        <f>IFERROR(VLOOKUP(H754,Справочники!$D$6:$E$14,2,0),"НЕИЗВЕСТНО")</f>
        <v>Завершен</v>
      </c>
      <c r="R754" s="20">
        <f>IFERROR(INDEX(Товары_очищенные!$Q$3:$Q$503,MATCH(M754,Товары_очищенные!$L$3:$L$503,0)),"нет в каталоге")</f>
        <v>73990</v>
      </c>
      <c r="S754" s="21" t="str">
        <f>IFERROR(INDEX(Товары_очищенные!$N$3:$N$503,MATCH(M754,Товары_очищенные!$L$3:$L$503,0)),"нет в каталоге")</f>
        <v>Телевизоры</v>
      </c>
      <c r="T754" s="21" t="str">
        <f t="shared" si="259"/>
        <v>OK</v>
      </c>
      <c r="U754" s="12" t="str">
        <f t="shared" si="260"/>
        <v>25/01/2026|АРТ-448|C0752</v>
      </c>
      <c r="V754" s="12" t="str">
        <f t="shared" si="261"/>
        <v>оригинал</v>
      </c>
    </row>
    <row r="755" ht="15" customHeight="1">
      <c r="A755" s="10">
        <v>753</v>
      </c>
      <c r="B755" s="11" t="str">
        <f>RAW_Продажи!A754</f>
        <v>01/26/2026</v>
      </c>
      <c r="C755" s="11" t="str">
        <f>RAW_Продажи!B754</f>
        <v>342/24</v>
      </c>
      <c r="D755" s="11" t="str">
        <f>RAW_Продажи!C754</f>
        <v xml:space="preserve">1 шт.</v>
      </c>
      <c r="E755" s="11" t="str">
        <f>RAW_Продажи!D754</f>
        <v xml:space="preserve">6500 ₽</v>
      </c>
      <c r="F755" s="11" t="str">
        <f>RAW_Продажи!E754</f>
        <v>C0753</v>
      </c>
      <c r="G755" s="11" t="str">
        <f>RAW_Продажи!F754</f>
        <v>P023</v>
      </c>
      <c r="H755" s="11" t="str">
        <f>RAW_Продажи!G754</f>
        <v>завершен</v>
      </c>
      <c r="I755" s="12" t="str">
        <f t="shared" si="253"/>
        <v>342/24</v>
      </c>
      <c r="J755" s="12" t="str">
        <f t="shared" si="254"/>
        <v>₽</v>
      </c>
      <c r="K755" s="12">
        <f t="shared" si="255"/>
        <v>6500</v>
      </c>
      <c r="L755" s="19">
        <f t="shared" si="256"/>
        <v>46048</v>
      </c>
      <c r="M755" s="13" t="str">
        <f t="shared" si="257"/>
        <v>АРТ-342</v>
      </c>
      <c r="N755" s="13">
        <f t="shared" si="258"/>
        <v>1</v>
      </c>
      <c r="O755" s="13" t="str">
        <f>IFERROR(VLOOKUP(J755,Справочники!$G$6:$H$8,2,0),"RUB")</f>
        <v>RUB</v>
      </c>
      <c r="P755" s="14">
        <f>ROUND(K755*IFERROR(VLOOKUP(J755,Справочники!$G$6:$I$8,3,0),1),2)</f>
        <v>6500</v>
      </c>
      <c r="Q755" s="13" t="str">
        <f>IFERROR(VLOOKUP(H755,Справочники!$D$6:$E$14,2,0),"НЕИЗВЕСТНО")</f>
        <v>Завершен</v>
      </c>
      <c r="R755" s="20">
        <f>IFERROR(INDEX(Товары_очищенные!$Q$3:$Q$503,MATCH(M755,Товары_очищенные!$L$3:$L$503,0)),"нет в каталоге")</f>
        <v>137500</v>
      </c>
      <c r="S755" s="21" t="str">
        <f>IFERROR(INDEX(Товары_очищенные!$N$3:$N$503,MATCH(M755,Товары_очищенные!$L$3:$L$503,0)),"нет в каталоге")</f>
        <v>Ноутбуки</v>
      </c>
      <c r="T755" s="21" t="str">
        <f t="shared" si="259"/>
        <v>OK</v>
      </c>
      <c r="U755" s="12" t="str">
        <f t="shared" si="260"/>
        <v>26/01/2026|АРТ-342|C0753</v>
      </c>
      <c r="V755" s="12" t="str">
        <f t="shared" si="261"/>
        <v>оригинал</v>
      </c>
    </row>
    <row r="756" ht="15" customHeight="1">
      <c r="A756" s="10">
        <v>754</v>
      </c>
      <c r="B756" s="11" t="str">
        <f>RAW_Продажи!A755</f>
        <v>01/26/2026</v>
      </c>
      <c r="C756" s="11" t="str">
        <f>RAW_Продажи!B755</f>
        <v>№АРТ-383</v>
      </c>
      <c r="D756" s="11" t="str">
        <f>RAW_Продажи!C755</f>
        <v>-1</v>
      </c>
      <c r="E756" s="11" t="str">
        <f>RAW_Продажи!D755</f>
        <v>$110</v>
      </c>
      <c r="F756" s="11" t="str">
        <f>RAW_Продажи!E755</f>
        <v>C0754</v>
      </c>
      <c r="G756" s="11" t="str">
        <f>RAW_Продажи!F755</f>
        <v>P045</v>
      </c>
      <c r="H756" s="11" t="str">
        <f>RAW_Продажи!G755</f>
        <v>completed</v>
      </c>
      <c r="I756" s="12" t="str">
        <f t="shared" si="253"/>
        <v>383</v>
      </c>
      <c r="J756" s="12" t="str">
        <f t="shared" si="254"/>
        <v>$</v>
      </c>
      <c r="K756" s="12">
        <f t="shared" si="255"/>
        <v>110</v>
      </c>
      <c r="L756" s="19">
        <f t="shared" si="256"/>
        <v>46048</v>
      </c>
      <c r="M756" s="13" t="str">
        <f t="shared" si="257"/>
        <v>АРТ-383</v>
      </c>
      <c r="N756" s="13">
        <f t="shared" si="258"/>
        <v>-1</v>
      </c>
      <c r="O756" s="13" t="str">
        <f>IFERROR(VLOOKUP(J756,Справочники!$G$6:$H$8,2,0),"RUB")</f>
        <v>USD</v>
      </c>
      <c r="P756" s="14">
        <f>ROUND(K756*IFERROR(VLOOKUP(J756,Справочники!$G$6:$I$8,3,0),1),2)</f>
        <v>10450</v>
      </c>
      <c r="Q756" s="13" t="str">
        <f>IFERROR(VLOOKUP(H756,Справочники!$D$6:$E$14,2,0),"НЕИЗВЕСТНО")</f>
        <v>Завершен</v>
      </c>
      <c r="R756" s="20">
        <f>IFERROR(INDEX(Товары_очищенные!$Q$3:$Q$503,MATCH(M756,Товары_очищенные!$L$3:$L$503,0)),"нет в каталоге")</f>
        <v>41500</v>
      </c>
      <c r="S756" s="21" t="str">
        <f>IFERROR(INDEX(Товары_очищенные!$N$3:$N$503,MATCH(M756,Товары_очищенные!$L$3:$L$503,0)),"нет в каталоге")</f>
        <v>Смартфоны</v>
      </c>
      <c r="T756" s="21" t="str">
        <f t="shared" si="259"/>
        <v>OK</v>
      </c>
      <c r="U756" s="12" t="str">
        <f t="shared" si="260"/>
        <v>26/01/2026|АРТ-383|C0754</v>
      </c>
      <c r="V756" s="12" t="str">
        <f t="shared" si="261"/>
        <v>оригинал</v>
      </c>
    </row>
    <row r="757" ht="15" customHeight="1">
      <c r="A757" s="10">
        <v>755</v>
      </c>
      <c r="B757" s="11" t="str">
        <f>RAW_Продажи!A756</f>
        <v>01/27/2026</v>
      </c>
      <c r="C757" s="11" t="str">
        <f>RAW_Продажи!B756</f>
        <v>АРТ_296</v>
      </c>
      <c r="D757" s="11" t="str">
        <f>RAW_Продажи!C756</f>
        <v>3</v>
      </c>
      <c r="E757" s="11" t="str">
        <f>RAW_Продажи!D756</f>
        <v>€90</v>
      </c>
      <c r="F757" s="11" t="str">
        <f>RAW_Продажи!E756</f>
        <v>C0755</v>
      </c>
      <c r="G757" s="11" t="str">
        <f>RAW_Продажи!F756</f>
        <v>P008</v>
      </c>
      <c r="H757" s="11" t="str">
        <f>RAW_Продажи!G756</f>
        <v>отменен</v>
      </c>
      <c r="I757" s="12" t="str">
        <f t="shared" si="253"/>
        <v>296</v>
      </c>
      <c r="J757" s="12" t="str">
        <f t="shared" si="254"/>
        <v>€</v>
      </c>
      <c r="K757" s="12">
        <f t="shared" si="255"/>
        <v>90</v>
      </c>
      <c r="L757" s="19">
        <f t="shared" si="256"/>
        <v>46049</v>
      </c>
      <c r="M757" s="13" t="str">
        <f t="shared" si="257"/>
        <v>АРТ-296</v>
      </c>
      <c r="N757" s="13">
        <f t="shared" si="258"/>
        <v>3</v>
      </c>
      <c r="O757" s="13" t="str">
        <f>IFERROR(VLOOKUP(J757,Справочники!$G$6:$H$8,2,0),"RUB")</f>
        <v>EUR</v>
      </c>
      <c r="P757" s="14">
        <f>ROUND(K757*IFERROR(VLOOKUP(J757,Справочники!$G$6:$I$8,3,0),1),2)</f>
        <v>9000</v>
      </c>
      <c r="Q757" s="13" t="str">
        <f>IFERROR(VLOOKUP(H757,Справочники!$D$6:$E$14,2,0),"НЕИЗВЕСТНО")</f>
        <v>Отменен</v>
      </c>
      <c r="R757" s="20">
        <f>IFERROR(INDEX(Товары_очищенные!$Q$3:$Q$503,MATCH(M757,Товары_очищенные!$L$3:$L$503,0)),"нет в каталоге")</f>
        <v>33500</v>
      </c>
      <c r="S757" s="21" t="str">
        <f>IFERROR(INDEX(Товары_очищенные!$N$3:$N$503,MATCH(M757,Товары_очищенные!$L$3:$L$503,0)),"нет в каталоге")</f>
        <v>Смартфоны</v>
      </c>
      <c r="T757" s="21" t="str">
        <f t="shared" si="259"/>
        <v>OK</v>
      </c>
      <c r="U757" s="12" t="str">
        <f t="shared" si="260"/>
        <v>27/01/2026|АРТ-296|C0755</v>
      </c>
      <c r="V757" s="12" t="str">
        <f t="shared" si="261"/>
        <v>оригинал</v>
      </c>
    </row>
    <row r="758" ht="15" customHeight="1">
      <c r="A758" s="10">
        <v>756</v>
      </c>
      <c r="B758" s="11" t="str">
        <f>RAW_Продажи!A757</f>
        <v>01/27/2026</v>
      </c>
      <c r="C758" s="11" t="str">
        <f>RAW_Продажи!B757</f>
        <v>124-24</v>
      </c>
      <c r="D758" s="11" t="str">
        <f>RAW_Продажи!C757</f>
        <v>2</v>
      </c>
      <c r="E758" s="11" t="str">
        <f>RAW_Продажи!D757</f>
        <v xml:space="preserve">8000 ₽</v>
      </c>
      <c r="F758" s="11" t="str">
        <f>RAW_Продажи!E757</f>
        <v>C0756</v>
      </c>
      <c r="G758" s="11" t="str">
        <f>RAW_Продажи!F757</f>
        <v>P031</v>
      </c>
      <c r="H758" s="11" t="str">
        <f>RAW_Продажи!G757</f>
        <v>canceled</v>
      </c>
      <c r="I758" s="12" t="str">
        <f t="shared" si="253"/>
        <v>124-24</v>
      </c>
      <c r="J758" s="12" t="str">
        <f t="shared" si="254"/>
        <v>₽</v>
      </c>
      <c r="K758" s="12">
        <f t="shared" si="255"/>
        <v>8000</v>
      </c>
      <c r="L758" s="19">
        <f t="shared" si="256"/>
        <v>46049</v>
      </c>
      <c r="M758" s="13" t="str">
        <f t="shared" si="257"/>
        <v>АРТ-124</v>
      </c>
      <c r="N758" s="13">
        <f t="shared" si="258"/>
        <v>2</v>
      </c>
      <c r="O758" s="13" t="str">
        <f>IFERROR(VLOOKUP(J758,Справочники!$G$6:$H$8,2,0),"RUB")</f>
        <v>RUB</v>
      </c>
      <c r="P758" s="14">
        <f>ROUND(K758*IFERROR(VLOOKUP(J758,Справочники!$G$6:$I$8,3,0),1),2)</f>
        <v>8000</v>
      </c>
      <c r="Q758" s="13" t="str">
        <f>IFERROR(VLOOKUP(H758,Справочники!$D$6:$E$14,2,0),"НЕИЗВЕСТНО")</f>
        <v>Отменен</v>
      </c>
      <c r="R758" s="20">
        <f>IFERROR(INDEX(Товары_очищенные!$Q$3:$Q$503,MATCH(M758,Товары_очищенные!$L$3:$L$503,0)),"нет в каталоге")</f>
        <v>169990</v>
      </c>
      <c r="S758" s="21" t="str">
        <f>IFERROR(INDEX(Товары_очищенные!$N$3:$N$503,MATCH(M758,Товары_очищенные!$L$3:$L$503,0)),"нет в каталоге")</f>
        <v>Ноутбуки</v>
      </c>
      <c r="T758" s="21" t="str">
        <f t="shared" si="259"/>
        <v>OK</v>
      </c>
      <c r="U758" s="12" t="str">
        <f t="shared" si="260"/>
        <v>27/01/2026|АРТ-124|C0756</v>
      </c>
      <c r="V758" s="12" t="str">
        <f t="shared" si="261"/>
        <v>оригинал</v>
      </c>
    </row>
    <row r="759" ht="15" customHeight="1">
      <c r="A759" s="10">
        <v>757</v>
      </c>
      <c r="B759" s="11" t="str">
        <f>RAW_Продажи!A758</f>
        <v>01/28/2026</v>
      </c>
      <c r="C759" s="11" t="str">
        <f>RAW_Продажи!B758</f>
        <v>№АРТ-158</v>
      </c>
      <c r="D759" s="11" t="str">
        <f>RAW_Продажи!C758</f>
        <v>1</v>
      </c>
      <c r="E759" s="11" t="str">
        <f>RAW_Продажи!D758</f>
        <v>$95</v>
      </c>
      <c r="F759" s="11" t="str">
        <f>RAW_Продажи!E758</f>
        <v>C0757</v>
      </c>
      <c r="G759" s="11" t="str">
        <f>RAW_Продажи!F758</f>
        <v>P019</v>
      </c>
      <c r="H759" s="11" t="str">
        <f>RAW_Продажи!G758</f>
        <v>Завершен</v>
      </c>
      <c r="I759" s="12" t="str">
        <f t="shared" si="253"/>
        <v>158</v>
      </c>
      <c r="J759" s="12" t="str">
        <f t="shared" si="254"/>
        <v>$</v>
      </c>
      <c r="K759" s="12">
        <f t="shared" si="255"/>
        <v>95</v>
      </c>
      <c r="L759" s="19">
        <f t="shared" si="256"/>
        <v>46050</v>
      </c>
      <c r="M759" s="13" t="str">
        <f t="shared" si="257"/>
        <v>АРТ-158</v>
      </c>
      <c r="N759" s="13">
        <f t="shared" si="258"/>
        <v>1</v>
      </c>
      <c r="O759" s="13" t="str">
        <f>IFERROR(VLOOKUP(J759,Справочники!$G$6:$H$8,2,0),"RUB")</f>
        <v>USD</v>
      </c>
      <c r="P759" s="14">
        <f>ROUND(K759*IFERROR(VLOOKUP(J759,Справочники!$G$6:$I$8,3,0),1),2)</f>
        <v>9025</v>
      </c>
      <c r="Q759" s="13" t="str">
        <f>IFERROR(VLOOKUP(H759,Справочники!$D$6:$E$14,2,0),"НЕИЗВЕСТНО")</f>
        <v>Завершен</v>
      </c>
      <c r="R759" s="20">
        <f>IFERROR(INDEX(Товары_очищенные!$Q$3:$Q$503,MATCH(M759,Товары_очищенные!$L$3:$L$503,0)),"нет в каталоге")</f>
        <v>90000</v>
      </c>
      <c r="S759" s="21" t="str">
        <f>IFERROR(INDEX(Товары_очищенные!$N$3:$N$503,MATCH(M759,Товары_очищенные!$L$3:$L$503,0)),"нет в каталоге")</f>
        <v>Мониторы</v>
      </c>
      <c r="T759" s="21" t="str">
        <f t="shared" si="259"/>
        <v>OK</v>
      </c>
      <c r="U759" s="12" t="str">
        <f t="shared" si="260"/>
        <v>28/01/2026|АРТ-158|C0757</v>
      </c>
      <c r="V759" s="12" t="str">
        <f t="shared" si="261"/>
        <v>оригинал</v>
      </c>
    </row>
    <row r="760" ht="15" customHeight="1">
      <c r="A760" s="10">
        <v>758</v>
      </c>
      <c r="B760" s="11" t="str">
        <f>RAW_Продажи!A759</f>
        <v>01/28/2026</v>
      </c>
      <c r="C760" s="11" t="str">
        <f>RAW_Продажи!B759</f>
        <v>АРТ_419</v>
      </c>
      <c r="D760" s="11" t="str">
        <f>RAW_Продажи!C759</f>
        <v>2</v>
      </c>
      <c r="E760" s="11" t="str">
        <f>RAW_Продажи!D759</f>
        <v>€75</v>
      </c>
      <c r="F760" s="11" t="str">
        <f>RAW_Продажи!E759</f>
        <v>C0758</v>
      </c>
      <c r="G760" s="11" t="str">
        <f>RAW_Продажи!F759</f>
        <v>P042</v>
      </c>
      <c r="H760" s="11" t="str">
        <f>RAW_Продажи!G759</f>
        <v>возврат</v>
      </c>
      <c r="I760" s="12" t="str">
        <f t="shared" si="253"/>
        <v>419</v>
      </c>
      <c r="J760" s="12" t="str">
        <f t="shared" si="254"/>
        <v>€</v>
      </c>
      <c r="K760" s="12">
        <f t="shared" si="255"/>
        <v>75</v>
      </c>
      <c r="L760" s="19">
        <f t="shared" si="256"/>
        <v>46050</v>
      </c>
      <c r="M760" s="13" t="str">
        <f t="shared" si="257"/>
        <v>АРТ-419</v>
      </c>
      <c r="N760" s="13">
        <f t="shared" si="258"/>
        <v>2</v>
      </c>
      <c r="O760" s="13" t="str">
        <f>IFERROR(VLOOKUP(J760,Справочники!$G$6:$H$8,2,0),"RUB")</f>
        <v>EUR</v>
      </c>
      <c r="P760" s="14">
        <f>ROUND(K760*IFERROR(VLOOKUP(J760,Справочники!$G$6:$I$8,3,0),1),2)</f>
        <v>7500</v>
      </c>
      <c r="Q760" s="13" t="str">
        <f>IFERROR(VLOOKUP(H760,Справочники!$D$6:$E$14,2,0),"НЕИЗВЕСТНО")</f>
        <v>Возврат</v>
      </c>
      <c r="R760" s="20">
        <f>IFERROR(INDEX(Товары_очищенные!$Q$3:$Q$503,MATCH(M760,Товары_очищенные!$L$3:$L$503,0)),"нет в каталоге")</f>
        <v>28500</v>
      </c>
      <c r="S760" s="21" t="str">
        <f>IFERROR(INDEX(Товары_очищенные!$N$3:$N$503,MATCH(M760,Товары_очищенные!$L$3:$L$503,0)),"нет в каталоге")</f>
        <v>Часы</v>
      </c>
      <c r="T760" s="21" t="str">
        <f t="shared" si="259"/>
        <v>OK</v>
      </c>
      <c r="U760" s="12" t="str">
        <f t="shared" si="260"/>
        <v>28/01/2026|АРТ-419|C0758</v>
      </c>
      <c r="V760" s="12" t="str">
        <f t="shared" si="261"/>
        <v>оригинал</v>
      </c>
    </row>
    <row r="761" ht="15" customHeight="1">
      <c r="A761" s="10">
        <v>759</v>
      </c>
      <c r="B761" s="11" t="str">
        <f>RAW_Продажи!A760</f>
        <v>01/29/2026</v>
      </c>
      <c r="C761" s="11" t="str">
        <f>RAW_Продажи!B760</f>
        <v>326/24</v>
      </c>
      <c r="D761" s="11" t="str">
        <f>RAW_Продажи!C760</f>
        <v xml:space="preserve">3 шт.</v>
      </c>
      <c r="E761" s="11" t="str">
        <f>RAW_Продажи!D760</f>
        <v xml:space="preserve">7000 ₽</v>
      </c>
      <c r="F761" s="11" t="str">
        <f>RAW_Продажи!E760</f>
        <v>C0759</v>
      </c>
      <c r="G761" s="11" t="str">
        <f>RAW_Продажи!F760</f>
        <v>P005</v>
      </c>
      <c r="H761" s="11" t="str">
        <f>RAW_Продажи!G760</f>
        <v>завершен</v>
      </c>
      <c r="I761" s="12" t="str">
        <f t="shared" si="253"/>
        <v>326/24</v>
      </c>
      <c r="J761" s="12" t="str">
        <f t="shared" si="254"/>
        <v>₽</v>
      </c>
      <c r="K761" s="12">
        <f t="shared" si="255"/>
        <v>7000</v>
      </c>
      <c r="L761" s="19">
        <f t="shared" si="256"/>
        <v>46051</v>
      </c>
      <c r="M761" s="13" t="str">
        <f t="shared" si="257"/>
        <v>АРТ-326</v>
      </c>
      <c r="N761" s="13">
        <f t="shared" si="258"/>
        <v>3</v>
      </c>
      <c r="O761" s="13" t="str">
        <f>IFERROR(VLOOKUP(J761,Справочники!$G$6:$H$8,2,0),"RUB")</f>
        <v>RUB</v>
      </c>
      <c r="P761" s="14">
        <f>ROUND(K761*IFERROR(VLOOKUP(J761,Справочники!$G$6:$I$8,3,0),1),2)</f>
        <v>7000</v>
      </c>
      <c r="Q761" s="13" t="str">
        <f>IFERROR(VLOOKUP(H761,Справочники!$D$6:$E$14,2,0),"НЕИЗВЕСТНО")</f>
        <v>Завершен</v>
      </c>
      <c r="R761" s="20">
        <f>IFERROR(INDEX(Товары_очищенные!$Q$3:$Q$503,MATCH(M761,Товары_очищенные!$L$3:$L$503,0)),"нет в каталоге")</f>
        <v>64500</v>
      </c>
      <c r="S761" s="21" t="str">
        <f>IFERROR(INDEX(Товары_очищенные!$N$3:$N$503,MATCH(M761,Товары_очищенные!$L$3:$L$503,0)),"нет в каталоге")</f>
        <v>Мониторы</v>
      </c>
      <c r="T761" s="21" t="str">
        <f t="shared" si="259"/>
        <v>OK</v>
      </c>
      <c r="U761" s="12" t="str">
        <f t="shared" si="260"/>
        <v>29/01/2026|АРТ-326|C0759</v>
      </c>
      <c r="V761" s="12" t="str">
        <f t="shared" si="261"/>
        <v>оригинал</v>
      </c>
    </row>
    <row r="762" ht="15" customHeight="1">
      <c r="A762" s="10">
        <v>760</v>
      </c>
      <c r="B762" s="11" t="str">
        <f>RAW_Продажи!A761</f>
        <v>01/29/2026</v>
      </c>
      <c r="C762" s="11" t="str">
        <f>RAW_Продажи!B761</f>
        <v>№АРТ-250</v>
      </c>
      <c r="D762" s="11" t="str">
        <f>RAW_Продажи!C761</f>
        <v>-2</v>
      </c>
      <c r="E762" s="11" t="str">
        <f>RAW_Продажи!D761</f>
        <v>$115</v>
      </c>
      <c r="F762" s="11" t="str">
        <f>RAW_Продажи!E761</f>
        <v>C0760</v>
      </c>
      <c r="G762" s="11" t="str">
        <f>RAW_Продажи!F761</f>
        <v>P036</v>
      </c>
      <c r="H762" s="11" t="str">
        <f>RAW_Продажи!G761</f>
        <v>completed</v>
      </c>
      <c r="I762" s="12" t="str">
        <f t="shared" si="253"/>
        <v>250</v>
      </c>
      <c r="J762" s="12" t="str">
        <f t="shared" si="254"/>
        <v>$</v>
      </c>
      <c r="K762" s="12">
        <f t="shared" si="255"/>
        <v>115</v>
      </c>
      <c r="L762" s="19">
        <f t="shared" si="256"/>
        <v>46051</v>
      </c>
      <c r="M762" s="13" t="str">
        <f t="shared" si="257"/>
        <v>АРТ-250</v>
      </c>
      <c r="N762" s="13">
        <f t="shared" si="258"/>
        <v>-2</v>
      </c>
      <c r="O762" s="13" t="str">
        <f>IFERROR(VLOOKUP(J762,Справочники!$G$6:$H$8,2,0),"RUB")</f>
        <v>USD</v>
      </c>
      <c r="P762" s="14">
        <f>ROUND(K762*IFERROR(VLOOKUP(J762,Справочники!$G$6:$I$8,3,0),1),2)</f>
        <v>10925</v>
      </c>
      <c r="Q762" s="13" t="str">
        <f>IFERROR(VLOOKUP(H762,Справочники!$D$6:$E$14,2,0),"НЕИЗВЕСТНО")</f>
        <v>Завершен</v>
      </c>
      <c r="R762" s="20">
        <f>IFERROR(INDEX(Товары_очищенные!$Q$3:$Q$503,MATCH(M762,Товары_очищенные!$L$3:$L$503,0)),"нет в каталоге")</f>
        <v>54990</v>
      </c>
      <c r="S762" s="21" t="str">
        <f>IFERROR(INDEX(Товары_очищенные!$N$3:$N$503,MATCH(M762,Товары_очищенные!$L$3:$L$503,0)),"нет в каталоге")</f>
        <v>Часы</v>
      </c>
      <c r="T762" s="21" t="str">
        <f t="shared" si="259"/>
        <v>OK</v>
      </c>
      <c r="U762" s="12" t="str">
        <f t="shared" si="260"/>
        <v>29/01/2026|АРТ-250|C0760</v>
      </c>
      <c r="V762" s="12" t="str">
        <f t="shared" si="261"/>
        <v>оригинал</v>
      </c>
    </row>
    <row r="763" ht="15" customHeight="1">
      <c r="A763" s="10">
        <v>761</v>
      </c>
      <c r="B763" s="11" t="str">
        <f>RAW_Продажи!A762</f>
        <v>01/30/2026</v>
      </c>
      <c r="C763" s="11" t="str">
        <f>RAW_Продажи!B762</f>
        <v>АРТ_338</v>
      </c>
      <c r="D763" s="11" t="str">
        <f>RAW_Продажи!C762</f>
        <v>1</v>
      </c>
      <c r="E763" s="11" t="str">
        <f>RAW_Продажи!D762</f>
        <v>€95</v>
      </c>
      <c r="F763" s="11" t="str">
        <f>RAW_Продажи!E762</f>
        <v>C0761</v>
      </c>
      <c r="G763" s="11" t="str">
        <f>RAW_Продажи!F762</f>
        <v>P014</v>
      </c>
      <c r="H763" s="11" t="str">
        <f>RAW_Продажи!G762</f>
        <v>Завершен</v>
      </c>
      <c r="I763" s="12" t="str">
        <f t="shared" si="253"/>
        <v>338</v>
      </c>
      <c r="J763" s="12" t="str">
        <f t="shared" si="254"/>
        <v>€</v>
      </c>
      <c r="K763" s="12">
        <f t="shared" si="255"/>
        <v>95</v>
      </c>
      <c r="L763" s="19">
        <f t="shared" si="256"/>
        <v>46052</v>
      </c>
      <c r="M763" s="13" t="str">
        <f t="shared" si="257"/>
        <v>АРТ-338</v>
      </c>
      <c r="N763" s="13">
        <f t="shared" si="258"/>
        <v>1</v>
      </c>
      <c r="O763" s="13" t="str">
        <f>IFERROR(VLOOKUP(J763,Справочники!$G$6:$H$8,2,0),"RUB")</f>
        <v>EUR</v>
      </c>
      <c r="P763" s="14">
        <f>ROUND(K763*IFERROR(VLOOKUP(J763,Справочники!$G$6:$I$8,3,0),1),2)</f>
        <v>9500</v>
      </c>
      <c r="Q763" s="13" t="str">
        <f>IFERROR(VLOOKUP(H763,Справочники!$D$6:$E$14,2,0),"НЕИЗВЕСТНО")</f>
        <v>Завершен</v>
      </c>
      <c r="R763" s="20">
        <f>IFERROR(INDEX(Товары_очищенные!$Q$3:$Q$503,MATCH(M763,Товары_очищенные!$L$3:$L$503,0)),"нет в каталоге")</f>
        <v>62500</v>
      </c>
      <c r="S763" s="21" t="str">
        <f>IFERROR(INDEX(Товары_очищенные!$N$3:$N$503,MATCH(M763,Товары_очищенные!$L$3:$L$503,0)),"нет в каталоге")</f>
        <v>Смартфоны</v>
      </c>
      <c r="T763" s="21" t="str">
        <f t="shared" si="259"/>
        <v>OK</v>
      </c>
      <c r="U763" s="12" t="str">
        <f t="shared" si="260"/>
        <v>30/01/2026|АРТ-338|C0761</v>
      </c>
      <c r="V763" s="12" t="str">
        <f t="shared" si="261"/>
        <v>оригинал</v>
      </c>
    </row>
    <row r="764" ht="15" customHeight="1">
      <c r="A764" s="10">
        <v>762</v>
      </c>
      <c r="B764" s="11" t="str">
        <f>RAW_Продажи!A763</f>
        <v>01/30/2026</v>
      </c>
      <c r="C764" s="11" t="str">
        <f>RAW_Продажи!B763</f>
        <v>277-24</v>
      </c>
      <c r="D764" s="11" t="str">
        <f>RAW_Продажи!C763</f>
        <v>2</v>
      </c>
      <c r="E764" s="11" t="str">
        <f>RAW_Продажи!D763</f>
        <v xml:space="preserve">8500 ₽</v>
      </c>
      <c r="F764" s="11" t="str">
        <f>RAW_Продажи!E763</f>
        <v>C0762</v>
      </c>
      <c r="G764" s="11" t="str">
        <f>RAW_Продажи!F763</f>
        <v>P028</v>
      </c>
      <c r="H764" s="11" t="str">
        <f>RAW_Продажи!G763</f>
        <v>canceled</v>
      </c>
      <c r="I764" s="12" t="str">
        <f t="shared" si="253"/>
        <v>277-24</v>
      </c>
      <c r="J764" s="12" t="str">
        <f t="shared" si="254"/>
        <v>₽</v>
      </c>
      <c r="K764" s="12">
        <f t="shared" si="255"/>
        <v>8500</v>
      </c>
      <c r="L764" s="19">
        <f t="shared" si="256"/>
        <v>46052</v>
      </c>
      <c r="M764" s="13" t="str">
        <f t="shared" si="257"/>
        <v>АРТ-277</v>
      </c>
      <c r="N764" s="13">
        <f t="shared" si="258"/>
        <v>2</v>
      </c>
      <c r="O764" s="13" t="str">
        <f>IFERROR(VLOOKUP(J764,Справочники!$G$6:$H$8,2,0),"RUB")</f>
        <v>RUB</v>
      </c>
      <c r="P764" s="14">
        <f>ROUND(K764*IFERROR(VLOOKUP(J764,Справочники!$G$6:$I$8,3,0),1),2)</f>
        <v>8500</v>
      </c>
      <c r="Q764" s="13" t="str">
        <f>IFERROR(VLOOKUP(H764,Справочники!$D$6:$E$14,2,0),"НЕИЗВЕСТНО")</f>
        <v>Отменен</v>
      </c>
      <c r="R764" s="20">
        <f>IFERROR(INDEX(Товары_очищенные!$Q$3:$Q$503,MATCH(M764,Товары_очищенные!$L$3:$L$503,0)),"нет в каталоге")</f>
        <v>114990</v>
      </c>
      <c r="S764" s="21" t="str">
        <f>IFERROR(INDEX(Товары_очищенные!$N$3:$N$503,MATCH(M764,Товары_очищенные!$L$3:$L$503,0)),"нет в каталоге")</f>
        <v>Телевизоры</v>
      </c>
      <c r="T764" s="21" t="str">
        <f t="shared" si="259"/>
        <v>OK</v>
      </c>
      <c r="U764" s="12" t="str">
        <f t="shared" si="260"/>
        <v>30/01/2026|АРТ-277|C0762</v>
      </c>
      <c r="V764" s="12" t="str">
        <f t="shared" si="261"/>
        <v>оригинал</v>
      </c>
    </row>
    <row r="765" ht="15" customHeight="1">
      <c r="A765" s="10">
        <v>763</v>
      </c>
      <c r="B765" s="11" t="str">
        <f>RAW_Продажи!A764</f>
        <v>01/31/2026</v>
      </c>
      <c r="C765" s="11" t="str">
        <f>RAW_Продажи!B764</f>
        <v>№АРТ-069</v>
      </c>
      <c r="D765" s="11" t="str">
        <f>RAW_Продажи!C764</f>
        <v>3</v>
      </c>
      <c r="E765" s="11" t="str">
        <f>RAW_Продажи!D764</f>
        <v>$105</v>
      </c>
      <c r="F765" s="11" t="str">
        <f>RAW_Продажи!E764</f>
        <v>C0763</v>
      </c>
      <c r="G765" s="11" t="str">
        <f>RAW_Продажи!F764</f>
        <v>P009</v>
      </c>
      <c r="H765" s="11" t="str">
        <f>RAW_Продажи!G764</f>
        <v>отменен</v>
      </c>
      <c r="I765" s="12" t="str">
        <f t="shared" si="253"/>
        <v>069</v>
      </c>
      <c r="J765" s="12" t="str">
        <f t="shared" si="254"/>
        <v>$</v>
      </c>
      <c r="K765" s="12">
        <f t="shared" si="255"/>
        <v>105</v>
      </c>
      <c r="L765" s="19">
        <f t="shared" si="256"/>
        <v>46053</v>
      </c>
      <c r="M765" s="13" t="str">
        <f t="shared" si="257"/>
        <v>АРТ-069</v>
      </c>
      <c r="N765" s="13">
        <f t="shared" si="258"/>
        <v>3</v>
      </c>
      <c r="O765" s="13" t="str">
        <f>IFERROR(VLOOKUP(J765,Справочники!$G$6:$H$8,2,0),"RUB")</f>
        <v>USD</v>
      </c>
      <c r="P765" s="14">
        <f>ROUND(K765*IFERROR(VLOOKUP(J765,Справочники!$G$6:$I$8,3,0),1),2)</f>
        <v>9975</v>
      </c>
      <c r="Q765" s="13" t="str">
        <f>IFERROR(VLOOKUP(H765,Справочники!$D$6:$E$14,2,0),"НЕИЗВЕСТНО")</f>
        <v>Отменен</v>
      </c>
      <c r="R765" s="20">
        <f>IFERROR(INDEX(Товары_очищенные!$Q$3:$Q$503,MATCH(M765,Товары_очищенные!$L$3:$L$503,0)),"нет в каталоге")</f>
        <v>112000</v>
      </c>
      <c r="S765" s="21" t="str">
        <f>IFERROR(INDEX(Товары_очищенные!$N$3:$N$503,MATCH(M765,Товары_очищенные!$L$3:$L$503,0)),"нет в каталоге")</f>
        <v>Телевизоры</v>
      </c>
      <c r="T765" s="21" t="str">
        <f t="shared" si="259"/>
        <v>OK</v>
      </c>
      <c r="U765" s="12" t="str">
        <f t="shared" si="260"/>
        <v>31/01/2026|АРТ-069|C0763</v>
      </c>
      <c r="V765" s="12" t="str">
        <f t="shared" si="261"/>
        <v>оригинал</v>
      </c>
    </row>
    <row r="766" ht="15" customHeight="1">
      <c r="A766" s="10">
        <v>764</v>
      </c>
      <c r="B766" s="11" t="str">
        <f>RAW_Продажи!A765</f>
        <v>01/31/2026</v>
      </c>
      <c r="C766" s="11" t="str">
        <f>RAW_Продажи!B765</f>
        <v>АРТ_442</v>
      </c>
      <c r="D766" s="11" t="str">
        <f>RAW_Продажи!C765</f>
        <v>2</v>
      </c>
      <c r="E766" s="11" t="str">
        <f>RAW_Продажи!D765</f>
        <v>€85</v>
      </c>
      <c r="F766" s="11" t="str">
        <f>RAW_Продажи!E765</f>
        <v>C0764</v>
      </c>
      <c r="G766" s="11" t="str">
        <f>RAW_Продажи!F765</f>
        <v>P041</v>
      </c>
      <c r="H766" s="11" t="str">
        <f>RAW_Продажи!G765</f>
        <v>возврат</v>
      </c>
      <c r="I766" s="12" t="str">
        <f t="shared" si="253"/>
        <v>442</v>
      </c>
      <c r="J766" s="12" t="str">
        <f t="shared" si="254"/>
        <v>€</v>
      </c>
      <c r="K766" s="12">
        <f t="shared" si="255"/>
        <v>85</v>
      </c>
      <c r="L766" s="19">
        <f t="shared" si="256"/>
        <v>46053</v>
      </c>
      <c r="M766" s="13" t="str">
        <f t="shared" si="257"/>
        <v>АРТ-442</v>
      </c>
      <c r="N766" s="13">
        <f t="shared" si="258"/>
        <v>2</v>
      </c>
      <c r="O766" s="13" t="str">
        <f>IFERROR(VLOOKUP(J766,Справочники!$G$6:$H$8,2,0),"RUB")</f>
        <v>EUR</v>
      </c>
      <c r="P766" s="14">
        <f>ROUND(K766*IFERROR(VLOOKUP(J766,Справочники!$G$6:$I$8,3,0),1),2)</f>
        <v>8500</v>
      </c>
      <c r="Q766" s="13" t="str">
        <f>IFERROR(VLOOKUP(H766,Справочники!$D$6:$E$14,2,0),"НЕИЗВЕСТНО")</f>
        <v>Возврат</v>
      </c>
      <c r="R766" s="20">
        <f>IFERROR(INDEX(Товары_очищенные!$Q$3:$Q$503,MATCH(M766,Товары_очищенные!$L$3:$L$503,0)),"нет в каталоге")</f>
        <v>24990</v>
      </c>
      <c r="S766" s="21" t="str">
        <f>IFERROR(INDEX(Товары_очищенные!$N$3:$N$503,MATCH(M766,Товары_очищенные!$L$3:$L$503,0)),"нет в каталоге")</f>
        <v>Смартфоны</v>
      </c>
      <c r="T766" s="21" t="str">
        <f t="shared" si="259"/>
        <v>OK</v>
      </c>
      <c r="U766" s="12" t="str">
        <f t="shared" si="260"/>
        <v>31/01/2026|АРТ-442|C0764</v>
      </c>
      <c r="V766" s="12" t="str">
        <f t="shared" si="261"/>
        <v>оригинал</v>
      </c>
    </row>
    <row r="767" ht="15" customHeight="1">
      <c r="A767" s="10">
        <v>765</v>
      </c>
      <c r="B767" s="11" t="str">
        <f>RAW_Продажи!A766</f>
        <v>02/01/2026</v>
      </c>
      <c r="C767" s="11" t="str">
        <f>RAW_Продажи!B766</f>
        <v>349/24</v>
      </c>
      <c r="D767" s="11" t="str">
        <f>RAW_Продажи!C766</f>
        <v xml:space="preserve">1 шт.</v>
      </c>
      <c r="E767" s="11" t="str">
        <f>RAW_Продажи!D766</f>
        <v xml:space="preserve">7800 ₽</v>
      </c>
      <c r="F767" s="11" t="str">
        <f>RAW_Продажи!E766</f>
        <v>C0765</v>
      </c>
      <c r="G767" s="11" t="str">
        <f>RAW_Продажи!F766</f>
        <v>P017</v>
      </c>
      <c r="H767" s="11" t="str">
        <f>RAW_Продажи!G766</f>
        <v>Завершен</v>
      </c>
      <c r="I767" s="12" t="str">
        <f t="shared" si="253"/>
        <v>349/24</v>
      </c>
      <c r="J767" s="12" t="str">
        <f t="shared" si="254"/>
        <v>₽</v>
      </c>
      <c r="K767" s="12">
        <f t="shared" si="255"/>
        <v>7800</v>
      </c>
      <c r="L767" s="19">
        <f t="shared" si="256"/>
        <v>46054</v>
      </c>
      <c r="M767" s="13" t="str">
        <f t="shared" si="257"/>
        <v>АРТ-349</v>
      </c>
      <c r="N767" s="13">
        <f t="shared" si="258"/>
        <v>1</v>
      </c>
      <c r="O767" s="13" t="str">
        <f>IFERROR(VLOOKUP(J767,Справочники!$G$6:$H$8,2,0),"RUB")</f>
        <v>RUB</v>
      </c>
      <c r="P767" s="14">
        <f>ROUND(K767*IFERROR(VLOOKUP(J767,Справочники!$G$6:$I$8,3,0),1),2)</f>
        <v>7800</v>
      </c>
      <c r="Q767" s="13" t="str">
        <f>IFERROR(VLOOKUP(H767,Справочники!$D$6:$E$14,2,0),"НЕИЗВЕСТНО")</f>
        <v>Завершен</v>
      </c>
      <c r="R767" s="20">
        <f>IFERROR(INDEX(Товары_очищенные!$Q$3:$Q$503,MATCH(M767,Товары_очищенные!$L$3:$L$503,0)),"нет в каталоге")</f>
        <v>54990</v>
      </c>
      <c r="S767" s="21" t="str">
        <f>IFERROR(INDEX(Товары_очищенные!$N$3:$N$503,MATCH(M767,Товары_очищенные!$L$3:$L$503,0)),"нет в каталоге")</f>
        <v>Мониторы</v>
      </c>
      <c r="T767" s="21" t="str">
        <f t="shared" si="259"/>
        <v>OK</v>
      </c>
      <c r="U767" s="12" t="str">
        <f t="shared" si="260"/>
        <v>01/02/2026|АРТ-349|C0765</v>
      </c>
      <c r="V767" s="12" t="str">
        <f t="shared" si="261"/>
        <v>оригинал</v>
      </c>
    </row>
    <row r="768" ht="15" customHeight="1">
      <c r="A768" s="10">
        <v>766</v>
      </c>
      <c r="B768" s="11" t="str">
        <f>RAW_Продажи!A767</f>
        <v>02/01/2026</v>
      </c>
      <c r="C768" s="11" t="str">
        <f>RAW_Продажи!B767</f>
        <v>№АРТ-193</v>
      </c>
      <c r="D768" s="11" t="str">
        <f>RAW_Продажи!C767</f>
        <v>-3</v>
      </c>
      <c r="E768" s="11" t="str">
        <f>RAW_Продажи!D767</f>
        <v>$120</v>
      </c>
      <c r="F768" s="11" t="str">
        <f>RAW_Продажи!E767</f>
        <v>C0766</v>
      </c>
      <c r="G768" s="11" t="str">
        <f>RAW_Продажи!F767</f>
        <v>P032</v>
      </c>
      <c r="H768" s="11" t="str">
        <f>RAW_Продажи!G767</f>
        <v>завершен</v>
      </c>
      <c r="I768" s="12" t="str">
        <f t="shared" si="253"/>
        <v>193</v>
      </c>
      <c r="J768" s="12" t="str">
        <f t="shared" si="254"/>
        <v>$</v>
      </c>
      <c r="K768" s="12">
        <f t="shared" si="255"/>
        <v>120</v>
      </c>
      <c r="L768" s="19">
        <f t="shared" si="256"/>
        <v>46054</v>
      </c>
      <c r="M768" s="13" t="str">
        <f t="shared" si="257"/>
        <v>АРТ-193</v>
      </c>
      <c r="N768" s="13">
        <f t="shared" si="258"/>
        <v>-3</v>
      </c>
      <c r="O768" s="13" t="str">
        <f>IFERROR(VLOOKUP(J768,Справочники!$G$6:$H$8,2,0),"RUB")</f>
        <v>USD</v>
      </c>
      <c r="P768" s="14">
        <f>ROUND(K768*IFERROR(VLOOKUP(J768,Справочники!$G$6:$I$8,3,0),1),2)</f>
        <v>11400</v>
      </c>
      <c r="Q768" s="13" t="str">
        <f>IFERROR(VLOOKUP(H768,Справочники!$D$6:$E$14,2,0),"НЕИЗВЕСТНО")</f>
        <v>Завершен</v>
      </c>
      <c r="R768" s="20">
        <f>IFERROR(INDEX(Товары_очищенные!$Q$3:$Q$503,MATCH(M768,Товары_очищенные!$L$3:$L$503,0)),"нет в каталоге")</f>
        <v>129990</v>
      </c>
      <c r="S768" s="21" t="str">
        <f>IFERROR(INDEX(Товары_очищенные!$N$3:$N$503,MATCH(M768,Товары_очищенные!$L$3:$L$503,0)),"нет в каталоге")</f>
        <v>Ноутбуки</v>
      </c>
      <c r="T768" s="21" t="str">
        <f t="shared" si="259"/>
        <v>OK</v>
      </c>
      <c r="U768" s="12" t="str">
        <f t="shared" si="260"/>
        <v>01/02/2026|АРТ-193|C0766</v>
      </c>
      <c r="V768" s="12" t="str">
        <f t="shared" si="261"/>
        <v>оригинал</v>
      </c>
    </row>
    <row r="769" ht="15" customHeight="1">
      <c r="A769" s="10">
        <v>767</v>
      </c>
      <c r="B769" s="11" t="str">
        <f>RAW_Продажи!A768</f>
        <v>02/02/2026</v>
      </c>
      <c r="C769" s="11" t="str">
        <f>RAW_Продажи!B768</f>
        <v>АРТ_394</v>
      </c>
      <c r="D769" s="11" t="str">
        <f>RAW_Продажи!C768</f>
        <v>2</v>
      </c>
      <c r="E769" s="11" t="str">
        <f>RAW_Продажи!D768</f>
        <v>€100</v>
      </c>
      <c r="F769" s="11" t="str">
        <f>RAW_Продажи!E768</f>
        <v>C0767</v>
      </c>
      <c r="G769" s="11" t="str">
        <f>RAW_Продажи!F768</f>
        <v>P049</v>
      </c>
      <c r="H769" s="11" t="str">
        <f>RAW_Продажи!G768</f>
        <v>completed</v>
      </c>
      <c r="I769" s="12" t="str">
        <f t="shared" si="253"/>
        <v>394</v>
      </c>
      <c r="J769" s="12" t="str">
        <f t="shared" si="254"/>
        <v>€</v>
      </c>
      <c r="K769" s="12">
        <f t="shared" si="255"/>
        <v>100</v>
      </c>
      <c r="L769" s="19">
        <f t="shared" si="256"/>
        <v>46055</v>
      </c>
      <c r="M769" s="13" t="str">
        <f t="shared" si="257"/>
        <v>АРТ-394</v>
      </c>
      <c r="N769" s="13">
        <f t="shared" si="258"/>
        <v>2</v>
      </c>
      <c r="O769" s="13" t="str">
        <f>IFERROR(VLOOKUP(J769,Справочники!$G$6:$H$8,2,0),"RUB")</f>
        <v>EUR</v>
      </c>
      <c r="P769" s="14">
        <f>ROUND(K769*IFERROR(VLOOKUP(J769,Справочники!$G$6:$I$8,3,0),1),2)</f>
        <v>10000</v>
      </c>
      <c r="Q769" s="13" t="str">
        <f>IFERROR(VLOOKUP(H769,Справочники!$D$6:$E$14,2,0),"НЕИЗВЕСТНО")</f>
        <v>Завершен</v>
      </c>
      <c r="R769" s="20">
        <f>IFERROR(INDEX(Товары_очищенные!$Q$3:$Q$503,MATCH(M769,Товары_очищенные!$L$3:$L$503,0)),"нет в каталоге")</f>
        <v>64990</v>
      </c>
      <c r="S769" s="21" t="str">
        <f>IFERROR(INDEX(Товары_очищенные!$N$3:$N$503,MATCH(M769,Товары_очищенные!$L$3:$L$503,0)),"нет в каталоге")</f>
        <v>Мониторы</v>
      </c>
      <c r="T769" s="21" t="str">
        <f t="shared" si="259"/>
        <v>OK</v>
      </c>
      <c r="U769" s="12" t="str">
        <f t="shared" si="260"/>
        <v>02/02/2026|АРТ-394|C0767</v>
      </c>
      <c r="V769" s="12" t="str">
        <f t="shared" si="261"/>
        <v>оригинал</v>
      </c>
    </row>
    <row r="770" ht="15" customHeight="1">
      <c r="A770" s="10">
        <v>768</v>
      </c>
      <c r="B770" s="11" t="str">
        <f>RAW_Продажи!A769</f>
        <v>02/02/2026</v>
      </c>
      <c r="C770" s="11" t="str">
        <f>RAW_Продажи!B769</f>
        <v>256-24</v>
      </c>
      <c r="D770" s="11" t="str">
        <f>RAW_Продажи!C769</f>
        <v>1</v>
      </c>
      <c r="E770" s="11" t="str">
        <f>RAW_Продажи!D769</f>
        <v xml:space="preserve">9200 ₽</v>
      </c>
      <c r="F770" s="11" t="str">
        <f>RAW_Продажи!E769</f>
        <v>C0768</v>
      </c>
      <c r="G770" s="11" t="str">
        <f>RAW_Продажи!F769</f>
        <v>P006</v>
      </c>
      <c r="H770" s="11" t="str">
        <f>RAW_Продажи!G769</f>
        <v>отменен</v>
      </c>
      <c r="I770" s="12" t="str">
        <f t="shared" si="253"/>
        <v>256-24</v>
      </c>
      <c r="J770" s="12" t="str">
        <f t="shared" si="254"/>
        <v>₽</v>
      </c>
      <c r="K770" s="12">
        <f t="shared" si="255"/>
        <v>9200</v>
      </c>
      <c r="L770" s="19">
        <f t="shared" si="256"/>
        <v>46055</v>
      </c>
      <c r="M770" s="13" t="str">
        <f t="shared" si="257"/>
        <v>АРТ-256</v>
      </c>
      <c r="N770" s="13">
        <f t="shared" si="258"/>
        <v>1</v>
      </c>
      <c r="O770" s="13" t="str">
        <f>IFERROR(VLOOKUP(J770,Справочники!$G$6:$H$8,2,0),"RUB")</f>
        <v>RUB</v>
      </c>
      <c r="P770" s="14">
        <f>ROUND(K770*IFERROR(VLOOKUP(J770,Справочники!$G$6:$I$8,3,0),1),2)</f>
        <v>9200</v>
      </c>
      <c r="Q770" s="13" t="str">
        <f>IFERROR(VLOOKUP(H770,Справочники!$D$6:$E$14,2,0),"НЕИЗВЕСТНО")</f>
        <v>Отменен</v>
      </c>
      <c r="R770" s="20">
        <f>IFERROR(INDEX(Товары_очищенные!$Q$3:$Q$503,MATCH(M770,Товары_очищенные!$L$3:$L$503,0)),"нет в каталоге")</f>
        <v>37990</v>
      </c>
      <c r="S770" s="21" t="str">
        <f>IFERROR(INDEX(Товары_очищенные!$N$3:$N$503,MATCH(M770,Товары_очищенные!$L$3:$L$503,0)),"нет в каталоге")</f>
        <v>Смартфоны</v>
      </c>
      <c r="T770" s="21" t="str">
        <f t="shared" si="259"/>
        <v>OK</v>
      </c>
      <c r="U770" s="12" t="str">
        <f t="shared" si="260"/>
        <v>02/02/2026|АРТ-256|C0768</v>
      </c>
      <c r="V770" s="12" t="str">
        <f t="shared" si="261"/>
        <v>оригинал</v>
      </c>
    </row>
    <row r="771" ht="15" customHeight="1">
      <c r="A771" s="10">
        <v>769</v>
      </c>
      <c r="B771" s="11" t="str">
        <f>RAW_Продажи!A770</f>
        <v>02/03/2026</v>
      </c>
      <c r="C771" s="11" t="str">
        <f>RAW_Продажи!B770</f>
        <v>№АРТ-128</v>
      </c>
      <c r="D771" s="11" t="str">
        <f>RAW_Продажи!C770</f>
        <v>3</v>
      </c>
      <c r="E771" s="11" t="str">
        <f>RAW_Продажи!D770</f>
        <v>$90</v>
      </c>
      <c r="F771" s="11" t="str">
        <f>RAW_Продажи!E770</f>
        <v>C0769</v>
      </c>
      <c r="G771" s="11" t="str">
        <f>RAW_Продажи!F770</f>
        <v>P024</v>
      </c>
      <c r="H771" s="11" t="str">
        <f>RAW_Продажи!G770</f>
        <v>canceled</v>
      </c>
      <c r="I771" s="12" t="str">
        <f t="shared" si="253"/>
        <v>128</v>
      </c>
      <c r="J771" s="12" t="str">
        <f t="shared" si="254"/>
        <v>$</v>
      </c>
      <c r="K771" s="12">
        <f t="shared" si="255"/>
        <v>90</v>
      </c>
      <c r="L771" s="19">
        <f t="shared" si="256"/>
        <v>46056</v>
      </c>
      <c r="M771" s="13" t="str">
        <f t="shared" si="257"/>
        <v>АРТ-128</v>
      </c>
      <c r="N771" s="13">
        <f t="shared" si="258"/>
        <v>3</v>
      </c>
      <c r="O771" s="13" t="str">
        <f>IFERROR(VLOOKUP(J771,Справочники!$G$6:$H$8,2,0),"RUB")</f>
        <v>USD</v>
      </c>
      <c r="P771" s="14">
        <f>ROUND(K771*IFERROR(VLOOKUP(J771,Справочники!$G$6:$I$8,3,0),1),2)</f>
        <v>8550</v>
      </c>
      <c r="Q771" s="13" t="str">
        <f>IFERROR(VLOOKUP(H771,Справочники!$D$6:$E$14,2,0),"НЕИЗВЕСТНО")</f>
        <v>Отменен</v>
      </c>
      <c r="R771" s="20">
        <f>IFERROR(INDEX(Товары_очищенные!$Q$3:$Q$503,MATCH(M771,Товары_очищенные!$L$3:$L$503,0)),"нет в каталоге")</f>
        <v>50500</v>
      </c>
      <c r="S771" s="21" t="str">
        <f>IFERROR(INDEX(Товары_очищенные!$N$3:$N$503,MATCH(M771,Товары_очищенные!$L$3:$L$503,0)),"нет в каталоге")</f>
        <v>Смартфоны</v>
      </c>
      <c r="T771" s="21" t="str">
        <f t="shared" si="259"/>
        <v>OK</v>
      </c>
      <c r="U771" s="12" t="str">
        <f t="shared" si="260"/>
        <v>03/02/2026|АРТ-128|C0769</v>
      </c>
      <c r="V771" s="12" t="str">
        <f t="shared" si="261"/>
        <v>оригинал</v>
      </c>
    </row>
    <row r="772" ht="15" customHeight="1">
      <c r="A772" s="10">
        <v>770</v>
      </c>
      <c r="B772" s="11" t="str">
        <f>RAW_Продажи!A771</f>
        <v>02/03/2026</v>
      </c>
      <c r="C772" s="11" t="str">
        <f>RAW_Продажи!B771</f>
        <v>АРТ_465</v>
      </c>
      <c r="D772" s="11" t="str">
        <f>RAW_Продажи!C771</f>
        <v>2</v>
      </c>
      <c r="E772" s="11" t="str">
        <f>RAW_Продажи!D771</f>
        <v>€70</v>
      </c>
      <c r="F772" s="11" t="str">
        <f>RAW_Продажи!E771</f>
        <v>C0770</v>
      </c>
      <c r="G772" s="11" t="str">
        <f>RAW_Продажи!F771</f>
        <v>P015</v>
      </c>
      <c r="H772" s="11" t="str">
        <f>RAW_Продажи!G771</f>
        <v>Завершен</v>
      </c>
      <c r="I772" s="12" t="str">
        <f t="shared" si="253"/>
        <v>465</v>
      </c>
      <c r="J772" s="12" t="str">
        <f t="shared" si="254"/>
        <v>€</v>
      </c>
      <c r="K772" s="12">
        <f t="shared" si="255"/>
        <v>70</v>
      </c>
      <c r="L772" s="19">
        <f t="shared" si="256"/>
        <v>46056</v>
      </c>
      <c r="M772" s="13" t="str">
        <f t="shared" si="257"/>
        <v>АРТ-465</v>
      </c>
      <c r="N772" s="13">
        <f t="shared" si="258"/>
        <v>2</v>
      </c>
      <c r="O772" s="13" t="str">
        <f>IFERROR(VLOOKUP(J772,Справочники!$G$6:$H$8,2,0),"RUB")</f>
        <v>EUR</v>
      </c>
      <c r="P772" s="14">
        <f>ROUND(K772*IFERROR(VLOOKUP(J772,Справочники!$G$6:$I$8,3,0),1),2)</f>
        <v>7000</v>
      </c>
      <c r="Q772" s="13" t="str">
        <f>IFERROR(VLOOKUP(H772,Справочники!$D$6:$E$14,2,0),"НЕИЗВЕСТНО")</f>
        <v>Завершен</v>
      </c>
      <c r="R772" s="20">
        <f>IFERROR(INDEX(Товары_очищенные!$Q$3:$Q$503,MATCH(M772,Товары_очищенные!$L$3:$L$503,0)),"нет в каталоге")</f>
        <v>31500</v>
      </c>
      <c r="S772" s="21" t="str">
        <f>IFERROR(INDEX(Товары_очищенные!$N$3:$N$503,MATCH(M772,Товары_очищенные!$L$3:$L$503,0)),"нет в каталоге")</f>
        <v>Планшеты</v>
      </c>
      <c r="T772" s="21" t="str">
        <f t="shared" si="259"/>
        <v>OK</v>
      </c>
      <c r="U772" s="12" t="str">
        <f t="shared" si="260"/>
        <v>03/02/2026|АРТ-465|C0770</v>
      </c>
      <c r="V772" s="12" t="str">
        <f t="shared" si="261"/>
        <v>оригинал</v>
      </c>
    </row>
    <row r="773" ht="15" customHeight="1">
      <c r="A773" s="10">
        <v>771</v>
      </c>
      <c r="B773" s="11" t="str">
        <f>RAW_Продажи!A772</f>
        <v>02/04/2026</v>
      </c>
      <c r="C773" s="11" t="str">
        <f>RAW_Продажи!B772</f>
        <v>319/24</v>
      </c>
      <c r="D773" s="11" t="str">
        <f>RAW_Продажи!C772</f>
        <v xml:space="preserve">1 шт.</v>
      </c>
      <c r="E773" s="11" t="str">
        <f>RAW_Продажи!D772</f>
        <v xml:space="preserve">6500 ₽</v>
      </c>
      <c r="F773" s="11" t="str">
        <f>RAW_Продажи!E772</f>
        <v>C0771</v>
      </c>
      <c r="G773" s="11" t="str">
        <f>RAW_Продажи!F772</f>
        <v>P037</v>
      </c>
      <c r="H773" s="11" t="str">
        <f>RAW_Продажи!G772</f>
        <v>возврат</v>
      </c>
      <c r="I773" s="12" t="str">
        <f t="shared" si="253"/>
        <v>319/24</v>
      </c>
      <c r="J773" s="12" t="str">
        <f t="shared" si="254"/>
        <v>₽</v>
      </c>
      <c r="K773" s="12">
        <f t="shared" si="255"/>
        <v>6500</v>
      </c>
      <c r="L773" s="19">
        <f t="shared" si="256"/>
        <v>46057</v>
      </c>
      <c r="M773" s="13" t="str">
        <f t="shared" si="257"/>
        <v>АРТ-319</v>
      </c>
      <c r="N773" s="13">
        <f t="shared" si="258"/>
        <v>1</v>
      </c>
      <c r="O773" s="13" t="str">
        <f>IFERROR(VLOOKUP(J773,Справочники!$G$6:$H$8,2,0),"RUB")</f>
        <v>RUB</v>
      </c>
      <c r="P773" s="14">
        <f>ROUND(K773*IFERROR(VLOOKUP(J773,Справочники!$G$6:$I$8,3,0),1),2)</f>
        <v>6500</v>
      </c>
      <c r="Q773" s="13" t="str">
        <f>IFERROR(VLOOKUP(H773,Справочники!$D$6:$E$14,2,0),"НЕИЗВЕСТНО")</f>
        <v>Возврат</v>
      </c>
      <c r="R773" s="20">
        <f>IFERROR(INDEX(Товары_очищенные!$Q$3:$Q$503,MATCH(M773,Товары_очищенные!$L$3:$L$503,0)),"нет в каталоге")</f>
        <v>184990</v>
      </c>
      <c r="S773" s="21" t="str">
        <f>IFERROR(INDEX(Товары_очищенные!$N$3:$N$503,MATCH(M773,Товары_очищенные!$L$3:$L$503,0)),"нет в каталоге")</f>
        <v>Телевизоры</v>
      </c>
      <c r="T773" s="21" t="str">
        <f t="shared" si="259"/>
        <v>OK</v>
      </c>
      <c r="U773" s="12" t="str">
        <f t="shared" si="260"/>
        <v>04/02/2026|АРТ-319|C0771</v>
      </c>
      <c r="V773" s="12" t="str">
        <f t="shared" si="261"/>
        <v>оригинал</v>
      </c>
    </row>
    <row r="774" ht="15" customHeight="1">
      <c r="A774" s="10">
        <v>772</v>
      </c>
      <c r="B774" s="11" t="str">
        <f>RAW_Продажи!A773</f>
        <v>02/04/2026</v>
      </c>
      <c r="C774" s="11" t="str">
        <f>RAW_Продажи!B773</f>
        <v>№АРТ-262</v>
      </c>
      <c r="D774" s="11" t="str">
        <f>RAW_Продажи!C773</f>
        <v>-1</v>
      </c>
      <c r="E774" s="11" t="str">
        <f>RAW_Продажи!D773</f>
        <v>$110</v>
      </c>
      <c r="F774" s="11" t="str">
        <f>RAW_Продажи!E773</f>
        <v>C0772</v>
      </c>
      <c r="G774" s="11" t="str">
        <f>RAW_Продажи!F773</f>
        <v>P048</v>
      </c>
      <c r="H774" s="11" t="str">
        <f>RAW_Продажи!G773</f>
        <v>завершен</v>
      </c>
      <c r="I774" s="12" t="str">
        <f t="shared" si="253"/>
        <v>262</v>
      </c>
      <c r="J774" s="12" t="str">
        <f t="shared" si="254"/>
        <v>$</v>
      </c>
      <c r="K774" s="12">
        <f t="shared" si="255"/>
        <v>110</v>
      </c>
      <c r="L774" s="19">
        <f t="shared" si="256"/>
        <v>46057</v>
      </c>
      <c r="M774" s="13" t="str">
        <f t="shared" si="257"/>
        <v>АРТ-262</v>
      </c>
      <c r="N774" s="13">
        <f t="shared" si="258"/>
        <v>-1</v>
      </c>
      <c r="O774" s="13" t="str">
        <f>IFERROR(VLOOKUP(J774,Справочники!$G$6:$H$8,2,0),"RUB")</f>
        <v>USD</v>
      </c>
      <c r="P774" s="14">
        <f>ROUND(K774*IFERROR(VLOOKUP(J774,Справочники!$G$6:$I$8,3,0),1),2)</f>
        <v>10450</v>
      </c>
      <c r="Q774" s="13" t="str">
        <f>IFERROR(VLOOKUP(H774,Справочники!$D$6:$E$14,2,0),"НЕИЗВЕСТНО")</f>
        <v>Завершен</v>
      </c>
      <c r="R774" s="20">
        <f>IFERROR(INDEX(Товары_очищенные!$Q$3:$Q$503,MATCH(M774,Товары_очищенные!$L$3:$L$503,0)),"нет в каталоге")</f>
        <v>11990</v>
      </c>
      <c r="S774" s="21" t="str">
        <f>IFERROR(INDEX(Товары_очищенные!$N$3:$N$503,MATCH(M774,Товары_очищенные!$L$3:$L$503,0)),"нет в каталоге")</f>
        <v>Наушники</v>
      </c>
      <c r="T774" s="21" t="str">
        <f t="shared" si="259"/>
        <v>OK</v>
      </c>
      <c r="U774" s="12" t="str">
        <f t="shared" si="260"/>
        <v>04/02/2026|АРТ-262|C0772</v>
      </c>
      <c r="V774" s="12" t="str">
        <f t="shared" si="261"/>
        <v>оригинал</v>
      </c>
    </row>
    <row r="775" ht="15" customHeight="1">
      <c r="A775" s="10">
        <v>773</v>
      </c>
      <c r="B775" s="11" t="str">
        <f>RAW_Продажи!A774</f>
        <v>02/05/2026</v>
      </c>
      <c r="C775" s="11" t="str">
        <f>RAW_Продажи!B774</f>
        <v>АРТ_305</v>
      </c>
      <c r="D775" s="11" t="str">
        <f>RAW_Продажи!C774</f>
        <v>3</v>
      </c>
      <c r="E775" s="11" t="str">
        <f>RAW_Продажи!D774</f>
        <v>€90</v>
      </c>
      <c r="F775" s="11" t="str">
        <f>RAW_Продажи!E774</f>
        <v>C0773</v>
      </c>
      <c r="G775" s="11" t="str">
        <f>RAW_Продажи!F774</f>
        <v>P004</v>
      </c>
      <c r="H775" s="11" t="str">
        <f>RAW_Продажи!G774</f>
        <v>completed</v>
      </c>
      <c r="I775" s="12" t="str">
        <f t="shared" si="253"/>
        <v>305</v>
      </c>
      <c r="J775" s="12" t="str">
        <f t="shared" si="254"/>
        <v>€</v>
      </c>
      <c r="K775" s="12">
        <f t="shared" si="255"/>
        <v>90</v>
      </c>
      <c r="L775" s="19">
        <f t="shared" si="256"/>
        <v>46058</v>
      </c>
      <c r="M775" s="13" t="str">
        <f t="shared" si="257"/>
        <v>АРТ-305</v>
      </c>
      <c r="N775" s="13">
        <f t="shared" si="258"/>
        <v>3</v>
      </c>
      <c r="O775" s="13" t="str">
        <f>IFERROR(VLOOKUP(J775,Справочники!$G$6:$H$8,2,0),"RUB")</f>
        <v>EUR</v>
      </c>
      <c r="P775" s="14">
        <f>ROUND(K775*IFERROR(VLOOKUP(J775,Справочники!$G$6:$I$8,3,0),1),2)</f>
        <v>9000</v>
      </c>
      <c r="Q775" s="13" t="str">
        <f>IFERROR(VLOOKUP(H775,Справочники!$D$6:$E$14,2,0),"НЕИЗВЕСТНО")</f>
        <v>Завершен</v>
      </c>
      <c r="R775" s="20">
        <f>IFERROR(INDEX(Товары_очищенные!$Q$3:$Q$503,MATCH(M775,Товары_очищенные!$L$3:$L$503,0)),"нет в каталоге")</f>
        <v>57500</v>
      </c>
      <c r="S775" s="21" t="str">
        <f>IFERROR(INDEX(Товары_очищенные!$N$3:$N$503,MATCH(M775,Товары_очищенные!$L$3:$L$503,0)),"нет в каталоге")</f>
        <v>Мониторы</v>
      </c>
      <c r="T775" s="21" t="str">
        <f t="shared" si="259"/>
        <v>OK</v>
      </c>
      <c r="U775" s="12" t="str">
        <f t="shared" si="260"/>
        <v>05/02/2026|АРТ-305|C0773</v>
      </c>
      <c r="V775" s="12" t="str">
        <f t="shared" si="261"/>
        <v>оригинал</v>
      </c>
    </row>
    <row r="776" ht="15" customHeight="1">
      <c r="A776" s="10">
        <v>774</v>
      </c>
      <c r="B776" s="11" t="str">
        <f>RAW_Продажи!A775</f>
        <v>02/05/2026</v>
      </c>
      <c r="C776" s="11" t="str">
        <f>RAW_Продажи!B775</f>
        <v>115-24</v>
      </c>
      <c r="D776" s="11" t="str">
        <f>RAW_Продажи!C775</f>
        <v>2</v>
      </c>
      <c r="E776" s="11" t="str">
        <f>RAW_Продажи!D775</f>
        <v xml:space="preserve">8000 ₽</v>
      </c>
      <c r="F776" s="11" t="str">
        <f>RAW_Продажи!E775</f>
        <v>C0774</v>
      </c>
      <c r="G776" s="11" t="str">
        <f>RAW_Продажи!F775</f>
        <v>P026</v>
      </c>
      <c r="H776" s="11" t="str">
        <f>RAW_Продажи!G775</f>
        <v>Завершен</v>
      </c>
      <c r="I776" s="12" t="str">
        <f t="shared" si="253"/>
        <v>115-24</v>
      </c>
      <c r="J776" s="12" t="str">
        <f t="shared" si="254"/>
        <v>₽</v>
      </c>
      <c r="K776" s="12">
        <f t="shared" si="255"/>
        <v>8000</v>
      </c>
      <c r="L776" s="19">
        <f t="shared" si="256"/>
        <v>46058</v>
      </c>
      <c r="M776" s="13" t="str">
        <f t="shared" si="257"/>
        <v>АРТ-115</v>
      </c>
      <c r="N776" s="13">
        <f t="shared" si="258"/>
        <v>2</v>
      </c>
      <c r="O776" s="13" t="str">
        <f>IFERROR(VLOOKUP(J776,Справочники!$G$6:$H$8,2,0),"RUB")</f>
        <v>RUB</v>
      </c>
      <c r="P776" s="14">
        <f>ROUND(K776*IFERROR(VLOOKUP(J776,Справочники!$G$6:$I$8,3,0),1),2)</f>
        <v>8000</v>
      </c>
      <c r="Q776" s="13" t="str">
        <f>IFERROR(VLOOKUP(H776,Справочники!$D$6:$E$14,2,0),"НЕИЗВЕСТНО")</f>
        <v>Завершен</v>
      </c>
      <c r="R776" s="20">
        <f>IFERROR(INDEX(Товары_очищенные!$Q$3:$Q$503,MATCH(M776,Товары_очищенные!$L$3:$L$503,0)),"нет в каталоге")</f>
        <v>74900</v>
      </c>
      <c r="S776" s="21" t="str">
        <f>IFERROR(INDEX(Товары_очищенные!$N$3:$N$503,MATCH(M776,Товары_очищенные!$L$3:$L$503,0)),"нет в каталоге")</f>
        <v>Мониторы</v>
      </c>
      <c r="T776" s="21" t="str">
        <f t="shared" si="259"/>
        <v>OK</v>
      </c>
      <c r="U776" s="12" t="str">
        <f t="shared" si="260"/>
        <v>05/02/2026|АРТ-115|C0774</v>
      </c>
      <c r="V776" s="12" t="str">
        <f t="shared" si="261"/>
        <v>оригинал</v>
      </c>
    </row>
    <row r="777" ht="15" customHeight="1">
      <c r="A777" s="10">
        <v>775</v>
      </c>
      <c r="B777" s="11" t="str">
        <f>RAW_Продажи!A776</f>
        <v>02/06/2026</v>
      </c>
      <c r="C777" s="11" t="str">
        <f>RAW_Продажи!B776</f>
        <v>№АРТ-148</v>
      </c>
      <c r="D777" s="11" t="str">
        <f>RAW_Продажи!C776</f>
        <v>1</v>
      </c>
      <c r="E777" s="11" t="str">
        <f>RAW_Продажи!D776</f>
        <v>$95</v>
      </c>
      <c r="F777" s="11" t="str">
        <f>RAW_Продажи!E776</f>
        <v>C0775</v>
      </c>
      <c r="G777" s="11" t="str">
        <f>RAW_Продажи!F776</f>
        <v>P013</v>
      </c>
      <c r="H777" s="11" t="str">
        <f>RAW_Продажи!G776</f>
        <v>canceled</v>
      </c>
      <c r="I777" s="12" t="str">
        <f t="shared" si="253"/>
        <v>148</v>
      </c>
      <c r="J777" s="12" t="str">
        <f t="shared" si="254"/>
        <v>$</v>
      </c>
      <c r="K777" s="12">
        <f t="shared" si="255"/>
        <v>95</v>
      </c>
      <c r="L777" s="19">
        <f t="shared" si="256"/>
        <v>46059</v>
      </c>
      <c r="M777" s="13" t="str">
        <f t="shared" si="257"/>
        <v>АРТ-148</v>
      </c>
      <c r="N777" s="13">
        <f t="shared" si="258"/>
        <v>1</v>
      </c>
      <c r="O777" s="13" t="str">
        <f>IFERROR(VLOOKUP(J777,Справочники!$G$6:$H$8,2,0),"RUB")</f>
        <v>USD</v>
      </c>
      <c r="P777" s="14">
        <f>ROUND(K777*IFERROR(VLOOKUP(J777,Справочники!$G$6:$I$8,3,0),1),2)</f>
        <v>9025</v>
      </c>
      <c r="Q777" s="13" t="str">
        <f>IFERROR(VLOOKUP(H777,Справочники!$D$6:$E$14,2,0),"НЕИЗВЕСТНО")</f>
        <v>Отменен</v>
      </c>
      <c r="R777" s="20">
        <f>IFERROR(INDEX(Товары_очищенные!$Q$3:$Q$503,MATCH(M777,Товары_очищенные!$L$3:$L$503,0)),"нет в каталоге")</f>
        <v>139990</v>
      </c>
      <c r="S777" s="21" t="str">
        <f>IFERROR(INDEX(Товары_очищенные!$N$3:$N$503,MATCH(M777,Товары_очищенные!$L$3:$L$503,0)),"нет в каталоге")</f>
        <v>Ноутбуки</v>
      </c>
      <c r="T777" s="21" t="str">
        <f t="shared" si="259"/>
        <v>OK</v>
      </c>
      <c r="U777" s="12" t="str">
        <f t="shared" si="260"/>
        <v>06/02/2026|АРТ-148|C0775</v>
      </c>
      <c r="V777" s="12" t="str">
        <f t="shared" si="261"/>
        <v>оригинал</v>
      </c>
    </row>
    <row r="778" ht="15" customHeight="1">
      <c r="A778" s="10">
        <v>776</v>
      </c>
      <c r="B778" s="11" t="str">
        <f>RAW_Продажи!A777</f>
        <v>02/06/2026</v>
      </c>
      <c r="C778" s="11" t="str">
        <f>RAW_Продажи!B777</f>
        <v>АРТ_493</v>
      </c>
      <c r="D778" s="11" t="str">
        <f>RAW_Продажи!C777</f>
        <v>2</v>
      </c>
      <c r="E778" s="11" t="str">
        <f>RAW_Продажи!D777</f>
        <v>€75</v>
      </c>
      <c r="F778" s="11" t="str">
        <f>RAW_Продажи!E777</f>
        <v>C0776</v>
      </c>
      <c r="G778" s="11" t="str">
        <f>RAW_Продажи!F777</f>
        <v>P034</v>
      </c>
      <c r="H778" s="11" t="str">
        <f>RAW_Продажи!G777</f>
        <v>отменен</v>
      </c>
      <c r="I778" s="12" t="str">
        <f t="shared" si="253"/>
        <v>493</v>
      </c>
      <c r="J778" s="12" t="str">
        <f t="shared" si="254"/>
        <v>€</v>
      </c>
      <c r="K778" s="12">
        <f t="shared" si="255"/>
        <v>75</v>
      </c>
      <c r="L778" s="19">
        <f t="shared" si="256"/>
        <v>46059</v>
      </c>
      <c r="M778" s="13" t="str">
        <f t="shared" si="257"/>
        <v>АРТ-493</v>
      </c>
      <c r="N778" s="13">
        <f t="shared" si="258"/>
        <v>2</v>
      </c>
      <c r="O778" s="13" t="str">
        <f>IFERROR(VLOOKUP(J778,Справочники!$G$6:$H$8,2,0),"RUB")</f>
        <v>EUR</v>
      </c>
      <c r="P778" s="14">
        <f>ROUND(K778*IFERROR(VLOOKUP(J778,Справочники!$G$6:$I$8,3,0),1),2)</f>
        <v>7500</v>
      </c>
      <c r="Q778" s="13" t="str">
        <f>IFERROR(VLOOKUP(H778,Справочники!$D$6:$E$14,2,0),"НЕИЗВЕСТНО")</f>
        <v>Отменен</v>
      </c>
      <c r="R778" s="20">
        <f>IFERROR(INDEX(Товары_очищенные!$Q$3:$Q$503,MATCH(M778,Товары_очищенные!$L$3:$L$503,0)),"нет в каталоге")</f>
        <v>14990</v>
      </c>
      <c r="S778" s="21" t="str">
        <f>IFERROR(INDEX(Товары_очищенные!$N$3:$N$503,MATCH(M778,Товары_очищенные!$L$3:$L$503,0)),"нет в каталоге")</f>
        <v>Наушники</v>
      </c>
      <c r="T778" s="21" t="str">
        <f t="shared" si="259"/>
        <v>OK</v>
      </c>
      <c r="U778" s="12" t="str">
        <f t="shared" si="260"/>
        <v>06/02/2026|АРТ-493|C0776</v>
      </c>
      <c r="V778" s="12" t="str">
        <f t="shared" si="261"/>
        <v>оригинал</v>
      </c>
    </row>
    <row r="779" ht="15" customHeight="1">
      <c r="A779" s="10">
        <v>777</v>
      </c>
      <c r="B779" s="11" t="str">
        <f>RAW_Продажи!A778</f>
        <v>02/07/2026</v>
      </c>
      <c r="C779" s="11" t="str">
        <f>RAW_Продажи!B778</f>
        <v>365/24</v>
      </c>
      <c r="D779" s="11" t="str">
        <f>RAW_Продажи!C778</f>
        <v xml:space="preserve">3 шт.</v>
      </c>
      <c r="E779" s="11" t="str">
        <f>RAW_Продажи!D778</f>
        <v xml:space="preserve">7000 ₽</v>
      </c>
      <c r="F779" s="11" t="str">
        <f>RAW_Продажи!E778</f>
        <v>C0777</v>
      </c>
      <c r="G779" s="11" t="str">
        <f>RAW_Продажи!F778</f>
        <v>P044</v>
      </c>
      <c r="H779" s="11" t="str">
        <f>RAW_Продажи!G778</f>
        <v>возврат</v>
      </c>
      <c r="I779" s="12" t="str">
        <f t="shared" si="253"/>
        <v>365/24</v>
      </c>
      <c r="J779" s="12" t="str">
        <f t="shared" si="254"/>
        <v>₽</v>
      </c>
      <c r="K779" s="12">
        <f t="shared" si="255"/>
        <v>7000</v>
      </c>
      <c r="L779" s="19">
        <f t="shared" si="256"/>
        <v>46060</v>
      </c>
      <c r="M779" s="13" t="str">
        <f t="shared" si="257"/>
        <v>АРТ-365</v>
      </c>
      <c r="N779" s="13">
        <f t="shared" si="258"/>
        <v>3</v>
      </c>
      <c r="O779" s="13" t="str">
        <f>IFERROR(VLOOKUP(J779,Справочники!$G$6:$H$8,2,0),"RUB")</f>
        <v>RUB</v>
      </c>
      <c r="P779" s="14">
        <f>ROUND(K779*IFERROR(VLOOKUP(J779,Справочники!$G$6:$I$8,3,0),1),2)</f>
        <v>7000</v>
      </c>
      <c r="Q779" s="13" t="str">
        <f>IFERROR(VLOOKUP(H779,Справочники!$D$6:$E$14,2,0),"НЕИЗВЕСТНО")</f>
        <v>Возврат</v>
      </c>
      <c r="R779" s="20">
        <f>IFERROR(INDEX(Товары_очищенные!$Q$3:$Q$503,MATCH(M779,Товары_очищенные!$L$3:$L$503,0)),"нет в каталоге")</f>
        <v>137000</v>
      </c>
      <c r="S779" s="21" t="str">
        <f>IFERROR(INDEX(Товары_очищенные!$N$3:$N$503,MATCH(M779,Товары_очищенные!$L$3:$L$503,0)),"нет в каталоге")</f>
        <v>Телевизоры</v>
      </c>
      <c r="T779" s="21" t="str">
        <f t="shared" si="259"/>
        <v>OK</v>
      </c>
      <c r="U779" s="12" t="str">
        <f t="shared" si="260"/>
        <v>07/02/2026|АРТ-365|C0777</v>
      </c>
      <c r="V779" s="12" t="str">
        <f t="shared" si="261"/>
        <v>оригинал</v>
      </c>
    </row>
    <row r="780" ht="15" customHeight="1">
      <c r="A780" s="10">
        <v>778</v>
      </c>
      <c r="B780" s="11" t="str">
        <f>RAW_Продажи!A779</f>
        <v>02/07/2026</v>
      </c>
      <c r="C780" s="11" t="str">
        <f>RAW_Продажи!B779</f>
        <v>№АРТ-167</v>
      </c>
      <c r="D780" s="11" t="str">
        <f>RAW_Продажи!C779</f>
        <v>-2</v>
      </c>
      <c r="E780" s="11" t="str">
        <f>RAW_Продажи!D779</f>
        <v>$115</v>
      </c>
      <c r="F780" s="11" t="str">
        <f>RAW_Продажи!E779</f>
        <v>C0778</v>
      </c>
      <c r="G780" s="11" t="str">
        <f>RAW_Продажи!F779</f>
        <v>P001</v>
      </c>
      <c r="H780" s="11" t="str">
        <f>RAW_Продажи!G779</f>
        <v>Завершен</v>
      </c>
      <c r="I780" s="12" t="str">
        <f t="shared" si="253"/>
        <v>167</v>
      </c>
      <c r="J780" s="12" t="str">
        <f t="shared" si="254"/>
        <v>$</v>
      </c>
      <c r="K780" s="12">
        <f t="shared" si="255"/>
        <v>115</v>
      </c>
      <c r="L780" s="19">
        <f t="shared" si="256"/>
        <v>46060</v>
      </c>
      <c r="M780" s="13" t="str">
        <f t="shared" si="257"/>
        <v>АРТ-167</v>
      </c>
      <c r="N780" s="13">
        <f t="shared" si="258"/>
        <v>-2</v>
      </c>
      <c r="O780" s="13" t="str">
        <f>IFERROR(VLOOKUP(J780,Справочники!$G$6:$H$8,2,0),"RUB")</f>
        <v>USD</v>
      </c>
      <c r="P780" s="14">
        <f>ROUND(K780*IFERROR(VLOOKUP(J780,Справочники!$G$6:$I$8,3,0),1),2)</f>
        <v>10925</v>
      </c>
      <c r="Q780" s="13" t="str">
        <f>IFERROR(VLOOKUP(H780,Справочники!$D$6:$E$14,2,0),"НЕИЗВЕСТНО")</f>
        <v>Завершен</v>
      </c>
      <c r="R780" s="20">
        <f>IFERROR(INDEX(Товары_очищенные!$Q$3:$Q$503,MATCH(M780,Товары_очищенные!$L$3:$L$503,0)),"нет в каталоге")</f>
        <v>80000</v>
      </c>
      <c r="S780" s="21" t="str">
        <f>IFERROR(INDEX(Товары_очищенные!$N$3:$N$503,MATCH(M780,Товары_очищенные!$L$3:$L$503,0)),"нет в каталоге")</f>
        <v>Планшеты</v>
      </c>
      <c r="T780" s="21" t="str">
        <f t="shared" si="259"/>
        <v>OK</v>
      </c>
      <c r="U780" s="12" t="str">
        <f t="shared" si="260"/>
        <v>07/02/2026|АРТ-167|C0778</v>
      </c>
      <c r="V780" s="12" t="str">
        <f t="shared" si="261"/>
        <v>оригинал</v>
      </c>
    </row>
    <row r="781" ht="15" customHeight="1">
      <c r="A781" s="10">
        <v>779</v>
      </c>
      <c r="B781" s="11" t="str">
        <f>RAW_Продажи!A780</f>
        <v>02/08/2026</v>
      </c>
      <c r="C781" s="11" t="str">
        <f>RAW_Продажи!B780</f>
        <v>АРТ_293</v>
      </c>
      <c r="D781" s="11" t="str">
        <f>RAW_Продажи!C780</f>
        <v>1</v>
      </c>
      <c r="E781" s="11" t="str">
        <f>RAW_Продажи!D780</f>
        <v>€95</v>
      </c>
      <c r="F781" s="11" t="str">
        <f>RAW_Продажи!E780</f>
        <v>C0779</v>
      </c>
      <c r="G781" s="11" t="str">
        <f>RAW_Продажи!F780</f>
        <v>P021</v>
      </c>
      <c r="H781" s="11" t="str">
        <f>RAW_Продажи!G780</f>
        <v>завершен</v>
      </c>
      <c r="I781" s="12" t="str">
        <f t="shared" si="253"/>
        <v>293</v>
      </c>
      <c r="J781" s="12" t="str">
        <f t="shared" si="254"/>
        <v>€</v>
      </c>
      <c r="K781" s="12">
        <f t="shared" si="255"/>
        <v>95</v>
      </c>
      <c r="L781" s="19">
        <f t="shared" si="256"/>
        <v>46061</v>
      </c>
      <c r="M781" s="13" t="str">
        <f t="shared" si="257"/>
        <v>АРТ-293</v>
      </c>
      <c r="N781" s="13">
        <f t="shared" si="258"/>
        <v>1</v>
      </c>
      <c r="O781" s="13" t="str">
        <f>IFERROR(VLOOKUP(J781,Справочники!$G$6:$H$8,2,0),"RUB")</f>
        <v>EUR</v>
      </c>
      <c r="P781" s="14">
        <f>ROUND(K781*IFERROR(VLOOKUP(J781,Справочники!$G$6:$I$8,3,0),1),2)</f>
        <v>9500</v>
      </c>
      <c r="Q781" s="13" t="str">
        <f>IFERROR(VLOOKUP(H781,Справочники!$D$6:$E$14,2,0),"НЕИЗВЕСТНО")</f>
        <v>Завершен</v>
      </c>
      <c r="R781" s="20">
        <f>IFERROR(INDEX(Товары_очищенные!$Q$3:$Q$503,MATCH(M781,Товары_очищенные!$L$3:$L$503,0)),"нет в каталоге")</f>
        <v>132000</v>
      </c>
      <c r="S781" s="21" t="str">
        <f>IFERROR(INDEX(Товары_очищенные!$N$3:$N$503,MATCH(M781,Товары_очищенные!$L$3:$L$503,0)),"нет в каталоге")</f>
        <v>Ноутбуки</v>
      </c>
      <c r="T781" s="21" t="str">
        <f t="shared" si="259"/>
        <v>OK</v>
      </c>
      <c r="U781" s="12" t="str">
        <f t="shared" si="260"/>
        <v>08/02/2026|АРТ-293|C0779</v>
      </c>
      <c r="V781" s="12" t="str">
        <f t="shared" si="261"/>
        <v>оригинал</v>
      </c>
    </row>
    <row r="782" ht="15" customHeight="1">
      <c r="A782" s="10">
        <v>780</v>
      </c>
      <c r="B782" s="11" t="str">
        <f>RAW_Продажи!A781</f>
        <v>02/08/2026</v>
      </c>
      <c r="C782" s="11" t="str">
        <f>RAW_Продажи!B781</f>
        <v>193-24</v>
      </c>
      <c r="D782" s="11" t="str">
        <f>RAW_Продажи!C781</f>
        <v>2</v>
      </c>
      <c r="E782" s="11" t="str">
        <f>RAW_Продажи!D781</f>
        <v xml:space="preserve">8500 ₽</v>
      </c>
      <c r="F782" s="11" t="str">
        <f>RAW_Продажи!E781</f>
        <v>C0780</v>
      </c>
      <c r="G782" s="11" t="str">
        <f>RAW_Продажи!F781</f>
        <v>P039</v>
      </c>
      <c r="H782" s="11" t="str">
        <f>RAW_Продажи!G781</f>
        <v>completed</v>
      </c>
      <c r="I782" s="12" t="str">
        <f t="shared" si="253"/>
        <v>193-24</v>
      </c>
      <c r="J782" s="12" t="str">
        <f t="shared" si="254"/>
        <v>₽</v>
      </c>
      <c r="K782" s="12">
        <f t="shared" si="255"/>
        <v>8500</v>
      </c>
      <c r="L782" s="19">
        <f t="shared" si="256"/>
        <v>46061</v>
      </c>
      <c r="M782" s="13" t="str">
        <f t="shared" si="257"/>
        <v>АРТ-193</v>
      </c>
      <c r="N782" s="13">
        <f t="shared" si="258"/>
        <v>2</v>
      </c>
      <c r="O782" s="13" t="str">
        <f>IFERROR(VLOOKUP(J782,Справочники!$G$6:$H$8,2,0),"RUB")</f>
        <v>RUB</v>
      </c>
      <c r="P782" s="14">
        <f>ROUND(K782*IFERROR(VLOOKUP(J782,Справочники!$G$6:$I$8,3,0),1),2)</f>
        <v>8500</v>
      </c>
      <c r="Q782" s="13" t="str">
        <f>IFERROR(VLOOKUP(H782,Справочники!$D$6:$E$14,2,0),"НЕИЗВЕСТНО")</f>
        <v>Завершен</v>
      </c>
      <c r="R782" s="20">
        <f>IFERROR(INDEX(Товары_очищенные!$Q$3:$Q$503,MATCH(M782,Товары_очищенные!$L$3:$L$503,0)),"нет в каталоге")</f>
        <v>129990</v>
      </c>
      <c r="S782" s="21" t="str">
        <f>IFERROR(INDEX(Товары_очищенные!$N$3:$N$503,MATCH(M782,Товары_очищенные!$L$3:$L$503,0)),"нет в каталоге")</f>
        <v>Ноутбуки</v>
      </c>
      <c r="T782" s="21" t="str">
        <f t="shared" si="259"/>
        <v>OK</v>
      </c>
      <c r="U782" s="12" t="str">
        <f t="shared" si="260"/>
        <v>08/02/2026|АРТ-193|C0780</v>
      </c>
      <c r="V782" s="12" t="str">
        <f t="shared" si="261"/>
        <v>оригинал</v>
      </c>
    </row>
    <row r="783" ht="15" customHeight="1">
      <c r="A783" s="10">
        <v>781</v>
      </c>
      <c r="B783" s="11" t="str">
        <f>RAW_Продажи!A782</f>
        <v>02/09/2026</v>
      </c>
      <c r="C783" s="11" t="str">
        <f>RAW_Продажи!B782</f>
        <v>№АРТ-101</v>
      </c>
      <c r="D783" s="11" t="str">
        <f>RAW_Продажи!C782</f>
        <v>3</v>
      </c>
      <c r="E783" s="11" t="str">
        <f>RAW_Продажи!D782</f>
        <v>$105</v>
      </c>
      <c r="F783" s="11" t="str">
        <f>RAW_Продажи!E782</f>
        <v>C0781</v>
      </c>
      <c r="G783" s="11" t="str">
        <f>RAW_Продажи!F782</f>
        <v>P050</v>
      </c>
      <c r="H783" s="11" t="str">
        <f>RAW_Продажи!G782</f>
        <v>отменен</v>
      </c>
      <c r="I783" s="12" t="str">
        <f t="shared" si="253"/>
        <v>101</v>
      </c>
      <c r="J783" s="12" t="str">
        <f t="shared" si="254"/>
        <v>$</v>
      </c>
      <c r="K783" s="12">
        <f t="shared" si="255"/>
        <v>105</v>
      </c>
      <c r="L783" s="19">
        <f t="shared" si="256"/>
        <v>46062</v>
      </c>
      <c r="M783" s="13" t="str">
        <f t="shared" si="257"/>
        <v>АРТ-101</v>
      </c>
      <c r="N783" s="13">
        <f t="shared" si="258"/>
        <v>3</v>
      </c>
      <c r="O783" s="13" t="str">
        <f>IFERROR(VLOOKUP(J783,Справочники!$G$6:$H$8,2,0),"RUB")</f>
        <v>USD</v>
      </c>
      <c r="P783" s="14">
        <f>ROUND(K783*IFERROR(VLOOKUP(J783,Справочники!$G$6:$I$8,3,0),1),2)</f>
        <v>9975</v>
      </c>
      <c r="Q783" s="13" t="str">
        <f>IFERROR(VLOOKUP(H783,Справочники!$D$6:$E$14,2,0),"НЕИЗВЕСТНО")</f>
        <v>Отменен</v>
      </c>
      <c r="R783" s="20">
        <f>IFERROR(INDEX(Товары_очищенные!$Q$3:$Q$503,MATCH(M783,Товары_очищенные!$L$3:$L$503,0)),"нет в каталоге")</f>
        <v>55500</v>
      </c>
      <c r="S783" s="21" t="str">
        <f>IFERROR(INDEX(Товары_очищенные!$N$3:$N$503,MATCH(M783,Товары_очищенные!$L$3:$L$503,0)),"нет в каталоге")</f>
        <v>Планшеты</v>
      </c>
      <c r="T783" s="21" t="str">
        <f t="shared" si="259"/>
        <v>OK</v>
      </c>
      <c r="U783" s="12" t="str">
        <f t="shared" si="260"/>
        <v>09/02/2026|АРТ-101|C0781</v>
      </c>
      <c r="V783" s="12" t="str">
        <f t="shared" si="261"/>
        <v>оригинал</v>
      </c>
    </row>
    <row r="784" ht="15" customHeight="1">
      <c r="A784" s="10">
        <v>782</v>
      </c>
      <c r="B784" s="11" t="str">
        <f>RAW_Продажи!A783</f>
        <v>02/09/2026</v>
      </c>
      <c r="C784" s="11" t="str">
        <f>RAW_Продажи!B783</f>
        <v>АРТ_447</v>
      </c>
      <c r="D784" s="11" t="str">
        <f>RAW_Продажи!C783</f>
        <v>2</v>
      </c>
      <c r="E784" s="11" t="str">
        <f>RAW_Продажи!D783</f>
        <v>€85</v>
      </c>
      <c r="F784" s="11" t="str">
        <f>RAW_Продажи!E783</f>
        <v>C0782</v>
      </c>
      <c r="G784" s="11" t="str">
        <f>RAW_Продажи!F783</f>
        <v>P011</v>
      </c>
      <c r="H784" s="11" t="str">
        <f>RAW_Продажи!G783</f>
        <v>canceled</v>
      </c>
      <c r="I784" s="12" t="str">
        <f t="shared" si="253"/>
        <v>447</v>
      </c>
      <c r="J784" s="12" t="str">
        <f t="shared" si="254"/>
        <v>€</v>
      </c>
      <c r="K784" s="12">
        <f t="shared" si="255"/>
        <v>85</v>
      </c>
      <c r="L784" s="19">
        <f t="shared" si="256"/>
        <v>46062</v>
      </c>
      <c r="M784" s="13" t="str">
        <f t="shared" si="257"/>
        <v>АРТ-447</v>
      </c>
      <c r="N784" s="13">
        <f t="shared" si="258"/>
        <v>2</v>
      </c>
      <c r="O784" s="13" t="str">
        <f>IFERROR(VLOOKUP(J784,Справочники!$G$6:$H$8,2,0),"RUB")</f>
        <v>EUR</v>
      </c>
      <c r="P784" s="14">
        <f>ROUND(K784*IFERROR(VLOOKUP(J784,Справочники!$G$6:$I$8,3,0),1),2)</f>
        <v>8500</v>
      </c>
      <c r="Q784" s="13" t="str">
        <f>IFERROR(VLOOKUP(H784,Справочники!$D$6:$E$14,2,0),"НЕИЗВЕСТНО")</f>
        <v>Отменен</v>
      </c>
      <c r="R784" s="20">
        <f>IFERROR(INDEX(Товары_очищенные!$Q$3:$Q$503,MATCH(M784,Товары_очищенные!$L$3:$L$503,0)),"нет в каталоге")</f>
        <v>144500</v>
      </c>
      <c r="S784" s="21" t="str">
        <f>IFERROR(INDEX(Товары_очищенные!$N$3:$N$503,MATCH(M784,Товары_очищенные!$L$3:$L$503,0)),"нет в каталоге")</f>
        <v>Ноутбуки</v>
      </c>
      <c r="T784" s="21" t="str">
        <f t="shared" si="259"/>
        <v>OK</v>
      </c>
      <c r="U784" s="12" t="str">
        <f t="shared" si="260"/>
        <v>09/02/2026|АРТ-447|C0782</v>
      </c>
      <c r="V784" s="12" t="str">
        <f t="shared" si="261"/>
        <v>оригинал</v>
      </c>
    </row>
    <row r="785" ht="15" customHeight="1">
      <c r="A785" s="10">
        <v>783</v>
      </c>
      <c r="B785" s="11" t="str">
        <f>RAW_Продажи!A784</f>
        <v>02/10/2026</v>
      </c>
      <c r="C785" s="11" t="str">
        <f>RAW_Продажи!B784</f>
        <v>320/24</v>
      </c>
      <c r="D785" s="11" t="str">
        <f>RAW_Продажи!C784</f>
        <v xml:space="preserve">1 шт.</v>
      </c>
      <c r="E785" s="11" t="str">
        <f>RAW_Продажи!D784</f>
        <v xml:space="preserve">7800 ₽</v>
      </c>
      <c r="F785" s="11" t="str">
        <f>RAW_Продажи!E784</f>
        <v>C0783</v>
      </c>
      <c r="G785" s="11" t="str">
        <f>RAW_Продажи!F784</f>
        <v>P027</v>
      </c>
      <c r="H785" s="11" t="str">
        <f>RAW_Продажи!G784</f>
        <v>Завершен</v>
      </c>
      <c r="I785" s="12" t="str">
        <f t="shared" si="253"/>
        <v>320/24</v>
      </c>
      <c r="J785" s="12" t="str">
        <f t="shared" si="254"/>
        <v>₽</v>
      </c>
      <c r="K785" s="12">
        <f t="shared" si="255"/>
        <v>7800</v>
      </c>
      <c r="L785" s="19">
        <f t="shared" si="256"/>
        <v>46063</v>
      </c>
      <c r="M785" s="13" t="str">
        <f t="shared" si="257"/>
        <v>АРТ-320</v>
      </c>
      <c r="N785" s="13">
        <f t="shared" si="258"/>
        <v>1</v>
      </c>
      <c r="O785" s="13" t="str">
        <f>IFERROR(VLOOKUP(J785,Справочники!$G$6:$H$8,2,0),"RUB")</f>
        <v>RUB</v>
      </c>
      <c r="P785" s="14">
        <f>ROUND(K785*IFERROR(VLOOKUP(J785,Справочники!$G$6:$I$8,3,0),1),2)</f>
        <v>7800</v>
      </c>
      <c r="Q785" s="13" t="str">
        <f>IFERROR(VLOOKUP(H785,Справочники!$D$6:$E$14,2,0),"НЕИЗВЕСТНО")</f>
        <v>Завершен</v>
      </c>
      <c r="R785" s="20">
        <f>IFERROR(INDEX(Товары_очищенные!$Q$3:$Q$503,MATCH(M785,Товары_очищенные!$L$3:$L$503,0)),"нет в каталоге")</f>
        <v>181500</v>
      </c>
      <c r="S785" s="21" t="str">
        <f>IFERROR(INDEX(Товары_очищенные!$N$3:$N$503,MATCH(M785,Товары_очищенные!$L$3:$L$503,0)),"нет в каталоге")</f>
        <v>Телевизоры</v>
      </c>
      <c r="T785" s="21" t="str">
        <f t="shared" si="259"/>
        <v>OK</v>
      </c>
      <c r="U785" s="12" t="str">
        <f t="shared" si="260"/>
        <v>10/02/2026|АРТ-320|C0783</v>
      </c>
      <c r="V785" s="12" t="str">
        <f t="shared" si="261"/>
        <v>оригинал</v>
      </c>
    </row>
    <row r="786" ht="15" customHeight="1">
      <c r="A786" s="10">
        <v>784</v>
      </c>
      <c r="B786" s="11" t="str">
        <f>RAW_Продажи!A785</f>
        <v>02/10/2026</v>
      </c>
      <c r="C786" s="11" t="str">
        <f>RAW_Продажи!B785</f>
        <v>№АРТ-396</v>
      </c>
      <c r="D786" s="11" t="str">
        <f>RAW_Продажи!C785</f>
        <v>-3</v>
      </c>
      <c r="E786" s="11" t="str">
        <f>RAW_Продажи!D785</f>
        <v>$120</v>
      </c>
      <c r="F786" s="11" t="str">
        <f>RAW_Продажи!E785</f>
        <v>C0784</v>
      </c>
      <c r="G786" s="11" t="str">
        <f>RAW_Продажи!F785</f>
        <v>P018</v>
      </c>
      <c r="H786" s="11" t="str">
        <f>RAW_Продажи!G785</f>
        <v>возврат</v>
      </c>
      <c r="I786" s="12" t="str">
        <f t="shared" si="253"/>
        <v>396</v>
      </c>
      <c r="J786" s="12" t="str">
        <f t="shared" si="254"/>
        <v>$</v>
      </c>
      <c r="K786" s="12">
        <f t="shared" si="255"/>
        <v>120</v>
      </c>
      <c r="L786" s="19">
        <f t="shared" si="256"/>
        <v>46063</v>
      </c>
      <c r="M786" s="13" t="str">
        <f t="shared" si="257"/>
        <v>АРТ-396</v>
      </c>
      <c r="N786" s="13">
        <f t="shared" si="258"/>
        <v>-3</v>
      </c>
      <c r="O786" s="13" t="str">
        <f>IFERROR(VLOOKUP(J786,Справочники!$G$6:$H$8,2,0),"RUB")</f>
        <v>USD</v>
      </c>
      <c r="P786" s="14">
        <f>ROUND(K786*IFERROR(VLOOKUP(J786,Справочники!$G$6:$I$8,3,0),1),2)</f>
        <v>11400</v>
      </c>
      <c r="Q786" s="13" t="str">
        <f>IFERROR(VLOOKUP(H786,Справочники!$D$6:$E$14,2,0),"НЕИЗВЕСТНО")</f>
        <v>Возврат</v>
      </c>
      <c r="R786" s="20">
        <f>IFERROR(INDEX(Товары_очищенные!$Q$3:$Q$503,MATCH(M786,Товары_очищенные!$L$3:$L$503,0)),"нет в каталоге")</f>
        <v>67000</v>
      </c>
      <c r="S786" s="21" t="str">
        <f>IFERROR(INDEX(Товары_очищенные!$N$3:$N$503,MATCH(M786,Товары_очищенные!$L$3:$L$503,0)),"нет в каталоге")</f>
        <v>Мониторы</v>
      </c>
      <c r="T786" s="21" t="str">
        <f t="shared" si="259"/>
        <v>OK</v>
      </c>
      <c r="U786" s="12" t="str">
        <f t="shared" si="260"/>
        <v>10/02/2026|АРТ-396|C0784</v>
      </c>
      <c r="V786" s="12" t="str">
        <f t="shared" si="261"/>
        <v>оригинал</v>
      </c>
    </row>
    <row r="787" ht="15" customHeight="1">
      <c r="A787" s="10">
        <v>785</v>
      </c>
      <c r="B787" s="11" t="str">
        <f>RAW_Продажи!A786</f>
        <v>02/11/2026</v>
      </c>
      <c r="C787" s="11" t="str">
        <f>RAW_Продажи!B786</f>
        <v>АРТ_325</v>
      </c>
      <c r="D787" s="11" t="str">
        <f>RAW_Продажи!C786</f>
        <v>2</v>
      </c>
      <c r="E787" s="11" t="str">
        <f>RAW_Продажи!D786</f>
        <v>€100</v>
      </c>
      <c r="F787" s="11" t="str">
        <f>RAW_Продажи!E786</f>
        <v>C0785</v>
      </c>
      <c r="G787" s="11" t="str">
        <f>RAW_Продажи!F786</f>
        <v>P040</v>
      </c>
      <c r="H787" s="11" t="str">
        <f>RAW_Продажи!G786</f>
        <v>завершен</v>
      </c>
      <c r="I787" s="12" t="str">
        <f t="shared" si="253"/>
        <v>325</v>
      </c>
      <c r="J787" s="12" t="str">
        <f t="shared" si="254"/>
        <v>€</v>
      </c>
      <c r="K787" s="12">
        <f t="shared" si="255"/>
        <v>100</v>
      </c>
      <c r="L787" s="19">
        <f t="shared" si="256"/>
        <v>46064</v>
      </c>
      <c r="M787" s="13" t="str">
        <f t="shared" si="257"/>
        <v>АРТ-325</v>
      </c>
      <c r="N787" s="13">
        <f t="shared" si="258"/>
        <v>2</v>
      </c>
      <c r="O787" s="13" t="str">
        <f>IFERROR(VLOOKUP(J787,Справочники!$G$6:$H$8,2,0),"RUB")</f>
        <v>EUR</v>
      </c>
      <c r="P787" s="14">
        <f>ROUND(K787*IFERROR(VLOOKUP(J787,Справочники!$G$6:$I$8,3,0),1),2)</f>
        <v>10000</v>
      </c>
      <c r="Q787" s="13" t="str">
        <f>IFERROR(VLOOKUP(H787,Справочники!$D$6:$E$14,2,0),"НЕИЗВЕСТНО")</f>
        <v>Завершен</v>
      </c>
      <c r="R787" s="20">
        <f>IFERROR(INDEX(Товары_очищенные!$Q$3:$Q$503,MATCH(M787,Товары_очищенные!$L$3:$L$503,0)),"нет в каталоге")</f>
        <v>66990</v>
      </c>
      <c r="S787" s="21" t="str">
        <f>IFERROR(INDEX(Товары_очищенные!$N$3:$N$503,MATCH(M787,Товары_очищенные!$L$3:$L$503,0)),"нет в каталоге")</f>
        <v>Мониторы</v>
      </c>
      <c r="T787" s="21" t="str">
        <f t="shared" si="259"/>
        <v>OK</v>
      </c>
      <c r="U787" s="12" t="str">
        <f t="shared" si="260"/>
        <v>11/02/2026|АРТ-325|C0785</v>
      </c>
      <c r="V787" s="12" t="str">
        <f t="shared" si="261"/>
        <v>оригинал</v>
      </c>
    </row>
    <row r="788" ht="15" customHeight="1">
      <c r="A788" s="10">
        <v>786</v>
      </c>
      <c r="B788" s="11" t="str">
        <f>RAW_Продажи!A787</f>
        <v>02/11/2026</v>
      </c>
      <c r="C788" s="11" t="str">
        <f>RAW_Продажи!B787</f>
        <v>253-24</v>
      </c>
      <c r="D788" s="11" t="str">
        <f>RAW_Продажи!C787</f>
        <v>1</v>
      </c>
      <c r="E788" s="11" t="str">
        <f>RAW_Продажи!D787</f>
        <v xml:space="preserve">9200 ₽</v>
      </c>
      <c r="F788" s="11" t="str">
        <f>RAW_Продажи!E787</f>
        <v>C0786</v>
      </c>
      <c r="G788" s="11" t="str">
        <f>RAW_Продажи!F787</f>
        <v>P003</v>
      </c>
      <c r="H788" s="11" t="str">
        <f>RAW_Продажи!G787</f>
        <v>completed</v>
      </c>
      <c r="I788" s="12" t="str">
        <f t="shared" si="253"/>
        <v>253-24</v>
      </c>
      <c r="J788" s="12" t="str">
        <f t="shared" si="254"/>
        <v>₽</v>
      </c>
      <c r="K788" s="12">
        <f t="shared" si="255"/>
        <v>9200</v>
      </c>
      <c r="L788" s="19">
        <f t="shared" si="256"/>
        <v>46064</v>
      </c>
      <c r="M788" s="13" t="str">
        <f t="shared" si="257"/>
        <v>АРТ-253</v>
      </c>
      <c r="N788" s="13">
        <f t="shared" si="258"/>
        <v>1</v>
      </c>
      <c r="O788" s="13" t="str">
        <f>IFERROR(VLOOKUP(J788,Справочники!$G$6:$H$8,2,0),"RUB")</f>
        <v>RUB</v>
      </c>
      <c r="P788" s="14">
        <f>ROUND(K788*IFERROR(VLOOKUP(J788,Справочники!$G$6:$I$8,3,0),1),2)</f>
        <v>9200</v>
      </c>
      <c r="Q788" s="13" t="str">
        <f>IFERROR(VLOOKUP(H788,Справочники!$D$6:$E$14,2,0),"НЕИЗВЕСТНО")</f>
        <v>Завершен</v>
      </c>
      <c r="R788" s="20">
        <f>IFERROR(INDEX(Товары_очищенные!$Q$3:$Q$503,MATCH(M788,Товары_очищенные!$L$3:$L$503,0)),"нет в каталоге")</f>
        <v>159990</v>
      </c>
      <c r="S788" s="21" t="str">
        <f>IFERROR(INDEX(Товары_очищенные!$N$3:$N$503,MATCH(M788,Товары_очищенные!$L$3:$L$503,0)),"нет в каталоге")</f>
        <v>Ноутбуки</v>
      </c>
      <c r="T788" s="21" t="str">
        <f t="shared" si="259"/>
        <v>OK</v>
      </c>
      <c r="U788" s="12" t="str">
        <f t="shared" si="260"/>
        <v>11/02/2026|АРТ-253|C0786</v>
      </c>
      <c r="V788" s="12" t="str">
        <f t="shared" si="261"/>
        <v>оригинал</v>
      </c>
    </row>
    <row r="789" ht="15" customHeight="1">
      <c r="A789" s="10">
        <v>787</v>
      </c>
      <c r="B789" s="11" t="str">
        <f>RAW_Продажи!A788</f>
        <v>02/12/2026</v>
      </c>
      <c r="C789" s="11" t="str">
        <f>RAW_Продажи!B788</f>
        <v>№АРТ-062</v>
      </c>
      <c r="D789" s="11" t="str">
        <f>RAW_Продажи!C788</f>
        <v>3</v>
      </c>
      <c r="E789" s="11" t="str">
        <f>RAW_Продажи!D788</f>
        <v>$90</v>
      </c>
      <c r="F789" s="11" t="str">
        <f>RAW_Продажи!E788</f>
        <v>C0787</v>
      </c>
      <c r="G789" s="11" t="str">
        <f>RAW_Продажи!F788</f>
        <v>P025</v>
      </c>
      <c r="H789" s="11" t="str">
        <f>RAW_Продажи!G788</f>
        <v>Завершен</v>
      </c>
      <c r="I789" s="12" t="str">
        <f t="shared" si="253"/>
        <v>062</v>
      </c>
      <c r="J789" s="12" t="str">
        <f t="shared" si="254"/>
        <v>$</v>
      </c>
      <c r="K789" s="12">
        <f t="shared" si="255"/>
        <v>90</v>
      </c>
      <c r="L789" s="19">
        <f t="shared" si="256"/>
        <v>46065</v>
      </c>
      <c r="M789" s="13" t="str">
        <f t="shared" si="257"/>
        <v>АРТ-062</v>
      </c>
      <c r="N789" s="13">
        <f t="shared" si="258"/>
        <v>3</v>
      </c>
      <c r="O789" s="13" t="str">
        <f>IFERROR(VLOOKUP(J789,Справочники!$G$6:$H$8,2,0),"RUB")</f>
        <v>USD</v>
      </c>
      <c r="P789" s="14">
        <f>ROUND(K789*IFERROR(VLOOKUP(J789,Справочники!$G$6:$I$8,3,0),1),2)</f>
        <v>8550</v>
      </c>
      <c r="Q789" s="13" t="str">
        <f>IFERROR(VLOOKUP(H789,Справочники!$D$6:$E$14,2,0),"НЕИЗВЕСТНО")</f>
        <v>Завершен</v>
      </c>
      <c r="R789" s="20">
        <f>IFERROR(INDEX(Товары_очищенные!$Q$3:$Q$503,MATCH(M789,Товары_очищенные!$L$3:$L$503,0)),"нет в каталоге")</f>
        <v>122500</v>
      </c>
      <c r="S789" s="21" t="str">
        <f>IFERROR(INDEX(Товары_очищенные!$N$3:$N$503,MATCH(M789,Товары_очищенные!$L$3:$L$503,0)),"нет в каталоге")</f>
        <v>Ноутбуки</v>
      </c>
      <c r="T789" s="21" t="str">
        <f t="shared" si="259"/>
        <v>OK</v>
      </c>
      <c r="U789" s="12" t="str">
        <f t="shared" si="260"/>
        <v>12/02/2026|АРТ-062|C0787</v>
      </c>
      <c r="V789" s="12" t="str">
        <f t="shared" si="261"/>
        <v>оригинал</v>
      </c>
    </row>
    <row r="790" ht="15" customHeight="1">
      <c r="A790" s="10">
        <v>788</v>
      </c>
      <c r="B790" s="11" t="str">
        <f>RAW_Продажи!A789</f>
        <v>02/12/2026</v>
      </c>
      <c r="C790" s="11" t="str">
        <f>RAW_Продажи!B789</f>
        <v>АРТ_418</v>
      </c>
      <c r="D790" s="11" t="str">
        <f>RAW_Продажи!C789</f>
        <v>2</v>
      </c>
      <c r="E790" s="11" t="str">
        <f>RAW_Продажи!D789</f>
        <v>€70</v>
      </c>
      <c r="F790" s="11" t="str">
        <f>RAW_Продажи!E789</f>
        <v>C0788</v>
      </c>
      <c r="G790" s="11" t="str">
        <f>RAW_Продажи!F789</f>
        <v>P010</v>
      </c>
      <c r="H790" s="11" t="str">
        <f>RAW_Продажи!G789</f>
        <v>canceled</v>
      </c>
      <c r="I790" s="12" t="str">
        <f t="shared" si="253"/>
        <v>418</v>
      </c>
      <c r="J790" s="12" t="str">
        <f t="shared" si="254"/>
        <v>€</v>
      </c>
      <c r="K790" s="12">
        <f t="shared" si="255"/>
        <v>70</v>
      </c>
      <c r="L790" s="19">
        <f t="shared" si="256"/>
        <v>46065</v>
      </c>
      <c r="M790" s="13" t="str">
        <f t="shared" si="257"/>
        <v>АРТ-418</v>
      </c>
      <c r="N790" s="13">
        <f t="shared" si="258"/>
        <v>2</v>
      </c>
      <c r="O790" s="13" t="str">
        <f>IFERROR(VLOOKUP(J790,Справочники!$G$6:$H$8,2,0),"RUB")</f>
        <v>EUR</v>
      </c>
      <c r="P790" s="14">
        <f>ROUND(K790*IFERROR(VLOOKUP(J790,Справочники!$G$6:$I$8,3,0),1),2)</f>
        <v>7000</v>
      </c>
      <c r="Q790" s="13" t="str">
        <f>IFERROR(VLOOKUP(H790,Справочники!$D$6:$E$14,2,0),"НЕИЗВЕСТНО")</f>
        <v>Отменен</v>
      </c>
      <c r="R790" s="20">
        <f>IFERROR(INDEX(Товары_очищенные!$Q$3:$Q$503,MATCH(M790,Товары_очищенные!$L$3:$L$503,0)),"нет в каталоге")</f>
        <v>29990</v>
      </c>
      <c r="S790" s="21" t="str">
        <f>IFERROR(INDEX(Товары_очищенные!$N$3:$N$503,MATCH(M790,Товары_очищенные!$L$3:$L$503,0)),"нет в каталоге")</f>
        <v>Часы</v>
      </c>
      <c r="T790" s="21" t="str">
        <f t="shared" si="259"/>
        <v>OK</v>
      </c>
      <c r="U790" s="12" t="str">
        <f t="shared" si="260"/>
        <v>12/02/2026|АРТ-418|C0788</v>
      </c>
      <c r="V790" s="12" t="str">
        <f t="shared" si="261"/>
        <v>оригинал</v>
      </c>
    </row>
    <row r="791" ht="15" customHeight="1">
      <c r="A791" s="10">
        <v>789</v>
      </c>
      <c r="B791" s="11" t="str">
        <f>RAW_Продажи!A790</f>
        <v>02/13/2026</v>
      </c>
      <c r="C791" s="11" t="str">
        <f>RAW_Продажи!B790</f>
        <v>371/24</v>
      </c>
      <c r="D791" s="11" t="str">
        <f>RAW_Продажи!C790</f>
        <v xml:space="preserve">1 шт.</v>
      </c>
      <c r="E791" s="11" t="str">
        <f>RAW_Продажи!D790</f>
        <v xml:space="preserve">6500 ₽</v>
      </c>
      <c r="F791" s="11" t="str">
        <f>RAW_Продажи!E790</f>
        <v>C0789</v>
      </c>
      <c r="G791" s="11" t="str">
        <f>RAW_Продажи!F790</f>
        <v>P033</v>
      </c>
      <c r="H791" s="11" t="str">
        <f>RAW_Продажи!G790</f>
        <v>отменен</v>
      </c>
      <c r="I791" s="12" t="str">
        <f t="shared" si="253"/>
        <v>371/24</v>
      </c>
      <c r="J791" s="12" t="str">
        <f t="shared" si="254"/>
        <v>₽</v>
      </c>
      <c r="K791" s="12">
        <f t="shared" si="255"/>
        <v>6500</v>
      </c>
      <c r="L791" s="19">
        <f t="shared" si="256"/>
        <v>46066</v>
      </c>
      <c r="M791" s="13" t="str">
        <f t="shared" si="257"/>
        <v>АРТ-371</v>
      </c>
      <c r="N791" s="13">
        <f t="shared" si="258"/>
        <v>1</v>
      </c>
      <c r="O791" s="13" t="str">
        <f>IFERROR(VLOOKUP(J791,Справочники!$G$6:$H$8,2,0),"RUB")</f>
        <v>RUB</v>
      </c>
      <c r="P791" s="14">
        <f>ROUND(K791*IFERROR(VLOOKUP(J791,Справочники!$G$6:$I$8,3,0),1),2)</f>
        <v>6500</v>
      </c>
      <c r="Q791" s="13" t="str">
        <f>IFERROR(VLOOKUP(H791,Справочники!$D$6:$E$14,2,0),"НЕИЗВЕСТНО")</f>
        <v>Отменен</v>
      </c>
      <c r="R791" s="20">
        <f>IFERROR(INDEX(Товары_очищенные!$Q$3:$Q$503,MATCH(M791,Товары_очищенные!$L$3:$L$503,0)),"нет в каталоге")</f>
        <v>48000</v>
      </c>
      <c r="S791" s="21" t="str">
        <f>IFERROR(INDEX(Товары_очищенные!$N$3:$N$503,MATCH(M791,Товары_очищенные!$L$3:$L$503,0)),"нет в каталоге")</f>
        <v>Мониторы</v>
      </c>
      <c r="T791" s="21" t="str">
        <f t="shared" si="259"/>
        <v>OK</v>
      </c>
      <c r="U791" s="12" t="str">
        <f t="shared" si="260"/>
        <v>13/02/2026|АРТ-371|C0789</v>
      </c>
      <c r="V791" s="12" t="str">
        <f t="shared" si="261"/>
        <v>оригинал</v>
      </c>
    </row>
    <row r="792" ht="15" customHeight="1">
      <c r="A792" s="10">
        <v>790</v>
      </c>
      <c r="B792" s="11" t="str">
        <f>RAW_Продажи!A791</f>
        <v>02/13/2026</v>
      </c>
      <c r="C792" s="11" t="str">
        <f>RAW_Продажи!B791</f>
        <v>№АРТ-388</v>
      </c>
      <c r="D792" s="11" t="str">
        <f>RAW_Продажи!C791</f>
        <v>-1</v>
      </c>
      <c r="E792" s="11" t="str">
        <f>RAW_Продажи!D791</f>
        <v>$110</v>
      </c>
      <c r="F792" s="11" t="str">
        <f>RAW_Продажи!E791</f>
        <v>C0790</v>
      </c>
      <c r="G792" s="11" t="str">
        <f>RAW_Продажи!F791</f>
        <v>P047</v>
      </c>
      <c r="H792" s="11" t="str">
        <f>RAW_Продажи!G791</f>
        <v>возврат</v>
      </c>
      <c r="I792" s="12" t="str">
        <f t="shared" si="253"/>
        <v>388</v>
      </c>
      <c r="J792" s="12" t="str">
        <f t="shared" si="254"/>
        <v>$</v>
      </c>
      <c r="K792" s="12">
        <f t="shared" si="255"/>
        <v>110</v>
      </c>
      <c r="L792" s="19">
        <f t="shared" si="256"/>
        <v>46066</v>
      </c>
      <c r="M792" s="13" t="str">
        <f t="shared" si="257"/>
        <v>АРТ-388</v>
      </c>
      <c r="N792" s="13">
        <f t="shared" si="258"/>
        <v>-1</v>
      </c>
      <c r="O792" s="13" t="str">
        <f>IFERROR(VLOOKUP(J792,Справочники!$G$6:$H$8,2,0),"RUB")</f>
        <v>USD</v>
      </c>
      <c r="P792" s="14">
        <f>ROUND(K792*IFERROR(VLOOKUP(J792,Справочники!$G$6:$I$8,3,0),1),2)</f>
        <v>10450</v>
      </c>
      <c r="Q792" s="13" t="str">
        <f>IFERROR(VLOOKUP(H792,Справочники!$D$6:$E$14,2,0),"НЕИЗВЕСТНО")</f>
        <v>Возврат</v>
      </c>
      <c r="R792" s="20">
        <f>IFERROR(INDEX(Товары_очищенные!$Q$3:$Q$503,MATCH(M792,Товары_очищенные!$L$3:$L$503,0)),"нет в каталоге")</f>
        <v>77990</v>
      </c>
      <c r="S792" s="21" t="str">
        <f>IFERROR(INDEX(Товары_очищенные!$N$3:$N$503,MATCH(M792,Товары_очищенные!$L$3:$L$503,0)),"нет в каталоге")</f>
        <v>Телевизоры</v>
      </c>
      <c r="T792" s="21" t="str">
        <f t="shared" si="259"/>
        <v>OK</v>
      </c>
      <c r="U792" s="12" t="str">
        <f t="shared" si="260"/>
        <v>13/02/2026|АРТ-388|C0790</v>
      </c>
      <c r="V792" s="12" t="str">
        <f t="shared" si="261"/>
        <v>оригинал</v>
      </c>
    </row>
    <row r="793" ht="15" customHeight="1">
      <c r="A793" s="10">
        <v>791</v>
      </c>
      <c r="B793" s="11" t="str">
        <f>RAW_Продажи!A792</f>
        <v>02/14/2026</v>
      </c>
      <c r="C793" s="11" t="str">
        <f>RAW_Продажи!B792</f>
        <v>АРТ_267</v>
      </c>
      <c r="D793" s="11" t="str">
        <f>RAW_Продажи!C792</f>
        <v>3</v>
      </c>
      <c r="E793" s="11" t="str">
        <f>RAW_Продажи!D792</f>
        <v>€90</v>
      </c>
      <c r="F793" s="11" t="str">
        <f>RAW_Продажи!E792</f>
        <v>C0791</v>
      </c>
      <c r="G793" s="11" t="str">
        <f>RAW_Продажи!F792</f>
        <v>P020</v>
      </c>
      <c r="H793" s="11" t="str">
        <f>RAW_Продажи!G792</f>
        <v>Завершен</v>
      </c>
      <c r="I793" s="12" t="str">
        <f t="shared" si="253"/>
        <v>267</v>
      </c>
      <c r="J793" s="12" t="str">
        <f t="shared" si="254"/>
        <v>€</v>
      </c>
      <c r="K793" s="12">
        <f t="shared" si="255"/>
        <v>90</v>
      </c>
      <c r="L793" s="19">
        <f t="shared" si="256"/>
        <v>46067</v>
      </c>
      <c r="M793" s="13" t="str">
        <f t="shared" si="257"/>
        <v>АРТ-267</v>
      </c>
      <c r="N793" s="13">
        <f t="shared" si="258"/>
        <v>3</v>
      </c>
      <c r="O793" s="13" t="str">
        <f>IFERROR(VLOOKUP(J793,Справочники!$G$6:$H$8,2,0),"RUB")</f>
        <v>EUR</v>
      </c>
      <c r="P793" s="14">
        <f>ROUND(K793*IFERROR(VLOOKUP(J793,Справочники!$G$6:$I$8,3,0),1),2)</f>
        <v>9000</v>
      </c>
      <c r="Q793" s="13" t="str">
        <f>IFERROR(VLOOKUP(H793,Справочники!$D$6:$E$14,2,0),"НЕИЗВЕСТНО")</f>
        <v>Завершен</v>
      </c>
      <c r="R793" s="20">
        <f>IFERROR(INDEX(Товары_очищенные!$Q$3:$Q$503,MATCH(M793,Товары_очищенные!$L$3:$L$503,0)),"нет в каталоге")</f>
        <v>70000</v>
      </c>
      <c r="S793" s="21" t="str">
        <f>IFERROR(INDEX(Товары_очищенные!$N$3:$N$503,MATCH(M793,Товары_очищенные!$L$3:$L$503,0)),"нет в каталоге")</f>
        <v>Мониторы</v>
      </c>
      <c r="T793" s="21" t="str">
        <f t="shared" si="259"/>
        <v>OK</v>
      </c>
      <c r="U793" s="12" t="str">
        <f t="shared" si="260"/>
        <v>14/02/2026|АРТ-267|C0791</v>
      </c>
      <c r="V793" s="12" t="str">
        <f t="shared" si="261"/>
        <v>оригинал</v>
      </c>
    </row>
    <row r="794" ht="15" customHeight="1">
      <c r="A794" s="10">
        <v>792</v>
      </c>
      <c r="B794" s="11" t="str">
        <f>RAW_Продажи!A793</f>
        <v>02/14/2026</v>
      </c>
      <c r="C794" s="11" t="str">
        <f>RAW_Продажи!B793</f>
        <v>120-24</v>
      </c>
      <c r="D794" s="11" t="str">
        <f>RAW_Продажи!C793</f>
        <v>2</v>
      </c>
      <c r="E794" s="11" t="str">
        <f>RAW_Продажи!D793</f>
        <v xml:space="preserve">8000 ₽</v>
      </c>
      <c r="F794" s="11" t="str">
        <f>RAW_Продажи!E793</f>
        <v>C0792</v>
      </c>
      <c r="G794" s="11" t="str">
        <f>RAW_Продажи!F793</f>
        <v>P002</v>
      </c>
      <c r="H794" s="11" t="str">
        <f>RAW_Продажи!G793</f>
        <v>завершен</v>
      </c>
      <c r="I794" s="12" t="str">
        <f t="shared" si="253"/>
        <v>120-24</v>
      </c>
      <c r="J794" s="12" t="str">
        <f t="shared" si="254"/>
        <v>₽</v>
      </c>
      <c r="K794" s="12">
        <f t="shared" si="255"/>
        <v>8000</v>
      </c>
      <c r="L794" s="19">
        <f t="shared" si="256"/>
        <v>46067</v>
      </c>
      <c r="M794" s="13" t="str">
        <f t="shared" si="257"/>
        <v>АРТ-120</v>
      </c>
      <c r="N794" s="13">
        <f t="shared" si="258"/>
        <v>2</v>
      </c>
      <c r="O794" s="13" t="str">
        <f>IFERROR(VLOOKUP(J794,Справочники!$G$6:$H$8,2,0),"RUB")</f>
        <v>RUB</v>
      </c>
      <c r="P794" s="14">
        <f>ROUND(K794*IFERROR(VLOOKUP(J794,Справочники!$G$6:$I$8,3,0),1),2)</f>
        <v>8000</v>
      </c>
      <c r="Q794" s="13" t="str">
        <f>IFERROR(VLOOKUP(H794,Справочники!$D$6:$E$14,2,0),"НЕИЗВЕСТНО")</f>
        <v>Завершен</v>
      </c>
      <c r="R794" s="20">
        <f>IFERROR(INDEX(Товары_очищенные!$Q$3:$Q$503,MATCH(M794,Товары_очищенные!$L$3:$L$503,0)),"нет в каталоге")</f>
        <v>8500</v>
      </c>
      <c r="S794" s="21" t="str">
        <f>IFERROR(INDEX(Товары_очищенные!$N$3:$N$503,MATCH(M794,Товары_очищенные!$L$3:$L$503,0)),"нет в каталоге")</f>
        <v>Аксессуары</v>
      </c>
      <c r="T794" s="21" t="str">
        <f t="shared" si="259"/>
        <v>OK</v>
      </c>
      <c r="U794" s="12" t="str">
        <f t="shared" si="260"/>
        <v>14/02/2026|АРТ-120|C0792</v>
      </c>
      <c r="V794" s="12" t="str">
        <f t="shared" si="261"/>
        <v>оригинал</v>
      </c>
    </row>
    <row r="795" ht="15" customHeight="1">
      <c r="A795" s="10">
        <v>793</v>
      </c>
      <c r="B795" s="11" t="str">
        <f>RAW_Продажи!A794</f>
        <v>02/15/2026</v>
      </c>
      <c r="C795" s="11" t="str">
        <f>RAW_Продажи!B794</f>
        <v>№АРТ-047</v>
      </c>
      <c r="D795" s="11" t="str">
        <f>RAW_Продажи!C794</f>
        <v>1</v>
      </c>
      <c r="E795" s="11" t="str">
        <f>RAW_Продажи!D794</f>
        <v>$95</v>
      </c>
      <c r="F795" s="11" t="str">
        <f>RAW_Продажи!E794</f>
        <v>C0793</v>
      </c>
      <c r="G795" s="11" t="str">
        <f>RAW_Продажи!F794</f>
        <v>P038</v>
      </c>
      <c r="H795" s="11" t="str">
        <f>RAW_Продажи!G794</f>
        <v>completed</v>
      </c>
      <c r="I795" s="12" t="str">
        <f t="shared" si="253"/>
        <v>047</v>
      </c>
      <c r="J795" s="12" t="str">
        <f t="shared" si="254"/>
        <v>$</v>
      </c>
      <c r="K795" s="12">
        <f t="shared" si="255"/>
        <v>95</v>
      </c>
      <c r="L795" s="19">
        <f t="shared" si="256"/>
        <v>46068</v>
      </c>
      <c r="M795" s="13" t="str">
        <f t="shared" si="257"/>
        <v>АРТ-047</v>
      </c>
      <c r="N795" s="13">
        <f t="shared" si="258"/>
        <v>1</v>
      </c>
      <c r="O795" s="13" t="str">
        <f>IFERROR(VLOOKUP(J795,Справочники!$G$6:$H$8,2,0),"RUB")</f>
        <v>USD</v>
      </c>
      <c r="P795" s="14">
        <f>ROUND(K795*IFERROR(VLOOKUP(J795,Справочники!$G$6:$I$8,3,0),1),2)</f>
        <v>9025</v>
      </c>
      <c r="Q795" s="13" t="str">
        <f>IFERROR(VLOOKUP(H795,Справочники!$D$6:$E$14,2,0),"НЕИЗВЕСТНО")</f>
        <v>Завершен</v>
      </c>
      <c r="R795" s="20">
        <f>IFERROR(INDEX(Товары_очищенные!$Q$3:$Q$503,MATCH(M795,Товары_очищенные!$L$3:$L$503,0)),"нет в каталоге")</f>
        <v>23900</v>
      </c>
      <c r="S795" s="21" t="str">
        <f>IFERROR(INDEX(Товары_очищенные!$N$3:$N$503,MATCH(M795,Товары_очищенные!$L$3:$L$503,0)),"нет в каталоге")</f>
        <v>Наушники</v>
      </c>
      <c r="T795" s="21" t="str">
        <f t="shared" si="259"/>
        <v>OK</v>
      </c>
      <c r="U795" s="12" t="str">
        <f t="shared" si="260"/>
        <v>15/02/2026|АРТ-047|C0793</v>
      </c>
      <c r="V795" s="12" t="str">
        <f t="shared" si="261"/>
        <v>оригинал</v>
      </c>
    </row>
    <row r="796" ht="15" customHeight="1">
      <c r="A796" s="10">
        <v>794</v>
      </c>
      <c r="B796" s="11" t="str">
        <f>RAW_Продажи!A795</f>
        <v>02/15/2026</v>
      </c>
      <c r="C796" s="11" t="str">
        <f>RAW_Продажи!B795</f>
        <v>АРТ_495</v>
      </c>
      <c r="D796" s="11" t="str">
        <f>RAW_Продажи!C795</f>
        <v>2</v>
      </c>
      <c r="E796" s="11" t="str">
        <f>RAW_Продажи!D795</f>
        <v>€75</v>
      </c>
      <c r="F796" s="11" t="str">
        <f>RAW_Продажи!E795</f>
        <v>C0794</v>
      </c>
      <c r="G796" s="11" t="str">
        <f>RAW_Продажи!F795</f>
        <v>P016</v>
      </c>
      <c r="H796" s="11" t="str">
        <f>RAW_Продажи!G795</f>
        <v>отменен</v>
      </c>
      <c r="I796" s="12" t="str">
        <f t="shared" si="253"/>
        <v>495</v>
      </c>
      <c r="J796" s="12" t="str">
        <f t="shared" si="254"/>
        <v>€</v>
      </c>
      <c r="K796" s="12">
        <f t="shared" si="255"/>
        <v>75</v>
      </c>
      <c r="L796" s="19">
        <f t="shared" si="256"/>
        <v>46068</v>
      </c>
      <c r="M796" s="13" t="str">
        <f t="shared" si="257"/>
        <v>АРТ-495</v>
      </c>
      <c r="N796" s="13">
        <f t="shared" si="258"/>
        <v>2</v>
      </c>
      <c r="O796" s="13" t="str">
        <f>IFERROR(VLOOKUP(J796,Справочники!$G$6:$H$8,2,0),"RUB")</f>
        <v>EUR</v>
      </c>
      <c r="P796" s="14">
        <f>ROUND(K796*IFERROR(VLOOKUP(J796,Справочники!$G$6:$I$8,3,0),1),2)</f>
        <v>7500</v>
      </c>
      <c r="Q796" s="13" t="str">
        <f>IFERROR(VLOOKUP(H796,Справочники!$D$6:$E$14,2,0),"НЕИЗВЕСТНО")</f>
        <v>Отменен</v>
      </c>
      <c r="R796" s="20">
        <f>IFERROR(INDEX(Товары_очищенные!$Q$3:$Q$503,MATCH(M796,Товары_очищенные!$L$3:$L$503,0)),"нет в каталоге")</f>
        <v>15800</v>
      </c>
      <c r="S796" s="21" t="str">
        <f>IFERROR(INDEX(Товары_очищенные!$N$3:$N$503,MATCH(M796,Товары_очищенные!$L$3:$L$503,0)),"нет в каталоге")</f>
        <v>Наушники</v>
      </c>
      <c r="T796" s="21" t="str">
        <f t="shared" si="259"/>
        <v>OK</v>
      </c>
      <c r="U796" s="12" t="str">
        <f t="shared" si="260"/>
        <v>15/02/2026|АРТ-495|C0794</v>
      </c>
      <c r="V796" s="12" t="str">
        <f t="shared" si="261"/>
        <v>оригинал</v>
      </c>
    </row>
    <row r="797" ht="15" customHeight="1">
      <c r="A797" s="10">
        <v>795</v>
      </c>
      <c r="B797" s="11" t="str">
        <f>RAW_Продажи!A796</f>
        <v>02/16/2026</v>
      </c>
      <c r="C797" s="11" t="str">
        <f>RAW_Продажи!B796</f>
        <v>367/24</v>
      </c>
      <c r="D797" s="11" t="str">
        <f>RAW_Продажи!C796</f>
        <v xml:space="preserve">3 шт.</v>
      </c>
      <c r="E797" s="11" t="str">
        <f>RAW_Продажи!D796</f>
        <v xml:space="preserve">7000 ₽</v>
      </c>
      <c r="F797" s="11" t="str">
        <f>RAW_Продажи!E796</f>
        <v>C0795</v>
      </c>
      <c r="G797" s="11" t="str">
        <f>RAW_Продажи!F796</f>
        <v>P029</v>
      </c>
      <c r="H797" s="11" t="str">
        <f>RAW_Продажи!G796</f>
        <v>canceled</v>
      </c>
      <c r="I797" s="12" t="str">
        <f t="shared" si="253"/>
        <v>367/24</v>
      </c>
      <c r="J797" s="12" t="str">
        <f t="shared" si="254"/>
        <v>₽</v>
      </c>
      <c r="K797" s="12">
        <f t="shared" si="255"/>
        <v>7000</v>
      </c>
      <c r="L797" s="19">
        <f t="shared" si="256"/>
        <v>46069</v>
      </c>
      <c r="M797" s="13" t="str">
        <f t="shared" si="257"/>
        <v>АРТ-367</v>
      </c>
      <c r="N797" s="13">
        <f t="shared" si="258"/>
        <v>3</v>
      </c>
      <c r="O797" s="13" t="str">
        <f>IFERROR(VLOOKUP(J797,Справочники!$G$6:$H$8,2,0),"RUB")</f>
        <v>RUB</v>
      </c>
      <c r="P797" s="14">
        <f>ROUND(K797*IFERROR(VLOOKUP(J797,Справочники!$G$6:$I$8,3,0),1),2)</f>
        <v>7000</v>
      </c>
      <c r="Q797" s="13" t="str">
        <f>IFERROR(VLOOKUP(H797,Справочники!$D$6:$E$14,2,0),"НЕИЗВЕСТНО")</f>
        <v>Отменен</v>
      </c>
      <c r="R797" s="20">
        <f>IFERROR(INDEX(Товары_очищенные!$Q$3:$Q$503,MATCH(M797,Товары_очищенные!$L$3:$L$503,0)),"нет в каталоге")</f>
        <v>19990</v>
      </c>
      <c r="S797" s="21" t="str">
        <f>IFERROR(INDEX(Товары_очищенные!$N$3:$N$503,MATCH(M797,Товары_очищенные!$L$3:$L$503,0)),"нет в каталоге")</f>
        <v>Наушники</v>
      </c>
      <c r="T797" s="21" t="str">
        <f t="shared" si="259"/>
        <v>OK</v>
      </c>
      <c r="U797" s="12" t="str">
        <f t="shared" si="260"/>
        <v>16/02/2026|АРТ-367|C0795</v>
      </c>
      <c r="V797" s="12" t="str">
        <f t="shared" si="261"/>
        <v>оригинал</v>
      </c>
    </row>
    <row r="798" ht="15" customHeight="1">
      <c r="A798" s="10">
        <v>796</v>
      </c>
      <c r="B798" s="11" t="str">
        <f>RAW_Продажи!A797</f>
        <v>02/16/2026</v>
      </c>
      <c r="C798" s="11" t="str">
        <f>RAW_Продажи!B797</f>
        <v>№АРТ-264</v>
      </c>
      <c r="D798" s="11" t="str">
        <f>RAW_Продажи!C797</f>
        <v>-2</v>
      </c>
      <c r="E798" s="11" t="str">
        <f>RAW_Продажи!D797</f>
        <v>$115</v>
      </c>
      <c r="F798" s="11" t="str">
        <f>RAW_Продажи!E797</f>
        <v>C0796</v>
      </c>
      <c r="G798" s="11" t="str">
        <f>RAW_Продажи!F797</f>
        <v>P035</v>
      </c>
      <c r="H798" s="11" t="str">
        <f>RAW_Продажи!G797</f>
        <v>Завершен</v>
      </c>
      <c r="I798" s="12" t="str">
        <f t="shared" si="253"/>
        <v>264</v>
      </c>
      <c r="J798" s="12" t="str">
        <f t="shared" si="254"/>
        <v>$</v>
      </c>
      <c r="K798" s="12">
        <f t="shared" si="255"/>
        <v>115</v>
      </c>
      <c r="L798" s="19">
        <f t="shared" si="256"/>
        <v>46069</v>
      </c>
      <c r="M798" s="13" t="str">
        <f t="shared" si="257"/>
        <v>АРТ-264</v>
      </c>
      <c r="N798" s="13">
        <f t="shared" si="258"/>
        <v>-2</v>
      </c>
      <c r="O798" s="13" t="str">
        <f>IFERROR(VLOOKUP(J798,Справочники!$G$6:$H$8,2,0),"RUB")</f>
        <v>USD</v>
      </c>
      <c r="P798" s="14">
        <f>ROUND(K798*IFERROR(VLOOKUP(J798,Справочники!$G$6:$I$8,3,0),1),2)</f>
        <v>10925</v>
      </c>
      <c r="Q798" s="13" t="str">
        <f>IFERROR(VLOOKUP(H798,Справочники!$D$6:$E$14,2,0),"НЕИЗВЕСТНО")</f>
        <v>Завершен</v>
      </c>
      <c r="R798" s="20">
        <f>IFERROR(INDEX(Товары_очищенные!$Q$3:$Q$503,MATCH(M798,Товары_очищенные!$L$3:$L$503,0)),"нет в каталоге")</f>
        <v>12800</v>
      </c>
      <c r="S798" s="21" t="str">
        <f>IFERROR(INDEX(Товары_очищенные!$N$3:$N$503,MATCH(M798,Товары_очищенные!$L$3:$L$503,0)),"нет в каталоге")</f>
        <v>Наушники</v>
      </c>
      <c r="T798" s="21" t="str">
        <f t="shared" si="259"/>
        <v>OK</v>
      </c>
      <c r="U798" s="12" t="str">
        <f t="shared" si="260"/>
        <v>16/02/2026|АРТ-264|C0796</v>
      </c>
      <c r="V798" s="12" t="str">
        <f t="shared" si="261"/>
        <v>оригинал</v>
      </c>
    </row>
    <row r="799" ht="15" customHeight="1">
      <c r="A799" s="10">
        <v>797</v>
      </c>
      <c r="B799" s="11" t="str">
        <f>RAW_Продажи!A798</f>
        <v>02/17/2026</v>
      </c>
      <c r="C799" s="11" t="str">
        <f>RAW_Продажи!B798</f>
        <v>АРТ_284</v>
      </c>
      <c r="D799" s="11" t="str">
        <f>RAW_Продажи!C798</f>
        <v>1</v>
      </c>
      <c r="E799" s="11" t="str">
        <f>RAW_Продажи!D798</f>
        <v>€95</v>
      </c>
      <c r="F799" s="11" t="str">
        <f>RAW_Продажи!E798</f>
        <v>C0797</v>
      </c>
      <c r="G799" s="11" t="str">
        <f>RAW_Продажи!F798</f>
        <v>P046</v>
      </c>
      <c r="H799" s="11" t="str">
        <f>RAW_Продажи!G798</f>
        <v>возврат</v>
      </c>
      <c r="I799" s="12" t="str">
        <f t="shared" si="253"/>
        <v>284</v>
      </c>
      <c r="J799" s="12" t="str">
        <f t="shared" si="254"/>
        <v>€</v>
      </c>
      <c r="K799" s="12">
        <f t="shared" si="255"/>
        <v>95</v>
      </c>
      <c r="L799" s="19">
        <f t="shared" si="256"/>
        <v>46070</v>
      </c>
      <c r="M799" s="13" t="str">
        <f t="shared" si="257"/>
        <v>АРТ-284</v>
      </c>
      <c r="N799" s="13">
        <f t="shared" si="258"/>
        <v>1</v>
      </c>
      <c r="O799" s="13" t="str">
        <f>IFERROR(VLOOKUP(J799,Справочники!$G$6:$H$8,2,0),"RUB")</f>
        <v>EUR</v>
      </c>
      <c r="P799" s="14">
        <f>ROUND(K799*IFERROR(VLOOKUP(J799,Справочники!$G$6:$I$8,3,0),1),2)</f>
        <v>9500</v>
      </c>
      <c r="Q799" s="13" t="str">
        <f>IFERROR(VLOOKUP(H799,Справочники!$D$6:$E$14,2,0),"НЕИЗВЕСТНО")</f>
        <v>Возврат</v>
      </c>
      <c r="R799" s="20">
        <f>IFERROR(INDEX(Товары_очищенные!$Q$3:$Q$503,MATCH(M799,Товары_очищенные!$L$3:$L$503,0)),"нет в каталоге")</f>
        <v>82000</v>
      </c>
      <c r="S799" s="21" t="str">
        <f>IFERROR(INDEX(Товары_очищенные!$N$3:$N$503,MATCH(M799,Товары_очищенные!$L$3:$L$503,0)),"нет в каталоге")</f>
        <v>Мониторы</v>
      </c>
      <c r="T799" s="21" t="str">
        <f t="shared" si="259"/>
        <v>OK</v>
      </c>
      <c r="U799" s="12" t="str">
        <f t="shared" si="260"/>
        <v>17/02/2026|АРТ-284|C0797</v>
      </c>
      <c r="V799" s="12" t="str">
        <f t="shared" si="261"/>
        <v>оригинал</v>
      </c>
    </row>
    <row r="800" ht="15" customHeight="1">
      <c r="A800" s="10">
        <v>798</v>
      </c>
      <c r="B800" s="11" t="str">
        <f>RAW_Продажи!A799</f>
        <v>02/17/2026</v>
      </c>
      <c r="C800" s="11" t="str">
        <f>RAW_Продажи!B799</f>
        <v>191-24</v>
      </c>
      <c r="D800" s="11" t="str">
        <f>RAW_Продажи!C799</f>
        <v>2</v>
      </c>
      <c r="E800" s="11" t="str">
        <f>RAW_Продажи!D799</f>
        <v xml:space="preserve">8500 ₽</v>
      </c>
      <c r="F800" s="11" t="str">
        <f>RAW_Продажи!E799</f>
        <v>C0798</v>
      </c>
      <c r="G800" s="11" t="str">
        <f>RAW_Продажи!F799</f>
        <v>P022</v>
      </c>
      <c r="H800" s="11" t="str">
        <f>RAW_Продажи!G799</f>
        <v>завершен</v>
      </c>
      <c r="I800" s="12" t="str">
        <f t="shared" si="253"/>
        <v>191-24</v>
      </c>
      <c r="J800" s="12" t="str">
        <f t="shared" si="254"/>
        <v>₽</v>
      </c>
      <c r="K800" s="12">
        <f t="shared" si="255"/>
        <v>8500</v>
      </c>
      <c r="L800" s="19">
        <f t="shared" si="256"/>
        <v>46070</v>
      </c>
      <c r="M800" s="13" t="str">
        <f t="shared" si="257"/>
        <v>АРТ-191</v>
      </c>
      <c r="N800" s="13">
        <f t="shared" si="258"/>
        <v>2</v>
      </c>
      <c r="O800" s="13" t="str">
        <f>IFERROR(VLOOKUP(J800,Справочники!$G$6:$H$8,2,0),"RUB")</f>
        <v>RUB</v>
      </c>
      <c r="P800" s="14">
        <f>ROUND(K800*IFERROR(VLOOKUP(J800,Справочники!$G$6:$I$8,3,0),1),2)</f>
        <v>8500</v>
      </c>
      <c r="Q800" s="13" t="str">
        <f>IFERROR(VLOOKUP(H800,Справочники!$D$6:$E$14,2,0),"НЕИЗВЕСТНО")</f>
        <v>Завершен</v>
      </c>
      <c r="R800" s="20">
        <f>IFERROR(INDEX(Товары_очищенные!$Q$3:$Q$503,MATCH(M800,Товары_очищенные!$L$3:$L$503,0)),"нет в каталоге")</f>
        <v>23500</v>
      </c>
      <c r="S800" s="21" t="str">
        <f>IFERROR(INDEX(Товары_очищенные!$N$3:$N$503,MATCH(M800,Товары_очищенные!$L$3:$L$503,0)),"нет в каталоге")</f>
        <v>Планшеты</v>
      </c>
      <c r="T800" s="21" t="str">
        <f t="shared" si="259"/>
        <v>OK</v>
      </c>
      <c r="U800" s="12" t="str">
        <f t="shared" si="260"/>
        <v>17/02/2026|АРТ-191|C0798</v>
      </c>
      <c r="V800" s="12" t="str">
        <f t="shared" si="261"/>
        <v>оригинал</v>
      </c>
    </row>
    <row r="801" ht="15" customHeight="1">
      <c r="A801" s="10">
        <v>799</v>
      </c>
      <c r="B801" s="11" t="str">
        <f>RAW_Продажи!A800</f>
        <v>02/18/2026</v>
      </c>
      <c r="C801" s="11" t="str">
        <f>RAW_Продажи!B800</f>
        <v>№АРТ-153</v>
      </c>
      <c r="D801" s="11" t="str">
        <f>RAW_Продажи!C800</f>
        <v>3</v>
      </c>
      <c r="E801" s="11" t="str">
        <f>RAW_Продажи!D800</f>
        <v>$105</v>
      </c>
      <c r="F801" s="11" t="str">
        <f>RAW_Продажи!E800</f>
        <v>C0799</v>
      </c>
      <c r="G801" s="11" t="str">
        <f>RAW_Продажи!F800</f>
        <v>P043</v>
      </c>
      <c r="H801" s="11" t="str">
        <f>RAW_Продажи!G800</f>
        <v>completed</v>
      </c>
      <c r="I801" s="12" t="str">
        <f t="shared" si="253"/>
        <v>153</v>
      </c>
      <c r="J801" s="12" t="str">
        <f t="shared" si="254"/>
        <v>$</v>
      </c>
      <c r="K801" s="12">
        <f t="shared" si="255"/>
        <v>105</v>
      </c>
      <c r="L801" s="19">
        <f t="shared" si="256"/>
        <v>46071</v>
      </c>
      <c r="M801" s="13" t="str">
        <f t="shared" si="257"/>
        <v>АРТ-153</v>
      </c>
      <c r="N801" s="13">
        <f t="shared" si="258"/>
        <v>3</v>
      </c>
      <c r="O801" s="13" t="str">
        <f>IFERROR(VLOOKUP(J801,Справочники!$G$6:$H$8,2,0),"RUB")</f>
        <v>USD</v>
      </c>
      <c r="P801" s="14">
        <f>ROUND(K801*IFERROR(VLOOKUP(J801,Справочники!$G$6:$I$8,3,0),1),2)</f>
        <v>9975</v>
      </c>
      <c r="Q801" s="13" t="str">
        <f>IFERROR(VLOOKUP(H801,Справочники!$D$6:$E$14,2,0),"НЕИЗВЕСТНО")</f>
        <v>Завершен</v>
      </c>
      <c r="R801" s="20">
        <f>IFERROR(INDEX(Товары_очищенные!$Q$3:$Q$503,MATCH(M801,Товары_очищенные!$L$3:$L$503,0)),"нет в каталоге")</f>
        <v>158000</v>
      </c>
      <c r="S801" s="21" t="str">
        <f>IFERROR(INDEX(Товары_очищенные!$N$3:$N$503,MATCH(M801,Товары_очищенные!$L$3:$L$503,0)),"нет в каталоге")</f>
        <v>Телевизоры</v>
      </c>
      <c r="T801" s="21" t="str">
        <f t="shared" si="259"/>
        <v>OK</v>
      </c>
      <c r="U801" s="12" t="str">
        <f t="shared" si="260"/>
        <v>18/02/2026|АРТ-153|C0799</v>
      </c>
      <c r="V801" s="12" t="str">
        <f t="shared" si="261"/>
        <v>оригинал</v>
      </c>
    </row>
    <row r="802" ht="15" customHeight="1">
      <c r="A802" s="10">
        <v>800</v>
      </c>
      <c r="B802" s="11" t="str">
        <f>RAW_Продажи!A801</f>
        <v>02/18/2026</v>
      </c>
      <c r="C802" s="11" t="str">
        <f>RAW_Продажи!B801</f>
        <v>АРТ_452</v>
      </c>
      <c r="D802" s="11" t="str">
        <f>RAW_Продажи!C801</f>
        <v>2</v>
      </c>
      <c r="E802" s="11" t="str">
        <f>RAW_Продажи!D801</f>
        <v>€85</v>
      </c>
      <c r="F802" s="11" t="str">
        <f>RAW_Продажи!E801</f>
        <v>C0800</v>
      </c>
      <c r="G802" s="11" t="str">
        <f>RAW_Продажи!F801</f>
        <v>P030</v>
      </c>
      <c r="H802" s="11" t="str">
        <f>RAW_Продажи!G801</f>
        <v>Завершен</v>
      </c>
      <c r="I802" s="12" t="str">
        <f t="shared" si="253"/>
        <v>452</v>
      </c>
      <c r="J802" s="12" t="str">
        <f t="shared" si="254"/>
        <v>€</v>
      </c>
      <c r="K802" s="12">
        <f t="shared" si="255"/>
        <v>85</v>
      </c>
      <c r="L802" s="19">
        <f t="shared" si="256"/>
        <v>46071</v>
      </c>
      <c r="M802" s="13" t="str">
        <f t="shared" si="257"/>
        <v>АРТ-452</v>
      </c>
      <c r="N802" s="13">
        <f t="shared" si="258"/>
        <v>2</v>
      </c>
      <c r="O802" s="13" t="str">
        <f>IFERROR(VLOOKUP(J802,Справочники!$G$6:$H$8,2,0),"RUB")</f>
        <v>EUR</v>
      </c>
      <c r="P802" s="14">
        <f>ROUND(K802*IFERROR(VLOOKUP(J802,Справочники!$G$6:$I$8,3,0),1),2)</f>
        <v>8500</v>
      </c>
      <c r="Q802" s="13" t="str">
        <f>IFERROR(VLOOKUP(H802,Справочники!$D$6:$E$14,2,0),"НЕИЗВЕСТНО")</f>
        <v>Завершен</v>
      </c>
      <c r="R802" s="20">
        <f>IFERROR(INDEX(Товары_очищенные!$Q$3:$Q$503,MATCH(M802,Товары_очищенные!$L$3:$L$503,0)),"нет в каталоге")</f>
        <v>38500</v>
      </c>
      <c r="S802" s="21" t="str">
        <f>IFERROR(INDEX(Товары_очищенные!$N$3:$N$503,MATCH(M802,Товары_очищенные!$L$3:$L$503,0)),"нет в каталоге")</f>
        <v>Наушники</v>
      </c>
      <c r="T802" s="21" t="str">
        <f t="shared" si="259"/>
        <v>OK</v>
      </c>
      <c r="U802" s="12" t="str">
        <f t="shared" si="260"/>
        <v>18/02/2026|АРТ-452|C0800</v>
      </c>
      <c r="V802" s="12" t="str">
        <f t="shared" si="261"/>
        <v>оригинал</v>
      </c>
    </row>
    <row r="803" ht="15" customHeight="1">
      <c r="A803" s="10">
        <v>801</v>
      </c>
      <c r="B803" s="11" t="str">
        <f>RAW_Продажи!A802</f>
        <v>02/19/2026</v>
      </c>
      <c r="C803" s="11" t="str">
        <f>RAW_Продажи!B802</f>
        <v>351/24</v>
      </c>
      <c r="D803" s="11" t="str">
        <f>RAW_Продажи!C802</f>
        <v xml:space="preserve">1 шт.</v>
      </c>
      <c r="E803" s="11" t="str">
        <f>RAW_Продажи!D802</f>
        <v xml:space="preserve">7800 ₽</v>
      </c>
      <c r="F803" s="11" t="str">
        <f>RAW_Продажи!E802</f>
        <v>C0801</v>
      </c>
      <c r="G803" s="11" t="str">
        <f>RAW_Продажи!F802</f>
        <v>P012</v>
      </c>
      <c r="H803" s="11" t="str">
        <f>RAW_Продажи!G802</f>
        <v>canceled</v>
      </c>
      <c r="I803" s="12" t="str">
        <f t="shared" si="253"/>
        <v>351/24</v>
      </c>
      <c r="J803" s="12" t="str">
        <f t="shared" si="254"/>
        <v>₽</v>
      </c>
      <c r="K803" s="12">
        <f t="shared" si="255"/>
        <v>7800</v>
      </c>
      <c r="L803" s="19">
        <f t="shared" si="256"/>
        <v>46072</v>
      </c>
      <c r="M803" s="13" t="str">
        <f t="shared" si="257"/>
        <v>АРТ-351</v>
      </c>
      <c r="N803" s="13">
        <f t="shared" si="258"/>
        <v>1</v>
      </c>
      <c r="O803" s="13" t="str">
        <f>IFERROR(VLOOKUP(J803,Справочники!$G$6:$H$8,2,0),"RUB")</f>
        <v>RUB</v>
      </c>
      <c r="P803" s="14">
        <f>ROUND(K803*IFERROR(VLOOKUP(J803,Справочники!$G$6:$I$8,3,0),1),2)</f>
        <v>7800</v>
      </c>
      <c r="Q803" s="13" t="str">
        <f>IFERROR(VLOOKUP(H803,Справочники!$D$6:$E$14,2,0),"НЕИЗВЕСТНО")</f>
        <v>Отменен</v>
      </c>
      <c r="R803" s="20">
        <f>IFERROR(INDEX(Товары_очищенные!$Q$3:$Q$503,MATCH(M803,Товары_очищенные!$L$3:$L$503,0)),"нет в каталоге")</f>
        <v>57000</v>
      </c>
      <c r="S803" s="21" t="str">
        <f>IFERROR(INDEX(Товары_очищенные!$N$3:$N$503,MATCH(M803,Товары_очищенные!$L$3:$L$503,0)),"нет в каталоге")</f>
        <v>Мониторы</v>
      </c>
      <c r="T803" s="21" t="str">
        <f t="shared" si="259"/>
        <v>OK</v>
      </c>
      <c r="U803" s="12" t="str">
        <f t="shared" si="260"/>
        <v>19/02/2026|АРТ-351|C0801</v>
      </c>
      <c r="V803" s="12" t="str">
        <f t="shared" si="261"/>
        <v>оригинал</v>
      </c>
    </row>
    <row r="804" ht="15" customHeight="1">
      <c r="A804" s="10">
        <v>802</v>
      </c>
      <c r="B804" s="11" t="str">
        <f>RAW_Продажи!A803</f>
        <v>02/19/2026</v>
      </c>
      <c r="C804" s="11" t="str">
        <f>RAW_Продажи!B803</f>
        <v>№АРТ-393</v>
      </c>
      <c r="D804" s="11" t="str">
        <f>RAW_Продажи!C803</f>
        <v>-3</v>
      </c>
      <c r="E804" s="11" t="str">
        <f>RAW_Продажи!D803</f>
        <v>$120</v>
      </c>
      <c r="F804" s="11" t="str">
        <f>RAW_Продажи!E803</f>
        <v>C0802</v>
      </c>
      <c r="G804" s="11" t="str">
        <f>RAW_Продажи!F803</f>
        <v>P007</v>
      </c>
      <c r="H804" s="11" t="str">
        <f>RAW_Продажи!G803</f>
        <v>отменен</v>
      </c>
      <c r="I804" s="12" t="str">
        <f t="shared" ref="I804:I867" si="262">SUBSTITUTE(SUBSTITUTE(C804,"№АРТ-",""),"АРТ_","")</f>
        <v>393</v>
      </c>
      <c r="J804" s="12" t="str">
        <f t="shared" ref="J804:J867" si="263">IF(LEFT(TRIM(E804),1)="$","$",IF(LEFT(TRIM(E804),1)="€","€","₽"))</f>
        <v>$</v>
      </c>
      <c r="K804" s="12">
        <f t="shared" ref="K804:K867" si="264">VALUE(SUBSTITUTE(SUBSTITUTE(SUBSTITUTE(SUBSTITUTE(TRIM(E804),"$",""),"€",""),"₽","")," ",""))</f>
        <v>120</v>
      </c>
      <c r="L804" s="19">
        <f t="shared" ref="L804:L867" si="265">DATE(VALUE(MID(B804,7,4)),VALUE(LEFT(B804,2)),VALUE(MID(B804,4,2)))</f>
        <v>46072</v>
      </c>
      <c r="M804" s="13" t="str">
        <f t="shared" ref="M804:M867" si="266">"АРТ-"&amp;LEFT(I804,3)</f>
        <v>АРТ-393</v>
      </c>
      <c r="N804" s="13">
        <f t="shared" ref="N804:N867" si="267">VALUE(LEFT(TRIM(D804),FIND(" ",TRIM(D804)&amp;" ")-1))</f>
        <v>-3</v>
      </c>
      <c r="O804" s="13" t="str">
        <f>IFERROR(VLOOKUP(J804,Справочники!$G$6:$H$8,2,0),"RUB")</f>
        <v>USD</v>
      </c>
      <c r="P804" s="14">
        <f>ROUND(K804*IFERROR(VLOOKUP(J804,Справочники!$G$6:$I$8,3,0),1),2)</f>
        <v>11400</v>
      </c>
      <c r="Q804" s="13" t="str">
        <f>IFERROR(VLOOKUP(H804,Справочники!$D$6:$E$14,2,0),"НЕИЗВЕСТНО")</f>
        <v>Отменен</v>
      </c>
      <c r="R804" s="20">
        <f>IFERROR(INDEX(Товары_очищенные!$Q$3:$Q$503,MATCH(M804,Товары_очищенные!$L$3:$L$503,0)),"нет в каталоге")</f>
        <v>19800</v>
      </c>
      <c r="S804" s="21" t="str">
        <f>IFERROR(INDEX(Товары_очищенные!$N$3:$N$503,MATCH(M804,Товары_очищенные!$L$3:$L$503,0)),"нет в каталоге")</f>
        <v>Наушники</v>
      </c>
      <c r="T804" s="21" t="str">
        <f t="shared" ref="T804:T867" si="268">IF(ISNUMBER(R804),IF(P804&lt;=R804*1.5,"OK","Цена выше розницы"),"—")</f>
        <v>OK</v>
      </c>
      <c r="U804" s="12" t="str">
        <f t="shared" ref="U804:U867" si="269">TEXT(L804,"DD.MM.YYYY")&amp;"|"&amp;M804&amp;"|"&amp;F804</f>
        <v>19/02/2026|АРТ-393|C0802</v>
      </c>
      <c r="V804" s="12" t="str">
        <f t="shared" ref="V804:V867" si="270">IF(COUNTIF($U$3:U804,U804)&gt;1,"ДУБЛЬ","оригинал")</f>
        <v>оригинал</v>
      </c>
    </row>
    <row r="805" ht="15" customHeight="1">
      <c r="A805" s="10">
        <v>803</v>
      </c>
      <c r="B805" s="11" t="str">
        <f>RAW_Продажи!A804</f>
        <v>02/20/2026</v>
      </c>
      <c r="C805" s="11" t="str">
        <f>RAW_Продажи!B804</f>
        <v>АРТ_307</v>
      </c>
      <c r="D805" s="11" t="str">
        <f>RAW_Продажи!C804</f>
        <v>2</v>
      </c>
      <c r="E805" s="11" t="str">
        <f>RAW_Продажи!D804</f>
        <v>€100</v>
      </c>
      <c r="F805" s="11" t="str">
        <f>RAW_Продажи!E804</f>
        <v>C0803</v>
      </c>
      <c r="G805" s="11" t="str">
        <f>RAW_Продажи!F804</f>
        <v>P023</v>
      </c>
      <c r="H805" s="11" t="str">
        <f>RAW_Продажи!G804</f>
        <v>возврат</v>
      </c>
      <c r="I805" s="12" t="str">
        <f t="shared" si="262"/>
        <v>307</v>
      </c>
      <c r="J805" s="12" t="str">
        <f t="shared" si="263"/>
        <v>€</v>
      </c>
      <c r="K805" s="12">
        <f t="shared" si="264"/>
        <v>100</v>
      </c>
      <c r="L805" s="19">
        <f t="shared" si="265"/>
        <v>46073</v>
      </c>
      <c r="M805" s="13" t="str">
        <f t="shared" si="266"/>
        <v>АРТ-307</v>
      </c>
      <c r="N805" s="13">
        <f t="shared" si="267"/>
        <v>2</v>
      </c>
      <c r="O805" s="13" t="str">
        <f>IFERROR(VLOOKUP(J805,Справочники!$G$6:$H$8,2,0),"RUB")</f>
        <v>EUR</v>
      </c>
      <c r="P805" s="14">
        <f>ROUND(K805*IFERROR(VLOOKUP(J805,Справочники!$G$6:$I$8,3,0),1),2)</f>
        <v>10000</v>
      </c>
      <c r="Q805" s="13" t="str">
        <f>IFERROR(VLOOKUP(H805,Справочники!$D$6:$E$14,2,0),"НЕИЗВЕСТНО")</f>
        <v>Возврат</v>
      </c>
      <c r="R805" s="20">
        <f>IFERROR(INDEX(Товары_очищенные!$Q$3:$Q$503,MATCH(M805,Товары_очищенные!$L$3:$L$503,0)),"нет в каталоге")</f>
        <v>8990</v>
      </c>
      <c r="S805" s="21" t="str">
        <f>IFERROR(INDEX(Товары_очищенные!$N$3:$N$503,MATCH(M805,Товары_очищенные!$L$3:$L$503,0)),"нет в каталоге")</f>
        <v>Аксессуары</v>
      </c>
      <c r="T805" s="21" t="str">
        <f t="shared" si="268"/>
        <v>OK</v>
      </c>
      <c r="U805" s="12" t="str">
        <f t="shared" si="269"/>
        <v>20/02/2026|АРТ-307|C0803</v>
      </c>
      <c r="V805" s="12" t="str">
        <f t="shared" si="270"/>
        <v>оригинал</v>
      </c>
    </row>
    <row r="806" ht="15" customHeight="1">
      <c r="A806" s="10">
        <v>804</v>
      </c>
      <c r="B806" s="11" t="str">
        <f>RAW_Продажи!A805</f>
        <v>02/20/2026</v>
      </c>
      <c r="C806" s="11" t="str">
        <f>RAW_Продажи!B805</f>
        <v>156-24</v>
      </c>
      <c r="D806" s="11" t="str">
        <f>RAW_Продажи!C805</f>
        <v>1</v>
      </c>
      <c r="E806" s="11" t="str">
        <f>RAW_Продажи!D805</f>
        <v xml:space="preserve">9200 ₽</v>
      </c>
      <c r="F806" s="11" t="str">
        <f>RAW_Продажи!E805</f>
        <v>C0804</v>
      </c>
      <c r="G806" s="11" t="str">
        <f>RAW_Продажи!F805</f>
        <v>P045</v>
      </c>
      <c r="H806" s="11" t="str">
        <f>RAW_Продажи!G805</f>
        <v>Завершен</v>
      </c>
      <c r="I806" s="12" t="str">
        <f t="shared" si="262"/>
        <v>156-24</v>
      </c>
      <c r="J806" s="12" t="str">
        <f t="shared" si="263"/>
        <v>₽</v>
      </c>
      <c r="K806" s="12">
        <f t="shared" si="264"/>
        <v>9200</v>
      </c>
      <c r="L806" s="19">
        <f t="shared" si="265"/>
        <v>46073</v>
      </c>
      <c r="M806" s="13" t="str">
        <f t="shared" si="266"/>
        <v>АРТ-156</v>
      </c>
      <c r="N806" s="13">
        <f t="shared" si="267"/>
        <v>1</v>
      </c>
      <c r="O806" s="13" t="str">
        <f>IFERROR(VLOOKUP(J806,Справочники!$G$6:$H$8,2,0),"RUB")</f>
        <v>RUB</v>
      </c>
      <c r="P806" s="14">
        <f>ROUND(K806*IFERROR(VLOOKUP(J806,Справочники!$G$6:$I$8,3,0),1),2)</f>
        <v>9200</v>
      </c>
      <c r="Q806" s="13" t="str">
        <f>IFERROR(VLOOKUP(H806,Справочники!$D$6:$E$14,2,0),"НЕИЗВЕСТНО")</f>
        <v>Завершен</v>
      </c>
      <c r="R806" s="20">
        <f>IFERROR(INDEX(Товары_очищенные!$Q$3:$Q$503,MATCH(M806,Товары_очищенные!$L$3:$L$503,0)),"нет в каталоге")</f>
        <v>17800</v>
      </c>
      <c r="S806" s="21" t="str">
        <f>IFERROR(INDEX(Товары_очищенные!$N$3:$N$503,MATCH(M806,Товары_очищенные!$L$3:$L$503,0)),"нет в каталоге")</f>
        <v>Наушники</v>
      </c>
      <c r="T806" s="21" t="str">
        <f t="shared" si="268"/>
        <v>OK</v>
      </c>
      <c r="U806" s="12" t="str">
        <f t="shared" si="269"/>
        <v>20/02/2026|АРТ-156|C0804</v>
      </c>
      <c r="V806" s="12" t="str">
        <f t="shared" si="270"/>
        <v>оригинал</v>
      </c>
    </row>
    <row r="807" ht="15" customHeight="1">
      <c r="A807" s="10">
        <v>805</v>
      </c>
      <c r="B807" s="11" t="str">
        <f>RAW_Продажи!A806</f>
        <v>02/21/2026</v>
      </c>
      <c r="C807" s="11" t="str">
        <f>RAW_Продажи!B806</f>
        <v>№АРТ-080</v>
      </c>
      <c r="D807" s="11" t="str">
        <f>RAW_Продажи!C806</f>
        <v>3</v>
      </c>
      <c r="E807" s="11" t="str">
        <f>RAW_Продажи!D806</f>
        <v>$90</v>
      </c>
      <c r="F807" s="11" t="str">
        <f>RAW_Продажи!E806</f>
        <v>C0805</v>
      </c>
      <c r="G807" s="11" t="str">
        <f>RAW_Продажи!F806</f>
        <v>P008</v>
      </c>
      <c r="H807" s="11" t="str">
        <f>RAW_Продажи!G806</f>
        <v>завершен</v>
      </c>
      <c r="I807" s="12" t="str">
        <f t="shared" si="262"/>
        <v>080</v>
      </c>
      <c r="J807" s="12" t="str">
        <f t="shared" si="263"/>
        <v>$</v>
      </c>
      <c r="K807" s="12">
        <f t="shared" si="264"/>
        <v>90</v>
      </c>
      <c r="L807" s="19">
        <f t="shared" si="265"/>
        <v>46074</v>
      </c>
      <c r="M807" s="13" t="str">
        <f t="shared" si="266"/>
        <v>АРТ-080</v>
      </c>
      <c r="N807" s="13">
        <f t="shared" si="267"/>
        <v>3</v>
      </c>
      <c r="O807" s="13" t="str">
        <f>IFERROR(VLOOKUP(J807,Справочники!$G$6:$H$8,2,0),"RUB")</f>
        <v>USD</v>
      </c>
      <c r="P807" s="14">
        <f>ROUND(K807*IFERROR(VLOOKUP(J807,Справочники!$G$6:$I$8,3,0),1),2)</f>
        <v>8550</v>
      </c>
      <c r="Q807" s="13" t="str">
        <f>IFERROR(VLOOKUP(H807,Справочники!$D$6:$E$14,2,0),"НЕИЗВЕСТНО")</f>
        <v>Завершен</v>
      </c>
      <c r="R807" s="20">
        <f>IFERROR(INDEX(Товары_очищенные!$Q$3:$Q$503,MATCH(M807,Товары_очищенные!$L$3:$L$503,0)),"нет в каталоге")</f>
        <v>44500</v>
      </c>
      <c r="S807" s="21" t="str">
        <f>IFERROR(INDEX(Товары_очищенные!$N$3:$N$503,MATCH(M807,Товары_очищенные!$L$3:$L$503,0)),"нет в каталоге")</f>
        <v>Планшеты</v>
      </c>
      <c r="T807" s="21" t="str">
        <f t="shared" si="268"/>
        <v>OK</v>
      </c>
      <c r="U807" s="12" t="str">
        <f t="shared" si="269"/>
        <v>21/02/2026|АРТ-080|C0805</v>
      </c>
      <c r="V807" s="12" t="str">
        <f t="shared" si="270"/>
        <v>оригинал</v>
      </c>
    </row>
    <row r="808" ht="15" customHeight="1">
      <c r="A808" s="10">
        <v>806</v>
      </c>
      <c r="B808" s="11" t="str">
        <f>RAW_Продажи!A807</f>
        <v>02/21/2026</v>
      </c>
      <c r="C808" s="11" t="str">
        <f>RAW_Продажи!B807</f>
        <v>АРТ_468</v>
      </c>
      <c r="D808" s="11" t="str">
        <f>RAW_Продажи!C807</f>
        <v>2</v>
      </c>
      <c r="E808" s="11" t="str">
        <f>RAW_Продажи!D807</f>
        <v>€70</v>
      </c>
      <c r="F808" s="11" t="str">
        <f>RAW_Продажи!E807</f>
        <v>C0806</v>
      </c>
      <c r="G808" s="11" t="str">
        <f>RAW_Продажи!F807</f>
        <v>P031</v>
      </c>
      <c r="H808" s="11" t="str">
        <f>RAW_Продажи!G807</f>
        <v>completed</v>
      </c>
      <c r="I808" s="12" t="str">
        <f t="shared" si="262"/>
        <v>468</v>
      </c>
      <c r="J808" s="12" t="str">
        <f t="shared" si="263"/>
        <v>€</v>
      </c>
      <c r="K808" s="12">
        <f t="shared" si="264"/>
        <v>70</v>
      </c>
      <c r="L808" s="19">
        <f t="shared" si="265"/>
        <v>46074</v>
      </c>
      <c r="M808" s="13" t="str">
        <f t="shared" si="266"/>
        <v>АРТ-468</v>
      </c>
      <c r="N808" s="13">
        <f t="shared" si="267"/>
        <v>2</v>
      </c>
      <c r="O808" s="13" t="str">
        <f>IFERROR(VLOOKUP(J808,Справочники!$G$6:$H$8,2,0),"RUB")</f>
        <v>EUR</v>
      </c>
      <c r="P808" s="14">
        <f>ROUND(K808*IFERROR(VLOOKUP(J808,Справочники!$G$6:$I$8,3,0),1),2)</f>
        <v>7000</v>
      </c>
      <c r="Q808" s="13" t="str">
        <f>IFERROR(VLOOKUP(H808,Справочники!$D$6:$E$14,2,0),"НЕИЗВЕСТНО")</f>
        <v>Завершен</v>
      </c>
      <c r="R808" s="20">
        <f>IFERROR(INDEX(Товары_очищенные!$Q$3:$Q$503,MATCH(M808,Товары_очищенные!$L$3:$L$503,0)),"нет в каталоге")</f>
        <v>24500</v>
      </c>
      <c r="S808" s="21" t="str">
        <f>IFERROR(INDEX(Товары_очищенные!$N$3:$N$503,MATCH(M808,Товары_очищенные!$L$3:$L$503,0)),"нет в каталоге")</f>
        <v>Смартфоны</v>
      </c>
      <c r="T808" s="21" t="str">
        <f t="shared" si="268"/>
        <v>OK</v>
      </c>
      <c r="U808" s="12" t="str">
        <f t="shared" si="269"/>
        <v>21/02/2026|АРТ-468|C0806</v>
      </c>
      <c r="V808" s="12" t="str">
        <f t="shared" si="270"/>
        <v>оригинал</v>
      </c>
    </row>
    <row r="809" ht="15" customHeight="1">
      <c r="A809" s="10">
        <v>807</v>
      </c>
      <c r="B809" s="11" t="str">
        <f>RAW_Продажи!A808</f>
        <v>02/22/2026</v>
      </c>
      <c r="C809" s="11" t="str">
        <f>RAW_Продажи!B808</f>
        <v>369/24</v>
      </c>
      <c r="D809" s="11" t="str">
        <f>RAW_Продажи!C808</f>
        <v xml:space="preserve">1 шт.</v>
      </c>
      <c r="E809" s="11" t="str">
        <f>RAW_Продажи!D808</f>
        <v xml:space="preserve">6500 ₽</v>
      </c>
      <c r="F809" s="11" t="str">
        <f>RAW_Продажи!E808</f>
        <v>C0807</v>
      </c>
      <c r="G809" s="11" t="str">
        <f>RAW_Продажи!F808</f>
        <v>P019</v>
      </c>
      <c r="H809" s="11" t="str">
        <f>RAW_Продажи!G808</f>
        <v>отменен</v>
      </c>
      <c r="I809" s="12" t="str">
        <f t="shared" si="262"/>
        <v>369/24</v>
      </c>
      <c r="J809" s="12" t="str">
        <f t="shared" si="263"/>
        <v>₽</v>
      </c>
      <c r="K809" s="12">
        <f t="shared" si="264"/>
        <v>6500</v>
      </c>
      <c r="L809" s="19">
        <f t="shared" si="265"/>
        <v>46075</v>
      </c>
      <c r="M809" s="13" t="str">
        <f t="shared" si="266"/>
        <v>АРТ-369</v>
      </c>
      <c r="N809" s="13">
        <f t="shared" si="267"/>
        <v>1</v>
      </c>
      <c r="O809" s="13" t="str">
        <f>IFERROR(VLOOKUP(J809,Справочники!$G$6:$H$8,2,0),"RUB")</f>
        <v>RUB</v>
      </c>
      <c r="P809" s="14">
        <f>ROUND(K809*IFERROR(VLOOKUP(J809,Справочники!$G$6:$I$8,3,0),1),2)</f>
        <v>6500</v>
      </c>
      <c r="Q809" s="13" t="str">
        <f>IFERROR(VLOOKUP(H809,Справочники!$D$6:$E$14,2,0),"НЕИЗВЕСТНО")</f>
        <v>Отменен</v>
      </c>
      <c r="R809" s="20">
        <f>IFERROR(INDEX(Товары_очищенные!$Q$3:$Q$503,MATCH(M809,Товары_очищенные!$L$3:$L$503,0)),"нет в каталоге")</f>
        <v>20800</v>
      </c>
      <c r="S809" s="21" t="str">
        <f>IFERROR(INDEX(Товары_очищенные!$N$3:$N$503,MATCH(M809,Товары_очищенные!$L$3:$L$503,0)),"нет в каталоге")</f>
        <v>Наушники</v>
      </c>
      <c r="T809" s="21" t="str">
        <f t="shared" si="268"/>
        <v>OK</v>
      </c>
      <c r="U809" s="12" t="str">
        <f t="shared" si="269"/>
        <v>22/02/2026|АРТ-369|C0807</v>
      </c>
      <c r="V809" s="12" t="str">
        <f t="shared" si="270"/>
        <v>оригинал</v>
      </c>
    </row>
    <row r="810" ht="15" customHeight="1">
      <c r="A810" s="10">
        <v>808</v>
      </c>
      <c r="B810" s="11" t="str">
        <f>RAW_Продажи!A809</f>
        <v>02/22/2026</v>
      </c>
      <c r="C810" s="11" t="str">
        <f>RAW_Продажи!B809</f>
        <v>№АРТ-226</v>
      </c>
      <c r="D810" s="11" t="str">
        <f>RAW_Продажи!C809</f>
        <v>-1</v>
      </c>
      <c r="E810" s="11" t="str">
        <f>RAW_Продажи!D809</f>
        <v>$110</v>
      </c>
      <c r="F810" s="11" t="str">
        <f>RAW_Продажи!E809</f>
        <v>C0808</v>
      </c>
      <c r="G810" s="11" t="str">
        <f>RAW_Продажи!F809</f>
        <v>P042</v>
      </c>
      <c r="H810" s="11" t="str">
        <f>RAW_Продажи!G809</f>
        <v>canceled</v>
      </c>
      <c r="I810" s="12" t="str">
        <f t="shared" si="262"/>
        <v>226</v>
      </c>
      <c r="J810" s="12" t="str">
        <f t="shared" si="263"/>
        <v>$</v>
      </c>
      <c r="K810" s="12">
        <f t="shared" si="264"/>
        <v>110</v>
      </c>
      <c r="L810" s="19">
        <f t="shared" si="265"/>
        <v>46075</v>
      </c>
      <c r="M810" s="13" t="str">
        <f t="shared" si="266"/>
        <v>АРТ-226</v>
      </c>
      <c r="N810" s="13">
        <f t="shared" si="267"/>
        <v>-1</v>
      </c>
      <c r="O810" s="13" t="str">
        <f>IFERROR(VLOOKUP(J810,Справочники!$G$6:$H$8,2,0),"RUB")</f>
        <v>USD</v>
      </c>
      <c r="P810" s="14">
        <f>ROUND(K810*IFERROR(VLOOKUP(J810,Справочники!$G$6:$I$8,3,0),1),2)</f>
        <v>10450</v>
      </c>
      <c r="Q810" s="13" t="str">
        <f>IFERROR(VLOOKUP(H810,Справочники!$D$6:$E$14,2,0),"НЕИЗВЕСТНО")</f>
        <v>Отменен</v>
      </c>
      <c r="R810" s="20">
        <f>IFERROR(INDEX(Товары_очищенные!$Q$3:$Q$503,MATCH(M810,Товары_очищенные!$L$3:$L$503,0)),"нет в каталоге")</f>
        <v>5990</v>
      </c>
      <c r="S810" s="21" t="str">
        <f>IFERROR(INDEX(Товары_очищенные!$N$3:$N$503,MATCH(M810,Товары_очищенные!$L$3:$L$503,0)),"нет в каталоге")</f>
        <v>Аксессуары</v>
      </c>
      <c r="T810" s="21" t="str">
        <f t="shared" si="268"/>
        <v xml:space="preserve">Цена выше розницы</v>
      </c>
      <c r="U810" s="12" t="str">
        <f t="shared" si="269"/>
        <v>22/02/2026|АРТ-226|C0808</v>
      </c>
      <c r="V810" s="12" t="str">
        <f t="shared" si="270"/>
        <v>оригинал</v>
      </c>
    </row>
    <row r="811" ht="15" customHeight="1">
      <c r="A811" s="10">
        <v>809</v>
      </c>
      <c r="B811" s="11" t="str">
        <f>RAW_Продажи!A810</f>
        <v>02/23/2026</v>
      </c>
      <c r="C811" s="11" t="str">
        <f>RAW_Продажи!B810</f>
        <v>АРТ_324</v>
      </c>
      <c r="D811" s="11" t="str">
        <f>RAW_Продажи!C810</f>
        <v>3</v>
      </c>
      <c r="E811" s="11" t="str">
        <f>RAW_Продажи!D810</f>
        <v>€90</v>
      </c>
      <c r="F811" s="11" t="str">
        <f>RAW_Продажи!E810</f>
        <v>C0809</v>
      </c>
      <c r="G811" s="11" t="str">
        <f>RAW_Продажи!F810</f>
        <v>P005</v>
      </c>
      <c r="H811" s="11" t="str">
        <f>RAW_Продажи!G810</f>
        <v>Завершен</v>
      </c>
      <c r="I811" s="12" t="str">
        <f t="shared" si="262"/>
        <v>324</v>
      </c>
      <c r="J811" s="12" t="str">
        <f t="shared" si="263"/>
        <v>€</v>
      </c>
      <c r="K811" s="12">
        <f t="shared" si="264"/>
        <v>90</v>
      </c>
      <c r="L811" s="19">
        <f t="shared" si="265"/>
        <v>46076</v>
      </c>
      <c r="M811" s="13" t="str">
        <f t="shared" si="266"/>
        <v>АРТ-324</v>
      </c>
      <c r="N811" s="13">
        <f t="shared" si="267"/>
        <v>3</v>
      </c>
      <c r="O811" s="13" t="str">
        <f>IFERROR(VLOOKUP(J811,Справочники!$G$6:$H$8,2,0),"RUB")</f>
        <v>EUR</v>
      </c>
      <c r="P811" s="14">
        <f>ROUND(K811*IFERROR(VLOOKUP(J811,Справочники!$G$6:$I$8,3,0),1),2)</f>
        <v>9000</v>
      </c>
      <c r="Q811" s="13" t="str">
        <f>IFERROR(VLOOKUP(H811,Справочники!$D$6:$E$14,2,0),"НЕИЗВЕСТНО")</f>
        <v>Завершен</v>
      </c>
      <c r="R811" s="20">
        <f>IFERROR(INDEX(Товары_очищенные!$Q$3:$Q$503,MATCH(M811,Товары_очищенные!$L$3:$L$503,0)),"нет в каталоге")</f>
        <v>13800</v>
      </c>
      <c r="S811" s="21" t="str">
        <f>IFERROR(INDEX(Товары_очищенные!$N$3:$N$503,MATCH(M811,Товары_очищенные!$L$3:$L$503,0)),"нет в каталоге")</f>
        <v>Наушники</v>
      </c>
      <c r="T811" s="21" t="str">
        <f t="shared" si="268"/>
        <v>OK</v>
      </c>
      <c r="U811" s="12" t="str">
        <f t="shared" si="269"/>
        <v>23/02/2026|АРТ-324|C0809</v>
      </c>
      <c r="V811" s="12" t="str">
        <f t="shared" si="270"/>
        <v>оригинал</v>
      </c>
    </row>
    <row r="812" ht="15" customHeight="1">
      <c r="A812" s="10">
        <v>810</v>
      </c>
      <c r="B812" s="11" t="str">
        <f>RAW_Продажи!A811</f>
        <v>02/23/2026</v>
      </c>
      <c r="C812" s="11" t="str">
        <f>RAW_Продажи!B811</f>
        <v>214-24</v>
      </c>
      <c r="D812" s="11" t="str">
        <f>RAW_Продажи!C811</f>
        <v>2</v>
      </c>
      <c r="E812" s="11" t="str">
        <f>RAW_Продажи!D811</f>
        <v xml:space="preserve">8000 ₽</v>
      </c>
      <c r="F812" s="11" t="str">
        <f>RAW_Продажи!E811</f>
        <v>C0810</v>
      </c>
      <c r="G812" s="11" t="str">
        <f>RAW_Продажи!F811</f>
        <v>P036</v>
      </c>
      <c r="H812" s="11" t="str">
        <f>RAW_Продажи!G811</f>
        <v>возврат</v>
      </c>
      <c r="I812" s="12" t="str">
        <f t="shared" si="262"/>
        <v>214-24</v>
      </c>
      <c r="J812" s="12" t="str">
        <f t="shared" si="263"/>
        <v>₽</v>
      </c>
      <c r="K812" s="12">
        <f t="shared" si="264"/>
        <v>8000</v>
      </c>
      <c r="L812" s="19">
        <f t="shared" si="265"/>
        <v>46076</v>
      </c>
      <c r="M812" s="13" t="str">
        <f t="shared" si="266"/>
        <v>АРТ-214</v>
      </c>
      <c r="N812" s="13">
        <f t="shared" si="267"/>
        <v>2</v>
      </c>
      <c r="O812" s="13" t="str">
        <f>IFERROR(VLOOKUP(J812,Справочники!$G$6:$H$8,2,0),"RUB")</f>
        <v>RUB</v>
      </c>
      <c r="P812" s="14">
        <f>ROUND(K812*IFERROR(VLOOKUP(J812,Справочники!$G$6:$I$8,3,0),1),2)</f>
        <v>8000</v>
      </c>
      <c r="Q812" s="13" t="str">
        <f>IFERROR(VLOOKUP(H812,Справочники!$D$6:$E$14,2,0),"НЕИЗВЕСТНО")</f>
        <v>Возврат</v>
      </c>
      <c r="R812" s="20">
        <f>IFERROR(INDEX(Товары_очищенные!$Q$3:$Q$503,MATCH(M812,Товары_очищенные!$L$3:$L$503,0)),"нет в каталоге")</f>
        <v>26990</v>
      </c>
      <c r="S812" s="21" t="str">
        <f>IFERROR(INDEX(Товары_очищенные!$N$3:$N$503,MATCH(M812,Товары_очищенные!$L$3:$L$503,0)),"нет в каталоге")</f>
        <v>Планшеты</v>
      </c>
      <c r="T812" s="21" t="str">
        <f t="shared" si="268"/>
        <v>OK</v>
      </c>
      <c r="U812" s="12" t="str">
        <f t="shared" si="269"/>
        <v>23/02/2026|АРТ-214|C0810</v>
      </c>
      <c r="V812" s="12" t="str">
        <f t="shared" si="270"/>
        <v>оригинал</v>
      </c>
    </row>
    <row r="813" ht="15" customHeight="1">
      <c r="A813" s="10">
        <v>811</v>
      </c>
      <c r="B813" s="11" t="str">
        <f>RAW_Продажи!A812</f>
        <v>02/24/2026</v>
      </c>
      <c r="C813" s="11" t="str">
        <f>RAW_Продажи!B812</f>
        <v>№АРТ-134</v>
      </c>
      <c r="D813" s="11" t="str">
        <f>RAW_Продажи!C812</f>
        <v>1</v>
      </c>
      <c r="E813" s="11" t="str">
        <f>RAW_Продажи!D812</f>
        <v>$95</v>
      </c>
      <c r="F813" s="11" t="str">
        <f>RAW_Продажи!E812</f>
        <v>C0811</v>
      </c>
      <c r="G813" s="11" t="str">
        <f>RAW_Продажи!F812</f>
        <v>P014</v>
      </c>
      <c r="H813" s="11" t="str">
        <f>RAW_Продажи!G812</f>
        <v>завершен</v>
      </c>
      <c r="I813" s="12" t="str">
        <f t="shared" si="262"/>
        <v>134</v>
      </c>
      <c r="J813" s="12" t="str">
        <f t="shared" si="263"/>
        <v>$</v>
      </c>
      <c r="K813" s="12">
        <f t="shared" si="264"/>
        <v>95</v>
      </c>
      <c r="L813" s="19">
        <f t="shared" si="265"/>
        <v>46077</v>
      </c>
      <c r="M813" s="13" t="str">
        <f t="shared" si="266"/>
        <v>АРТ-134</v>
      </c>
      <c r="N813" s="13">
        <f t="shared" si="267"/>
        <v>1</v>
      </c>
      <c r="O813" s="13" t="str">
        <f>IFERROR(VLOOKUP(J813,Справочники!$G$6:$H$8,2,0),"RUB")</f>
        <v>USD</v>
      </c>
      <c r="P813" s="14">
        <f>ROUND(K813*IFERROR(VLOOKUP(J813,Справочники!$G$6:$I$8,3,0),1),2)</f>
        <v>9025</v>
      </c>
      <c r="Q813" s="13" t="str">
        <f>IFERROR(VLOOKUP(H813,Справочники!$D$6:$E$14,2,0),"НЕИЗВЕСТНО")</f>
        <v>Завершен</v>
      </c>
      <c r="R813" s="20">
        <f>IFERROR(INDEX(Товары_очищенные!$Q$3:$Q$503,MATCH(M813,Товары_очищенные!$L$3:$L$503,0)),"нет в каталоге")</f>
        <v>124000</v>
      </c>
      <c r="S813" s="21" t="str">
        <f>IFERROR(INDEX(Товары_очищенные!$N$3:$N$503,MATCH(M813,Товары_очищенные!$L$3:$L$503,0)),"нет в каталоге")</f>
        <v>Телевизоры</v>
      </c>
      <c r="T813" s="21" t="str">
        <f t="shared" si="268"/>
        <v>OK</v>
      </c>
      <c r="U813" s="12" t="str">
        <f t="shared" si="269"/>
        <v>24/02/2026|АРТ-134|C0811</v>
      </c>
      <c r="V813" s="12" t="str">
        <f t="shared" si="270"/>
        <v>оригинал</v>
      </c>
    </row>
    <row r="814" ht="15" customHeight="1">
      <c r="A814" s="10">
        <v>812</v>
      </c>
      <c r="B814" s="11" t="str">
        <f>RAW_Продажи!A813</f>
        <v>02/24/2026</v>
      </c>
      <c r="C814" s="11" t="str">
        <f>RAW_Продажи!B813</f>
        <v>АРТ_452</v>
      </c>
      <c r="D814" s="11" t="str">
        <f>RAW_Продажи!C813</f>
        <v>2</v>
      </c>
      <c r="E814" s="11" t="str">
        <f>RAW_Продажи!D813</f>
        <v>€75</v>
      </c>
      <c r="F814" s="11" t="str">
        <f>RAW_Продажи!E813</f>
        <v>C0812</v>
      </c>
      <c r="G814" s="11" t="str">
        <f>RAW_Продажи!F813</f>
        <v>P028</v>
      </c>
      <c r="H814" s="11" t="str">
        <f>RAW_Продажи!G813</f>
        <v>completed</v>
      </c>
      <c r="I814" s="12" t="str">
        <f t="shared" si="262"/>
        <v>452</v>
      </c>
      <c r="J814" s="12" t="str">
        <f t="shared" si="263"/>
        <v>€</v>
      </c>
      <c r="K814" s="12">
        <f t="shared" si="264"/>
        <v>75</v>
      </c>
      <c r="L814" s="19">
        <f t="shared" si="265"/>
        <v>46077</v>
      </c>
      <c r="M814" s="13" t="str">
        <f t="shared" si="266"/>
        <v>АРТ-452</v>
      </c>
      <c r="N814" s="13">
        <f t="shared" si="267"/>
        <v>2</v>
      </c>
      <c r="O814" s="13" t="str">
        <f>IFERROR(VLOOKUP(J814,Справочники!$G$6:$H$8,2,0),"RUB")</f>
        <v>EUR</v>
      </c>
      <c r="P814" s="14">
        <f>ROUND(K814*IFERROR(VLOOKUP(J814,Справочники!$G$6:$I$8,3,0),1),2)</f>
        <v>7500</v>
      </c>
      <c r="Q814" s="13" t="str">
        <f>IFERROR(VLOOKUP(H814,Справочники!$D$6:$E$14,2,0),"НЕИЗВЕСТНО")</f>
        <v>Завершен</v>
      </c>
      <c r="R814" s="20">
        <f>IFERROR(INDEX(Товары_очищенные!$Q$3:$Q$503,MATCH(M814,Товары_очищенные!$L$3:$L$503,0)),"нет в каталоге")</f>
        <v>38500</v>
      </c>
      <c r="S814" s="21" t="str">
        <f>IFERROR(INDEX(Товары_очищенные!$N$3:$N$503,MATCH(M814,Товары_очищенные!$L$3:$L$503,0)),"нет в каталоге")</f>
        <v>Наушники</v>
      </c>
      <c r="T814" s="21" t="str">
        <f t="shared" si="268"/>
        <v>OK</v>
      </c>
      <c r="U814" s="12" t="str">
        <f t="shared" si="269"/>
        <v>24/02/2026|АРТ-452|C0812</v>
      </c>
      <c r="V814" s="12" t="str">
        <f t="shared" si="270"/>
        <v>оригинал</v>
      </c>
    </row>
    <row r="815" ht="15" customHeight="1">
      <c r="A815" s="10">
        <v>813</v>
      </c>
      <c r="B815" s="11" t="str">
        <f>RAW_Продажи!A814</f>
        <v>02/25/2026</v>
      </c>
      <c r="C815" s="11" t="str">
        <f>RAW_Продажи!B814</f>
        <v>306/24</v>
      </c>
      <c r="D815" s="11" t="str">
        <f>RAW_Продажи!C814</f>
        <v xml:space="preserve">3 шт.</v>
      </c>
      <c r="E815" s="11" t="str">
        <f>RAW_Продажи!D814</f>
        <v xml:space="preserve">7000 ₽</v>
      </c>
      <c r="F815" s="11" t="str">
        <f>RAW_Продажи!E814</f>
        <v>C0813</v>
      </c>
      <c r="G815" s="11" t="str">
        <f>RAW_Продажи!F814</f>
        <v>P009</v>
      </c>
      <c r="H815" s="11" t="str">
        <f>RAW_Продажи!G814</f>
        <v>Завершен</v>
      </c>
      <c r="I815" s="12" t="str">
        <f t="shared" si="262"/>
        <v>306/24</v>
      </c>
      <c r="J815" s="12" t="str">
        <f t="shared" si="263"/>
        <v>₽</v>
      </c>
      <c r="K815" s="12">
        <f t="shared" si="264"/>
        <v>7000</v>
      </c>
      <c r="L815" s="19">
        <f t="shared" si="265"/>
        <v>46078</v>
      </c>
      <c r="M815" s="13" t="str">
        <f t="shared" si="266"/>
        <v>АРТ-306</v>
      </c>
      <c r="N815" s="13">
        <f t="shared" si="267"/>
        <v>3</v>
      </c>
      <c r="O815" s="13" t="str">
        <f>IFERROR(VLOOKUP(J815,Справочники!$G$6:$H$8,2,0),"RUB")</f>
        <v>RUB</v>
      </c>
      <c r="P815" s="14">
        <f>ROUND(K815*IFERROR(VLOOKUP(J815,Справочники!$G$6:$I$8,3,0),1),2)</f>
        <v>7000</v>
      </c>
      <c r="Q815" s="13" t="str">
        <f>IFERROR(VLOOKUP(H815,Справочники!$D$6:$E$14,2,0),"НЕИЗВЕСТНО")</f>
        <v>Завершен</v>
      </c>
      <c r="R815" s="20">
        <f>IFERROR(INDEX(Товары_очищенные!$Q$3:$Q$503,MATCH(M815,Товары_очищенные!$L$3:$L$503,0)),"нет в каталоге")</f>
        <v>62000</v>
      </c>
      <c r="S815" s="21" t="str">
        <f>IFERROR(INDEX(Товары_очищенные!$N$3:$N$503,MATCH(M815,Товары_очищенные!$L$3:$L$503,0)),"нет в каталоге")</f>
        <v>Мониторы</v>
      </c>
      <c r="T815" s="21" t="str">
        <f t="shared" si="268"/>
        <v>OK</v>
      </c>
      <c r="U815" s="12" t="str">
        <f t="shared" si="269"/>
        <v>25/02/2026|АРТ-306|C0813</v>
      </c>
      <c r="V815" s="12" t="str">
        <f t="shared" si="270"/>
        <v>оригинал</v>
      </c>
    </row>
    <row r="816" ht="15" customHeight="1">
      <c r="A816" s="10">
        <v>814</v>
      </c>
      <c r="B816" s="11" t="str">
        <f>RAW_Продажи!A815</f>
        <v>02/25/2026</v>
      </c>
      <c r="C816" s="11" t="str">
        <f>RAW_Продажи!B815</f>
        <v>№АРТ-203</v>
      </c>
      <c r="D816" s="11" t="str">
        <f>RAW_Продажи!C815</f>
        <v>-2</v>
      </c>
      <c r="E816" s="11" t="str">
        <f>RAW_Продажи!D815</f>
        <v>$115</v>
      </c>
      <c r="F816" s="11" t="str">
        <f>RAW_Продажи!E815</f>
        <v>C0814</v>
      </c>
      <c r="G816" s="11" t="str">
        <f>RAW_Продажи!F815</f>
        <v>P041</v>
      </c>
      <c r="H816" s="11" t="str">
        <f>RAW_Продажи!G815</f>
        <v>canceled</v>
      </c>
      <c r="I816" s="12" t="str">
        <f t="shared" si="262"/>
        <v>203</v>
      </c>
      <c r="J816" s="12" t="str">
        <f t="shared" si="263"/>
        <v>$</v>
      </c>
      <c r="K816" s="12">
        <f t="shared" si="264"/>
        <v>115</v>
      </c>
      <c r="L816" s="19">
        <f t="shared" si="265"/>
        <v>46078</v>
      </c>
      <c r="M816" s="13" t="str">
        <f t="shared" si="266"/>
        <v>АРТ-203</v>
      </c>
      <c r="N816" s="13">
        <f t="shared" si="267"/>
        <v>-2</v>
      </c>
      <c r="O816" s="13" t="str">
        <f>IFERROR(VLOOKUP(J816,Справочники!$G$6:$H$8,2,0),"RUB")</f>
        <v>USD</v>
      </c>
      <c r="P816" s="14">
        <f>ROUND(K816*IFERROR(VLOOKUP(J816,Справочники!$G$6:$I$8,3,0),1),2)</f>
        <v>10925</v>
      </c>
      <c r="Q816" s="13" t="str">
        <f>IFERROR(VLOOKUP(H816,Справочники!$D$6:$E$14,2,0),"НЕИЗВЕСТНО")</f>
        <v>Отменен</v>
      </c>
      <c r="R816" s="20">
        <f>IFERROR(INDEX(Товары_очищенные!$Q$3:$Q$503,MATCH(M816,Товары_очищенные!$L$3:$L$503,0)),"нет в каталоге")</f>
        <v>9200</v>
      </c>
      <c r="S816" s="21" t="str">
        <f>IFERROR(INDEX(Товары_очищенные!$N$3:$N$503,MATCH(M816,Товары_очищенные!$L$3:$L$503,0)),"нет в каталоге")</f>
        <v>Наушники</v>
      </c>
      <c r="T816" s="21" t="str">
        <f t="shared" si="268"/>
        <v>OK</v>
      </c>
      <c r="U816" s="12" t="str">
        <f t="shared" si="269"/>
        <v>25/02/2026|АРТ-203|C0814</v>
      </c>
      <c r="V816" s="12" t="str">
        <f t="shared" si="270"/>
        <v>оригинал</v>
      </c>
    </row>
    <row r="817" ht="15" customHeight="1">
      <c r="A817" s="10">
        <v>815</v>
      </c>
      <c r="B817" s="11" t="str">
        <f>RAW_Продажи!A816</f>
        <v>02/26/2026</v>
      </c>
      <c r="C817" s="11" t="str">
        <f>RAW_Продажи!B816</f>
        <v>АРТ_283</v>
      </c>
      <c r="D817" s="11" t="str">
        <f>RAW_Продажи!C816</f>
        <v>1</v>
      </c>
      <c r="E817" s="11" t="str">
        <f>RAW_Продажи!D816</f>
        <v>€95</v>
      </c>
      <c r="F817" s="11" t="str">
        <f>RAW_Продажи!E816</f>
        <v>C0815</v>
      </c>
      <c r="G817" s="11" t="str">
        <f>RAW_Продажи!F816</f>
        <v>P017</v>
      </c>
      <c r="H817" s="11" t="str">
        <f>RAW_Продажи!G816</f>
        <v>отменен</v>
      </c>
      <c r="I817" s="12" t="str">
        <f t="shared" si="262"/>
        <v>283</v>
      </c>
      <c r="J817" s="12" t="str">
        <f t="shared" si="263"/>
        <v>€</v>
      </c>
      <c r="K817" s="12">
        <f t="shared" si="264"/>
        <v>95</v>
      </c>
      <c r="L817" s="19">
        <f t="shared" si="265"/>
        <v>46079</v>
      </c>
      <c r="M817" s="13" t="str">
        <f t="shared" si="266"/>
        <v>АРТ-283</v>
      </c>
      <c r="N817" s="13">
        <f t="shared" si="267"/>
        <v>1</v>
      </c>
      <c r="O817" s="13" t="str">
        <f>IFERROR(VLOOKUP(J817,Справочники!$G$6:$H$8,2,0),"RUB")</f>
        <v>EUR</v>
      </c>
      <c r="P817" s="14">
        <f>ROUND(K817*IFERROR(VLOOKUP(J817,Справочники!$G$6:$I$8,3,0),1),2)</f>
        <v>9500</v>
      </c>
      <c r="Q817" s="13" t="str">
        <f>IFERROR(VLOOKUP(H817,Справочники!$D$6:$E$14,2,0),"НЕИЗВЕСТНО")</f>
        <v>Отменен</v>
      </c>
      <c r="R817" s="20">
        <f>IFERROR(INDEX(Товары_очищенные!$Q$3:$Q$503,MATCH(M817,Товары_очищенные!$L$3:$L$503,0)),"нет в каталоге")</f>
        <v>84990</v>
      </c>
      <c r="S817" s="21" t="str">
        <f>IFERROR(INDEX(Товары_очищенные!$N$3:$N$503,MATCH(M817,Товары_очищенные!$L$3:$L$503,0)),"нет в каталоге")</f>
        <v>Мониторы</v>
      </c>
      <c r="T817" s="21" t="str">
        <f t="shared" si="268"/>
        <v>OK</v>
      </c>
      <c r="U817" s="12" t="str">
        <f t="shared" si="269"/>
        <v>26/02/2026|АРТ-283|C0815</v>
      </c>
      <c r="V817" s="12" t="str">
        <f t="shared" si="270"/>
        <v>оригинал</v>
      </c>
    </row>
    <row r="818" ht="15" customHeight="1">
      <c r="A818" s="10">
        <v>816</v>
      </c>
      <c r="B818" s="11" t="str">
        <f>RAW_Продажи!A817</f>
        <v>02/26/2026</v>
      </c>
      <c r="C818" s="11" t="str">
        <f>RAW_Продажи!B817</f>
        <v>136-24</v>
      </c>
      <c r="D818" s="11" t="str">
        <f>RAW_Продажи!C817</f>
        <v>2</v>
      </c>
      <c r="E818" s="11" t="str">
        <f>RAW_Продажи!D817</f>
        <v xml:space="preserve">8500 ₽</v>
      </c>
      <c r="F818" s="11" t="str">
        <f>RAW_Продажи!E817</f>
        <v>C0816</v>
      </c>
      <c r="G818" s="11" t="str">
        <f>RAW_Продажи!F817</f>
        <v>P032</v>
      </c>
      <c r="H818" s="11" t="str">
        <f>RAW_Продажи!G817</f>
        <v>возврат</v>
      </c>
      <c r="I818" s="12" t="str">
        <f t="shared" si="262"/>
        <v>136-24</v>
      </c>
      <c r="J818" s="12" t="str">
        <f t="shared" si="263"/>
        <v>₽</v>
      </c>
      <c r="K818" s="12">
        <f t="shared" si="264"/>
        <v>8500</v>
      </c>
      <c r="L818" s="19">
        <f t="shared" si="265"/>
        <v>46079</v>
      </c>
      <c r="M818" s="13" t="str">
        <f t="shared" si="266"/>
        <v>АРТ-136</v>
      </c>
      <c r="N818" s="13">
        <f t="shared" si="267"/>
        <v>2</v>
      </c>
      <c r="O818" s="13" t="str">
        <f>IFERROR(VLOOKUP(J818,Справочники!$G$6:$H$8,2,0),"RUB")</f>
        <v>RUB</v>
      </c>
      <c r="P818" s="14">
        <f>ROUND(K818*IFERROR(VLOOKUP(J818,Справочники!$G$6:$I$8,3,0),1),2)</f>
        <v>8500</v>
      </c>
      <c r="Q818" s="13" t="str">
        <f>IFERROR(VLOOKUP(H818,Справочники!$D$6:$E$14,2,0),"НЕИЗВЕСТНО")</f>
        <v>Возврат</v>
      </c>
      <c r="R818" s="20">
        <f>IFERROR(INDEX(Товары_очищенные!$Q$3:$Q$503,MATCH(M818,Товары_очищенные!$L$3:$L$503,0)),"нет в каталоге")</f>
        <v>22990</v>
      </c>
      <c r="S818" s="21" t="str">
        <f>IFERROR(INDEX(Товары_очищенные!$N$3:$N$503,MATCH(M818,Товары_очищенные!$L$3:$L$503,0)),"нет в каталоге")</f>
        <v>Наушники</v>
      </c>
      <c r="T818" s="21" t="str">
        <f t="shared" si="268"/>
        <v>OK</v>
      </c>
      <c r="U818" s="12" t="str">
        <f t="shared" si="269"/>
        <v>26/02/2026|АРТ-136|C0816</v>
      </c>
      <c r="V818" s="12" t="str">
        <f t="shared" si="270"/>
        <v>оригинал</v>
      </c>
    </row>
    <row r="819" ht="15" customHeight="1">
      <c r="A819" s="10">
        <v>817</v>
      </c>
      <c r="B819" s="11" t="str">
        <f>RAW_Продажи!A818</f>
        <v>02/27/2026</v>
      </c>
      <c r="C819" s="11" t="str">
        <f>RAW_Продажи!B818</f>
        <v>№АРТ-117</v>
      </c>
      <c r="D819" s="11" t="str">
        <f>RAW_Продажи!C818</f>
        <v>3</v>
      </c>
      <c r="E819" s="11" t="str">
        <f>RAW_Продажи!D818</f>
        <v>$105</v>
      </c>
      <c r="F819" s="11" t="str">
        <f>RAW_Продажи!E818</f>
        <v>C0817</v>
      </c>
      <c r="G819" s="11" t="str">
        <f>RAW_Продажи!F818</f>
        <v>P049</v>
      </c>
      <c r="H819" s="11" t="str">
        <f>RAW_Продажи!G818</f>
        <v>Завершен</v>
      </c>
      <c r="I819" s="12" t="str">
        <f t="shared" si="262"/>
        <v>117</v>
      </c>
      <c r="J819" s="12" t="str">
        <f t="shared" si="263"/>
        <v>$</v>
      </c>
      <c r="K819" s="12">
        <f t="shared" si="264"/>
        <v>105</v>
      </c>
      <c r="L819" s="19">
        <f t="shared" si="265"/>
        <v>46080</v>
      </c>
      <c r="M819" s="13" t="str">
        <f t="shared" si="266"/>
        <v>АРТ-117</v>
      </c>
      <c r="N819" s="13">
        <f t="shared" si="267"/>
        <v>3</v>
      </c>
      <c r="O819" s="13" t="str">
        <f>IFERROR(VLOOKUP(J819,Справочники!$G$6:$H$8,2,0),"RUB")</f>
        <v>USD</v>
      </c>
      <c r="P819" s="14">
        <f>ROUND(K819*IFERROR(VLOOKUP(J819,Справочники!$G$6:$I$8,3,0),1),2)</f>
        <v>9975</v>
      </c>
      <c r="Q819" s="13" t="str">
        <f>IFERROR(VLOOKUP(H819,Справочники!$D$6:$E$14,2,0),"НЕИЗВЕСТНО")</f>
        <v>Завершен</v>
      </c>
      <c r="R819" s="20">
        <f>IFERROR(INDEX(Товары_очищенные!$Q$3:$Q$503,MATCH(M819,Товары_очищенные!$L$3:$L$503,0)),"нет в каталоге")</f>
        <v>77000</v>
      </c>
      <c r="S819" s="21" t="str">
        <f>IFERROR(INDEX(Товары_очищенные!$N$3:$N$503,MATCH(M819,Товары_очищенные!$L$3:$L$503,0)),"нет в каталоге")</f>
        <v>Мониторы</v>
      </c>
      <c r="T819" s="21" t="str">
        <f t="shared" si="268"/>
        <v>OK</v>
      </c>
      <c r="U819" s="12" t="str">
        <f t="shared" si="269"/>
        <v>27/02/2026|АРТ-117|C0817</v>
      </c>
      <c r="V819" s="12" t="str">
        <f t="shared" si="270"/>
        <v>оригинал</v>
      </c>
    </row>
    <row r="820" ht="15" customHeight="1">
      <c r="A820" s="10">
        <v>818</v>
      </c>
      <c r="B820" s="11" t="str">
        <f>RAW_Продажи!A819</f>
        <v>02/27/2026</v>
      </c>
      <c r="C820" s="11" t="str">
        <f>RAW_Продажи!B819</f>
        <v>АРТ_438</v>
      </c>
      <c r="D820" s="11" t="str">
        <f>RAW_Продажи!C819</f>
        <v>2</v>
      </c>
      <c r="E820" s="11" t="str">
        <f>RAW_Продажи!D819</f>
        <v>€85</v>
      </c>
      <c r="F820" s="11" t="str">
        <f>RAW_Продажи!E819</f>
        <v>C0818</v>
      </c>
      <c r="G820" s="11" t="str">
        <f>RAW_Продажи!F819</f>
        <v>P006</v>
      </c>
      <c r="H820" s="11" t="str">
        <f>RAW_Продажи!G819</f>
        <v>завершен</v>
      </c>
      <c r="I820" s="12" t="str">
        <f t="shared" si="262"/>
        <v>438</v>
      </c>
      <c r="J820" s="12" t="str">
        <f t="shared" si="263"/>
        <v>€</v>
      </c>
      <c r="K820" s="12">
        <f t="shared" si="264"/>
        <v>85</v>
      </c>
      <c r="L820" s="19">
        <f t="shared" si="265"/>
        <v>46080</v>
      </c>
      <c r="M820" s="13" t="str">
        <f t="shared" si="266"/>
        <v>АРТ-438</v>
      </c>
      <c r="N820" s="13">
        <f t="shared" si="267"/>
        <v>2</v>
      </c>
      <c r="O820" s="13" t="str">
        <f>IFERROR(VLOOKUP(J820,Справочники!$G$6:$H$8,2,0),"RUB")</f>
        <v>EUR</v>
      </c>
      <c r="P820" s="14">
        <f>ROUND(K820*IFERROR(VLOOKUP(J820,Справочники!$G$6:$I$8,3,0),1),2)</f>
        <v>8500</v>
      </c>
      <c r="Q820" s="13" t="str">
        <f>IFERROR(VLOOKUP(H820,Справочники!$D$6:$E$14,2,0),"НЕИЗВЕСТНО")</f>
        <v>Завершен</v>
      </c>
      <c r="R820" s="20">
        <f>IFERROR(INDEX(Товары_очищенные!$Q$3:$Q$503,MATCH(M820,Товары_очищенные!$L$3:$L$503,0)),"нет в каталоге")</f>
        <v>6800</v>
      </c>
      <c r="S820" s="21" t="str">
        <f>IFERROR(INDEX(Товары_очищенные!$N$3:$N$503,MATCH(M820,Товары_очищенные!$L$3:$L$503,0)),"нет в каталоге")</f>
        <v>Аксессуары</v>
      </c>
      <c r="T820" s="21" t="str">
        <f t="shared" si="268"/>
        <v>OK</v>
      </c>
      <c r="U820" s="12" t="str">
        <f t="shared" si="269"/>
        <v>27/02/2026|АРТ-438|C0818</v>
      </c>
      <c r="V820" s="12" t="str">
        <f t="shared" si="270"/>
        <v>оригинал</v>
      </c>
    </row>
    <row r="821" ht="15" customHeight="1">
      <c r="A821" s="10">
        <v>819</v>
      </c>
      <c r="B821" s="11" t="str">
        <f>RAW_Продажи!A820</f>
        <v>02/28/2026</v>
      </c>
      <c r="C821" s="11" t="str">
        <f>RAW_Продажи!B820</f>
        <v>384/24</v>
      </c>
      <c r="D821" s="11" t="str">
        <f>RAW_Продажи!C820</f>
        <v xml:space="preserve">1 шт.</v>
      </c>
      <c r="E821" s="11" t="str">
        <f>RAW_Продажи!D820</f>
        <v xml:space="preserve">7800 ₽</v>
      </c>
      <c r="F821" s="11" t="str">
        <f>RAW_Продажи!E820</f>
        <v>C0819</v>
      </c>
      <c r="G821" s="11" t="str">
        <f>RAW_Продажи!F820</f>
        <v>P024</v>
      </c>
      <c r="H821" s="11" t="str">
        <f>RAW_Продажи!G820</f>
        <v>completed</v>
      </c>
      <c r="I821" s="12" t="str">
        <f t="shared" si="262"/>
        <v>384/24</v>
      </c>
      <c r="J821" s="12" t="str">
        <f t="shared" si="263"/>
        <v>₽</v>
      </c>
      <c r="K821" s="12">
        <f t="shared" si="264"/>
        <v>7800</v>
      </c>
      <c r="L821" s="19">
        <f t="shared" si="265"/>
        <v>46081</v>
      </c>
      <c r="M821" s="13" t="str">
        <f t="shared" si="266"/>
        <v>АРТ-384</v>
      </c>
      <c r="N821" s="13">
        <f t="shared" si="267"/>
        <v>1</v>
      </c>
      <c r="O821" s="13" t="str">
        <f>IFERROR(VLOOKUP(J821,Справочники!$G$6:$H$8,2,0),"RUB")</f>
        <v>RUB</v>
      </c>
      <c r="P821" s="14">
        <f>ROUND(K821*IFERROR(VLOOKUP(J821,Справочники!$G$6:$I$8,3,0),1),2)</f>
        <v>7800</v>
      </c>
      <c r="Q821" s="13" t="str">
        <f>IFERROR(VLOOKUP(H821,Справочники!$D$6:$E$14,2,0),"НЕИЗВЕСТНО")</f>
        <v>Завершен</v>
      </c>
      <c r="R821" s="20">
        <f>IFERROR(INDEX(Товары_очищенные!$Q$3:$Q$503,MATCH(M821,Товары_очищенные!$L$3:$L$503,0)),"нет в каталоге")</f>
        <v>44500</v>
      </c>
      <c r="S821" s="21" t="str">
        <f>IFERROR(INDEX(Товары_очищенные!$N$3:$N$503,MATCH(M821,Товары_очищенные!$L$3:$L$503,0)),"нет в каталоге")</f>
        <v>Смартфоны</v>
      </c>
      <c r="T821" s="21" t="str">
        <f t="shared" si="268"/>
        <v>OK</v>
      </c>
      <c r="U821" s="12" t="str">
        <f t="shared" si="269"/>
        <v>28/02/2026|АРТ-384|C0819</v>
      </c>
      <c r="V821" s="12" t="str">
        <f t="shared" si="270"/>
        <v>оригинал</v>
      </c>
    </row>
    <row r="822" ht="15" customHeight="1">
      <c r="A822" s="10">
        <v>820</v>
      </c>
      <c r="B822" s="11" t="str">
        <f>RAW_Продажи!A821</f>
        <v>02/28/2026</v>
      </c>
      <c r="C822" s="11" t="str">
        <f>RAW_Продажи!B821</f>
        <v>№АРТ-336</v>
      </c>
      <c r="D822" s="11" t="str">
        <f>RAW_Продажи!C821</f>
        <v>-3</v>
      </c>
      <c r="E822" s="11" t="str">
        <f>RAW_Продажи!D821</f>
        <v>$120</v>
      </c>
      <c r="F822" s="11" t="str">
        <f>RAW_Продажи!E821</f>
        <v>C0820</v>
      </c>
      <c r="G822" s="11" t="str">
        <f>RAW_Продажи!F821</f>
        <v>P015</v>
      </c>
      <c r="H822" s="11" t="str">
        <f>RAW_Продажи!G821</f>
        <v>отменен</v>
      </c>
      <c r="I822" s="12" t="str">
        <f t="shared" si="262"/>
        <v>336</v>
      </c>
      <c r="J822" s="12" t="str">
        <f t="shared" si="263"/>
        <v>$</v>
      </c>
      <c r="K822" s="12">
        <f t="shared" si="264"/>
        <v>120</v>
      </c>
      <c r="L822" s="19">
        <f t="shared" si="265"/>
        <v>46081</v>
      </c>
      <c r="M822" s="13" t="str">
        <f t="shared" si="266"/>
        <v>АРТ-336</v>
      </c>
      <c r="N822" s="13">
        <f t="shared" si="267"/>
        <v>-3</v>
      </c>
      <c r="O822" s="13" t="str">
        <f>IFERROR(VLOOKUP(J822,Справочники!$G$6:$H$8,2,0),"RUB")</f>
        <v>USD</v>
      </c>
      <c r="P822" s="14">
        <f>ROUND(K822*IFERROR(VLOOKUP(J822,Справочники!$G$6:$I$8,3,0),1),2)</f>
        <v>11400</v>
      </c>
      <c r="Q822" s="13" t="str">
        <f>IFERROR(VLOOKUP(H822,Справочники!$D$6:$E$14,2,0),"НЕИЗВЕСТНО")</f>
        <v>Отменен</v>
      </c>
      <c r="R822" s="20">
        <f>IFERROR(INDEX(Товары_очищенные!$Q$3:$Q$503,MATCH(M822,Товары_очищенные!$L$3:$L$503,0)),"нет в каталоге")</f>
        <v>50500</v>
      </c>
      <c r="S822" s="21" t="str">
        <f>IFERROR(INDEX(Товары_очищенные!$N$3:$N$503,MATCH(M822,Товары_очищенные!$L$3:$L$503,0)),"нет в каталоге")</f>
        <v>Планшеты</v>
      </c>
      <c r="T822" s="21" t="str">
        <f t="shared" si="268"/>
        <v>OK</v>
      </c>
      <c r="U822" s="12" t="str">
        <f t="shared" si="269"/>
        <v>28/02/2026|АРТ-336|C0820</v>
      </c>
      <c r="V822" s="12" t="str">
        <f t="shared" si="270"/>
        <v>оригинал</v>
      </c>
    </row>
    <row r="823" ht="15" customHeight="1">
      <c r="A823" s="10">
        <v>821</v>
      </c>
      <c r="B823" s="11" t="str">
        <f>RAW_Продажи!A822</f>
        <v>03/01/2026</v>
      </c>
      <c r="C823" s="11" t="str">
        <f>RAW_Продажи!B822</f>
        <v>АРТ_296</v>
      </c>
      <c r="D823" s="11" t="str">
        <f>RAW_Продажи!C822</f>
        <v>2</v>
      </c>
      <c r="E823" s="11" t="str">
        <f>RAW_Продажи!D822</f>
        <v>€100</v>
      </c>
      <c r="F823" s="11" t="str">
        <f>RAW_Продажи!E822</f>
        <v>C0821</v>
      </c>
      <c r="G823" s="11" t="str">
        <f>RAW_Продажи!F822</f>
        <v>P037</v>
      </c>
      <c r="H823" s="11" t="str">
        <f>RAW_Продажи!G822</f>
        <v>canceled</v>
      </c>
      <c r="I823" s="12" t="str">
        <f t="shared" si="262"/>
        <v>296</v>
      </c>
      <c r="J823" s="12" t="str">
        <f t="shared" si="263"/>
        <v>€</v>
      </c>
      <c r="K823" s="12">
        <f t="shared" si="264"/>
        <v>100</v>
      </c>
      <c r="L823" s="19">
        <f t="shared" si="265"/>
        <v>46082</v>
      </c>
      <c r="M823" s="13" t="str">
        <f t="shared" si="266"/>
        <v>АРТ-296</v>
      </c>
      <c r="N823" s="13">
        <f t="shared" si="267"/>
        <v>2</v>
      </c>
      <c r="O823" s="13" t="str">
        <f>IFERROR(VLOOKUP(J823,Справочники!$G$6:$H$8,2,0),"RUB")</f>
        <v>EUR</v>
      </c>
      <c r="P823" s="14">
        <f>ROUND(K823*IFERROR(VLOOKUP(J823,Справочники!$G$6:$I$8,3,0),1),2)</f>
        <v>10000</v>
      </c>
      <c r="Q823" s="13" t="str">
        <f>IFERROR(VLOOKUP(H823,Справочники!$D$6:$E$14,2,0),"НЕИЗВЕСТНО")</f>
        <v>Отменен</v>
      </c>
      <c r="R823" s="20">
        <f>IFERROR(INDEX(Товары_очищенные!$Q$3:$Q$503,MATCH(M823,Товары_очищенные!$L$3:$L$503,0)),"нет в каталоге")</f>
        <v>33500</v>
      </c>
      <c r="S823" s="21" t="str">
        <f>IFERROR(INDEX(Товары_очищенные!$N$3:$N$503,MATCH(M823,Товары_очищенные!$L$3:$L$503,0)),"нет в каталоге")</f>
        <v>Смартфоны</v>
      </c>
      <c r="T823" s="21" t="str">
        <f t="shared" si="268"/>
        <v>OK</v>
      </c>
      <c r="U823" s="12" t="str">
        <f t="shared" si="269"/>
        <v>01/03/2026|АРТ-296|C0821</v>
      </c>
      <c r="V823" s="12" t="str">
        <f t="shared" si="270"/>
        <v>оригинал</v>
      </c>
    </row>
    <row r="824" ht="15" customHeight="1">
      <c r="A824" s="10">
        <v>822</v>
      </c>
      <c r="B824" s="11" t="str">
        <f>RAW_Продажи!A823</f>
        <v>03/01/2026</v>
      </c>
      <c r="C824" s="11" t="str">
        <f>RAW_Продажи!B823</f>
        <v>278-24</v>
      </c>
      <c r="D824" s="11" t="str">
        <f>RAW_Продажи!C823</f>
        <v>1</v>
      </c>
      <c r="E824" s="11" t="str">
        <f>RAW_Продажи!D823</f>
        <v xml:space="preserve">9200 ₽</v>
      </c>
      <c r="F824" s="11" t="str">
        <f>RAW_Продажи!E823</f>
        <v>C0822</v>
      </c>
      <c r="G824" s="11" t="str">
        <f>RAW_Продажи!F823</f>
        <v>P048</v>
      </c>
      <c r="H824" s="11" t="str">
        <f>RAW_Продажи!G823</f>
        <v>Завершен</v>
      </c>
      <c r="I824" s="12" t="str">
        <f t="shared" si="262"/>
        <v>278-24</v>
      </c>
      <c r="J824" s="12" t="str">
        <f t="shared" si="263"/>
        <v>₽</v>
      </c>
      <c r="K824" s="12">
        <f t="shared" si="264"/>
        <v>9200</v>
      </c>
      <c r="L824" s="19">
        <f t="shared" si="265"/>
        <v>46082</v>
      </c>
      <c r="M824" s="13" t="str">
        <f t="shared" si="266"/>
        <v>АРТ-278</v>
      </c>
      <c r="N824" s="13">
        <f t="shared" si="267"/>
        <v>1</v>
      </c>
      <c r="O824" s="13" t="str">
        <f>IFERROR(VLOOKUP(J824,Справочники!$G$6:$H$8,2,0),"RUB")</f>
        <v>RUB</v>
      </c>
      <c r="P824" s="14">
        <f>ROUND(K824*IFERROR(VLOOKUP(J824,Справочники!$G$6:$I$8,3,0),1),2)</f>
        <v>9200</v>
      </c>
      <c r="Q824" s="13" t="str">
        <f>IFERROR(VLOOKUP(H824,Справочники!$D$6:$E$14,2,0),"НЕИЗВЕСТНО")</f>
        <v>Завершен</v>
      </c>
      <c r="R824" s="20">
        <f>IFERROR(INDEX(Товары_очищенные!$Q$3:$Q$503,MATCH(M824,Товары_очищенные!$L$3:$L$503,0)),"нет в каталоге")</f>
        <v>112000</v>
      </c>
      <c r="S824" s="21" t="str">
        <f>IFERROR(INDEX(Товары_очищенные!$N$3:$N$503,MATCH(M824,Товары_очищенные!$L$3:$L$503,0)),"нет в каталоге")</f>
        <v>Телевизоры</v>
      </c>
      <c r="T824" s="21" t="str">
        <f t="shared" si="268"/>
        <v>OK</v>
      </c>
      <c r="U824" s="12" t="str">
        <f t="shared" si="269"/>
        <v>01/03/2026|АРТ-278|C0822</v>
      </c>
      <c r="V824" s="12" t="str">
        <f t="shared" si="270"/>
        <v>оригинал</v>
      </c>
    </row>
    <row r="825" ht="15" customHeight="1">
      <c r="A825" s="10">
        <v>823</v>
      </c>
      <c r="B825" s="11" t="str">
        <f>RAW_Продажи!A824</f>
        <v>03/02/2026</v>
      </c>
      <c r="C825" s="11" t="str">
        <f>RAW_Продажи!B824</f>
        <v>№АРТ-099</v>
      </c>
      <c r="D825" s="11" t="str">
        <f>RAW_Продажи!C824</f>
        <v>3</v>
      </c>
      <c r="E825" s="11" t="str">
        <f>RAW_Продажи!D824</f>
        <v>$90</v>
      </c>
      <c r="F825" s="11" t="str">
        <f>RAW_Продажи!E824</f>
        <v>C0823</v>
      </c>
      <c r="G825" s="11" t="str">
        <f>RAW_Продажи!F824</f>
        <v>P004</v>
      </c>
      <c r="H825" s="11" t="str">
        <f>RAW_Продажи!G824</f>
        <v>возврат</v>
      </c>
      <c r="I825" s="12" t="str">
        <f t="shared" si="262"/>
        <v>099</v>
      </c>
      <c r="J825" s="12" t="str">
        <f t="shared" si="263"/>
        <v>$</v>
      </c>
      <c r="K825" s="12">
        <f t="shared" si="264"/>
        <v>90</v>
      </c>
      <c r="L825" s="19">
        <f t="shared" si="265"/>
        <v>46083</v>
      </c>
      <c r="M825" s="13" t="str">
        <f t="shared" si="266"/>
        <v>АРТ-099</v>
      </c>
      <c r="N825" s="13">
        <f t="shared" si="267"/>
        <v>3</v>
      </c>
      <c r="O825" s="13" t="str">
        <f>IFERROR(VLOOKUP(J825,Справочники!$G$6:$H$8,2,0),"RUB")</f>
        <v>USD</v>
      </c>
      <c r="P825" s="14">
        <f>ROUND(K825*IFERROR(VLOOKUP(J825,Справочники!$G$6:$I$8,3,0),1),2)</f>
        <v>8550</v>
      </c>
      <c r="Q825" s="13" t="str">
        <f>IFERROR(VLOOKUP(H825,Справочники!$D$6:$E$14,2,0),"НЕИЗВЕСТНО")</f>
        <v>Возврат</v>
      </c>
      <c r="R825" s="20">
        <f>IFERROR(INDEX(Товары_очищенные!$Q$3:$Q$503,MATCH(M825,Товары_очищенные!$L$3:$L$503,0)),"нет в каталоге")</f>
        <v>7500</v>
      </c>
      <c r="S825" s="21" t="str">
        <f>IFERROR(INDEX(Товары_очищенные!$N$3:$N$503,MATCH(M825,Товары_очищенные!$L$3:$L$503,0)),"нет в каталоге")</f>
        <v>Аксессуары</v>
      </c>
      <c r="T825" s="21" t="str">
        <f t="shared" si="268"/>
        <v>OK</v>
      </c>
      <c r="U825" s="12" t="str">
        <f t="shared" si="269"/>
        <v>02/03/2026|АРТ-099|C0823</v>
      </c>
      <c r="V825" s="12" t="str">
        <f t="shared" si="270"/>
        <v>оригинал</v>
      </c>
    </row>
    <row r="826" ht="15" customHeight="1">
      <c r="A826" s="10">
        <v>824</v>
      </c>
      <c r="B826" s="11" t="str">
        <f>RAW_Продажи!A825</f>
        <v>03/02/2026</v>
      </c>
      <c r="C826" s="11" t="str">
        <f>RAW_Продажи!B825</f>
        <v>АРТ_421</v>
      </c>
      <c r="D826" s="11" t="str">
        <f>RAW_Продажи!C825</f>
        <v>2</v>
      </c>
      <c r="E826" s="11" t="str">
        <f>RAW_Продажи!D825</f>
        <v>€70</v>
      </c>
      <c r="F826" s="11" t="str">
        <f>RAW_Продажи!E825</f>
        <v>C0824</v>
      </c>
      <c r="G826" s="11" t="str">
        <f>RAW_Продажи!F825</f>
        <v>P026</v>
      </c>
      <c r="H826" s="11" t="str">
        <f>RAW_Продажи!G825</f>
        <v>завершен</v>
      </c>
      <c r="I826" s="12" t="str">
        <f t="shared" si="262"/>
        <v>421</v>
      </c>
      <c r="J826" s="12" t="str">
        <f t="shared" si="263"/>
        <v>€</v>
      </c>
      <c r="K826" s="12">
        <f t="shared" si="264"/>
        <v>70</v>
      </c>
      <c r="L826" s="19">
        <f t="shared" si="265"/>
        <v>46083</v>
      </c>
      <c r="M826" s="13" t="str">
        <f t="shared" si="266"/>
        <v>АРТ-421</v>
      </c>
      <c r="N826" s="13">
        <f t="shared" si="267"/>
        <v>2</v>
      </c>
      <c r="O826" s="13" t="str">
        <f>IFERROR(VLOOKUP(J826,Справочники!$G$6:$H$8,2,0),"RUB")</f>
        <v>EUR</v>
      </c>
      <c r="P826" s="14">
        <f>ROUND(K826*IFERROR(VLOOKUP(J826,Справочники!$G$6:$I$8,3,0),1),2)</f>
        <v>7000</v>
      </c>
      <c r="Q826" s="13" t="str">
        <f>IFERROR(VLOOKUP(H826,Справочники!$D$6:$E$14,2,0),"НЕИЗВЕСТНО")</f>
        <v>Завершен</v>
      </c>
      <c r="R826" s="20">
        <f>IFERROR(INDEX(Товары_очищенные!$Q$3:$Q$503,MATCH(M826,Товары_очищенные!$L$3:$L$503,0)),"нет в каталоге")</f>
        <v>126990</v>
      </c>
      <c r="S826" s="21" t="str">
        <f>IFERROR(INDEX(Товары_очищенные!$N$3:$N$503,MATCH(M826,Товары_очищенные!$L$3:$L$503,0)),"нет в каталоге")</f>
        <v>Ноутбуки</v>
      </c>
      <c r="T826" s="21" t="str">
        <f t="shared" si="268"/>
        <v>OK</v>
      </c>
      <c r="U826" s="12" t="str">
        <f t="shared" si="269"/>
        <v>02/03/2026|АРТ-421|C0824</v>
      </c>
      <c r="V826" s="12" t="str">
        <f t="shared" si="270"/>
        <v>оригинал</v>
      </c>
    </row>
    <row r="827" ht="15" customHeight="1">
      <c r="A827" s="10">
        <v>825</v>
      </c>
      <c r="B827" s="11" t="str">
        <f>RAW_Продажи!A826</f>
        <v>03/03/2026</v>
      </c>
      <c r="C827" s="11" t="str">
        <f>RAW_Продажи!B826</f>
        <v>342/24</v>
      </c>
      <c r="D827" s="11" t="str">
        <f>RAW_Продажи!C826</f>
        <v xml:space="preserve">1 шт.</v>
      </c>
      <c r="E827" s="11" t="str">
        <f>RAW_Продажи!D826</f>
        <v xml:space="preserve">6500 ₽</v>
      </c>
      <c r="F827" s="11" t="str">
        <f>RAW_Продажи!E826</f>
        <v>C0825</v>
      </c>
      <c r="G827" s="11" t="str">
        <f>RAW_Продажи!F826</f>
        <v>P013</v>
      </c>
      <c r="H827" s="11" t="str">
        <f>RAW_Продажи!G826</f>
        <v>completed</v>
      </c>
      <c r="I827" s="12" t="str">
        <f t="shared" si="262"/>
        <v>342/24</v>
      </c>
      <c r="J827" s="12" t="str">
        <f t="shared" si="263"/>
        <v>₽</v>
      </c>
      <c r="K827" s="12">
        <f t="shared" si="264"/>
        <v>6500</v>
      </c>
      <c r="L827" s="19">
        <f t="shared" si="265"/>
        <v>46084</v>
      </c>
      <c r="M827" s="13" t="str">
        <f t="shared" si="266"/>
        <v>АРТ-342</v>
      </c>
      <c r="N827" s="13">
        <f t="shared" si="267"/>
        <v>1</v>
      </c>
      <c r="O827" s="13" t="str">
        <f>IFERROR(VLOOKUP(J827,Справочники!$G$6:$H$8,2,0),"RUB")</f>
        <v>RUB</v>
      </c>
      <c r="P827" s="14">
        <f>ROUND(K827*IFERROR(VLOOKUP(J827,Справочники!$G$6:$I$8,3,0),1),2)</f>
        <v>6500</v>
      </c>
      <c r="Q827" s="13" t="str">
        <f>IFERROR(VLOOKUP(H827,Справочники!$D$6:$E$14,2,0),"НЕИЗВЕСТНО")</f>
        <v>Завершен</v>
      </c>
      <c r="R827" s="20">
        <f>IFERROR(INDEX(Товары_очищенные!$Q$3:$Q$503,MATCH(M827,Товары_очищенные!$L$3:$L$503,0)),"нет в каталоге")</f>
        <v>137500</v>
      </c>
      <c r="S827" s="21" t="str">
        <f>IFERROR(INDEX(Товары_очищенные!$N$3:$N$503,MATCH(M827,Товары_очищенные!$L$3:$L$503,0)),"нет в каталоге")</f>
        <v>Ноутбуки</v>
      </c>
      <c r="T827" s="21" t="str">
        <f t="shared" si="268"/>
        <v>OK</v>
      </c>
      <c r="U827" s="12" t="str">
        <f t="shared" si="269"/>
        <v>03/03/2026|АРТ-342|C0825</v>
      </c>
      <c r="V827" s="12" t="str">
        <f t="shared" si="270"/>
        <v>оригинал</v>
      </c>
    </row>
    <row r="828" ht="15" customHeight="1">
      <c r="A828" s="10">
        <v>826</v>
      </c>
      <c r="B828" s="11" t="str">
        <f>RAW_Продажи!A827</f>
        <v>03/03/2026</v>
      </c>
      <c r="C828" s="11" t="str">
        <f>RAW_Продажи!B827</f>
        <v>№АРТ-343</v>
      </c>
      <c r="D828" s="11" t="str">
        <f>RAW_Продажи!C827</f>
        <v>-1</v>
      </c>
      <c r="E828" s="11" t="str">
        <f>RAW_Продажи!D827</f>
        <v>$110</v>
      </c>
      <c r="F828" s="11" t="str">
        <f>RAW_Продажи!E827</f>
        <v>C0826</v>
      </c>
      <c r="G828" s="11" t="str">
        <f>RAW_Продажи!F827</f>
        <v>P034</v>
      </c>
      <c r="H828" s="11" t="str">
        <f>RAW_Продажи!G827</f>
        <v>Завершен</v>
      </c>
      <c r="I828" s="12" t="str">
        <f t="shared" si="262"/>
        <v>343</v>
      </c>
      <c r="J828" s="12" t="str">
        <f t="shared" si="263"/>
        <v>$</v>
      </c>
      <c r="K828" s="12">
        <f t="shared" si="264"/>
        <v>110</v>
      </c>
      <c r="L828" s="19">
        <f t="shared" si="265"/>
        <v>46084</v>
      </c>
      <c r="M828" s="13" t="str">
        <f t="shared" si="266"/>
        <v>АРТ-343</v>
      </c>
      <c r="N828" s="13">
        <f t="shared" si="267"/>
        <v>-1</v>
      </c>
      <c r="O828" s="13" t="str">
        <f>IFERROR(VLOOKUP(J828,Справочники!$G$6:$H$8,2,0),"RUB")</f>
        <v>USD</v>
      </c>
      <c r="P828" s="14">
        <f>ROUND(K828*IFERROR(VLOOKUP(J828,Справочники!$G$6:$I$8,3,0),1),2)</f>
        <v>10450</v>
      </c>
      <c r="Q828" s="13" t="str">
        <f>IFERROR(VLOOKUP(H828,Справочники!$D$6:$E$14,2,0),"НЕИЗВЕСТНО")</f>
        <v>Завершен</v>
      </c>
      <c r="R828" s="20">
        <f>IFERROR(INDEX(Товары_очищенные!$Q$3:$Q$503,MATCH(M828,Товары_очищенные!$L$3:$L$503,0)),"нет в каталоге")</f>
        <v>84990</v>
      </c>
      <c r="S828" s="21" t="str">
        <f>IFERROR(INDEX(Товары_очищенные!$N$3:$N$503,MATCH(M828,Товары_очищенные!$L$3:$L$503,0)),"нет в каталоге")</f>
        <v>Телевизоры</v>
      </c>
      <c r="T828" s="21" t="str">
        <f t="shared" si="268"/>
        <v>OK</v>
      </c>
      <c r="U828" s="12" t="str">
        <f t="shared" si="269"/>
        <v>03/03/2026|АРТ-343|C0826</v>
      </c>
      <c r="V828" s="12" t="str">
        <f t="shared" si="270"/>
        <v>оригинал</v>
      </c>
    </row>
    <row r="829" ht="15" customHeight="1">
      <c r="A829" s="10">
        <v>827</v>
      </c>
      <c r="B829" s="11" t="str">
        <f>RAW_Продажи!A828</f>
        <v>03/04/2026</v>
      </c>
      <c r="C829" s="11" t="str">
        <f>RAW_Продажи!B828</f>
        <v>АРТ_281</v>
      </c>
      <c r="D829" s="11" t="str">
        <f>RAW_Продажи!C828</f>
        <v>3</v>
      </c>
      <c r="E829" s="11" t="str">
        <f>RAW_Продажи!D828</f>
        <v>€90</v>
      </c>
      <c r="F829" s="11" t="str">
        <f>RAW_Продажи!E828</f>
        <v>C0827</v>
      </c>
      <c r="G829" s="11" t="str">
        <f>RAW_Продажи!F828</f>
        <v>P044</v>
      </c>
      <c r="H829" s="11" t="str">
        <f>RAW_Продажи!G828</f>
        <v>canceled</v>
      </c>
      <c r="I829" s="12" t="str">
        <f t="shared" si="262"/>
        <v>281</v>
      </c>
      <c r="J829" s="12" t="str">
        <f t="shared" si="263"/>
        <v>€</v>
      </c>
      <c r="K829" s="12">
        <f t="shared" si="264"/>
        <v>90</v>
      </c>
      <c r="L829" s="19">
        <f t="shared" si="265"/>
        <v>46085</v>
      </c>
      <c r="M829" s="13" t="str">
        <f t="shared" si="266"/>
        <v>АРТ-281</v>
      </c>
      <c r="N829" s="13">
        <f t="shared" si="267"/>
        <v>3</v>
      </c>
      <c r="O829" s="13" t="str">
        <f>IFERROR(VLOOKUP(J829,Справочники!$G$6:$H$8,2,0),"RUB")</f>
        <v>EUR</v>
      </c>
      <c r="P829" s="14">
        <f>ROUND(K829*IFERROR(VLOOKUP(J829,Справочники!$G$6:$I$8,3,0),1),2)</f>
        <v>9000</v>
      </c>
      <c r="Q829" s="13" t="str">
        <f>IFERROR(VLOOKUP(H829,Справочники!$D$6:$E$14,2,0),"НЕИЗВЕСТНО")</f>
        <v>Отменен</v>
      </c>
      <c r="R829" s="20">
        <f>IFERROR(INDEX(Товары_очищенные!$Q$3:$Q$503,MATCH(M829,Товары_очищенные!$L$3:$L$503,0)),"нет в каталоге")</f>
        <v>31500</v>
      </c>
      <c r="S829" s="21" t="str">
        <f>IFERROR(INDEX(Товары_очищенные!$N$3:$N$503,MATCH(M829,Товары_очищенные!$L$3:$L$503,0)),"нет в каталоге")</f>
        <v>Наушники</v>
      </c>
      <c r="T829" s="21" t="str">
        <f t="shared" si="268"/>
        <v>OK</v>
      </c>
      <c r="U829" s="12" t="str">
        <f t="shared" si="269"/>
        <v>04/03/2026|АРТ-281|C0827</v>
      </c>
      <c r="V829" s="12" t="str">
        <f t="shared" si="270"/>
        <v>оригинал</v>
      </c>
    </row>
    <row r="830" ht="15" customHeight="1">
      <c r="A830" s="10">
        <v>828</v>
      </c>
      <c r="B830" s="11" t="str">
        <f>RAW_Продажи!A829</f>
        <v>03/04/2026</v>
      </c>
      <c r="C830" s="11" t="str">
        <f>RAW_Продажи!B829</f>
        <v>101-24</v>
      </c>
      <c r="D830" s="11" t="str">
        <f>RAW_Продажи!C829</f>
        <v>2</v>
      </c>
      <c r="E830" s="11" t="str">
        <f>RAW_Продажи!D829</f>
        <v xml:space="preserve">8000 ₽</v>
      </c>
      <c r="F830" s="11" t="str">
        <f>RAW_Продажи!E829</f>
        <v>C0828</v>
      </c>
      <c r="G830" s="11" t="str">
        <f>RAW_Продажи!F829</f>
        <v>P001</v>
      </c>
      <c r="H830" s="11" t="str">
        <f>RAW_Продажи!G829</f>
        <v>отменен</v>
      </c>
      <c r="I830" s="12" t="str">
        <f t="shared" si="262"/>
        <v>101-24</v>
      </c>
      <c r="J830" s="12" t="str">
        <f t="shared" si="263"/>
        <v>₽</v>
      </c>
      <c r="K830" s="12">
        <f t="shared" si="264"/>
        <v>8000</v>
      </c>
      <c r="L830" s="19">
        <f t="shared" si="265"/>
        <v>46085</v>
      </c>
      <c r="M830" s="13" t="str">
        <f t="shared" si="266"/>
        <v>АРТ-101</v>
      </c>
      <c r="N830" s="13">
        <f t="shared" si="267"/>
        <v>2</v>
      </c>
      <c r="O830" s="13" t="str">
        <f>IFERROR(VLOOKUP(J830,Справочники!$G$6:$H$8,2,0),"RUB")</f>
        <v>RUB</v>
      </c>
      <c r="P830" s="14">
        <f>ROUND(K830*IFERROR(VLOOKUP(J830,Справочники!$G$6:$I$8,3,0),1),2)</f>
        <v>8000</v>
      </c>
      <c r="Q830" s="13" t="str">
        <f>IFERROR(VLOOKUP(H830,Справочники!$D$6:$E$14,2,0),"НЕИЗВЕСТНО")</f>
        <v>Отменен</v>
      </c>
      <c r="R830" s="20">
        <f>IFERROR(INDEX(Товары_очищенные!$Q$3:$Q$503,MATCH(M830,Товары_очищенные!$L$3:$L$503,0)),"нет в каталоге")</f>
        <v>55500</v>
      </c>
      <c r="S830" s="21" t="str">
        <f>IFERROR(INDEX(Товары_очищенные!$N$3:$N$503,MATCH(M830,Товары_очищенные!$L$3:$L$503,0)),"нет в каталоге")</f>
        <v>Планшеты</v>
      </c>
      <c r="T830" s="21" t="str">
        <f t="shared" si="268"/>
        <v>OK</v>
      </c>
      <c r="U830" s="12" t="str">
        <f t="shared" si="269"/>
        <v>04/03/2026|АРТ-101|C0828</v>
      </c>
      <c r="V830" s="12" t="str">
        <f t="shared" si="270"/>
        <v>оригинал</v>
      </c>
    </row>
    <row r="831" ht="15" customHeight="1">
      <c r="A831" s="10">
        <v>829</v>
      </c>
      <c r="B831" s="11" t="str">
        <f>RAW_Продажи!A830</f>
        <v>03/05/2026</v>
      </c>
      <c r="C831" s="11" t="str">
        <f>RAW_Продажи!B830</f>
        <v>№АРТ-074</v>
      </c>
      <c r="D831" s="11" t="str">
        <f>RAW_Продажи!C830</f>
        <v>1</v>
      </c>
      <c r="E831" s="11" t="str">
        <f>RAW_Продажи!D830</f>
        <v>$95</v>
      </c>
      <c r="F831" s="11" t="str">
        <f>RAW_Продажи!E830</f>
        <v>C0829</v>
      </c>
      <c r="G831" s="11" t="str">
        <f>RAW_Продажи!F830</f>
        <v>P021</v>
      </c>
      <c r="H831" s="11" t="str">
        <f>RAW_Продажи!G830</f>
        <v>возврат</v>
      </c>
      <c r="I831" s="12" t="str">
        <f t="shared" si="262"/>
        <v>074</v>
      </c>
      <c r="J831" s="12" t="str">
        <f t="shared" si="263"/>
        <v>$</v>
      </c>
      <c r="K831" s="12">
        <f t="shared" si="264"/>
        <v>95</v>
      </c>
      <c r="L831" s="19">
        <f t="shared" si="265"/>
        <v>46086</v>
      </c>
      <c r="M831" s="13" t="str">
        <f t="shared" si="266"/>
        <v>АРТ-074</v>
      </c>
      <c r="N831" s="13">
        <f t="shared" si="267"/>
        <v>1</v>
      </c>
      <c r="O831" s="13" t="str">
        <f>IFERROR(VLOOKUP(J831,Справочники!$G$6:$H$8,2,0),"RUB")</f>
        <v>USD</v>
      </c>
      <c r="P831" s="14">
        <f>ROUND(K831*IFERROR(VLOOKUP(J831,Справочники!$G$6:$I$8,3,0),1),2)</f>
        <v>9025</v>
      </c>
      <c r="Q831" s="13" t="str">
        <f>IFERROR(VLOOKUP(H831,Справочники!$D$6:$E$14,2,0),"НЕИЗВЕСТНО")</f>
        <v>Возврат</v>
      </c>
      <c r="R831" s="20">
        <f>IFERROR(INDEX(Товары_очищенные!$Q$3:$Q$503,MATCH(M831,Товары_очищенные!$L$3:$L$503,0)),"нет в каталоге")</f>
        <v>77500</v>
      </c>
      <c r="S831" s="21" t="str">
        <f>IFERROR(INDEX(Товары_очищенные!$N$3:$N$503,MATCH(M831,Товары_очищенные!$L$3:$L$503,0)),"нет в каталоге")</f>
        <v>Мониторы</v>
      </c>
      <c r="T831" s="21" t="str">
        <f t="shared" si="268"/>
        <v>OK</v>
      </c>
      <c r="U831" s="12" t="str">
        <f t="shared" si="269"/>
        <v>05/03/2026|АРТ-074|C0829</v>
      </c>
      <c r="V831" s="12" t="str">
        <f t="shared" si="270"/>
        <v>оригинал</v>
      </c>
    </row>
    <row r="832" ht="15" customHeight="1">
      <c r="A832" s="10">
        <v>830</v>
      </c>
      <c r="B832" s="11" t="str">
        <f>RAW_Продажи!A831</f>
        <v>03/05/2026</v>
      </c>
      <c r="C832" s="11" t="str">
        <f>RAW_Продажи!B831</f>
        <v>АРТ_442</v>
      </c>
      <c r="D832" s="11" t="str">
        <f>RAW_Продажи!C831</f>
        <v>2</v>
      </c>
      <c r="E832" s="11" t="str">
        <f>RAW_Продажи!D831</f>
        <v>€75</v>
      </c>
      <c r="F832" s="11" t="str">
        <f>RAW_Продажи!E831</f>
        <v>C0830</v>
      </c>
      <c r="G832" s="11" t="str">
        <f>RAW_Продажи!F831</f>
        <v>P039</v>
      </c>
      <c r="H832" s="11" t="str">
        <f>RAW_Продажи!G831</f>
        <v>Завершен</v>
      </c>
      <c r="I832" s="12" t="str">
        <f t="shared" si="262"/>
        <v>442</v>
      </c>
      <c r="J832" s="12" t="str">
        <f t="shared" si="263"/>
        <v>€</v>
      </c>
      <c r="K832" s="12">
        <f t="shared" si="264"/>
        <v>75</v>
      </c>
      <c r="L832" s="19">
        <f t="shared" si="265"/>
        <v>46086</v>
      </c>
      <c r="M832" s="13" t="str">
        <f t="shared" si="266"/>
        <v>АРТ-442</v>
      </c>
      <c r="N832" s="13">
        <f t="shared" si="267"/>
        <v>2</v>
      </c>
      <c r="O832" s="13" t="str">
        <f>IFERROR(VLOOKUP(J832,Справочники!$G$6:$H$8,2,0),"RUB")</f>
        <v>EUR</v>
      </c>
      <c r="P832" s="14">
        <f>ROUND(K832*IFERROR(VLOOKUP(J832,Справочники!$G$6:$I$8,3,0),1),2)</f>
        <v>7500</v>
      </c>
      <c r="Q832" s="13" t="str">
        <f>IFERROR(VLOOKUP(H832,Справочники!$D$6:$E$14,2,0),"НЕИЗВЕСТНО")</f>
        <v>Завершен</v>
      </c>
      <c r="R832" s="20">
        <f>IFERROR(INDEX(Товары_очищенные!$Q$3:$Q$503,MATCH(M832,Товары_очищенные!$L$3:$L$503,0)),"нет в каталоге")</f>
        <v>24990</v>
      </c>
      <c r="S832" s="21" t="str">
        <f>IFERROR(INDEX(Товары_очищенные!$N$3:$N$503,MATCH(M832,Товары_очищенные!$L$3:$L$503,0)),"нет в каталоге")</f>
        <v>Смартфоны</v>
      </c>
      <c r="T832" s="21" t="str">
        <f t="shared" si="268"/>
        <v>OK</v>
      </c>
      <c r="U832" s="12" t="str">
        <f t="shared" si="269"/>
        <v>05/03/2026|АРТ-442|C0830</v>
      </c>
      <c r="V832" s="12" t="str">
        <f t="shared" si="270"/>
        <v>оригинал</v>
      </c>
    </row>
    <row r="833" ht="15" customHeight="1">
      <c r="A833" s="10">
        <v>831</v>
      </c>
      <c r="B833" s="11" t="str">
        <f>RAW_Продажи!A832</f>
        <v>03/06/2026</v>
      </c>
      <c r="C833" s="11" t="str">
        <f>RAW_Продажи!B832</f>
        <v>361/24</v>
      </c>
      <c r="D833" s="11" t="str">
        <f>RAW_Продажи!C832</f>
        <v xml:space="preserve">3 шт.</v>
      </c>
      <c r="E833" s="11" t="str">
        <f>RAW_Продажи!D832</f>
        <v xml:space="preserve">7000 ₽</v>
      </c>
      <c r="F833" s="11" t="str">
        <f>RAW_Продажи!E832</f>
        <v>C0831</v>
      </c>
      <c r="G833" s="11" t="str">
        <f>RAW_Продажи!F832</f>
        <v>P050</v>
      </c>
      <c r="H833" s="11" t="str">
        <f>RAW_Продажи!G832</f>
        <v>завершен</v>
      </c>
      <c r="I833" s="12" t="str">
        <f t="shared" si="262"/>
        <v>361/24</v>
      </c>
      <c r="J833" s="12" t="str">
        <f t="shared" si="263"/>
        <v>₽</v>
      </c>
      <c r="K833" s="12">
        <f t="shared" si="264"/>
        <v>7000</v>
      </c>
      <c r="L833" s="19">
        <f t="shared" si="265"/>
        <v>46087</v>
      </c>
      <c r="M833" s="13" t="str">
        <f t="shared" si="266"/>
        <v>АРТ-361</v>
      </c>
      <c r="N833" s="13">
        <f t="shared" si="267"/>
        <v>3</v>
      </c>
      <c r="O833" s="13" t="str">
        <f>IFERROR(VLOOKUP(J833,Справочники!$G$6:$H$8,2,0),"RUB")</f>
        <v>RUB</v>
      </c>
      <c r="P833" s="14">
        <f>ROUND(K833*IFERROR(VLOOKUP(J833,Справочники!$G$6:$I$8,3,0),1),2)</f>
        <v>7000</v>
      </c>
      <c r="Q833" s="13" t="str">
        <f>IFERROR(VLOOKUP(H833,Справочники!$D$6:$E$14,2,0),"НЕИЗВЕСТНО")</f>
        <v>Завершен</v>
      </c>
      <c r="R833" s="20">
        <f>IFERROR(INDEX(Товары_очищенные!$Q$3:$Q$503,MATCH(M833,Товары_очищенные!$L$3:$L$503,0)),"нет в каталоге")</f>
        <v>145990</v>
      </c>
      <c r="S833" s="21" t="str">
        <f>IFERROR(INDEX(Товары_очищенные!$N$3:$N$503,MATCH(M833,Товары_очищенные!$L$3:$L$503,0)),"нет в каталоге")</f>
        <v>Ноутбуки</v>
      </c>
      <c r="T833" s="21" t="str">
        <f t="shared" si="268"/>
        <v>OK</v>
      </c>
      <c r="U833" s="12" t="str">
        <f t="shared" si="269"/>
        <v>06/03/2026|АРТ-361|C0831</v>
      </c>
      <c r="V833" s="12" t="str">
        <f t="shared" si="270"/>
        <v>оригинал</v>
      </c>
    </row>
    <row r="834" ht="15" customHeight="1">
      <c r="A834" s="10">
        <v>832</v>
      </c>
      <c r="B834" s="11" t="str">
        <f>RAW_Продажи!A833</f>
        <v>03/06/2026</v>
      </c>
      <c r="C834" s="11" t="str">
        <f>RAW_Продажи!B833</f>
        <v>№АРТ-301</v>
      </c>
      <c r="D834" s="11" t="str">
        <f>RAW_Продажи!C833</f>
        <v>-2</v>
      </c>
      <c r="E834" s="11" t="str">
        <f>RAW_Продажи!D833</f>
        <v>$115</v>
      </c>
      <c r="F834" s="11" t="str">
        <f>RAW_Продажи!E833</f>
        <v>C0832</v>
      </c>
      <c r="G834" s="11" t="str">
        <f>RAW_Продажи!F833</f>
        <v>P011</v>
      </c>
      <c r="H834" s="11" t="str">
        <f>RAW_Продажи!G833</f>
        <v>completed</v>
      </c>
      <c r="I834" s="12" t="str">
        <f t="shared" si="262"/>
        <v>301</v>
      </c>
      <c r="J834" s="12" t="str">
        <f t="shared" si="263"/>
        <v>$</v>
      </c>
      <c r="K834" s="12">
        <f t="shared" si="264"/>
        <v>115</v>
      </c>
      <c r="L834" s="19">
        <f t="shared" si="265"/>
        <v>46087</v>
      </c>
      <c r="M834" s="13" t="str">
        <f t="shared" si="266"/>
        <v>АРТ-301</v>
      </c>
      <c r="N834" s="13">
        <f t="shared" si="267"/>
        <v>-2</v>
      </c>
      <c r="O834" s="13" t="str">
        <f>IFERROR(VLOOKUP(J834,Справочники!$G$6:$H$8,2,0),"RUB")</f>
        <v>USD</v>
      </c>
      <c r="P834" s="14">
        <f>ROUND(K834*IFERROR(VLOOKUP(J834,Справочники!$G$6:$I$8,3,0),1),2)</f>
        <v>10925</v>
      </c>
      <c r="Q834" s="13" t="str">
        <f>IFERROR(VLOOKUP(H834,Справочники!$D$6:$E$14,2,0),"НЕИЗВЕСТНО")</f>
        <v>Завершен</v>
      </c>
      <c r="R834" s="20">
        <f>IFERROR(INDEX(Товары_очищенные!$Q$3:$Q$503,MATCH(M834,Товары_очищенные!$L$3:$L$503,0)),"нет в каталоге")</f>
        <v>7990</v>
      </c>
      <c r="S834" s="21" t="str">
        <f>IFERROR(INDEX(Товары_очищенные!$N$3:$N$503,MATCH(M834,Товары_очищенные!$L$3:$L$503,0)),"нет в каталоге")</f>
        <v>Наушники</v>
      </c>
      <c r="T834" s="21" t="str">
        <f t="shared" si="268"/>
        <v>OK</v>
      </c>
      <c r="U834" s="12" t="str">
        <f t="shared" si="269"/>
        <v>06/03/2026|АРТ-301|C0832</v>
      </c>
      <c r="V834" s="12" t="str">
        <f t="shared" si="270"/>
        <v>оригинал</v>
      </c>
    </row>
    <row r="835" ht="15" customHeight="1">
      <c r="A835" s="10">
        <v>833</v>
      </c>
      <c r="B835" s="11" t="str">
        <f>RAW_Продажи!A834</f>
        <v>03/07/2026</v>
      </c>
      <c r="C835" s="11" t="str">
        <f>RAW_Продажи!B834</f>
        <v>АРТ_396</v>
      </c>
      <c r="D835" s="11" t="str">
        <f>RAW_Продажи!C834</f>
        <v>1</v>
      </c>
      <c r="E835" s="11" t="str">
        <f>RAW_Продажи!D834</f>
        <v>€95</v>
      </c>
      <c r="F835" s="11" t="str">
        <f>RAW_Продажи!E834</f>
        <v>C0833</v>
      </c>
      <c r="G835" s="11" t="str">
        <f>RAW_Продажи!F834</f>
        <v>P027</v>
      </c>
      <c r="H835" s="11" t="str">
        <f>RAW_Продажи!G834</f>
        <v>отменен</v>
      </c>
      <c r="I835" s="12" t="str">
        <f t="shared" si="262"/>
        <v>396</v>
      </c>
      <c r="J835" s="12" t="str">
        <f t="shared" si="263"/>
        <v>€</v>
      </c>
      <c r="K835" s="12">
        <f t="shared" si="264"/>
        <v>95</v>
      </c>
      <c r="L835" s="19">
        <f t="shared" si="265"/>
        <v>46088</v>
      </c>
      <c r="M835" s="13" t="str">
        <f t="shared" si="266"/>
        <v>АРТ-396</v>
      </c>
      <c r="N835" s="13">
        <f t="shared" si="267"/>
        <v>1</v>
      </c>
      <c r="O835" s="13" t="str">
        <f>IFERROR(VLOOKUP(J835,Справочники!$G$6:$H$8,2,0),"RUB")</f>
        <v>EUR</v>
      </c>
      <c r="P835" s="14">
        <f>ROUND(K835*IFERROR(VLOOKUP(J835,Справочники!$G$6:$I$8,3,0),1),2)</f>
        <v>9500</v>
      </c>
      <c r="Q835" s="13" t="str">
        <f>IFERROR(VLOOKUP(H835,Справочники!$D$6:$E$14,2,0),"НЕИЗВЕСТНО")</f>
        <v>Отменен</v>
      </c>
      <c r="R835" s="20">
        <f>IFERROR(INDEX(Товары_очищенные!$Q$3:$Q$503,MATCH(M835,Товары_очищенные!$L$3:$L$503,0)),"нет в каталоге")</f>
        <v>67000</v>
      </c>
      <c r="S835" s="21" t="str">
        <f>IFERROR(INDEX(Товары_очищенные!$N$3:$N$503,MATCH(M835,Товары_очищенные!$L$3:$L$503,0)),"нет в каталоге")</f>
        <v>Мониторы</v>
      </c>
      <c r="T835" s="21" t="str">
        <f t="shared" si="268"/>
        <v>OK</v>
      </c>
      <c r="U835" s="12" t="str">
        <f t="shared" si="269"/>
        <v>07/03/2026|АРТ-396|C0833</v>
      </c>
      <c r="V835" s="12" t="str">
        <f t="shared" si="270"/>
        <v>оригинал</v>
      </c>
    </row>
    <row r="836" ht="15" customHeight="1">
      <c r="A836" s="10">
        <v>834</v>
      </c>
      <c r="B836" s="11" t="str">
        <f>RAW_Продажи!A835</f>
        <v>03/07/2026</v>
      </c>
      <c r="C836" s="11" t="str">
        <f>RAW_Продажи!B835</f>
        <v>152-24</v>
      </c>
      <c r="D836" s="11" t="str">
        <f>RAW_Продажи!C835</f>
        <v>2</v>
      </c>
      <c r="E836" s="11" t="str">
        <f>RAW_Продажи!D835</f>
        <v xml:space="preserve">8500 ₽</v>
      </c>
      <c r="F836" s="11" t="str">
        <f>RAW_Продажи!E835</f>
        <v>C0834</v>
      </c>
      <c r="G836" s="11" t="str">
        <f>RAW_Продажи!F835</f>
        <v>P018</v>
      </c>
      <c r="H836" s="11" t="str">
        <f>RAW_Продажи!G835</f>
        <v>canceled</v>
      </c>
      <c r="I836" s="12" t="str">
        <f t="shared" si="262"/>
        <v>152-24</v>
      </c>
      <c r="J836" s="12" t="str">
        <f t="shared" si="263"/>
        <v>₽</v>
      </c>
      <c r="K836" s="12">
        <f t="shared" si="264"/>
        <v>8500</v>
      </c>
      <c r="L836" s="19">
        <f t="shared" si="265"/>
        <v>46088</v>
      </c>
      <c r="M836" s="13" t="str">
        <f t="shared" si="266"/>
        <v>АРТ-152</v>
      </c>
      <c r="N836" s="13">
        <f t="shared" si="267"/>
        <v>2</v>
      </c>
      <c r="O836" s="13" t="str">
        <f>IFERROR(VLOOKUP(J836,Справочники!$G$6:$H$8,2,0),"RUB")</f>
        <v>RUB</v>
      </c>
      <c r="P836" s="14">
        <f>ROUND(K836*IFERROR(VLOOKUP(J836,Справочники!$G$6:$I$8,3,0),1),2)</f>
        <v>8500</v>
      </c>
      <c r="Q836" s="13" t="str">
        <f>IFERROR(VLOOKUP(H836,Справочники!$D$6:$E$14,2,0),"НЕИЗВЕСТНО")</f>
        <v>Отменен</v>
      </c>
      <c r="R836" s="20">
        <f>IFERROR(INDEX(Товары_очищенные!$Q$3:$Q$503,MATCH(M836,Товары_очищенные!$L$3:$L$503,0)),"нет в каталоге")</f>
        <v>151500</v>
      </c>
      <c r="S836" s="21" t="str">
        <f>IFERROR(INDEX(Товары_очищенные!$N$3:$N$503,MATCH(M836,Товары_очищенные!$L$3:$L$503,0)),"нет в каталоге")</f>
        <v>Телевизоры</v>
      </c>
      <c r="T836" s="21" t="str">
        <f t="shared" si="268"/>
        <v>OK</v>
      </c>
      <c r="U836" s="12" t="str">
        <f t="shared" si="269"/>
        <v>07/03/2026|АРТ-152|C0834</v>
      </c>
      <c r="V836" s="12" t="str">
        <f t="shared" si="270"/>
        <v>оригинал</v>
      </c>
    </row>
    <row r="837" ht="15" customHeight="1">
      <c r="A837" s="10">
        <v>835</v>
      </c>
      <c r="B837" s="11" t="str">
        <f>RAW_Продажи!A836</f>
        <v>03/08/2026</v>
      </c>
      <c r="C837" s="11" t="str">
        <f>RAW_Продажи!B836</f>
        <v>№АРТ-062</v>
      </c>
      <c r="D837" s="11" t="str">
        <f>RAW_Продажи!C836</f>
        <v>3</v>
      </c>
      <c r="E837" s="11" t="str">
        <f>RAW_Продажи!D836</f>
        <v>$105</v>
      </c>
      <c r="F837" s="11" t="str">
        <f>RAW_Продажи!E836</f>
        <v>C0835</v>
      </c>
      <c r="G837" s="11" t="str">
        <f>RAW_Продажи!F836</f>
        <v>P040</v>
      </c>
      <c r="H837" s="11" t="str">
        <f>RAW_Продажи!G836</f>
        <v>Завершен</v>
      </c>
      <c r="I837" s="12" t="str">
        <f t="shared" si="262"/>
        <v>062</v>
      </c>
      <c r="J837" s="12" t="str">
        <f t="shared" si="263"/>
        <v>$</v>
      </c>
      <c r="K837" s="12">
        <f t="shared" si="264"/>
        <v>105</v>
      </c>
      <c r="L837" s="19">
        <f t="shared" si="265"/>
        <v>46089</v>
      </c>
      <c r="M837" s="13" t="str">
        <f t="shared" si="266"/>
        <v>АРТ-062</v>
      </c>
      <c r="N837" s="13">
        <f t="shared" si="267"/>
        <v>3</v>
      </c>
      <c r="O837" s="13" t="str">
        <f>IFERROR(VLOOKUP(J837,Справочники!$G$6:$H$8,2,0),"RUB")</f>
        <v>USD</v>
      </c>
      <c r="P837" s="14">
        <f>ROUND(K837*IFERROR(VLOOKUP(J837,Справочники!$G$6:$I$8,3,0),1),2)</f>
        <v>9975</v>
      </c>
      <c r="Q837" s="13" t="str">
        <f>IFERROR(VLOOKUP(H837,Справочники!$D$6:$E$14,2,0),"НЕИЗВЕСТНО")</f>
        <v>Завершен</v>
      </c>
      <c r="R837" s="20">
        <f>IFERROR(INDEX(Товары_очищенные!$Q$3:$Q$503,MATCH(M837,Товары_очищенные!$L$3:$L$503,0)),"нет в каталоге")</f>
        <v>122500</v>
      </c>
      <c r="S837" s="21" t="str">
        <f>IFERROR(INDEX(Товары_очищенные!$N$3:$N$503,MATCH(M837,Товары_очищенные!$L$3:$L$503,0)),"нет в каталоге")</f>
        <v>Ноутбуки</v>
      </c>
      <c r="T837" s="21" t="str">
        <f t="shared" si="268"/>
        <v>OK</v>
      </c>
      <c r="U837" s="12" t="str">
        <f t="shared" si="269"/>
        <v>08/03/2026|АРТ-062|C0835</v>
      </c>
      <c r="V837" s="12" t="str">
        <f t="shared" si="270"/>
        <v>оригинал</v>
      </c>
    </row>
    <row r="838" ht="15" customHeight="1">
      <c r="A838" s="10">
        <v>836</v>
      </c>
      <c r="B838" s="11" t="str">
        <f>RAW_Продажи!A837</f>
        <v>03/08/2026</v>
      </c>
      <c r="C838" s="11" t="str">
        <f>RAW_Продажи!B837</f>
        <v>АРТ_489</v>
      </c>
      <c r="D838" s="11" t="str">
        <f>RAW_Продажи!C837</f>
        <v>2</v>
      </c>
      <c r="E838" s="11" t="str">
        <f>RAW_Продажи!D837</f>
        <v>€85</v>
      </c>
      <c r="F838" s="11" t="str">
        <f>RAW_Продажи!E837</f>
        <v>C0836</v>
      </c>
      <c r="G838" s="11" t="str">
        <f>RAW_Продажи!F837</f>
        <v>P003</v>
      </c>
      <c r="H838" s="11" t="str">
        <f>RAW_Продажи!G837</f>
        <v>возврат</v>
      </c>
      <c r="I838" s="12" t="str">
        <f t="shared" si="262"/>
        <v>489</v>
      </c>
      <c r="J838" s="12" t="str">
        <f t="shared" si="263"/>
        <v>€</v>
      </c>
      <c r="K838" s="12">
        <f t="shared" si="264"/>
        <v>85</v>
      </c>
      <c r="L838" s="19">
        <f t="shared" si="265"/>
        <v>46089</v>
      </c>
      <c r="M838" s="13" t="str">
        <f t="shared" si="266"/>
        <v>АРТ-489</v>
      </c>
      <c r="N838" s="13">
        <f t="shared" si="267"/>
        <v>2</v>
      </c>
      <c r="O838" s="13" t="str">
        <f>IFERROR(VLOOKUP(J838,Справочники!$G$6:$H$8,2,0),"RUB")</f>
        <v>EUR</v>
      </c>
      <c r="P838" s="14">
        <f>ROUND(K838*IFERROR(VLOOKUP(J838,Справочники!$G$6:$I$8,3,0),1),2)</f>
        <v>8500</v>
      </c>
      <c r="Q838" s="13" t="str">
        <f>IFERROR(VLOOKUP(H838,Справочники!$D$6:$E$14,2,0),"НЕИЗВЕСТНО")</f>
        <v>Возврат</v>
      </c>
      <c r="R838" s="20">
        <f>IFERROR(INDEX(Товары_очищенные!$Q$3:$Q$503,MATCH(M838,Товары_очищенные!$L$3:$L$503,0)),"нет в каталоге")</f>
        <v>113500</v>
      </c>
      <c r="S838" s="21" t="str">
        <f>IFERROR(INDEX(Товары_очищенные!$N$3:$N$503,MATCH(M838,Товары_очищенные!$L$3:$L$503,0)),"нет в каталоге")</f>
        <v>Ноутбуки</v>
      </c>
      <c r="T838" s="21" t="str">
        <f t="shared" si="268"/>
        <v>OK</v>
      </c>
      <c r="U838" s="12" t="str">
        <f t="shared" si="269"/>
        <v>08/03/2026|АРТ-489|C0836</v>
      </c>
      <c r="V838" s="12" t="str">
        <f t="shared" si="270"/>
        <v>оригинал</v>
      </c>
    </row>
    <row r="839" ht="15" customHeight="1">
      <c r="A839" s="10">
        <v>837</v>
      </c>
      <c r="B839" s="11" t="str">
        <f>RAW_Продажи!A838</f>
        <v>03/09/2026</v>
      </c>
      <c r="C839" s="11" t="str">
        <f>RAW_Продажи!B838</f>
        <v>311/24</v>
      </c>
      <c r="D839" s="11" t="str">
        <f>RAW_Продажи!C838</f>
        <v xml:space="preserve">1 шт.</v>
      </c>
      <c r="E839" s="11" t="str">
        <f>RAW_Продажи!D838</f>
        <v xml:space="preserve">7800 ₽</v>
      </c>
      <c r="F839" s="11" t="str">
        <f>RAW_Продажи!E838</f>
        <v>C0837</v>
      </c>
      <c r="G839" s="11" t="str">
        <f>RAW_Продажи!F838</f>
        <v>P025</v>
      </c>
      <c r="H839" s="11" t="str">
        <f>RAW_Продажи!G838</f>
        <v>завершен</v>
      </c>
      <c r="I839" s="12" t="str">
        <f t="shared" si="262"/>
        <v>311/24</v>
      </c>
      <c r="J839" s="12" t="str">
        <f t="shared" si="263"/>
        <v>₽</v>
      </c>
      <c r="K839" s="12">
        <f t="shared" si="264"/>
        <v>7800</v>
      </c>
      <c r="L839" s="19">
        <f t="shared" si="265"/>
        <v>46090</v>
      </c>
      <c r="M839" s="13" t="str">
        <f t="shared" si="266"/>
        <v>АРТ-311</v>
      </c>
      <c r="N839" s="13">
        <f t="shared" si="267"/>
        <v>1</v>
      </c>
      <c r="O839" s="13" t="str">
        <f>IFERROR(VLOOKUP(J839,Справочники!$G$6:$H$8,2,0),"RUB")</f>
        <v>RUB</v>
      </c>
      <c r="P839" s="14">
        <f>ROUND(K839*IFERROR(VLOOKUP(J839,Справочники!$G$6:$I$8,3,0),1),2)</f>
        <v>7800</v>
      </c>
      <c r="Q839" s="13" t="str">
        <f>IFERROR(VLOOKUP(H839,Справочники!$D$6:$E$14,2,0),"НЕИЗВЕСТНО")</f>
        <v>Завершен</v>
      </c>
      <c r="R839" s="20">
        <f>IFERROR(INDEX(Товары_очищенные!$Q$3:$Q$503,MATCH(M839,Товары_очищенные!$L$3:$L$503,0)),"нет в каталоге")</f>
        <v>62500</v>
      </c>
      <c r="S839" s="21" t="str">
        <f>IFERROR(INDEX(Товары_очищенные!$N$3:$N$503,MATCH(M839,Товары_очищенные!$L$3:$L$503,0)),"нет в каталоге")</f>
        <v>Планшеты</v>
      </c>
      <c r="T839" s="21" t="str">
        <f t="shared" si="268"/>
        <v>OK</v>
      </c>
      <c r="U839" s="12" t="str">
        <f t="shared" si="269"/>
        <v>09/03/2026|АРТ-311|C0837</v>
      </c>
      <c r="V839" s="12" t="str">
        <f t="shared" si="270"/>
        <v>оригинал</v>
      </c>
    </row>
    <row r="840" ht="15" customHeight="1">
      <c r="A840" s="10">
        <v>838</v>
      </c>
      <c r="B840" s="11" t="str">
        <f>RAW_Продажи!A839</f>
        <v>03/09/2026</v>
      </c>
      <c r="C840" s="11" t="str">
        <f>RAW_Продажи!B839</f>
        <v>№АРТ-270</v>
      </c>
      <c r="D840" s="11" t="str">
        <f>RAW_Продажи!C839</f>
        <v>-3</v>
      </c>
      <c r="E840" s="11" t="str">
        <f>RAW_Продажи!D839</f>
        <v>$120</v>
      </c>
      <c r="F840" s="11" t="str">
        <f>RAW_Продажи!E839</f>
        <v>C0838</v>
      </c>
      <c r="G840" s="11" t="str">
        <f>RAW_Продажи!F839</f>
        <v>P010</v>
      </c>
      <c r="H840" s="11" t="str">
        <f>RAW_Продажи!G839</f>
        <v>completed</v>
      </c>
      <c r="I840" s="12" t="str">
        <f t="shared" si="262"/>
        <v>270</v>
      </c>
      <c r="J840" s="12" t="str">
        <f t="shared" si="263"/>
        <v>$</v>
      </c>
      <c r="K840" s="12">
        <f t="shared" si="264"/>
        <v>120</v>
      </c>
      <c r="L840" s="19">
        <f t="shared" si="265"/>
        <v>46090</v>
      </c>
      <c r="M840" s="13" t="str">
        <f t="shared" si="266"/>
        <v>АРТ-270</v>
      </c>
      <c r="N840" s="13">
        <f t="shared" si="267"/>
        <v>-3</v>
      </c>
      <c r="O840" s="13" t="str">
        <f>IFERROR(VLOOKUP(J840,Справочники!$G$6:$H$8,2,0),"RUB")</f>
        <v>USD</v>
      </c>
      <c r="P840" s="14">
        <f>ROUND(K840*IFERROR(VLOOKUP(J840,Справочники!$G$6:$I$8,3,0),1),2)</f>
        <v>11400</v>
      </c>
      <c r="Q840" s="13" t="str">
        <f>IFERROR(VLOOKUP(H840,Справочники!$D$6:$E$14,2,0),"НЕИЗВЕСТНО")</f>
        <v>Завершен</v>
      </c>
      <c r="R840" s="20">
        <f>IFERROR(INDEX(Товары_очищенные!$Q$3:$Q$503,MATCH(M840,Товары_очищенные!$L$3:$L$503,0)),"нет в каталоге")</f>
        <v>24500</v>
      </c>
      <c r="S840" s="21" t="str">
        <f>IFERROR(INDEX(Товары_очищенные!$N$3:$N$503,MATCH(M840,Товары_очищенные!$L$3:$L$503,0)),"нет в каталоге")</f>
        <v>Аксессуары</v>
      </c>
      <c r="T840" s="21" t="str">
        <f t="shared" si="268"/>
        <v>OK</v>
      </c>
      <c r="U840" s="12" t="str">
        <f t="shared" si="269"/>
        <v>09/03/2026|АРТ-270|C0838</v>
      </c>
      <c r="V840" s="12" t="str">
        <f t="shared" si="270"/>
        <v>оригинал</v>
      </c>
    </row>
    <row r="841" ht="15" customHeight="1">
      <c r="A841" s="10">
        <v>839</v>
      </c>
      <c r="B841" s="11" t="str">
        <f>RAW_Продажи!A840</f>
        <v>03/10/2026</v>
      </c>
      <c r="C841" s="11" t="str">
        <f>RAW_Продажи!B840</f>
        <v>АРТ_314</v>
      </c>
      <c r="D841" s="11" t="str">
        <f>RAW_Продажи!C840</f>
        <v>2</v>
      </c>
      <c r="E841" s="11" t="str">
        <f>RAW_Продажи!D840</f>
        <v>€100</v>
      </c>
      <c r="F841" s="11" t="str">
        <f>RAW_Продажи!E840</f>
        <v>C0839</v>
      </c>
      <c r="G841" s="11" t="str">
        <f>RAW_Продажи!F840</f>
        <v>P033</v>
      </c>
      <c r="H841" s="11" t="str">
        <f>RAW_Продажи!G840</f>
        <v>Завершен</v>
      </c>
      <c r="I841" s="12" t="str">
        <f t="shared" si="262"/>
        <v>314</v>
      </c>
      <c r="J841" s="12" t="str">
        <f t="shared" si="263"/>
        <v>€</v>
      </c>
      <c r="K841" s="12">
        <f t="shared" si="264"/>
        <v>100</v>
      </c>
      <c r="L841" s="19">
        <f t="shared" si="265"/>
        <v>46091</v>
      </c>
      <c r="M841" s="13" t="str">
        <f t="shared" si="266"/>
        <v>АРТ-314</v>
      </c>
      <c r="N841" s="13">
        <f t="shared" si="267"/>
        <v>2</v>
      </c>
      <c r="O841" s="13" t="str">
        <f>IFERROR(VLOOKUP(J841,Справочники!$G$6:$H$8,2,0),"RUB")</f>
        <v>EUR</v>
      </c>
      <c r="P841" s="14">
        <f>ROUND(K841*IFERROR(VLOOKUP(J841,Справочники!$G$6:$I$8,3,0),1),2)</f>
        <v>10000</v>
      </c>
      <c r="Q841" s="13" t="str">
        <f>IFERROR(VLOOKUP(H841,Справочники!$D$6:$E$14,2,0),"НЕИЗВЕСТНО")</f>
        <v>Завершен</v>
      </c>
      <c r="R841" s="20">
        <f>IFERROR(INDEX(Товары_очищенные!$Q$3:$Q$503,MATCH(M841,Товары_очищенные!$L$3:$L$503,0)),"нет в каталоге")</f>
        <v>67500</v>
      </c>
      <c r="S841" s="21" t="str">
        <f>IFERROR(INDEX(Товары_очищенные!$N$3:$N$503,MATCH(M841,Товары_очищенные!$L$3:$L$503,0)),"нет в каталоге")</f>
        <v>Смартфоны</v>
      </c>
      <c r="T841" s="21" t="str">
        <f t="shared" si="268"/>
        <v>OK</v>
      </c>
      <c r="U841" s="12" t="str">
        <f t="shared" si="269"/>
        <v>10/03/2026|АРТ-314|C0839</v>
      </c>
      <c r="V841" s="12" t="str">
        <f t="shared" si="270"/>
        <v>оригинал</v>
      </c>
    </row>
    <row r="842" ht="15" customHeight="1">
      <c r="A842" s="10">
        <v>840</v>
      </c>
      <c r="B842" s="11" t="str">
        <f>RAW_Продажи!A841</f>
        <v>03/10/2026</v>
      </c>
      <c r="C842" s="11" t="str">
        <f>RAW_Продажи!B841</f>
        <v>197-24</v>
      </c>
      <c r="D842" s="11" t="str">
        <f>RAW_Продажи!C841</f>
        <v>1</v>
      </c>
      <c r="E842" s="11" t="str">
        <f>RAW_Продажи!D841</f>
        <v xml:space="preserve">9200 ₽</v>
      </c>
      <c r="F842" s="11" t="str">
        <f>RAW_Продажи!E841</f>
        <v>C0840</v>
      </c>
      <c r="G842" s="11" t="str">
        <f>RAW_Продажи!F841</f>
        <v>P047</v>
      </c>
      <c r="H842" s="11" t="str">
        <f>RAW_Продажи!G841</f>
        <v>canceled</v>
      </c>
      <c r="I842" s="12" t="str">
        <f t="shared" si="262"/>
        <v>197-24</v>
      </c>
      <c r="J842" s="12" t="str">
        <f t="shared" si="263"/>
        <v>₽</v>
      </c>
      <c r="K842" s="12">
        <f t="shared" si="264"/>
        <v>9200</v>
      </c>
      <c r="L842" s="19">
        <f t="shared" si="265"/>
        <v>46091</v>
      </c>
      <c r="M842" s="13" t="str">
        <f t="shared" si="266"/>
        <v>АРТ-197</v>
      </c>
      <c r="N842" s="13">
        <f t="shared" si="267"/>
        <v>1</v>
      </c>
      <c r="O842" s="13" t="str">
        <f>IFERROR(VLOOKUP(J842,Справочники!$G$6:$H$8,2,0),"RUB")</f>
        <v>RUB</v>
      </c>
      <c r="P842" s="14">
        <f>ROUND(K842*IFERROR(VLOOKUP(J842,Справочники!$G$6:$I$8,3,0),1),2)</f>
        <v>9200</v>
      </c>
      <c r="Q842" s="13" t="str">
        <f>IFERROR(VLOOKUP(H842,Справочники!$D$6:$E$14,2,0),"НЕИЗВЕСТНО")</f>
        <v>Отменен</v>
      </c>
      <c r="R842" s="20">
        <f>IFERROR(INDEX(Товары_очищенные!$Q$3:$Q$503,MATCH(M842,Товары_очищенные!$L$3:$L$503,0)),"нет в каталоге")</f>
        <v>52500</v>
      </c>
      <c r="S842" s="21" t="str">
        <f>IFERROR(INDEX(Товары_очищенные!$N$3:$N$503,MATCH(M842,Товары_очищенные!$L$3:$L$503,0)),"нет в каталоге")</f>
        <v>Смартфоны</v>
      </c>
      <c r="T842" s="21" t="str">
        <f t="shared" si="268"/>
        <v>OK</v>
      </c>
      <c r="U842" s="12" t="str">
        <f t="shared" si="269"/>
        <v>10/03/2026|АРТ-197|C0840</v>
      </c>
      <c r="V842" s="12" t="str">
        <f t="shared" si="270"/>
        <v>оригинал</v>
      </c>
    </row>
    <row r="843" ht="15" customHeight="1">
      <c r="A843" s="10">
        <v>841</v>
      </c>
      <c r="B843" s="11" t="str">
        <f>RAW_Продажи!A842</f>
        <v>03/11/2026</v>
      </c>
      <c r="C843" s="11" t="str">
        <f>RAW_Продажи!B842</f>
        <v>№АРТ-158</v>
      </c>
      <c r="D843" s="11" t="str">
        <f>RAW_Продажи!C842</f>
        <v>3</v>
      </c>
      <c r="E843" s="11" t="str">
        <f>RAW_Продажи!D842</f>
        <v>$90</v>
      </c>
      <c r="F843" s="11" t="str">
        <f>RAW_Продажи!E842</f>
        <v>C0841</v>
      </c>
      <c r="G843" s="11" t="str">
        <f>RAW_Продажи!F842</f>
        <v>P020</v>
      </c>
      <c r="H843" s="11" t="str">
        <f>RAW_Продажи!G842</f>
        <v>отменен</v>
      </c>
      <c r="I843" s="12" t="str">
        <f t="shared" si="262"/>
        <v>158</v>
      </c>
      <c r="J843" s="12" t="str">
        <f t="shared" si="263"/>
        <v>$</v>
      </c>
      <c r="K843" s="12">
        <f t="shared" si="264"/>
        <v>90</v>
      </c>
      <c r="L843" s="19">
        <f t="shared" si="265"/>
        <v>46092</v>
      </c>
      <c r="M843" s="13" t="str">
        <f t="shared" si="266"/>
        <v>АРТ-158</v>
      </c>
      <c r="N843" s="13">
        <f t="shared" si="267"/>
        <v>3</v>
      </c>
      <c r="O843" s="13" t="str">
        <f>IFERROR(VLOOKUP(J843,Справочники!$G$6:$H$8,2,0),"RUB")</f>
        <v>USD</v>
      </c>
      <c r="P843" s="14">
        <f>ROUND(K843*IFERROR(VLOOKUP(J843,Справочники!$G$6:$I$8,3,0),1),2)</f>
        <v>8550</v>
      </c>
      <c r="Q843" s="13" t="str">
        <f>IFERROR(VLOOKUP(H843,Справочники!$D$6:$E$14,2,0),"НЕИЗВЕСТНО")</f>
        <v>Отменен</v>
      </c>
      <c r="R843" s="20">
        <f>IFERROR(INDEX(Товары_очищенные!$Q$3:$Q$503,MATCH(M843,Товары_очищенные!$L$3:$L$503,0)),"нет в каталоге")</f>
        <v>90000</v>
      </c>
      <c r="S843" s="21" t="str">
        <f>IFERROR(INDEX(Товары_очищенные!$N$3:$N$503,MATCH(M843,Товары_очищенные!$L$3:$L$503,0)),"нет в каталоге")</f>
        <v>Мониторы</v>
      </c>
      <c r="T843" s="21" t="str">
        <f t="shared" si="268"/>
        <v>OK</v>
      </c>
      <c r="U843" s="12" t="str">
        <f t="shared" si="269"/>
        <v>11/03/2026|АРТ-158|C0841</v>
      </c>
      <c r="V843" s="12" t="str">
        <f t="shared" si="270"/>
        <v>оригинал</v>
      </c>
    </row>
    <row r="844" ht="15" customHeight="1">
      <c r="A844" s="10">
        <v>842</v>
      </c>
      <c r="B844" s="11" t="str">
        <f>RAW_Продажи!A843</f>
        <v>03/11/2026</v>
      </c>
      <c r="C844" s="11" t="str">
        <f>RAW_Продажи!B843</f>
        <v>АРТ_496</v>
      </c>
      <c r="D844" s="11" t="str">
        <f>RAW_Продажи!C843</f>
        <v>2</v>
      </c>
      <c r="E844" s="11" t="str">
        <f>RAW_Продажи!D843</f>
        <v>€70</v>
      </c>
      <c r="F844" s="11" t="str">
        <f>RAW_Продажи!E843</f>
        <v>C0842</v>
      </c>
      <c r="G844" s="11" t="str">
        <f>RAW_Продажи!F843</f>
        <v>P002</v>
      </c>
      <c r="H844" s="11" t="str">
        <f>RAW_Продажи!G843</f>
        <v>возврат</v>
      </c>
      <c r="I844" s="12" t="str">
        <f t="shared" si="262"/>
        <v>496</v>
      </c>
      <c r="J844" s="12" t="str">
        <f t="shared" si="263"/>
        <v>€</v>
      </c>
      <c r="K844" s="12">
        <f t="shared" si="264"/>
        <v>70</v>
      </c>
      <c r="L844" s="19">
        <f t="shared" si="265"/>
        <v>46092</v>
      </c>
      <c r="M844" s="13" t="str">
        <f t="shared" si="266"/>
        <v>АРТ-496</v>
      </c>
      <c r="N844" s="13">
        <f t="shared" si="267"/>
        <v>2</v>
      </c>
      <c r="O844" s="13" t="str">
        <f>IFERROR(VLOOKUP(J844,Справочники!$G$6:$H$8,2,0),"RUB")</f>
        <v>EUR</v>
      </c>
      <c r="P844" s="14">
        <f>ROUND(K844*IFERROR(VLOOKUP(J844,Справочники!$G$6:$I$8,3,0),1),2)</f>
        <v>7000</v>
      </c>
      <c r="Q844" s="13" t="str">
        <f>IFERROR(VLOOKUP(H844,Справочники!$D$6:$E$14,2,0),"НЕИЗВЕСТНО")</f>
        <v>Возврат</v>
      </c>
      <c r="R844" s="20">
        <f>IFERROR(INDEX(Товары_очищенные!$Q$3:$Q$503,MATCH(M844,Товары_очищенные!$L$3:$L$503,0)),"нет в каталоге")</f>
        <v>59990</v>
      </c>
      <c r="S844" s="21" t="str">
        <f>IFERROR(INDEX(Товары_очищенные!$N$3:$N$503,MATCH(M844,Товары_очищенные!$L$3:$L$503,0)),"нет в каталоге")</f>
        <v>Мониторы</v>
      </c>
      <c r="T844" s="21" t="str">
        <f t="shared" si="268"/>
        <v>OK</v>
      </c>
      <c r="U844" s="12" t="str">
        <f t="shared" si="269"/>
        <v>11/03/2026|АРТ-496|C0842</v>
      </c>
      <c r="V844" s="12" t="str">
        <f t="shared" si="270"/>
        <v>оригинал</v>
      </c>
    </row>
    <row r="845" ht="15" customHeight="1">
      <c r="A845" s="10">
        <v>843</v>
      </c>
      <c r="B845" s="11" t="str">
        <f>RAW_Продажи!A844</f>
        <v>03/12/2026</v>
      </c>
      <c r="C845" s="11" t="str">
        <f>RAW_Продажи!B844</f>
        <v>349/24</v>
      </c>
      <c r="D845" s="11" t="str">
        <f>RAW_Продажи!C844</f>
        <v xml:space="preserve">1 шт.</v>
      </c>
      <c r="E845" s="11" t="str">
        <f>RAW_Продажи!D844</f>
        <v xml:space="preserve">6500 ₽</v>
      </c>
      <c r="F845" s="11" t="str">
        <f>RAW_Продажи!E844</f>
        <v>C0843</v>
      </c>
      <c r="G845" s="11" t="str">
        <f>RAW_Продажи!F844</f>
        <v>P038</v>
      </c>
      <c r="H845" s="11" t="str">
        <f>RAW_Продажи!G844</f>
        <v>Завершен</v>
      </c>
      <c r="I845" s="12" t="str">
        <f t="shared" si="262"/>
        <v>349/24</v>
      </c>
      <c r="J845" s="12" t="str">
        <f t="shared" si="263"/>
        <v>₽</v>
      </c>
      <c r="K845" s="12">
        <f t="shared" si="264"/>
        <v>6500</v>
      </c>
      <c r="L845" s="19">
        <f t="shared" si="265"/>
        <v>46093</v>
      </c>
      <c r="M845" s="13" t="str">
        <f t="shared" si="266"/>
        <v>АРТ-349</v>
      </c>
      <c r="N845" s="13">
        <f t="shared" si="267"/>
        <v>1</v>
      </c>
      <c r="O845" s="13" t="str">
        <f>IFERROR(VLOOKUP(J845,Справочники!$G$6:$H$8,2,0),"RUB")</f>
        <v>RUB</v>
      </c>
      <c r="P845" s="14">
        <f>ROUND(K845*IFERROR(VLOOKUP(J845,Справочники!$G$6:$I$8,3,0),1),2)</f>
        <v>6500</v>
      </c>
      <c r="Q845" s="13" t="str">
        <f>IFERROR(VLOOKUP(H845,Справочники!$D$6:$E$14,2,0),"НЕИЗВЕСТНО")</f>
        <v>Завершен</v>
      </c>
      <c r="R845" s="20">
        <f>IFERROR(INDEX(Товары_очищенные!$Q$3:$Q$503,MATCH(M845,Товары_очищенные!$L$3:$L$503,0)),"нет в каталоге")</f>
        <v>54990</v>
      </c>
      <c r="S845" s="21" t="str">
        <f>IFERROR(INDEX(Товары_очищенные!$N$3:$N$503,MATCH(M845,Товары_очищенные!$L$3:$L$503,0)),"нет в каталоге")</f>
        <v>Мониторы</v>
      </c>
      <c r="T845" s="21" t="str">
        <f t="shared" si="268"/>
        <v>OK</v>
      </c>
      <c r="U845" s="12" t="str">
        <f t="shared" si="269"/>
        <v>12/03/2026|АРТ-349|C0843</v>
      </c>
      <c r="V845" s="12" t="str">
        <f t="shared" si="270"/>
        <v>оригинал</v>
      </c>
    </row>
    <row r="846" ht="15" customHeight="1">
      <c r="A846" s="10">
        <v>844</v>
      </c>
      <c r="B846" s="11" t="str">
        <f>RAW_Продажи!A845</f>
        <v>03/12/2026</v>
      </c>
      <c r="C846" s="11" t="str">
        <f>RAW_Продажи!B845</f>
        <v>№АРТ-386</v>
      </c>
      <c r="D846" s="11" t="str">
        <f>RAW_Продажи!C845</f>
        <v>-1</v>
      </c>
      <c r="E846" s="11" t="str">
        <f>RAW_Продажи!D845</f>
        <v>$110</v>
      </c>
      <c r="F846" s="11" t="str">
        <f>RAW_Продажи!E845</f>
        <v>C0844</v>
      </c>
      <c r="G846" s="11" t="str">
        <f>RAW_Продажи!F845</f>
        <v>P016</v>
      </c>
      <c r="H846" s="11" t="str">
        <f>RAW_Продажи!G845</f>
        <v>завершен</v>
      </c>
      <c r="I846" s="12" t="str">
        <f t="shared" si="262"/>
        <v>386</v>
      </c>
      <c r="J846" s="12" t="str">
        <f t="shared" si="263"/>
        <v>$</v>
      </c>
      <c r="K846" s="12">
        <f t="shared" si="264"/>
        <v>110</v>
      </c>
      <c r="L846" s="19">
        <f t="shared" si="265"/>
        <v>46093</v>
      </c>
      <c r="M846" s="13" t="str">
        <f t="shared" si="266"/>
        <v>АРТ-386</v>
      </c>
      <c r="N846" s="13">
        <f t="shared" si="267"/>
        <v>-1</v>
      </c>
      <c r="O846" s="13" t="str">
        <f>IFERROR(VLOOKUP(J846,Справочники!$G$6:$H$8,2,0),"RUB")</f>
        <v>USD</v>
      </c>
      <c r="P846" s="14">
        <f>ROUND(K846*IFERROR(VLOOKUP(J846,Справочники!$G$6:$I$8,3,0),1),2)</f>
        <v>10450</v>
      </c>
      <c r="Q846" s="13" t="str">
        <f>IFERROR(VLOOKUP(H846,Справочники!$D$6:$E$14,2,0),"НЕИЗВЕСТНО")</f>
        <v>Завершен</v>
      </c>
      <c r="R846" s="20">
        <f>IFERROR(INDEX(Товары_очищенные!$Q$3:$Q$503,MATCH(M846,Товары_очищенные!$L$3:$L$503,0)),"нет в каталоге")</f>
        <v>114000</v>
      </c>
      <c r="S846" s="21" t="str">
        <f>IFERROR(INDEX(Товары_очищенные!$N$3:$N$503,MATCH(M846,Товары_очищенные!$L$3:$L$503,0)),"нет в каталоге")</f>
        <v>Ноутбуки</v>
      </c>
      <c r="T846" s="21" t="str">
        <f t="shared" si="268"/>
        <v>OK</v>
      </c>
      <c r="U846" s="12" t="str">
        <f t="shared" si="269"/>
        <v>12/03/2026|АРТ-386|C0844</v>
      </c>
      <c r="V846" s="12" t="str">
        <f t="shared" si="270"/>
        <v>оригинал</v>
      </c>
    </row>
    <row r="847" ht="15" customHeight="1">
      <c r="A847" s="10">
        <v>845</v>
      </c>
      <c r="B847" s="11" t="str">
        <f>RAW_Продажи!A846</f>
        <v>03/13/2026</v>
      </c>
      <c r="C847" s="11" t="str">
        <f>RAW_Продажи!B846</f>
        <v>АРТ_275</v>
      </c>
      <c r="D847" s="11" t="str">
        <f>RAW_Продажи!C846</f>
        <v>3</v>
      </c>
      <c r="E847" s="11" t="str">
        <f>RAW_Продажи!D846</f>
        <v>€90</v>
      </c>
      <c r="F847" s="11" t="str">
        <f>RAW_Продажи!E846</f>
        <v>C0845</v>
      </c>
      <c r="G847" s="11" t="str">
        <f>RAW_Продажи!F846</f>
        <v>P029</v>
      </c>
      <c r="H847" s="11" t="str">
        <f>RAW_Продажи!G846</f>
        <v>completed</v>
      </c>
      <c r="I847" s="12" t="str">
        <f t="shared" si="262"/>
        <v>275</v>
      </c>
      <c r="J847" s="12" t="str">
        <f t="shared" si="263"/>
        <v>€</v>
      </c>
      <c r="K847" s="12">
        <f t="shared" si="264"/>
        <v>90</v>
      </c>
      <c r="L847" s="19">
        <f t="shared" si="265"/>
        <v>46094</v>
      </c>
      <c r="M847" s="13" t="str">
        <f t="shared" si="266"/>
        <v>АРТ-275</v>
      </c>
      <c r="N847" s="13">
        <f t="shared" si="267"/>
        <v>3</v>
      </c>
      <c r="O847" s="13" t="str">
        <f>IFERROR(VLOOKUP(J847,Справочники!$G$6:$H$8,2,0),"RUB")</f>
        <v>EUR</v>
      </c>
      <c r="P847" s="14">
        <f>ROUND(K847*IFERROR(VLOOKUP(J847,Справочники!$G$6:$I$8,3,0),1),2)</f>
        <v>9000</v>
      </c>
      <c r="Q847" s="13" t="str">
        <f>IFERROR(VLOOKUP(H847,Справочники!$D$6:$E$14,2,0),"НЕИЗВЕСТНО")</f>
        <v>Завершен</v>
      </c>
      <c r="R847" s="20">
        <f>IFERROR(INDEX(Товары_очищенные!$Q$3:$Q$503,MATCH(M847,Товары_очищенные!$L$3:$L$503,0)),"нет в каталоге")</f>
        <v>47000</v>
      </c>
      <c r="S847" s="21" t="str">
        <f>IFERROR(INDEX(Товары_очищенные!$N$3:$N$503,MATCH(M847,Товары_очищенные!$L$3:$L$503,0)),"нет в каталоге")</f>
        <v>Планшеты</v>
      </c>
      <c r="T847" s="21" t="str">
        <f t="shared" si="268"/>
        <v>OK</v>
      </c>
      <c r="U847" s="12" t="str">
        <f t="shared" si="269"/>
        <v>13/03/2026|АРТ-275|C0845</v>
      </c>
      <c r="V847" s="12" t="str">
        <f t="shared" si="270"/>
        <v>оригинал</v>
      </c>
    </row>
    <row r="848" ht="15" customHeight="1">
      <c r="A848" s="10">
        <v>846</v>
      </c>
      <c r="B848" s="11" t="str">
        <f>RAW_Продажи!A847</f>
        <v>03/13/2026</v>
      </c>
      <c r="C848" s="11" t="str">
        <f>RAW_Продажи!B847</f>
        <v>151-24</v>
      </c>
      <c r="D848" s="11" t="str">
        <f>RAW_Продажи!C847</f>
        <v>2</v>
      </c>
      <c r="E848" s="11" t="str">
        <f>RAW_Продажи!D847</f>
        <v xml:space="preserve">8000 ₽</v>
      </c>
      <c r="F848" s="11" t="str">
        <f>RAW_Продажи!E847</f>
        <v>C0846</v>
      </c>
      <c r="G848" s="11" t="str">
        <f>RAW_Продажи!F847</f>
        <v>P035</v>
      </c>
      <c r="H848" s="11" t="str">
        <f>RAW_Продажи!G847</f>
        <v>отменен</v>
      </c>
      <c r="I848" s="12" t="str">
        <f t="shared" si="262"/>
        <v>151-24</v>
      </c>
      <c r="J848" s="12" t="str">
        <f t="shared" si="263"/>
        <v>₽</v>
      </c>
      <c r="K848" s="12">
        <f t="shared" si="264"/>
        <v>8000</v>
      </c>
      <c r="L848" s="19">
        <f t="shared" si="265"/>
        <v>46094</v>
      </c>
      <c r="M848" s="13" t="str">
        <f t="shared" si="266"/>
        <v>АРТ-151</v>
      </c>
      <c r="N848" s="13">
        <f t="shared" si="267"/>
        <v>2</v>
      </c>
      <c r="O848" s="13" t="str">
        <f>IFERROR(VLOOKUP(J848,Справочники!$G$6:$H$8,2,0),"RUB")</f>
        <v>RUB</v>
      </c>
      <c r="P848" s="14">
        <f>ROUND(K848*IFERROR(VLOOKUP(J848,Справочники!$G$6:$I$8,3,0),1),2)</f>
        <v>8000</v>
      </c>
      <c r="Q848" s="13" t="str">
        <f>IFERROR(VLOOKUP(H848,Справочники!$D$6:$E$14,2,0),"НЕИЗВЕСТНО")</f>
        <v>Отменен</v>
      </c>
      <c r="R848" s="20">
        <f>IFERROR(INDEX(Товары_очищенные!$Q$3:$Q$503,MATCH(M848,Товары_очищенные!$L$3:$L$503,0)),"нет в каталоге")</f>
        <v>154990</v>
      </c>
      <c r="S848" s="21" t="str">
        <f>IFERROR(INDEX(Товары_очищенные!$N$3:$N$503,MATCH(M848,Товары_очищенные!$L$3:$L$503,0)),"нет в каталоге")</f>
        <v>Телевизоры</v>
      </c>
      <c r="T848" s="21" t="str">
        <f t="shared" si="268"/>
        <v>OK</v>
      </c>
      <c r="U848" s="12" t="str">
        <f t="shared" si="269"/>
        <v>13/03/2026|АРТ-151|C0846</v>
      </c>
      <c r="V848" s="12" t="str">
        <f t="shared" si="270"/>
        <v>оригинал</v>
      </c>
    </row>
    <row r="849" ht="15" customHeight="1">
      <c r="A849" s="10">
        <v>847</v>
      </c>
      <c r="B849" s="11" t="str">
        <f>RAW_Продажи!A848</f>
        <v>03/14/2026</v>
      </c>
      <c r="C849" s="11" t="str">
        <f>RAW_Продажи!B848</f>
        <v>№АРТ-031</v>
      </c>
      <c r="D849" s="11" t="str">
        <f>RAW_Продажи!C848</f>
        <v>1</v>
      </c>
      <c r="E849" s="11" t="str">
        <f>RAW_Продажи!D848</f>
        <v>$95</v>
      </c>
      <c r="F849" s="11" t="str">
        <f>RAW_Продажи!E848</f>
        <v>C0847</v>
      </c>
      <c r="G849" s="11" t="str">
        <f>RAW_Продажи!F848</f>
        <v>P046</v>
      </c>
      <c r="H849" s="11" t="str">
        <f>RAW_Продажи!G848</f>
        <v>canceled</v>
      </c>
      <c r="I849" s="12" t="str">
        <f t="shared" si="262"/>
        <v>031</v>
      </c>
      <c r="J849" s="12" t="str">
        <f t="shared" si="263"/>
        <v>$</v>
      </c>
      <c r="K849" s="12">
        <f t="shared" si="264"/>
        <v>95</v>
      </c>
      <c r="L849" s="19">
        <f t="shared" si="265"/>
        <v>46095</v>
      </c>
      <c r="M849" s="13" t="str">
        <f t="shared" si="266"/>
        <v>АРТ-031</v>
      </c>
      <c r="N849" s="13">
        <f t="shared" si="267"/>
        <v>1</v>
      </c>
      <c r="O849" s="13" t="str">
        <f>IFERROR(VLOOKUP(J849,Справочники!$G$6:$H$8,2,0),"RUB")</f>
        <v>USD</v>
      </c>
      <c r="P849" s="14">
        <f>ROUND(K849*IFERROR(VLOOKUP(J849,Справочники!$G$6:$I$8,3,0),1),2)</f>
        <v>9025</v>
      </c>
      <c r="Q849" s="13" t="str">
        <f>IFERROR(VLOOKUP(H849,Справочники!$D$6:$E$14,2,0),"НЕИЗВЕСТНО")</f>
        <v>Отменен</v>
      </c>
      <c r="R849" s="20">
        <f>IFERROR(INDEX(Товары_очищенные!$Q$3:$Q$503,MATCH(M849,Товары_очищенные!$L$3:$L$503,0)),"нет в каталоге")</f>
        <v>8990</v>
      </c>
      <c r="S849" s="21" t="str">
        <f>IFERROR(INDEX(Товары_очищенные!$N$3:$N$503,MATCH(M849,Товары_очищенные!$L$3:$L$503,0)),"нет в каталоге")</f>
        <v>Аксессуары</v>
      </c>
      <c r="T849" s="21" t="str">
        <f t="shared" si="268"/>
        <v>OK</v>
      </c>
      <c r="U849" s="12" t="str">
        <f t="shared" si="269"/>
        <v>14/03/2026|АРТ-031|C0847</v>
      </c>
      <c r="V849" s="12" t="str">
        <f t="shared" si="270"/>
        <v>оригинал</v>
      </c>
    </row>
    <row r="850" ht="15" customHeight="1">
      <c r="A850" s="10">
        <v>848</v>
      </c>
      <c r="B850" s="11" t="str">
        <f>RAW_Продажи!A849</f>
        <v>03/14/2026</v>
      </c>
      <c r="C850" s="11" t="str">
        <f>RAW_Продажи!B849</f>
        <v>АРТ_414</v>
      </c>
      <c r="D850" s="11" t="str">
        <f>RAW_Продажи!C849</f>
        <v>2</v>
      </c>
      <c r="E850" s="11" t="str">
        <f>RAW_Продажи!D849</f>
        <v>€75</v>
      </c>
      <c r="F850" s="11" t="str">
        <f>RAW_Продажи!E849</f>
        <v>C0848</v>
      </c>
      <c r="G850" s="11" t="str">
        <f>RAW_Продажи!F849</f>
        <v>P022</v>
      </c>
      <c r="H850" s="11" t="str">
        <f>RAW_Продажи!G849</f>
        <v>Завершен</v>
      </c>
      <c r="I850" s="12" t="str">
        <f t="shared" si="262"/>
        <v>414</v>
      </c>
      <c r="J850" s="12" t="str">
        <f t="shared" si="263"/>
        <v>€</v>
      </c>
      <c r="K850" s="12">
        <f t="shared" si="264"/>
        <v>75</v>
      </c>
      <c r="L850" s="19">
        <f t="shared" si="265"/>
        <v>46095</v>
      </c>
      <c r="M850" s="13" t="str">
        <f t="shared" si="266"/>
        <v>АРТ-414</v>
      </c>
      <c r="N850" s="13">
        <f t="shared" si="267"/>
        <v>2</v>
      </c>
      <c r="O850" s="13" t="str">
        <f>IFERROR(VLOOKUP(J850,Справочники!$G$6:$H$8,2,0),"RUB")</f>
        <v>EUR</v>
      </c>
      <c r="P850" s="14">
        <f>ROUND(K850*IFERROR(VLOOKUP(J850,Справочники!$G$6:$I$8,3,0),1),2)</f>
        <v>7500</v>
      </c>
      <c r="Q850" s="13" t="str">
        <f>IFERROR(VLOOKUP(H850,Справочники!$D$6:$E$14,2,0),"НЕИЗВЕСТНО")</f>
        <v>Завершен</v>
      </c>
      <c r="R850" s="20">
        <f>IFERROR(INDEX(Товары_очищенные!$Q$3:$Q$503,MATCH(M850,Товары_очищенные!$L$3:$L$503,0)),"нет в каталоге")</f>
        <v>57000</v>
      </c>
      <c r="S850" s="21" t="str">
        <f>IFERROR(INDEX(Товары_очищенные!$N$3:$N$503,MATCH(M850,Товары_очищенные!$L$3:$L$503,0)),"нет в каталоге")</f>
        <v>Мониторы</v>
      </c>
      <c r="T850" s="21" t="str">
        <f t="shared" si="268"/>
        <v>OK</v>
      </c>
      <c r="U850" s="12" t="str">
        <f t="shared" si="269"/>
        <v>14/03/2026|АРТ-414|C0848</v>
      </c>
      <c r="V850" s="12" t="str">
        <f t="shared" si="270"/>
        <v>оригинал</v>
      </c>
    </row>
    <row r="851" ht="15" customHeight="1">
      <c r="A851" s="10">
        <v>849</v>
      </c>
      <c r="B851" s="11" t="str">
        <f>RAW_Продажи!A850</f>
        <v>03/15/2026</v>
      </c>
      <c r="C851" s="11" t="str">
        <f>RAW_Продажи!B850</f>
        <v>333/24</v>
      </c>
      <c r="D851" s="11" t="str">
        <f>RAW_Продажи!C850</f>
        <v xml:space="preserve">3 шт.</v>
      </c>
      <c r="E851" s="11" t="str">
        <f>RAW_Продажи!D850</f>
        <v xml:space="preserve">7000 ₽</v>
      </c>
      <c r="F851" s="11" t="str">
        <f>RAW_Продажи!E850</f>
        <v>C0849</v>
      </c>
      <c r="G851" s="11" t="str">
        <f>RAW_Продажи!F850</f>
        <v>P043</v>
      </c>
      <c r="H851" s="11" t="str">
        <f>RAW_Продажи!G850</f>
        <v>возврат</v>
      </c>
      <c r="I851" s="12" t="str">
        <f t="shared" si="262"/>
        <v>333/24</v>
      </c>
      <c r="J851" s="12" t="str">
        <f t="shared" si="263"/>
        <v>₽</v>
      </c>
      <c r="K851" s="12">
        <f t="shared" si="264"/>
        <v>7000</v>
      </c>
      <c r="L851" s="19">
        <f t="shared" si="265"/>
        <v>46096</v>
      </c>
      <c r="M851" s="13" t="str">
        <f t="shared" si="266"/>
        <v>АРТ-333</v>
      </c>
      <c r="N851" s="13">
        <f t="shared" si="267"/>
        <v>3</v>
      </c>
      <c r="O851" s="13" t="str">
        <f>IFERROR(VLOOKUP(J851,Справочники!$G$6:$H$8,2,0),"RUB")</f>
        <v>RUB</v>
      </c>
      <c r="P851" s="14">
        <f>ROUND(K851*IFERROR(VLOOKUP(J851,Справочники!$G$6:$I$8,3,0),1),2)</f>
        <v>7000</v>
      </c>
      <c r="Q851" s="13" t="str">
        <f>IFERROR(VLOOKUP(H851,Справочники!$D$6:$E$14,2,0),"НЕИЗВЕСТНО")</f>
        <v>Возврат</v>
      </c>
      <c r="R851" s="20">
        <f>IFERROR(INDEX(Товары_очищенные!$Q$3:$Q$503,MATCH(M851,Товары_очищенные!$L$3:$L$503,0)),"нет в каталоге")</f>
        <v>72000</v>
      </c>
      <c r="S851" s="21" t="str">
        <f>IFERROR(INDEX(Товары_очищенные!$N$3:$N$503,MATCH(M851,Товары_очищенные!$L$3:$L$503,0)),"нет в каталоге")</f>
        <v>Часы</v>
      </c>
      <c r="T851" s="21" t="str">
        <f t="shared" si="268"/>
        <v>OK</v>
      </c>
      <c r="U851" s="12" t="str">
        <f t="shared" si="269"/>
        <v>15/03/2026|АРТ-333|C0849</v>
      </c>
      <c r="V851" s="12" t="str">
        <f t="shared" si="270"/>
        <v>оригинал</v>
      </c>
    </row>
    <row r="852" ht="15" customHeight="1">
      <c r="A852" s="10">
        <v>850</v>
      </c>
      <c r="B852" s="11" t="str">
        <f>RAW_Продажи!A851</f>
        <v>03/15/2026</v>
      </c>
      <c r="C852" s="11" t="str">
        <f>RAW_Продажи!B851</f>
        <v>№АРТ-391</v>
      </c>
      <c r="D852" s="11" t="str">
        <f>RAW_Продажи!C851</f>
        <v>-2</v>
      </c>
      <c r="E852" s="11" t="str">
        <f>RAW_Продажи!D851</f>
        <v>$115</v>
      </c>
      <c r="F852" s="11" t="str">
        <f>RAW_Продажи!E851</f>
        <v>C0850</v>
      </c>
      <c r="G852" s="11" t="str">
        <f>RAW_Продажи!F851</f>
        <v>P030</v>
      </c>
      <c r="H852" s="11" t="str">
        <f>RAW_Продажи!G851</f>
        <v>завершен</v>
      </c>
      <c r="I852" s="12" t="str">
        <f t="shared" si="262"/>
        <v>391</v>
      </c>
      <c r="J852" s="12" t="str">
        <f t="shared" si="263"/>
        <v>$</v>
      </c>
      <c r="K852" s="12">
        <f t="shared" si="264"/>
        <v>115</v>
      </c>
      <c r="L852" s="19">
        <f t="shared" si="265"/>
        <v>46096</v>
      </c>
      <c r="M852" s="13" t="str">
        <f t="shared" si="266"/>
        <v>АРТ-391</v>
      </c>
      <c r="N852" s="13">
        <f t="shared" si="267"/>
        <v>-2</v>
      </c>
      <c r="O852" s="13" t="str">
        <f>IFERROR(VLOOKUP(J852,Справочники!$G$6:$H$8,2,0),"RUB")</f>
        <v>USD</v>
      </c>
      <c r="P852" s="14">
        <f>ROUND(K852*IFERROR(VLOOKUP(J852,Справочники!$G$6:$I$8,3,0),1),2)</f>
        <v>10925</v>
      </c>
      <c r="Q852" s="13" t="str">
        <f>IFERROR(VLOOKUP(H852,Справочники!$D$6:$E$14,2,0),"НЕИЗВЕСТНО")</f>
        <v>Завершен</v>
      </c>
      <c r="R852" s="20">
        <f>IFERROR(INDEX(Товары_очищенные!$Q$3:$Q$503,MATCH(M852,Товары_очищенные!$L$3:$L$503,0)),"нет в каталоге")</f>
        <v>18990</v>
      </c>
      <c r="S852" s="21" t="str">
        <f>IFERROR(INDEX(Товары_очищенные!$N$3:$N$503,MATCH(M852,Товары_очищенные!$L$3:$L$503,0)),"нет в каталоге")</f>
        <v>Наушники</v>
      </c>
      <c r="T852" s="21" t="str">
        <f t="shared" si="268"/>
        <v>OK</v>
      </c>
      <c r="U852" s="12" t="str">
        <f t="shared" si="269"/>
        <v>15/03/2026|АРТ-391|C0850</v>
      </c>
      <c r="V852" s="12" t="str">
        <f t="shared" si="270"/>
        <v>оригинал</v>
      </c>
    </row>
    <row r="853" ht="15" customHeight="1">
      <c r="A853" s="10">
        <v>851</v>
      </c>
      <c r="B853" s="11" t="str">
        <f>RAW_Продажи!A852</f>
        <v>03/16/2026</v>
      </c>
      <c r="C853" s="11" t="str">
        <f>RAW_Продажи!B852</f>
        <v>АРТ_348</v>
      </c>
      <c r="D853" s="11" t="str">
        <f>RAW_Продажи!C852</f>
        <v>1</v>
      </c>
      <c r="E853" s="11" t="str">
        <f>RAW_Продажи!D852</f>
        <v>€95</v>
      </c>
      <c r="F853" s="11" t="str">
        <f>RAW_Продажи!E852</f>
        <v>C0851</v>
      </c>
      <c r="G853" s="11" t="str">
        <f>RAW_Продажи!F852</f>
        <v>P012</v>
      </c>
      <c r="H853" s="11" t="str">
        <f>RAW_Продажи!G852</f>
        <v>completed</v>
      </c>
      <c r="I853" s="12" t="str">
        <f t="shared" si="262"/>
        <v>348</v>
      </c>
      <c r="J853" s="12" t="str">
        <f t="shared" si="263"/>
        <v>€</v>
      </c>
      <c r="K853" s="12">
        <f t="shared" si="264"/>
        <v>95</v>
      </c>
      <c r="L853" s="19">
        <f t="shared" si="265"/>
        <v>46097</v>
      </c>
      <c r="M853" s="13" t="str">
        <f t="shared" si="266"/>
        <v>АРТ-348</v>
      </c>
      <c r="N853" s="13">
        <f t="shared" si="267"/>
        <v>1</v>
      </c>
      <c r="O853" s="13" t="str">
        <f>IFERROR(VLOOKUP(J853,Справочники!$G$6:$H$8,2,0),"RUB")</f>
        <v>EUR</v>
      </c>
      <c r="P853" s="14">
        <f>ROUND(K853*IFERROR(VLOOKUP(J853,Справочники!$G$6:$I$8,3,0),1),2)</f>
        <v>9500</v>
      </c>
      <c r="Q853" s="13" t="str">
        <f>IFERROR(VLOOKUP(H853,Справочники!$D$6:$E$14,2,0),"НЕИЗВЕСТНО")</f>
        <v>Завершен</v>
      </c>
      <c r="R853" s="20">
        <f>IFERROR(INDEX(Товары_очищенные!$Q$3:$Q$503,MATCH(M853,Товары_очищенные!$L$3:$L$503,0)),"нет в каталоге")</f>
        <v>20800</v>
      </c>
      <c r="S853" s="21" t="str">
        <f>IFERROR(INDEX(Товары_очищенные!$N$3:$N$503,MATCH(M853,Товары_очищенные!$L$3:$L$503,0)),"нет в каталоге")</f>
        <v>Наушники</v>
      </c>
      <c r="T853" s="21" t="str">
        <f t="shared" si="268"/>
        <v>OK</v>
      </c>
      <c r="U853" s="12" t="str">
        <f t="shared" si="269"/>
        <v>16/03/2026|АРТ-348|C0851</v>
      </c>
      <c r="V853" s="12" t="str">
        <f t="shared" si="270"/>
        <v>оригинал</v>
      </c>
    </row>
    <row r="854" ht="15" customHeight="1">
      <c r="A854" s="10">
        <v>852</v>
      </c>
      <c r="B854" s="11" t="str">
        <f>RAW_Продажи!A853</f>
        <v>03/16/2026</v>
      </c>
      <c r="C854" s="11" t="str">
        <f>RAW_Продажи!B853</f>
        <v>248-24</v>
      </c>
      <c r="D854" s="11" t="str">
        <f>RAW_Продажи!C853</f>
        <v>2</v>
      </c>
      <c r="E854" s="11" t="str">
        <f>RAW_Продажи!D853</f>
        <v xml:space="preserve">8500 ₽</v>
      </c>
      <c r="F854" s="11" t="str">
        <f>RAW_Продажи!E853</f>
        <v>C0852</v>
      </c>
      <c r="G854" s="11" t="str">
        <f>RAW_Продажи!F853</f>
        <v>P007</v>
      </c>
      <c r="H854" s="11" t="str">
        <f>RAW_Продажи!G853</f>
        <v>Завершен</v>
      </c>
      <c r="I854" s="12" t="str">
        <f t="shared" si="262"/>
        <v>248-24</v>
      </c>
      <c r="J854" s="12" t="str">
        <f t="shared" si="263"/>
        <v>₽</v>
      </c>
      <c r="K854" s="12">
        <f t="shared" si="264"/>
        <v>8500</v>
      </c>
      <c r="L854" s="19">
        <f t="shared" si="265"/>
        <v>46097</v>
      </c>
      <c r="M854" s="13" t="str">
        <f t="shared" si="266"/>
        <v>АРТ-248</v>
      </c>
      <c r="N854" s="13">
        <f t="shared" si="267"/>
        <v>2</v>
      </c>
      <c r="O854" s="13" t="str">
        <f>IFERROR(VLOOKUP(J854,Справочники!$G$6:$H$8,2,0),"RUB")</f>
        <v>RUB</v>
      </c>
      <c r="P854" s="14">
        <f>ROUND(K854*IFERROR(VLOOKUP(J854,Справочники!$G$6:$I$8,3,0),1),2)</f>
        <v>8500</v>
      </c>
      <c r="Q854" s="13" t="str">
        <f>IFERROR(VLOOKUP(H854,Справочники!$D$6:$E$14,2,0),"НЕИЗВЕСТНО")</f>
        <v>Завершен</v>
      </c>
      <c r="R854" s="20">
        <f>IFERROR(INDEX(Товары_очищенные!$Q$3:$Q$503,MATCH(M854,Товары_очищенные!$L$3:$L$503,0)),"нет в каталоге")</f>
        <v>9500</v>
      </c>
      <c r="S854" s="21" t="str">
        <f>IFERROR(INDEX(Товары_очищенные!$N$3:$N$503,MATCH(M854,Товары_очищенные!$L$3:$L$503,0)),"нет в каталоге")</f>
        <v>Аксессуары</v>
      </c>
      <c r="T854" s="21" t="str">
        <f t="shared" si="268"/>
        <v>OK</v>
      </c>
      <c r="U854" s="12" t="str">
        <f t="shared" si="269"/>
        <v>16/03/2026|АРТ-248|C0852</v>
      </c>
      <c r="V854" s="12" t="str">
        <f t="shared" si="270"/>
        <v>оригинал</v>
      </c>
    </row>
    <row r="855" ht="15" customHeight="1">
      <c r="A855" s="10">
        <v>853</v>
      </c>
      <c r="B855" s="11" t="str">
        <f>RAW_Продажи!A854</f>
        <v>03/17/2026</v>
      </c>
      <c r="C855" s="11" t="str">
        <f>RAW_Продажи!B854</f>
        <v>№АРТ-075</v>
      </c>
      <c r="D855" s="11" t="str">
        <f>RAW_Продажи!C854</f>
        <v>3</v>
      </c>
      <c r="E855" s="11" t="str">
        <f>RAW_Продажи!D854</f>
        <v>$105</v>
      </c>
      <c r="F855" s="11" t="str">
        <f>RAW_Продажи!E854</f>
        <v>C0853</v>
      </c>
      <c r="G855" s="11" t="str">
        <f>RAW_Продажи!F854</f>
        <v>P023</v>
      </c>
      <c r="H855" s="11" t="str">
        <f>RAW_Продажи!G854</f>
        <v>canceled</v>
      </c>
      <c r="I855" s="12" t="str">
        <f t="shared" si="262"/>
        <v>075</v>
      </c>
      <c r="J855" s="12" t="str">
        <f t="shared" si="263"/>
        <v>$</v>
      </c>
      <c r="K855" s="12">
        <f t="shared" si="264"/>
        <v>105</v>
      </c>
      <c r="L855" s="19">
        <f t="shared" si="265"/>
        <v>46098</v>
      </c>
      <c r="M855" s="13" t="str">
        <f t="shared" si="266"/>
        <v>АРТ-075</v>
      </c>
      <c r="N855" s="13">
        <f t="shared" si="267"/>
        <v>3</v>
      </c>
      <c r="O855" s="13" t="str">
        <f>IFERROR(VLOOKUP(J855,Справочники!$G$6:$H$8,2,0),"RUB")</f>
        <v>USD</v>
      </c>
      <c r="P855" s="14">
        <f>ROUND(K855*IFERROR(VLOOKUP(J855,Справочники!$G$6:$I$8,3,0),1),2)</f>
        <v>9975</v>
      </c>
      <c r="Q855" s="13" t="str">
        <f>IFERROR(VLOOKUP(H855,Справочники!$D$6:$E$14,2,0),"НЕИЗВЕСТНО")</f>
        <v>Отменен</v>
      </c>
      <c r="R855" s="20">
        <f>IFERROR(INDEX(Товары_очищенные!$Q$3:$Q$503,MATCH(M855,Товары_очищенные!$L$3:$L$503,0)),"нет в каталоге")</f>
        <v>82000</v>
      </c>
      <c r="S855" s="21" t="str">
        <f>IFERROR(INDEX(Товары_очищенные!$N$3:$N$503,MATCH(M855,Товары_очищенные!$L$3:$L$503,0)),"нет в каталоге")</f>
        <v>Мониторы</v>
      </c>
      <c r="T855" s="21" t="str">
        <f t="shared" si="268"/>
        <v>OK</v>
      </c>
      <c r="U855" s="12" t="str">
        <f t="shared" si="269"/>
        <v>17/03/2026|АРТ-075|C0853</v>
      </c>
      <c r="V855" s="12" t="str">
        <f t="shared" si="270"/>
        <v>оригинал</v>
      </c>
    </row>
    <row r="856" ht="15" customHeight="1">
      <c r="A856" s="10">
        <v>854</v>
      </c>
      <c r="B856" s="11" t="str">
        <f>RAW_Продажи!A855</f>
        <v>03/17/2026</v>
      </c>
      <c r="C856" s="11" t="str">
        <f>RAW_Продажи!B855</f>
        <v>АРТ_466</v>
      </c>
      <c r="D856" s="11" t="str">
        <f>RAW_Продажи!C855</f>
        <v>2</v>
      </c>
      <c r="E856" s="11" t="str">
        <f>RAW_Продажи!D855</f>
        <v>€85</v>
      </c>
      <c r="F856" s="11" t="str">
        <f>RAW_Продажи!E855</f>
        <v>C0854</v>
      </c>
      <c r="G856" s="11" t="str">
        <f>RAW_Продажи!F855</f>
        <v>P045</v>
      </c>
      <c r="H856" s="11" t="str">
        <f>RAW_Продажи!G855</f>
        <v>отменен</v>
      </c>
      <c r="I856" s="12" t="str">
        <f t="shared" si="262"/>
        <v>466</v>
      </c>
      <c r="J856" s="12" t="str">
        <f t="shared" si="263"/>
        <v>€</v>
      </c>
      <c r="K856" s="12">
        <f t="shared" si="264"/>
        <v>85</v>
      </c>
      <c r="L856" s="19">
        <f t="shared" si="265"/>
        <v>46098</v>
      </c>
      <c r="M856" s="13" t="str">
        <f t="shared" si="266"/>
        <v>АРТ-466</v>
      </c>
      <c r="N856" s="13">
        <f t="shared" si="267"/>
        <v>2</v>
      </c>
      <c r="O856" s="13" t="str">
        <f>IFERROR(VLOOKUP(J856,Справочники!$G$6:$H$8,2,0),"RUB")</f>
        <v>EUR</v>
      </c>
      <c r="P856" s="14">
        <f>ROUND(K856*IFERROR(VLOOKUP(J856,Справочники!$G$6:$I$8,3,0),1),2)</f>
        <v>8500</v>
      </c>
      <c r="Q856" s="13" t="str">
        <f>IFERROR(VLOOKUP(H856,Справочники!$D$6:$E$14,2,0),"НЕИЗВЕСТНО")</f>
        <v>Отменен</v>
      </c>
      <c r="R856" s="20">
        <f>IFERROR(INDEX(Товары_очищенные!$Q$3:$Q$503,MATCH(M856,Товары_очищенные!$L$3:$L$503,0)),"нет в каталоге")</f>
        <v>22990</v>
      </c>
      <c r="S856" s="21" t="str">
        <f>IFERROR(INDEX(Товары_очищенные!$N$3:$N$503,MATCH(M856,Товары_очищенные!$L$3:$L$503,0)),"нет в каталоге")</f>
        <v>Смартфоны</v>
      </c>
      <c r="T856" s="21" t="str">
        <f t="shared" si="268"/>
        <v>OK</v>
      </c>
      <c r="U856" s="12" t="str">
        <f t="shared" si="269"/>
        <v>17/03/2026|АРТ-466|C0854</v>
      </c>
      <c r="V856" s="12" t="str">
        <f t="shared" si="270"/>
        <v>оригинал</v>
      </c>
    </row>
    <row r="857" ht="15" customHeight="1">
      <c r="A857" s="10">
        <v>855</v>
      </c>
      <c r="B857" s="11" t="str">
        <f>RAW_Продажи!A856</f>
        <v>03/18/2026</v>
      </c>
      <c r="C857" s="11" t="str">
        <f>RAW_Продажи!B856</f>
        <v>324/24</v>
      </c>
      <c r="D857" s="11" t="str">
        <f>RAW_Продажи!C856</f>
        <v xml:space="preserve">1 шт.</v>
      </c>
      <c r="E857" s="11" t="str">
        <f>RAW_Продажи!D856</f>
        <v xml:space="preserve">7800 ₽</v>
      </c>
      <c r="F857" s="11" t="str">
        <f>RAW_Продажи!E856</f>
        <v>C0855</v>
      </c>
      <c r="G857" s="11" t="str">
        <f>RAW_Продажи!F856</f>
        <v>P008</v>
      </c>
      <c r="H857" s="11" t="str">
        <f>RAW_Продажи!G856</f>
        <v>возврат</v>
      </c>
      <c r="I857" s="12" t="str">
        <f t="shared" si="262"/>
        <v>324/24</v>
      </c>
      <c r="J857" s="12" t="str">
        <f t="shared" si="263"/>
        <v>₽</v>
      </c>
      <c r="K857" s="12">
        <f t="shared" si="264"/>
        <v>7800</v>
      </c>
      <c r="L857" s="19">
        <f t="shared" si="265"/>
        <v>46099</v>
      </c>
      <c r="M857" s="13" t="str">
        <f t="shared" si="266"/>
        <v>АРТ-324</v>
      </c>
      <c r="N857" s="13">
        <f t="shared" si="267"/>
        <v>1</v>
      </c>
      <c r="O857" s="13" t="str">
        <f>IFERROR(VLOOKUP(J857,Справочники!$G$6:$H$8,2,0),"RUB")</f>
        <v>RUB</v>
      </c>
      <c r="P857" s="14">
        <f>ROUND(K857*IFERROR(VLOOKUP(J857,Справочники!$G$6:$I$8,3,0),1),2)</f>
        <v>7800</v>
      </c>
      <c r="Q857" s="13" t="str">
        <f>IFERROR(VLOOKUP(H857,Справочники!$D$6:$E$14,2,0),"НЕИЗВЕСТНО")</f>
        <v>Возврат</v>
      </c>
      <c r="R857" s="20">
        <f>IFERROR(INDEX(Товары_очищенные!$Q$3:$Q$503,MATCH(M857,Товары_очищенные!$L$3:$L$503,0)),"нет в каталоге")</f>
        <v>13800</v>
      </c>
      <c r="S857" s="21" t="str">
        <f>IFERROR(INDEX(Товары_очищенные!$N$3:$N$503,MATCH(M857,Товары_очищенные!$L$3:$L$503,0)),"нет в каталоге")</f>
        <v>Наушники</v>
      </c>
      <c r="T857" s="21" t="str">
        <f t="shared" si="268"/>
        <v>OK</v>
      </c>
      <c r="U857" s="12" t="str">
        <f t="shared" si="269"/>
        <v>18/03/2026|АРТ-324|C0855</v>
      </c>
      <c r="V857" s="12" t="str">
        <f t="shared" si="270"/>
        <v>оригинал</v>
      </c>
    </row>
    <row r="858" ht="15" customHeight="1">
      <c r="A858" s="10">
        <v>856</v>
      </c>
      <c r="B858" s="11" t="str">
        <f>RAW_Продажи!A857</f>
        <v>03/18/2026</v>
      </c>
      <c r="C858" s="11" t="str">
        <f>RAW_Продажи!B857</f>
        <v>№АРТ-306</v>
      </c>
      <c r="D858" s="11" t="str">
        <f>RAW_Продажи!C857</f>
        <v>-3</v>
      </c>
      <c r="E858" s="11" t="str">
        <f>RAW_Продажи!D857</f>
        <v>$120</v>
      </c>
      <c r="F858" s="11" t="str">
        <f>RAW_Продажи!E857</f>
        <v>C0856</v>
      </c>
      <c r="G858" s="11" t="str">
        <f>RAW_Продажи!F857</f>
        <v>P031</v>
      </c>
      <c r="H858" s="11" t="str">
        <f>RAW_Продажи!G857</f>
        <v>Завершен</v>
      </c>
      <c r="I858" s="12" t="str">
        <f t="shared" si="262"/>
        <v>306</v>
      </c>
      <c r="J858" s="12" t="str">
        <f t="shared" si="263"/>
        <v>$</v>
      </c>
      <c r="K858" s="12">
        <f t="shared" si="264"/>
        <v>120</v>
      </c>
      <c r="L858" s="19">
        <f t="shared" si="265"/>
        <v>46099</v>
      </c>
      <c r="M858" s="13" t="str">
        <f t="shared" si="266"/>
        <v>АРТ-306</v>
      </c>
      <c r="N858" s="13">
        <f t="shared" si="267"/>
        <v>-3</v>
      </c>
      <c r="O858" s="13" t="str">
        <f>IFERROR(VLOOKUP(J858,Справочники!$G$6:$H$8,2,0),"RUB")</f>
        <v>USD</v>
      </c>
      <c r="P858" s="14">
        <f>ROUND(K858*IFERROR(VLOOKUP(J858,Справочники!$G$6:$I$8,3,0),1),2)</f>
        <v>11400</v>
      </c>
      <c r="Q858" s="13" t="str">
        <f>IFERROR(VLOOKUP(H858,Справочники!$D$6:$E$14,2,0),"НЕИЗВЕСТНО")</f>
        <v>Завершен</v>
      </c>
      <c r="R858" s="20">
        <f>IFERROR(INDEX(Товары_очищенные!$Q$3:$Q$503,MATCH(M858,Товары_очищенные!$L$3:$L$503,0)),"нет в каталоге")</f>
        <v>62000</v>
      </c>
      <c r="S858" s="21" t="str">
        <f>IFERROR(INDEX(Товары_очищенные!$N$3:$N$503,MATCH(M858,Товары_очищенные!$L$3:$L$503,0)),"нет в каталоге")</f>
        <v>Мониторы</v>
      </c>
      <c r="T858" s="21" t="str">
        <f t="shared" si="268"/>
        <v>OK</v>
      </c>
      <c r="U858" s="12" t="str">
        <f t="shared" si="269"/>
        <v>18/03/2026|АРТ-306|C0856</v>
      </c>
      <c r="V858" s="12" t="str">
        <f t="shared" si="270"/>
        <v>оригинал</v>
      </c>
    </row>
    <row r="859" ht="15" customHeight="1">
      <c r="A859" s="10">
        <v>857</v>
      </c>
      <c r="B859" s="11" t="str">
        <f>RAW_Продажи!A858</f>
        <v>03/19/2026</v>
      </c>
      <c r="C859" s="11" t="str">
        <f>RAW_Продажи!B858</f>
        <v>АРТ_291</v>
      </c>
      <c r="D859" s="11" t="str">
        <f>RAW_Продажи!C858</f>
        <v>2</v>
      </c>
      <c r="E859" s="11" t="str">
        <f>RAW_Продажи!D858</f>
        <v>€100</v>
      </c>
      <c r="F859" s="11" t="str">
        <f>RAW_Продажи!E858</f>
        <v>C0857</v>
      </c>
      <c r="G859" s="11" t="str">
        <f>RAW_Продажи!F858</f>
        <v>P019</v>
      </c>
      <c r="H859" s="11" t="str">
        <f>RAW_Продажи!G858</f>
        <v>завершен</v>
      </c>
      <c r="I859" s="12" t="str">
        <f t="shared" si="262"/>
        <v>291</v>
      </c>
      <c r="J859" s="12" t="str">
        <f t="shared" si="263"/>
        <v>€</v>
      </c>
      <c r="K859" s="12">
        <f t="shared" si="264"/>
        <v>100</v>
      </c>
      <c r="L859" s="19">
        <f t="shared" si="265"/>
        <v>46100</v>
      </c>
      <c r="M859" s="13" t="str">
        <f t="shared" si="266"/>
        <v>АРТ-291</v>
      </c>
      <c r="N859" s="13">
        <f t="shared" si="267"/>
        <v>2</v>
      </c>
      <c r="O859" s="13" t="str">
        <f>IFERROR(VLOOKUP(J859,Справочники!$G$6:$H$8,2,0),"RUB")</f>
        <v>EUR</v>
      </c>
      <c r="P859" s="14">
        <f>ROUND(K859*IFERROR(VLOOKUP(J859,Справочники!$G$6:$I$8,3,0),1),2)</f>
        <v>10000</v>
      </c>
      <c r="Q859" s="13" t="str">
        <f>IFERROR(VLOOKUP(H859,Справочники!$D$6:$E$14,2,0),"НЕИЗВЕСТНО")</f>
        <v>Завершен</v>
      </c>
      <c r="R859" s="20">
        <f>IFERROR(INDEX(Товары_очищенные!$Q$3:$Q$503,MATCH(M859,Товары_очищенные!$L$3:$L$503,0)),"нет в каталоге")</f>
        <v>65000</v>
      </c>
      <c r="S859" s="21" t="str">
        <f>IFERROR(INDEX(Товары_очищенные!$N$3:$N$503,MATCH(M859,Товары_очищенные!$L$3:$L$503,0)),"нет в каталоге")</f>
        <v>Часы</v>
      </c>
      <c r="T859" s="21" t="str">
        <f t="shared" si="268"/>
        <v>OK</v>
      </c>
      <c r="U859" s="12" t="str">
        <f t="shared" si="269"/>
        <v>19/03/2026|АРТ-291|C0857</v>
      </c>
      <c r="V859" s="12" t="str">
        <f t="shared" si="270"/>
        <v>оригинал</v>
      </c>
    </row>
    <row r="860" ht="15" customHeight="1">
      <c r="A860" s="10">
        <v>858</v>
      </c>
      <c r="B860" s="11" t="str">
        <f>RAW_Продажи!A859</f>
        <v>03/19/2026</v>
      </c>
      <c r="C860" s="11" t="str">
        <f>RAW_Продажи!B859</f>
        <v>293-24</v>
      </c>
      <c r="D860" s="11" t="str">
        <f>RAW_Продажи!C859</f>
        <v>1</v>
      </c>
      <c r="E860" s="11" t="str">
        <f>RAW_Продажи!D859</f>
        <v xml:space="preserve">9200 ₽</v>
      </c>
      <c r="F860" s="11" t="str">
        <f>RAW_Продажи!E859</f>
        <v>C0858</v>
      </c>
      <c r="G860" s="11" t="str">
        <f>RAW_Продажи!F859</f>
        <v>P042</v>
      </c>
      <c r="H860" s="11" t="str">
        <f>RAW_Продажи!G859</f>
        <v>completed</v>
      </c>
      <c r="I860" s="12" t="str">
        <f t="shared" si="262"/>
        <v>293-24</v>
      </c>
      <c r="J860" s="12" t="str">
        <f t="shared" si="263"/>
        <v>₽</v>
      </c>
      <c r="K860" s="12">
        <f t="shared" si="264"/>
        <v>9200</v>
      </c>
      <c r="L860" s="19">
        <f t="shared" si="265"/>
        <v>46100</v>
      </c>
      <c r="M860" s="13" t="str">
        <f t="shared" si="266"/>
        <v>АРТ-293</v>
      </c>
      <c r="N860" s="13">
        <f t="shared" si="267"/>
        <v>1</v>
      </c>
      <c r="O860" s="13" t="str">
        <f>IFERROR(VLOOKUP(J860,Справочники!$G$6:$H$8,2,0),"RUB")</f>
        <v>RUB</v>
      </c>
      <c r="P860" s="14">
        <f>ROUND(K860*IFERROR(VLOOKUP(J860,Справочники!$G$6:$I$8,3,0),1),2)</f>
        <v>9200</v>
      </c>
      <c r="Q860" s="13" t="str">
        <f>IFERROR(VLOOKUP(H860,Справочники!$D$6:$E$14,2,0),"НЕИЗВЕСТНО")</f>
        <v>Завершен</v>
      </c>
      <c r="R860" s="20">
        <f>IFERROR(INDEX(Товары_очищенные!$Q$3:$Q$503,MATCH(M860,Товары_очищенные!$L$3:$L$503,0)),"нет в каталоге")</f>
        <v>132000</v>
      </c>
      <c r="S860" s="21" t="str">
        <f>IFERROR(INDEX(Товары_очищенные!$N$3:$N$503,MATCH(M860,Товары_очищенные!$L$3:$L$503,0)),"нет в каталоге")</f>
        <v>Ноутбуки</v>
      </c>
      <c r="T860" s="21" t="str">
        <f t="shared" si="268"/>
        <v>OK</v>
      </c>
      <c r="U860" s="12" t="str">
        <f t="shared" si="269"/>
        <v>19/03/2026|АРТ-293|C0858</v>
      </c>
      <c r="V860" s="12" t="str">
        <f t="shared" si="270"/>
        <v>оригинал</v>
      </c>
    </row>
    <row r="861" ht="15" customHeight="1">
      <c r="A861" s="10">
        <v>859</v>
      </c>
      <c r="B861" s="11" t="str">
        <f>RAW_Продажи!A860</f>
        <v>03/20/2026</v>
      </c>
      <c r="C861" s="11" t="str">
        <f>RAW_Продажи!B860</f>
        <v>№АРТ-113</v>
      </c>
      <c r="D861" s="11" t="str">
        <f>RAW_Продажи!C860</f>
        <v>3</v>
      </c>
      <c r="E861" s="11" t="str">
        <f>RAW_Продажи!D860</f>
        <v>$90</v>
      </c>
      <c r="F861" s="11" t="str">
        <f>RAW_Продажи!E860</f>
        <v>C0859</v>
      </c>
      <c r="G861" s="11" t="str">
        <f>RAW_Продажи!F860</f>
        <v>P005</v>
      </c>
      <c r="H861" s="11" t="str">
        <f>RAW_Продажи!G860</f>
        <v>отменен</v>
      </c>
      <c r="I861" s="12" t="str">
        <f t="shared" si="262"/>
        <v>113</v>
      </c>
      <c r="J861" s="12" t="str">
        <f t="shared" si="263"/>
        <v>$</v>
      </c>
      <c r="K861" s="12">
        <f t="shared" si="264"/>
        <v>90</v>
      </c>
      <c r="L861" s="19">
        <f t="shared" si="265"/>
        <v>46101</v>
      </c>
      <c r="M861" s="13" t="str">
        <f t="shared" si="266"/>
        <v>АРТ-113</v>
      </c>
      <c r="N861" s="13">
        <f t="shared" si="267"/>
        <v>3</v>
      </c>
      <c r="O861" s="13" t="str">
        <f>IFERROR(VLOOKUP(J861,Справочники!$G$6:$H$8,2,0),"RUB")</f>
        <v>USD</v>
      </c>
      <c r="P861" s="14">
        <f>ROUND(K861*IFERROR(VLOOKUP(J861,Справочники!$G$6:$I$8,3,0),1),2)</f>
        <v>8550</v>
      </c>
      <c r="Q861" s="13" t="str">
        <f>IFERROR(VLOOKUP(H861,Справочники!$D$6:$E$14,2,0),"НЕИЗВЕСТНО")</f>
        <v>Отменен</v>
      </c>
      <c r="R861" s="20">
        <f>IFERROR(INDEX(Товары_очищенные!$Q$3:$Q$503,MATCH(M861,Товары_очищенные!$L$3:$L$503,0)),"нет в каталоге")</f>
        <v>33500</v>
      </c>
      <c r="S861" s="21" t="str">
        <f>IFERROR(INDEX(Товары_очищенные!$N$3:$N$503,MATCH(M861,Товары_очищенные!$L$3:$L$503,0)),"нет в каталоге")</f>
        <v>Наушники</v>
      </c>
      <c r="T861" s="21" t="str">
        <f t="shared" si="268"/>
        <v>OK</v>
      </c>
      <c r="U861" s="12" t="str">
        <f t="shared" si="269"/>
        <v>20/03/2026|АРТ-113|C0859</v>
      </c>
      <c r="V861" s="12" t="str">
        <f t="shared" si="270"/>
        <v>оригинал</v>
      </c>
    </row>
    <row r="862" ht="15" customHeight="1">
      <c r="A862" s="10">
        <v>860</v>
      </c>
      <c r="B862" s="11" t="str">
        <f>RAW_Продажи!A861</f>
        <v>03/20/2026</v>
      </c>
      <c r="C862" s="11" t="str">
        <f>RAW_Продажи!B861</f>
        <v>АРТ_438</v>
      </c>
      <c r="D862" s="11" t="str">
        <f>RAW_Продажи!C861</f>
        <v>2</v>
      </c>
      <c r="E862" s="11" t="str">
        <f>RAW_Продажи!D861</f>
        <v>€70</v>
      </c>
      <c r="F862" s="11" t="str">
        <f>RAW_Продажи!E861</f>
        <v>C0860</v>
      </c>
      <c r="G862" s="11" t="str">
        <f>RAW_Продажи!F861</f>
        <v>P036</v>
      </c>
      <c r="H862" s="11" t="str">
        <f>RAW_Продажи!G861</f>
        <v>canceled</v>
      </c>
      <c r="I862" s="12" t="str">
        <f t="shared" si="262"/>
        <v>438</v>
      </c>
      <c r="J862" s="12" t="str">
        <f t="shared" si="263"/>
        <v>€</v>
      </c>
      <c r="K862" s="12">
        <f t="shared" si="264"/>
        <v>70</v>
      </c>
      <c r="L862" s="19">
        <f t="shared" si="265"/>
        <v>46101</v>
      </c>
      <c r="M862" s="13" t="str">
        <f t="shared" si="266"/>
        <v>АРТ-438</v>
      </c>
      <c r="N862" s="13">
        <f t="shared" si="267"/>
        <v>2</v>
      </c>
      <c r="O862" s="13" t="str">
        <f>IFERROR(VLOOKUP(J862,Справочники!$G$6:$H$8,2,0),"RUB")</f>
        <v>EUR</v>
      </c>
      <c r="P862" s="14">
        <f>ROUND(K862*IFERROR(VLOOKUP(J862,Справочники!$G$6:$I$8,3,0),1),2)</f>
        <v>7000</v>
      </c>
      <c r="Q862" s="13" t="str">
        <f>IFERROR(VLOOKUP(H862,Справочники!$D$6:$E$14,2,0),"НЕИЗВЕСТНО")</f>
        <v>Отменен</v>
      </c>
      <c r="R862" s="20">
        <f>IFERROR(INDEX(Товары_очищенные!$Q$3:$Q$503,MATCH(M862,Товары_очищенные!$L$3:$L$503,0)),"нет в каталоге")</f>
        <v>6800</v>
      </c>
      <c r="S862" s="21" t="str">
        <f>IFERROR(INDEX(Товары_очищенные!$N$3:$N$503,MATCH(M862,Товары_очищенные!$L$3:$L$503,0)),"нет в каталоге")</f>
        <v>Аксессуары</v>
      </c>
      <c r="T862" s="21" t="str">
        <f t="shared" si="268"/>
        <v>OK</v>
      </c>
      <c r="U862" s="12" t="str">
        <f t="shared" si="269"/>
        <v>20/03/2026|АРТ-438|C0860</v>
      </c>
      <c r="V862" s="12" t="str">
        <f t="shared" si="270"/>
        <v>оригинал</v>
      </c>
    </row>
    <row r="863" ht="15" customHeight="1">
      <c r="A863" s="10">
        <v>861</v>
      </c>
      <c r="B863" s="11" t="str">
        <f>RAW_Продажи!A862</f>
        <v>03/21/2026</v>
      </c>
      <c r="C863" s="11" t="str">
        <f>RAW_Продажи!B862</f>
        <v>334/24</v>
      </c>
      <c r="D863" s="11" t="str">
        <f>RAW_Продажи!C862</f>
        <v xml:space="preserve">1 шт.</v>
      </c>
      <c r="E863" s="11" t="str">
        <f>RAW_Продажи!D862</f>
        <v xml:space="preserve">6500 ₽</v>
      </c>
      <c r="F863" s="11" t="str">
        <f>RAW_Продажи!E862</f>
        <v>C0861</v>
      </c>
      <c r="G863" s="11" t="str">
        <f>RAW_Продажи!F862</f>
        <v>P014</v>
      </c>
      <c r="H863" s="11" t="str">
        <f>RAW_Продажи!G862</f>
        <v>Завершен</v>
      </c>
      <c r="I863" s="12" t="str">
        <f t="shared" si="262"/>
        <v>334/24</v>
      </c>
      <c r="J863" s="12" t="str">
        <f t="shared" si="263"/>
        <v>₽</v>
      </c>
      <c r="K863" s="12">
        <f t="shared" si="264"/>
        <v>6500</v>
      </c>
      <c r="L863" s="19">
        <f t="shared" si="265"/>
        <v>46102</v>
      </c>
      <c r="M863" s="13" t="str">
        <f t="shared" si="266"/>
        <v>АРТ-334</v>
      </c>
      <c r="N863" s="13">
        <f t="shared" si="267"/>
        <v>1</v>
      </c>
      <c r="O863" s="13" t="str">
        <f>IFERROR(VLOOKUP(J863,Справочники!$G$6:$H$8,2,0),"RUB")</f>
        <v>RUB</v>
      </c>
      <c r="P863" s="14">
        <f>ROUND(K863*IFERROR(VLOOKUP(J863,Справочники!$G$6:$I$8,3,0),1),2)</f>
        <v>6500</v>
      </c>
      <c r="Q863" s="13" t="str">
        <f>IFERROR(VLOOKUP(H863,Справочники!$D$6:$E$14,2,0),"НЕИЗВЕСТНО")</f>
        <v>Завершен</v>
      </c>
      <c r="R863" s="20">
        <f>IFERROR(INDEX(Товары_очищенные!$Q$3:$Q$503,MATCH(M863,Товары_очищенные!$L$3:$L$503,0)),"нет в каталоге")</f>
        <v>48990</v>
      </c>
      <c r="S863" s="21" t="str">
        <f>IFERROR(INDEX(Товары_очищенные!$N$3:$N$503,MATCH(M863,Товары_очищенные!$L$3:$L$503,0)),"нет в каталоге")</f>
        <v>Планшеты</v>
      </c>
      <c r="T863" s="21" t="str">
        <f t="shared" si="268"/>
        <v>OK</v>
      </c>
      <c r="U863" s="12" t="str">
        <f t="shared" si="269"/>
        <v>21/03/2026|АРТ-334|C0861</v>
      </c>
      <c r="V863" s="12" t="str">
        <f t="shared" si="270"/>
        <v>оригинал</v>
      </c>
    </row>
    <row r="864" ht="15" customHeight="1">
      <c r="A864" s="10">
        <v>862</v>
      </c>
      <c r="B864" s="11" t="str">
        <f>RAW_Продажи!A863</f>
        <v>03/21/2026</v>
      </c>
      <c r="C864" s="11" t="str">
        <f>RAW_Продажи!B863</f>
        <v>№АРТ-402</v>
      </c>
      <c r="D864" s="11" t="str">
        <f>RAW_Продажи!C863</f>
        <v>-1</v>
      </c>
      <c r="E864" s="11" t="str">
        <f>RAW_Продажи!D863</f>
        <v>$110</v>
      </c>
      <c r="F864" s="11" t="str">
        <f>RAW_Продажи!E863</f>
        <v>C0862</v>
      </c>
      <c r="G864" s="11" t="str">
        <f>RAW_Продажи!F863</f>
        <v>P028</v>
      </c>
      <c r="H864" s="11" t="str">
        <f>RAW_Продажи!G863</f>
        <v>возврат</v>
      </c>
      <c r="I864" s="12" t="str">
        <f t="shared" si="262"/>
        <v>402</v>
      </c>
      <c r="J864" s="12" t="str">
        <f t="shared" si="263"/>
        <v>$</v>
      </c>
      <c r="K864" s="12">
        <f t="shared" si="264"/>
        <v>110</v>
      </c>
      <c r="L864" s="19">
        <f t="shared" si="265"/>
        <v>46102</v>
      </c>
      <c r="M864" s="13" t="str">
        <f t="shared" si="266"/>
        <v>АРТ-402</v>
      </c>
      <c r="N864" s="13">
        <f t="shared" si="267"/>
        <v>-1</v>
      </c>
      <c r="O864" s="13" t="str">
        <f>IFERROR(VLOOKUP(J864,Справочники!$G$6:$H$8,2,0),"RUB")</f>
        <v>USD</v>
      </c>
      <c r="P864" s="14">
        <f>ROUND(K864*IFERROR(VLOOKUP(J864,Справочники!$G$6:$I$8,3,0),1),2)</f>
        <v>10450</v>
      </c>
      <c r="Q864" s="13" t="str">
        <f>IFERROR(VLOOKUP(H864,Справочники!$D$6:$E$14,2,0),"НЕИЗВЕСТНО")</f>
        <v>Возврат</v>
      </c>
      <c r="R864" s="20">
        <f>IFERROR(INDEX(Товары_очищенные!$Q$3:$Q$503,MATCH(M864,Товары_очищенные!$L$3:$L$503,0)),"нет в каталоге")</f>
        <v>21000</v>
      </c>
      <c r="S864" s="21" t="str">
        <f>IFERROR(INDEX(Товары_очищенные!$N$3:$N$503,MATCH(M864,Товары_очищенные!$L$3:$L$503,0)),"нет в каталоге")</f>
        <v>Смартфоны</v>
      </c>
      <c r="T864" s="21" t="str">
        <f t="shared" si="268"/>
        <v>OK</v>
      </c>
      <c r="U864" s="12" t="str">
        <f t="shared" si="269"/>
        <v>21/03/2026|АРТ-402|C0862</v>
      </c>
      <c r="V864" s="12" t="str">
        <f t="shared" si="270"/>
        <v>оригинал</v>
      </c>
    </row>
    <row r="865" ht="15" customHeight="1">
      <c r="A865" s="10">
        <v>863</v>
      </c>
      <c r="B865" s="11" t="str">
        <f>RAW_Продажи!A864</f>
        <v>03/22/2026</v>
      </c>
      <c r="C865" s="11" t="str">
        <f>RAW_Продажи!B864</f>
        <v>АРТ_296</v>
      </c>
      <c r="D865" s="11" t="str">
        <f>RAW_Продажи!C864</f>
        <v>3</v>
      </c>
      <c r="E865" s="11" t="str">
        <f>RAW_Продажи!D864</f>
        <v>€90</v>
      </c>
      <c r="F865" s="11" t="str">
        <f>RAW_Продажи!E864</f>
        <v>C0863</v>
      </c>
      <c r="G865" s="11" t="str">
        <f>RAW_Продажи!F864</f>
        <v>P009</v>
      </c>
      <c r="H865" s="11" t="str">
        <f>RAW_Продажи!G864</f>
        <v>завершен</v>
      </c>
      <c r="I865" s="12" t="str">
        <f t="shared" si="262"/>
        <v>296</v>
      </c>
      <c r="J865" s="12" t="str">
        <f t="shared" si="263"/>
        <v>€</v>
      </c>
      <c r="K865" s="12">
        <f t="shared" si="264"/>
        <v>90</v>
      </c>
      <c r="L865" s="19">
        <f t="shared" si="265"/>
        <v>46103</v>
      </c>
      <c r="M865" s="13" t="str">
        <f t="shared" si="266"/>
        <v>АРТ-296</v>
      </c>
      <c r="N865" s="13">
        <f t="shared" si="267"/>
        <v>3</v>
      </c>
      <c r="O865" s="13" t="str">
        <f>IFERROR(VLOOKUP(J865,Справочники!$G$6:$H$8,2,0),"RUB")</f>
        <v>EUR</v>
      </c>
      <c r="P865" s="14">
        <f>ROUND(K865*IFERROR(VLOOKUP(J865,Справочники!$G$6:$I$8,3,0),1),2)</f>
        <v>9000</v>
      </c>
      <c r="Q865" s="13" t="str">
        <f>IFERROR(VLOOKUP(H865,Справочники!$D$6:$E$14,2,0),"НЕИЗВЕСТНО")</f>
        <v>Завершен</v>
      </c>
      <c r="R865" s="20">
        <f>IFERROR(INDEX(Товары_очищенные!$Q$3:$Q$503,MATCH(M865,Товары_очищенные!$L$3:$L$503,0)),"нет в каталоге")</f>
        <v>33500</v>
      </c>
      <c r="S865" s="21" t="str">
        <f>IFERROR(INDEX(Товары_очищенные!$N$3:$N$503,MATCH(M865,Товары_очищенные!$L$3:$L$503,0)),"нет в каталоге")</f>
        <v>Смартфоны</v>
      </c>
      <c r="T865" s="21" t="str">
        <f t="shared" si="268"/>
        <v>OK</v>
      </c>
      <c r="U865" s="12" t="str">
        <f t="shared" si="269"/>
        <v>22/03/2026|АРТ-296|C0863</v>
      </c>
      <c r="V865" s="12" t="str">
        <f t="shared" si="270"/>
        <v>оригинал</v>
      </c>
    </row>
    <row r="866" ht="15" customHeight="1">
      <c r="A866" s="10">
        <v>864</v>
      </c>
      <c r="B866" s="11" t="str">
        <f>RAW_Продажи!A865</f>
        <v>03/22/2026</v>
      </c>
      <c r="C866" s="11" t="str">
        <f>RAW_Продажи!B865</f>
        <v>132-24</v>
      </c>
      <c r="D866" s="11" t="str">
        <f>RAW_Продажи!C865</f>
        <v>2</v>
      </c>
      <c r="E866" s="11" t="str">
        <f>RAW_Продажи!D865</f>
        <v xml:space="preserve">8000 ₽</v>
      </c>
      <c r="F866" s="11" t="str">
        <f>RAW_Продажи!E865</f>
        <v>C0864</v>
      </c>
      <c r="G866" s="11" t="str">
        <f>RAW_Продажи!F865</f>
        <v>P041</v>
      </c>
      <c r="H866" s="11" t="str">
        <f>RAW_Продажи!G865</f>
        <v>completed</v>
      </c>
      <c r="I866" s="12" t="str">
        <f t="shared" si="262"/>
        <v>132-24</v>
      </c>
      <c r="J866" s="12" t="str">
        <f t="shared" si="263"/>
        <v>₽</v>
      </c>
      <c r="K866" s="12">
        <f t="shared" si="264"/>
        <v>8000</v>
      </c>
      <c r="L866" s="19">
        <f t="shared" si="265"/>
        <v>46103</v>
      </c>
      <c r="M866" s="13" t="str">
        <f t="shared" si="266"/>
        <v>АРТ-132</v>
      </c>
      <c r="N866" s="13">
        <f t="shared" si="267"/>
        <v>2</v>
      </c>
      <c r="O866" s="13" t="str">
        <f>IFERROR(VLOOKUP(J866,Справочники!$G$6:$H$8,2,0),"RUB")</f>
        <v>RUB</v>
      </c>
      <c r="P866" s="14">
        <f>ROUND(K866*IFERROR(VLOOKUP(J866,Справочники!$G$6:$I$8,3,0),1),2)</f>
        <v>8000</v>
      </c>
      <c r="Q866" s="13" t="str">
        <f>IFERROR(VLOOKUP(H866,Справочники!$D$6:$E$14,2,0),"НЕИЗВЕСТНО")</f>
        <v>Завершен</v>
      </c>
      <c r="R866" s="20">
        <f>IFERROR(INDEX(Товары_очищенные!$Q$3:$Q$503,MATCH(M866,Товары_очищенные!$L$3:$L$503,0)),"нет в каталоге")</f>
        <v>44500</v>
      </c>
      <c r="S866" s="21" t="str">
        <f>IFERROR(INDEX(Товары_очищенные!$N$3:$N$503,MATCH(M866,Товары_очищенные!$L$3:$L$503,0)),"нет в каталоге")</f>
        <v>Планшеты</v>
      </c>
      <c r="T866" s="21" t="str">
        <f t="shared" si="268"/>
        <v>OK</v>
      </c>
      <c r="U866" s="12" t="str">
        <f t="shared" si="269"/>
        <v>22/03/2026|АРТ-132|C0864</v>
      </c>
      <c r="V866" s="12" t="str">
        <f t="shared" si="270"/>
        <v>оригинал</v>
      </c>
    </row>
    <row r="867" ht="15" customHeight="1">
      <c r="A867" s="10">
        <v>865</v>
      </c>
      <c r="B867" s="11" t="str">
        <f>RAW_Продажи!A866</f>
        <v>03/23/2026</v>
      </c>
      <c r="C867" s="11" t="str">
        <f>RAW_Продажи!B866</f>
        <v>№АРТ-150</v>
      </c>
      <c r="D867" s="11" t="str">
        <f>RAW_Продажи!C866</f>
        <v>1</v>
      </c>
      <c r="E867" s="11" t="str">
        <f>RAW_Продажи!D866</f>
        <v>$95</v>
      </c>
      <c r="F867" s="11" t="str">
        <f>RAW_Продажи!E866</f>
        <v>C0865</v>
      </c>
      <c r="G867" s="11" t="str">
        <f>RAW_Продажи!F866</f>
        <v>P017</v>
      </c>
      <c r="H867" s="11" t="str">
        <f>RAW_Продажи!G866</f>
        <v>Завершен</v>
      </c>
      <c r="I867" s="12" t="str">
        <f t="shared" si="262"/>
        <v>150</v>
      </c>
      <c r="J867" s="12" t="str">
        <f t="shared" si="263"/>
        <v>$</v>
      </c>
      <c r="K867" s="12">
        <f t="shared" si="264"/>
        <v>95</v>
      </c>
      <c r="L867" s="19">
        <f t="shared" si="265"/>
        <v>46104</v>
      </c>
      <c r="M867" s="13" t="str">
        <f t="shared" si="266"/>
        <v>АРТ-150</v>
      </c>
      <c r="N867" s="13">
        <f t="shared" si="267"/>
        <v>1</v>
      </c>
      <c r="O867" s="13" t="str">
        <f>IFERROR(VLOOKUP(J867,Справочники!$G$6:$H$8,2,0),"RUB")</f>
        <v>USD</v>
      </c>
      <c r="P867" s="14">
        <f>ROUND(K867*IFERROR(VLOOKUP(J867,Справочники!$G$6:$I$8,3,0),1),2)</f>
        <v>9025</v>
      </c>
      <c r="Q867" s="13" t="str">
        <f>IFERROR(VLOOKUP(H867,Справочники!$D$6:$E$14,2,0),"НЕИЗВЕСТНО")</f>
        <v>Завершен</v>
      </c>
      <c r="R867" s="20">
        <f>IFERROR(INDEX(Товары_очищенные!$Q$3:$Q$503,MATCH(M867,Товары_очищенные!$L$3:$L$503,0)),"нет в каталоге")</f>
        <v>142500</v>
      </c>
      <c r="S867" s="21" t="str">
        <f>IFERROR(INDEX(Товары_очищенные!$N$3:$N$503,MATCH(M867,Товары_очищенные!$L$3:$L$503,0)),"нет в каталоге")</f>
        <v>Ноутбуки</v>
      </c>
      <c r="T867" s="21" t="str">
        <f t="shared" si="268"/>
        <v>OK</v>
      </c>
      <c r="U867" s="12" t="str">
        <f t="shared" si="269"/>
        <v>23/03/2026|АРТ-150|C0865</v>
      </c>
      <c r="V867" s="12" t="str">
        <f t="shared" si="270"/>
        <v>оригинал</v>
      </c>
    </row>
    <row r="868" ht="15" customHeight="1">
      <c r="A868" s="10">
        <v>866</v>
      </c>
      <c r="B868" s="11" t="str">
        <f>RAW_Продажи!A867</f>
        <v>03/23/2026</v>
      </c>
      <c r="C868" s="11" t="str">
        <f>RAW_Продажи!B867</f>
        <v>АРТ_478</v>
      </c>
      <c r="D868" s="11" t="str">
        <f>RAW_Продажи!C867</f>
        <v>2</v>
      </c>
      <c r="E868" s="11" t="str">
        <f>RAW_Продажи!D867</f>
        <v>€75</v>
      </c>
      <c r="F868" s="11" t="str">
        <f>RAW_Продажи!E867</f>
        <v>C0866</v>
      </c>
      <c r="G868" s="11" t="str">
        <f>RAW_Продажи!F867</f>
        <v>P032</v>
      </c>
      <c r="H868" s="11" t="str">
        <f>RAW_Продажи!G867</f>
        <v>canceled</v>
      </c>
      <c r="I868" s="12" t="str">
        <f t="shared" ref="I868:I931" si="271">SUBSTITUTE(SUBSTITUTE(C868,"№АРТ-",""),"АРТ_","")</f>
        <v>478</v>
      </c>
      <c r="J868" s="12" t="str">
        <f t="shared" ref="J868:J931" si="272">IF(LEFT(TRIM(E868),1)="$","$",IF(LEFT(TRIM(E868),1)="€","€","₽"))</f>
        <v>€</v>
      </c>
      <c r="K868" s="12">
        <f t="shared" ref="K868:K931" si="273">VALUE(SUBSTITUTE(SUBSTITUTE(SUBSTITUTE(SUBSTITUTE(TRIM(E868),"$",""),"€",""),"₽","")," ",""))</f>
        <v>75</v>
      </c>
      <c r="L868" s="19">
        <f t="shared" ref="L868:L931" si="274">DATE(VALUE(MID(B868,7,4)),VALUE(LEFT(B868,2)),VALUE(MID(B868,4,2)))</f>
        <v>46104</v>
      </c>
      <c r="M868" s="13" t="str">
        <f t="shared" ref="M868:M931" si="275">"АРТ-"&amp;LEFT(I868,3)</f>
        <v>АРТ-478</v>
      </c>
      <c r="N868" s="13">
        <f t="shared" ref="N868:N931" si="276">VALUE(LEFT(TRIM(D868),FIND(" ",TRIM(D868)&amp;" ")-1))</f>
        <v>2</v>
      </c>
      <c r="O868" s="13" t="str">
        <f>IFERROR(VLOOKUP(J868,Справочники!$G$6:$H$8,2,0),"RUB")</f>
        <v>EUR</v>
      </c>
      <c r="P868" s="14">
        <f>ROUND(K868*IFERROR(VLOOKUP(J868,Справочники!$G$6:$I$8,3,0),1),2)</f>
        <v>7500</v>
      </c>
      <c r="Q868" s="13" t="str">
        <f>IFERROR(VLOOKUP(H868,Справочники!$D$6:$E$14,2,0),"НЕИЗВЕСТНО")</f>
        <v>Отменен</v>
      </c>
      <c r="R868" s="20">
        <f>IFERROR(INDEX(Товары_очищенные!$Q$3:$Q$503,MATCH(M868,Товары_очищенные!$L$3:$L$503,0)),"нет в каталоге")</f>
        <v>12990</v>
      </c>
      <c r="S868" s="21" t="str">
        <f>IFERROR(INDEX(Товары_очищенные!$N$3:$N$503,MATCH(M868,Товары_очищенные!$L$3:$L$503,0)),"нет в каталоге")</f>
        <v>Аксессуары</v>
      </c>
      <c r="T868" s="21" t="str">
        <f t="shared" ref="T868:T931" si="277">IF(ISNUMBER(R868),IF(P868&lt;=R868*1.5,"OK","Цена выше розницы"),"—")</f>
        <v>OK</v>
      </c>
      <c r="U868" s="12" t="str">
        <f t="shared" ref="U868:U931" si="278">TEXT(L868,"DD.MM.YYYY")&amp;"|"&amp;M868&amp;"|"&amp;F868</f>
        <v>23/03/2026|АРТ-478|C0866</v>
      </c>
      <c r="V868" s="12" t="str">
        <f t="shared" ref="V868:V931" si="279">IF(COUNTIF($U$3:U868,U868)&gt;1,"ДУБЛЬ","оригинал")</f>
        <v>оригинал</v>
      </c>
    </row>
    <row r="869" ht="15" customHeight="1">
      <c r="A869" s="10">
        <v>867</v>
      </c>
      <c r="B869" s="11" t="str">
        <f>RAW_Продажи!A868</f>
        <v>03/24/2026</v>
      </c>
      <c r="C869" s="11" t="str">
        <f>RAW_Продажи!B868</f>
        <v>300/24</v>
      </c>
      <c r="D869" s="11" t="str">
        <f>RAW_Продажи!C868</f>
        <v xml:space="preserve">3 шт.</v>
      </c>
      <c r="E869" s="11" t="str">
        <f>RAW_Продажи!D868</f>
        <v xml:space="preserve">7000 ₽</v>
      </c>
      <c r="F869" s="11" t="str">
        <f>RAW_Продажи!E868</f>
        <v>C0867</v>
      </c>
      <c r="G869" s="11" t="str">
        <f>RAW_Продажи!F868</f>
        <v>P049</v>
      </c>
      <c r="H869" s="11" t="str">
        <f>RAW_Продажи!G868</f>
        <v>отменен</v>
      </c>
      <c r="I869" s="12" t="str">
        <f t="shared" si="271"/>
        <v>300/24</v>
      </c>
      <c r="J869" s="12" t="str">
        <f t="shared" si="272"/>
        <v>₽</v>
      </c>
      <c r="K869" s="12">
        <f t="shared" si="273"/>
        <v>7000</v>
      </c>
      <c r="L869" s="19">
        <f t="shared" si="274"/>
        <v>46105</v>
      </c>
      <c r="M869" s="13" t="str">
        <f t="shared" si="275"/>
        <v>АРТ-300</v>
      </c>
      <c r="N869" s="13">
        <f t="shared" si="276"/>
        <v>3</v>
      </c>
      <c r="O869" s="13" t="str">
        <f>IFERROR(VLOOKUP(J869,Справочники!$G$6:$H$8,2,0),"RUB")</f>
        <v>RUB</v>
      </c>
      <c r="P869" s="14">
        <f>ROUND(K869*IFERROR(VLOOKUP(J869,Справочники!$G$6:$I$8,3,0),1),2)</f>
        <v>7000</v>
      </c>
      <c r="Q869" s="13" t="str">
        <f>IFERROR(VLOOKUP(H869,Справочники!$D$6:$E$14,2,0),"НЕИЗВЕСТНО")</f>
        <v>Отменен</v>
      </c>
      <c r="R869" s="20">
        <f>IFERROR(INDEX(Товары_очищенные!$Q$3:$Q$503,MATCH(M869,Товары_очищенные!$L$3:$L$503,0)),"нет в каталоге")</f>
        <v>68000</v>
      </c>
      <c r="S869" s="21" t="str">
        <f>IFERROR(INDEX(Товары_очищенные!$N$3:$N$503,MATCH(M869,Товары_очищенные!$L$3:$L$503,0)),"нет в каталоге")</f>
        <v>Телевизоры</v>
      </c>
      <c r="T869" s="21" t="str">
        <f t="shared" si="277"/>
        <v>OK</v>
      </c>
      <c r="U869" s="12" t="str">
        <f t="shared" si="278"/>
        <v>24/03/2026|АРТ-300|C0867</v>
      </c>
      <c r="V869" s="12" t="str">
        <f t="shared" si="279"/>
        <v>оригинал</v>
      </c>
    </row>
    <row r="870" ht="15" customHeight="1">
      <c r="A870" s="10">
        <v>868</v>
      </c>
      <c r="B870" s="11" t="str">
        <f>RAW_Продажи!A869</f>
        <v>03/24/2026</v>
      </c>
      <c r="C870" s="11" t="str">
        <f>RAW_Продажи!B869</f>
        <v>№АРТ-236</v>
      </c>
      <c r="D870" s="11" t="str">
        <f>RAW_Продажи!C869</f>
        <v>-2</v>
      </c>
      <c r="E870" s="11" t="str">
        <f>RAW_Продажи!D869</f>
        <v>$115</v>
      </c>
      <c r="F870" s="11" t="str">
        <f>RAW_Продажи!E869</f>
        <v>C0868</v>
      </c>
      <c r="G870" s="11" t="str">
        <f>RAW_Продажи!F869</f>
        <v>P006</v>
      </c>
      <c r="H870" s="11" t="str">
        <f>RAW_Продажи!G869</f>
        <v>возврат</v>
      </c>
      <c r="I870" s="12" t="str">
        <f t="shared" si="271"/>
        <v>236</v>
      </c>
      <c r="J870" s="12" t="str">
        <f t="shared" si="272"/>
        <v>$</v>
      </c>
      <c r="K870" s="12">
        <f t="shared" si="273"/>
        <v>115</v>
      </c>
      <c r="L870" s="19">
        <f t="shared" si="274"/>
        <v>46105</v>
      </c>
      <c r="M870" s="13" t="str">
        <f t="shared" si="275"/>
        <v>АРТ-236</v>
      </c>
      <c r="N870" s="13">
        <f t="shared" si="276"/>
        <v>-2</v>
      </c>
      <c r="O870" s="13" t="str">
        <f>IFERROR(VLOOKUP(J870,Справочники!$G$6:$H$8,2,0),"RUB")</f>
        <v>USD</v>
      </c>
      <c r="P870" s="14">
        <f>ROUND(K870*IFERROR(VLOOKUP(J870,Справочники!$G$6:$I$8,3,0),1),2)</f>
        <v>10925</v>
      </c>
      <c r="Q870" s="13" t="str">
        <f>IFERROR(VLOOKUP(H870,Справочники!$D$6:$E$14,2,0),"НЕИЗВЕСТНО")</f>
        <v>Возврат</v>
      </c>
      <c r="R870" s="20">
        <f>IFERROR(INDEX(Товары_очищенные!$Q$3:$Q$503,MATCH(M870,Товары_очищенные!$L$3:$L$503,0)),"нет в каталоге")</f>
        <v>58000</v>
      </c>
      <c r="S870" s="21" t="str">
        <f>IFERROR(INDEX(Товары_очищенные!$N$3:$N$503,MATCH(M870,Товары_очищенные!$L$3:$L$503,0)),"нет в каталоге")</f>
        <v>Планшеты</v>
      </c>
      <c r="T870" s="21" t="str">
        <f t="shared" si="277"/>
        <v>OK</v>
      </c>
      <c r="U870" s="12" t="str">
        <f t="shared" si="278"/>
        <v>24/03/2026|АРТ-236|C0868</v>
      </c>
      <c r="V870" s="12" t="str">
        <f t="shared" si="279"/>
        <v>оригинал</v>
      </c>
    </row>
    <row r="871" ht="15" customHeight="1">
      <c r="A871" s="10">
        <v>869</v>
      </c>
      <c r="B871" s="11" t="str">
        <f>RAW_Продажи!A870</f>
        <v>03/25/2026</v>
      </c>
      <c r="C871" s="11" t="str">
        <f>RAW_Продажи!B870</f>
        <v>АРТ_355</v>
      </c>
      <c r="D871" s="11" t="str">
        <f>RAW_Продажи!C870</f>
        <v>1</v>
      </c>
      <c r="E871" s="11" t="str">
        <f>RAW_Продажи!D870</f>
        <v>€95</v>
      </c>
      <c r="F871" s="11" t="str">
        <f>RAW_Продажи!E870</f>
        <v>C0869</v>
      </c>
      <c r="G871" s="11" t="str">
        <f>RAW_Продажи!F870</f>
        <v>P024</v>
      </c>
      <c r="H871" s="11" t="str">
        <f>RAW_Продажи!G870</f>
        <v>Завершен</v>
      </c>
      <c r="I871" s="12" t="str">
        <f t="shared" si="271"/>
        <v>355</v>
      </c>
      <c r="J871" s="12" t="str">
        <f t="shared" si="272"/>
        <v>€</v>
      </c>
      <c r="K871" s="12">
        <f t="shared" si="273"/>
        <v>95</v>
      </c>
      <c r="L871" s="19">
        <f t="shared" si="274"/>
        <v>46106</v>
      </c>
      <c r="M871" s="13" t="str">
        <f t="shared" si="275"/>
        <v>АРТ-355</v>
      </c>
      <c r="N871" s="13">
        <f t="shared" si="276"/>
        <v>1</v>
      </c>
      <c r="O871" s="13" t="str">
        <f>IFERROR(VLOOKUP(J871,Справочники!$G$6:$H$8,2,0),"RUB")</f>
        <v>EUR</v>
      </c>
      <c r="P871" s="14">
        <f>ROUND(K871*IFERROR(VLOOKUP(J871,Справочники!$G$6:$I$8,3,0),1),2)</f>
        <v>9500</v>
      </c>
      <c r="Q871" s="13" t="str">
        <f>IFERROR(VLOOKUP(H871,Справочники!$D$6:$E$14,2,0),"НЕИЗВЕСТНО")</f>
        <v>Завершен</v>
      </c>
      <c r="R871" s="20">
        <f>IFERROR(INDEX(Товары_очищенные!$Q$3:$Q$503,MATCH(M871,Товары_очищенные!$L$3:$L$503,0)),"нет в каталоге")</f>
        <v>85990</v>
      </c>
      <c r="S871" s="21" t="str">
        <f>IFERROR(INDEX(Товары_очищенные!$N$3:$N$503,MATCH(M871,Товары_очищенные!$L$3:$L$503,0)),"нет в каталоге")</f>
        <v>Смартфоны</v>
      </c>
      <c r="T871" s="21" t="str">
        <f t="shared" si="277"/>
        <v>OK</v>
      </c>
      <c r="U871" s="12" t="str">
        <f t="shared" si="278"/>
        <v>25/03/2026|АРТ-355|C0869</v>
      </c>
      <c r="V871" s="12" t="str">
        <f t="shared" si="279"/>
        <v>оригинал</v>
      </c>
    </row>
    <row r="872" ht="15" customHeight="1">
      <c r="A872" s="10">
        <v>870</v>
      </c>
      <c r="B872" s="11" t="str">
        <f>RAW_Продажи!A871</f>
        <v>03/25/2026</v>
      </c>
      <c r="C872" s="11" t="str">
        <f>RAW_Продажи!B871</f>
        <v>184-24</v>
      </c>
      <c r="D872" s="11" t="str">
        <f>RAW_Продажи!C871</f>
        <v>2</v>
      </c>
      <c r="E872" s="11" t="str">
        <f>RAW_Продажи!D871</f>
        <v xml:space="preserve">8500 ₽</v>
      </c>
      <c r="F872" s="11" t="str">
        <f>RAW_Продажи!E871</f>
        <v>C0870</v>
      </c>
      <c r="G872" s="11" t="str">
        <f>RAW_Продажи!F871</f>
        <v>P015</v>
      </c>
      <c r="H872" s="11" t="str">
        <f>RAW_Продажи!G871</f>
        <v>завершен</v>
      </c>
      <c r="I872" s="12" t="str">
        <f t="shared" si="271"/>
        <v>184-24</v>
      </c>
      <c r="J872" s="12" t="str">
        <f t="shared" si="272"/>
        <v>₽</v>
      </c>
      <c r="K872" s="12">
        <f t="shared" si="273"/>
        <v>8500</v>
      </c>
      <c r="L872" s="19">
        <f t="shared" si="274"/>
        <v>46106</v>
      </c>
      <c r="M872" s="13" t="str">
        <f t="shared" si="275"/>
        <v>АРТ-184</v>
      </c>
      <c r="N872" s="13">
        <f t="shared" si="276"/>
        <v>2</v>
      </c>
      <c r="O872" s="13" t="str">
        <f>IFERROR(VLOOKUP(J872,Справочники!$G$6:$H$8,2,0),"RUB")</f>
        <v>RUB</v>
      </c>
      <c r="P872" s="14">
        <f>ROUND(K872*IFERROR(VLOOKUP(J872,Справочники!$G$6:$I$8,3,0),1),2)</f>
        <v>8500</v>
      </c>
      <c r="Q872" s="13" t="str">
        <f>IFERROR(VLOOKUP(H872,Справочники!$D$6:$E$14,2,0),"НЕИЗВЕСТНО")</f>
        <v>Завершен</v>
      </c>
      <c r="R872" s="20">
        <f>IFERROR(INDEX(Товары_очищенные!$Q$3:$Q$503,MATCH(M872,Товары_очищенные!$L$3:$L$503,0)),"нет в каталоге")</f>
        <v>19990</v>
      </c>
      <c r="S872" s="21" t="str">
        <f>IFERROR(INDEX(Товары_очищенные!$N$3:$N$503,MATCH(M872,Товары_очищенные!$L$3:$L$503,0)),"нет в каталоге")</f>
        <v>Аксессуары</v>
      </c>
      <c r="T872" s="21" t="str">
        <f t="shared" si="277"/>
        <v>OK</v>
      </c>
      <c r="U872" s="12" t="str">
        <f t="shared" si="278"/>
        <v>25/03/2026|АРТ-184|C0870</v>
      </c>
      <c r="V872" s="12" t="str">
        <f t="shared" si="279"/>
        <v>оригинал</v>
      </c>
    </row>
    <row r="873" ht="15" customHeight="1">
      <c r="A873" s="10">
        <v>871</v>
      </c>
      <c r="B873" s="11" t="str">
        <f>RAW_Продажи!A872</f>
        <v>03/26/2026</v>
      </c>
      <c r="C873" s="11" t="str">
        <f>RAW_Продажи!B872</f>
        <v>№АРТ-083</v>
      </c>
      <c r="D873" s="11" t="str">
        <f>RAW_Продажи!C872</f>
        <v>3</v>
      </c>
      <c r="E873" s="11" t="str">
        <f>RAW_Продажи!D872</f>
        <v>$105</v>
      </c>
      <c r="F873" s="11" t="str">
        <f>RAW_Продажи!E872</f>
        <v>C0871</v>
      </c>
      <c r="G873" s="11" t="str">
        <f>RAW_Продажи!F872</f>
        <v>P037</v>
      </c>
      <c r="H873" s="11" t="str">
        <f>RAW_Продажи!G872</f>
        <v>completed</v>
      </c>
      <c r="I873" s="12" t="str">
        <f t="shared" si="271"/>
        <v>083</v>
      </c>
      <c r="J873" s="12" t="str">
        <f t="shared" si="272"/>
        <v>$</v>
      </c>
      <c r="K873" s="12">
        <f t="shared" si="273"/>
        <v>105</v>
      </c>
      <c r="L873" s="19">
        <f t="shared" si="274"/>
        <v>46107</v>
      </c>
      <c r="M873" s="13" t="str">
        <f t="shared" si="275"/>
        <v>АРТ-083</v>
      </c>
      <c r="N873" s="13">
        <f t="shared" si="276"/>
        <v>3</v>
      </c>
      <c r="O873" s="13" t="str">
        <f>IFERROR(VLOOKUP(J873,Справочники!$G$6:$H$8,2,0),"RUB")</f>
        <v>USD</v>
      </c>
      <c r="P873" s="14">
        <f>ROUND(K873*IFERROR(VLOOKUP(J873,Справочники!$G$6:$I$8,3,0),1),2)</f>
        <v>9975</v>
      </c>
      <c r="Q873" s="13" t="str">
        <f>IFERROR(VLOOKUP(H873,Справочники!$D$6:$E$14,2,0),"НЕИЗВЕСТНО")</f>
        <v>Завершен</v>
      </c>
      <c r="R873" s="20">
        <f>IFERROR(INDEX(Товары_очищенные!$Q$3:$Q$503,MATCH(M873,Товары_очищенные!$L$3:$L$503,0)),"нет в каталоге")</f>
        <v>38500</v>
      </c>
      <c r="S873" s="21" t="str">
        <f>IFERROR(INDEX(Товары_очищенные!$N$3:$N$503,MATCH(M873,Товары_очищенные!$L$3:$L$503,0)),"нет в каталоге")</f>
        <v>Часы</v>
      </c>
      <c r="T873" s="21" t="str">
        <f t="shared" si="277"/>
        <v>OK</v>
      </c>
      <c r="U873" s="12" t="str">
        <f t="shared" si="278"/>
        <v>26/03/2026|АРТ-083|C0871</v>
      </c>
      <c r="V873" s="12" t="str">
        <f t="shared" si="279"/>
        <v>оригинал</v>
      </c>
    </row>
    <row r="874" ht="15" customHeight="1">
      <c r="A874" s="10">
        <v>872</v>
      </c>
      <c r="B874" s="11" t="str">
        <f>RAW_Продажи!A873</f>
        <v>03/26/2026</v>
      </c>
      <c r="C874" s="11" t="str">
        <f>RAW_Продажи!B873</f>
        <v>АРТ_442</v>
      </c>
      <c r="D874" s="11" t="str">
        <f>RAW_Продажи!C873</f>
        <v>2</v>
      </c>
      <c r="E874" s="11" t="str">
        <f>RAW_Продажи!D873</f>
        <v>€85</v>
      </c>
      <c r="F874" s="11" t="str">
        <f>RAW_Продажи!E873</f>
        <v>C0872</v>
      </c>
      <c r="G874" s="11" t="str">
        <f>RAW_Продажи!F873</f>
        <v>P048</v>
      </c>
      <c r="H874" s="11" t="str">
        <f>RAW_Продажи!G873</f>
        <v>отменен</v>
      </c>
      <c r="I874" s="12" t="str">
        <f t="shared" si="271"/>
        <v>442</v>
      </c>
      <c r="J874" s="12" t="str">
        <f t="shared" si="272"/>
        <v>€</v>
      </c>
      <c r="K874" s="12">
        <f t="shared" si="273"/>
        <v>85</v>
      </c>
      <c r="L874" s="19">
        <f t="shared" si="274"/>
        <v>46107</v>
      </c>
      <c r="M874" s="13" t="str">
        <f t="shared" si="275"/>
        <v>АРТ-442</v>
      </c>
      <c r="N874" s="13">
        <f t="shared" si="276"/>
        <v>2</v>
      </c>
      <c r="O874" s="13" t="str">
        <f>IFERROR(VLOOKUP(J874,Справочники!$G$6:$H$8,2,0),"RUB")</f>
        <v>EUR</v>
      </c>
      <c r="P874" s="14">
        <f>ROUND(K874*IFERROR(VLOOKUP(J874,Справочники!$G$6:$I$8,3,0),1),2)</f>
        <v>8500</v>
      </c>
      <c r="Q874" s="13" t="str">
        <f>IFERROR(VLOOKUP(H874,Справочники!$D$6:$E$14,2,0),"НЕИЗВЕСТНО")</f>
        <v>Отменен</v>
      </c>
      <c r="R874" s="20">
        <f>IFERROR(INDEX(Товары_очищенные!$Q$3:$Q$503,MATCH(M874,Товары_очищенные!$L$3:$L$503,0)),"нет в каталоге")</f>
        <v>24990</v>
      </c>
      <c r="S874" s="21" t="str">
        <f>IFERROR(INDEX(Товары_очищенные!$N$3:$N$503,MATCH(M874,Товары_очищенные!$L$3:$L$503,0)),"нет в каталоге")</f>
        <v>Смартфоны</v>
      </c>
      <c r="T874" s="21" t="str">
        <f t="shared" si="277"/>
        <v>OK</v>
      </c>
      <c r="U874" s="12" t="str">
        <f t="shared" si="278"/>
        <v>26/03/2026|АРТ-442|C0872</v>
      </c>
      <c r="V874" s="12" t="str">
        <f t="shared" si="279"/>
        <v>оригинал</v>
      </c>
    </row>
    <row r="875" ht="15" customHeight="1">
      <c r="A875" s="10">
        <v>873</v>
      </c>
      <c r="B875" s="11" t="str">
        <f>RAW_Продажи!A874</f>
        <v>03/27/2026</v>
      </c>
      <c r="C875" s="11" t="str">
        <f>RAW_Продажи!B874</f>
        <v>386/24</v>
      </c>
      <c r="D875" s="11" t="str">
        <f>RAW_Продажи!C874</f>
        <v xml:space="preserve">1 шт.</v>
      </c>
      <c r="E875" s="11" t="str">
        <f>RAW_Продажи!D874</f>
        <v xml:space="preserve">7800 ₽</v>
      </c>
      <c r="F875" s="11" t="str">
        <f>RAW_Продажи!E874</f>
        <v>C0873</v>
      </c>
      <c r="G875" s="11" t="str">
        <f>RAW_Продажи!F874</f>
        <v>P004</v>
      </c>
      <c r="H875" s="11" t="str">
        <f>RAW_Продажи!G874</f>
        <v>canceled</v>
      </c>
      <c r="I875" s="12" t="str">
        <f t="shared" si="271"/>
        <v>386/24</v>
      </c>
      <c r="J875" s="12" t="str">
        <f t="shared" si="272"/>
        <v>₽</v>
      </c>
      <c r="K875" s="12">
        <f t="shared" si="273"/>
        <v>7800</v>
      </c>
      <c r="L875" s="19">
        <f t="shared" si="274"/>
        <v>46108</v>
      </c>
      <c r="M875" s="13" t="str">
        <f t="shared" si="275"/>
        <v>АРТ-386</v>
      </c>
      <c r="N875" s="13">
        <f t="shared" si="276"/>
        <v>1</v>
      </c>
      <c r="O875" s="13" t="str">
        <f>IFERROR(VLOOKUP(J875,Справочники!$G$6:$H$8,2,0),"RUB")</f>
        <v>RUB</v>
      </c>
      <c r="P875" s="14">
        <f>ROUND(K875*IFERROR(VLOOKUP(J875,Справочники!$G$6:$I$8,3,0),1),2)</f>
        <v>7800</v>
      </c>
      <c r="Q875" s="13" t="str">
        <f>IFERROR(VLOOKUP(H875,Справочники!$D$6:$E$14,2,0),"НЕИЗВЕСТНО")</f>
        <v>Отменен</v>
      </c>
      <c r="R875" s="20">
        <f>IFERROR(INDEX(Товары_очищенные!$Q$3:$Q$503,MATCH(M875,Товары_очищенные!$L$3:$L$503,0)),"нет в каталоге")</f>
        <v>114000</v>
      </c>
      <c r="S875" s="21" t="str">
        <f>IFERROR(INDEX(Товары_очищенные!$N$3:$N$503,MATCH(M875,Товары_очищенные!$L$3:$L$503,0)),"нет в каталоге")</f>
        <v>Ноутбуки</v>
      </c>
      <c r="T875" s="21" t="str">
        <f t="shared" si="277"/>
        <v>OK</v>
      </c>
      <c r="U875" s="12" t="str">
        <f t="shared" si="278"/>
        <v>27/03/2026|АРТ-386|C0873</v>
      </c>
      <c r="V875" s="12" t="str">
        <f t="shared" si="279"/>
        <v>оригинал</v>
      </c>
    </row>
    <row r="876" ht="15" customHeight="1">
      <c r="A876" s="10">
        <v>874</v>
      </c>
      <c r="B876" s="11" t="str">
        <f>RAW_Продажи!A875</f>
        <v>03/27/2026</v>
      </c>
      <c r="C876" s="11" t="str">
        <f>RAW_Продажи!B875</f>
        <v>№АРТ-213</v>
      </c>
      <c r="D876" s="11" t="str">
        <f>RAW_Продажи!C875</f>
        <v>-3</v>
      </c>
      <c r="E876" s="11" t="str">
        <f>RAW_Продажи!D875</f>
        <v>$120</v>
      </c>
      <c r="F876" s="11" t="str">
        <f>RAW_Продажи!E875</f>
        <v>C0874</v>
      </c>
      <c r="G876" s="11" t="str">
        <f>RAW_Продажи!F875</f>
        <v>P026</v>
      </c>
      <c r="H876" s="11" t="str">
        <f>RAW_Продажи!G875</f>
        <v>Завершен</v>
      </c>
      <c r="I876" s="12" t="str">
        <f t="shared" si="271"/>
        <v>213</v>
      </c>
      <c r="J876" s="12" t="str">
        <f t="shared" si="272"/>
        <v>$</v>
      </c>
      <c r="K876" s="12">
        <f t="shared" si="273"/>
        <v>120</v>
      </c>
      <c r="L876" s="19">
        <f t="shared" si="274"/>
        <v>46108</v>
      </c>
      <c r="M876" s="13" t="str">
        <f t="shared" si="275"/>
        <v>АРТ-213</v>
      </c>
      <c r="N876" s="13">
        <f t="shared" si="276"/>
        <v>-3</v>
      </c>
      <c r="O876" s="13" t="str">
        <f>IFERROR(VLOOKUP(J876,Справочники!$G$6:$H$8,2,0),"RUB")</f>
        <v>USD</v>
      </c>
      <c r="P876" s="14">
        <f>ROUND(K876*IFERROR(VLOOKUP(J876,Справочники!$G$6:$I$8,3,0),1),2)</f>
        <v>11400</v>
      </c>
      <c r="Q876" s="13" t="str">
        <f>IFERROR(VLOOKUP(H876,Справочники!$D$6:$E$14,2,0),"НЕИЗВЕСТНО")</f>
        <v>Завершен</v>
      </c>
      <c r="R876" s="20">
        <f>IFERROR(INDEX(Товары_очищенные!$Q$3:$Q$503,MATCH(M876,Товары_очищенные!$L$3:$L$503,0)),"нет в каталоге")</f>
        <v>61500</v>
      </c>
      <c r="S876" s="21" t="str">
        <f>IFERROR(INDEX(Товары_очищенные!$N$3:$N$503,MATCH(M876,Товары_очищенные!$L$3:$L$503,0)),"нет в каталоге")</f>
        <v>Смартфоны</v>
      </c>
      <c r="T876" s="21" t="str">
        <f t="shared" si="277"/>
        <v>OK</v>
      </c>
      <c r="U876" s="12" t="str">
        <f t="shared" si="278"/>
        <v>27/03/2026|АРТ-213|C0874</v>
      </c>
      <c r="V876" s="12" t="str">
        <f t="shared" si="279"/>
        <v>оригинал</v>
      </c>
    </row>
    <row r="877" ht="15" customHeight="1">
      <c r="A877" s="10">
        <v>875</v>
      </c>
      <c r="B877" s="11" t="str">
        <f>RAW_Продажи!A876</f>
        <v>03/28/2026</v>
      </c>
      <c r="C877" s="11" t="str">
        <f>RAW_Продажи!B876</f>
        <v>АРТ_303</v>
      </c>
      <c r="D877" s="11" t="str">
        <f>RAW_Продажи!C876</f>
        <v>2</v>
      </c>
      <c r="E877" s="11" t="str">
        <f>RAW_Продажи!D876</f>
        <v>€100</v>
      </c>
      <c r="F877" s="11" t="str">
        <f>RAW_Продажи!E876</f>
        <v>C0875</v>
      </c>
      <c r="G877" s="11" t="str">
        <f>RAW_Продажи!F876</f>
        <v>P013</v>
      </c>
      <c r="H877" s="11" t="str">
        <f>RAW_Продажи!G876</f>
        <v>возврат</v>
      </c>
      <c r="I877" s="12" t="str">
        <f t="shared" si="271"/>
        <v>303</v>
      </c>
      <c r="J877" s="12" t="str">
        <f t="shared" si="272"/>
        <v>€</v>
      </c>
      <c r="K877" s="12">
        <f t="shared" si="273"/>
        <v>100</v>
      </c>
      <c r="L877" s="19">
        <f t="shared" si="274"/>
        <v>46109</v>
      </c>
      <c r="M877" s="13" t="str">
        <f t="shared" si="275"/>
        <v>АРТ-303</v>
      </c>
      <c r="N877" s="13">
        <f t="shared" si="276"/>
        <v>2</v>
      </c>
      <c r="O877" s="13" t="str">
        <f>IFERROR(VLOOKUP(J877,Справочники!$G$6:$H$8,2,0),"RUB")</f>
        <v>EUR</v>
      </c>
      <c r="P877" s="14">
        <f>ROUND(K877*IFERROR(VLOOKUP(J877,Справочники!$G$6:$I$8,3,0),1),2)</f>
        <v>10000</v>
      </c>
      <c r="Q877" s="13" t="str">
        <f>IFERROR(VLOOKUP(H877,Справочники!$D$6:$E$14,2,0),"НЕИЗВЕСТНО")</f>
        <v>Возврат</v>
      </c>
      <c r="R877" s="20">
        <f>IFERROR(INDEX(Товары_очищенные!$Q$3:$Q$503,MATCH(M877,Товары_очищенные!$L$3:$L$503,0)),"нет в каталоге")</f>
        <v>8800</v>
      </c>
      <c r="S877" s="21" t="str">
        <f>IFERROR(INDEX(Товары_очищенные!$N$3:$N$503,MATCH(M877,Товары_очищенные!$L$3:$L$503,0)),"нет в каталоге")</f>
        <v>Наушники</v>
      </c>
      <c r="T877" s="21" t="str">
        <f t="shared" si="277"/>
        <v>OK</v>
      </c>
      <c r="U877" s="12" t="str">
        <f t="shared" si="278"/>
        <v>28/03/2026|АРТ-303|C0875</v>
      </c>
      <c r="V877" s="12" t="str">
        <f t="shared" si="279"/>
        <v>оригинал</v>
      </c>
    </row>
    <row r="878" ht="15" customHeight="1">
      <c r="A878" s="10">
        <v>876</v>
      </c>
      <c r="B878" s="11" t="str">
        <f>RAW_Продажи!A877</f>
        <v>03/28/2026</v>
      </c>
      <c r="C878" s="11" t="str">
        <f>RAW_Продажи!B877</f>
        <v>152-24</v>
      </c>
      <c r="D878" s="11" t="str">
        <f>RAW_Продажи!C877</f>
        <v>1</v>
      </c>
      <c r="E878" s="11" t="str">
        <f>RAW_Продажи!D877</f>
        <v xml:space="preserve">9200 ₽</v>
      </c>
      <c r="F878" s="11" t="str">
        <f>RAW_Продажи!E877</f>
        <v>C0876</v>
      </c>
      <c r="G878" s="11" t="str">
        <f>RAW_Продажи!F877</f>
        <v>P034</v>
      </c>
      <c r="H878" s="11" t="str">
        <f>RAW_Продажи!G877</f>
        <v>завершен</v>
      </c>
      <c r="I878" s="12" t="str">
        <f t="shared" si="271"/>
        <v>152-24</v>
      </c>
      <c r="J878" s="12" t="str">
        <f t="shared" si="272"/>
        <v>₽</v>
      </c>
      <c r="K878" s="12">
        <f t="shared" si="273"/>
        <v>9200</v>
      </c>
      <c r="L878" s="19">
        <f t="shared" si="274"/>
        <v>46109</v>
      </c>
      <c r="M878" s="13" t="str">
        <f t="shared" si="275"/>
        <v>АРТ-152</v>
      </c>
      <c r="N878" s="13">
        <f t="shared" si="276"/>
        <v>1</v>
      </c>
      <c r="O878" s="13" t="str">
        <f>IFERROR(VLOOKUP(J878,Справочники!$G$6:$H$8,2,0),"RUB")</f>
        <v>RUB</v>
      </c>
      <c r="P878" s="14">
        <f>ROUND(K878*IFERROR(VLOOKUP(J878,Справочники!$G$6:$I$8,3,0),1),2)</f>
        <v>9200</v>
      </c>
      <c r="Q878" s="13" t="str">
        <f>IFERROR(VLOOKUP(H878,Справочники!$D$6:$E$14,2,0),"НЕИЗВЕСТНО")</f>
        <v>Завершен</v>
      </c>
      <c r="R878" s="20">
        <f>IFERROR(INDEX(Товары_очищенные!$Q$3:$Q$503,MATCH(M878,Товары_очищенные!$L$3:$L$503,0)),"нет в каталоге")</f>
        <v>151500</v>
      </c>
      <c r="S878" s="21" t="str">
        <f>IFERROR(INDEX(Товары_очищенные!$N$3:$N$503,MATCH(M878,Товары_очищенные!$L$3:$L$503,0)),"нет в каталоге")</f>
        <v>Телевизоры</v>
      </c>
      <c r="T878" s="21" t="str">
        <f t="shared" si="277"/>
        <v>OK</v>
      </c>
      <c r="U878" s="12" t="str">
        <f t="shared" si="278"/>
        <v>28/03/2026|АРТ-152|C0876</v>
      </c>
      <c r="V878" s="12" t="str">
        <f t="shared" si="279"/>
        <v>оригинал</v>
      </c>
    </row>
    <row r="879" ht="15" customHeight="1">
      <c r="A879" s="10">
        <v>877</v>
      </c>
      <c r="B879" s="11" t="str">
        <f>RAW_Продажи!A878</f>
        <v>03/29/2026</v>
      </c>
      <c r="C879" s="11" t="str">
        <f>RAW_Продажи!B878</f>
        <v>№АРТ-103</v>
      </c>
      <c r="D879" s="11" t="str">
        <f>RAW_Продажи!C878</f>
        <v>3</v>
      </c>
      <c r="E879" s="11" t="str">
        <f>RAW_Продажи!D878</f>
        <v>$90</v>
      </c>
      <c r="F879" s="11" t="str">
        <f>RAW_Продажи!E878</f>
        <v>C0877</v>
      </c>
      <c r="G879" s="11" t="str">
        <f>RAW_Продажи!F878</f>
        <v>P044</v>
      </c>
      <c r="H879" s="11" t="str">
        <f>RAW_Продажи!G878</f>
        <v>completed</v>
      </c>
      <c r="I879" s="12" t="str">
        <f t="shared" si="271"/>
        <v>103</v>
      </c>
      <c r="J879" s="12" t="str">
        <f t="shared" si="272"/>
        <v>$</v>
      </c>
      <c r="K879" s="12">
        <f t="shared" si="273"/>
        <v>90</v>
      </c>
      <c r="L879" s="19">
        <f t="shared" si="274"/>
        <v>46110</v>
      </c>
      <c r="M879" s="13" t="str">
        <f t="shared" si="275"/>
        <v>АРТ-103</v>
      </c>
      <c r="N879" s="13">
        <f t="shared" si="276"/>
        <v>3</v>
      </c>
      <c r="O879" s="13" t="str">
        <f>IFERROR(VLOOKUP(J879,Справочники!$G$6:$H$8,2,0),"RUB")</f>
        <v>USD</v>
      </c>
      <c r="P879" s="14">
        <f>ROUND(K879*IFERROR(VLOOKUP(J879,Справочники!$G$6:$I$8,3,0),1),2)</f>
        <v>8550</v>
      </c>
      <c r="Q879" s="13" t="str">
        <f>IFERROR(VLOOKUP(H879,Справочники!$D$6:$E$14,2,0),"НЕИЗВЕСТНО")</f>
        <v>Завершен</v>
      </c>
      <c r="R879" s="20">
        <f>IFERROR(INDEX(Товары_очищенные!$Q$3:$Q$503,MATCH(M879,Товары_очищенные!$L$3:$L$503,0)),"нет в каталоге")</f>
        <v>149990</v>
      </c>
      <c r="S879" s="21" t="str">
        <f>IFERROR(INDEX(Товары_очищенные!$N$3:$N$503,MATCH(M879,Товары_очищенные!$L$3:$L$503,0)),"нет в каталоге")</f>
        <v>Ноутбуки</v>
      </c>
      <c r="T879" s="21" t="str">
        <f t="shared" si="277"/>
        <v>OK</v>
      </c>
      <c r="U879" s="12" t="str">
        <f t="shared" si="278"/>
        <v>29/03/2026|АРТ-103|C0877</v>
      </c>
      <c r="V879" s="12" t="str">
        <f t="shared" si="279"/>
        <v>оригинал</v>
      </c>
    </row>
    <row r="880" ht="15" customHeight="1">
      <c r="A880" s="10">
        <v>878</v>
      </c>
      <c r="B880" s="11" t="str">
        <f>RAW_Продажи!A879</f>
        <v>03/29/2026</v>
      </c>
      <c r="C880" s="11" t="str">
        <f>RAW_Продажи!B879</f>
        <v>АРТ_460</v>
      </c>
      <c r="D880" s="11" t="str">
        <f>RAW_Продажи!C879</f>
        <v>2</v>
      </c>
      <c r="E880" s="11" t="str">
        <f>RAW_Продажи!D879</f>
        <v>€70</v>
      </c>
      <c r="F880" s="11" t="str">
        <f>RAW_Продажи!E879</f>
        <v>C0878</v>
      </c>
      <c r="G880" s="11" t="str">
        <f>RAW_Продажи!F879</f>
        <v>P001</v>
      </c>
      <c r="H880" s="11" t="str">
        <f>RAW_Продажи!G879</f>
        <v>Завершен</v>
      </c>
      <c r="I880" s="12" t="str">
        <f t="shared" si="271"/>
        <v>460</v>
      </c>
      <c r="J880" s="12" t="str">
        <f t="shared" si="272"/>
        <v>€</v>
      </c>
      <c r="K880" s="12">
        <f t="shared" si="273"/>
        <v>70</v>
      </c>
      <c r="L880" s="19">
        <f t="shared" si="274"/>
        <v>46110</v>
      </c>
      <c r="M880" s="13" t="str">
        <f t="shared" si="275"/>
        <v>АРТ-460</v>
      </c>
      <c r="N880" s="13">
        <f t="shared" si="276"/>
        <v>2</v>
      </c>
      <c r="O880" s="13" t="str">
        <f>IFERROR(VLOOKUP(J880,Справочники!$G$6:$H$8,2,0),"RUB")</f>
        <v>EUR</v>
      </c>
      <c r="P880" s="14">
        <f>ROUND(K880*IFERROR(VLOOKUP(J880,Справочники!$G$6:$I$8,3,0),1),2)</f>
        <v>7000</v>
      </c>
      <c r="Q880" s="13" t="str">
        <f>IFERROR(VLOOKUP(H880,Справочники!$D$6:$E$14,2,0),"НЕИЗВЕСТНО")</f>
        <v>Завершен</v>
      </c>
      <c r="R880" s="20">
        <f>IFERROR(INDEX(Товары_очищенные!$Q$3:$Q$503,MATCH(M880,Товары_очищенные!$L$3:$L$503,0)),"нет в каталоге")</f>
        <v>47990</v>
      </c>
      <c r="S880" s="21" t="str">
        <f>IFERROR(INDEX(Товары_очищенные!$N$3:$N$503,MATCH(M880,Товары_очищенные!$L$3:$L$503,0)),"нет в каталоге")</f>
        <v>Часы</v>
      </c>
      <c r="T880" s="21" t="str">
        <f t="shared" si="277"/>
        <v>OK</v>
      </c>
      <c r="U880" s="12" t="str">
        <f t="shared" si="278"/>
        <v>29/03/2026|АРТ-460|C0878</v>
      </c>
      <c r="V880" s="12" t="str">
        <f t="shared" si="279"/>
        <v>оригинал</v>
      </c>
    </row>
    <row r="881" ht="15" customHeight="1">
      <c r="A881" s="10">
        <v>879</v>
      </c>
      <c r="B881" s="11" t="str">
        <f>RAW_Продажи!A880</f>
        <v>03/30/2026</v>
      </c>
      <c r="C881" s="11" t="str">
        <f>RAW_Продажи!B880</f>
        <v>337/24</v>
      </c>
      <c r="D881" s="11" t="str">
        <f>RAW_Продажи!C880</f>
        <v xml:space="preserve">1 шт.</v>
      </c>
      <c r="E881" s="11" t="str">
        <f>RAW_Продажи!D880</f>
        <v xml:space="preserve">6500 ₽</v>
      </c>
      <c r="F881" s="11" t="str">
        <f>RAW_Продажи!E880</f>
        <v>C0879</v>
      </c>
      <c r="G881" s="11" t="str">
        <f>RAW_Продажи!F880</f>
        <v>P021</v>
      </c>
      <c r="H881" s="11" t="str">
        <f>RAW_Продажи!G880</f>
        <v>canceled</v>
      </c>
      <c r="I881" s="12" t="str">
        <f t="shared" si="271"/>
        <v>337/24</v>
      </c>
      <c r="J881" s="12" t="str">
        <f t="shared" si="272"/>
        <v>₽</v>
      </c>
      <c r="K881" s="12">
        <f t="shared" si="273"/>
        <v>6500</v>
      </c>
      <c r="L881" s="19">
        <f t="shared" si="274"/>
        <v>46111</v>
      </c>
      <c r="M881" s="13" t="str">
        <f t="shared" si="275"/>
        <v>АРТ-337</v>
      </c>
      <c r="N881" s="13">
        <f t="shared" si="276"/>
        <v>1</v>
      </c>
      <c r="O881" s="13" t="str">
        <f>IFERROR(VLOOKUP(J881,Справочники!$G$6:$H$8,2,0),"RUB")</f>
        <v>RUB</v>
      </c>
      <c r="P881" s="14">
        <f>ROUND(K881*IFERROR(VLOOKUP(J881,Справочники!$G$6:$I$8,3,0),1),2)</f>
        <v>6500</v>
      </c>
      <c r="Q881" s="13" t="str">
        <f>IFERROR(VLOOKUP(H881,Справочники!$D$6:$E$14,2,0),"НЕИЗВЕСТНО")</f>
        <v>Отменен</v>
      </c>
      <c r="R881" s="20">
        <f>IFERROR(INDEX(Товары_очищенные!$Q$3:$Q$503,MATCH(M881,Товары_очищенные!$L$3:$L$503,0)),"нет в каталоге")</f>
        <v>64990</v>
      </c>
      <c r="S881" s="21" t="str">
        <f>IFERROR(INDEX(Товары_очищенные!$N$3:$N$503,MATCH(M881,Товары_очищенные!$L$3:$L$503,0)),"нет в каталоге")</f>
        <v>Смартфоны</v>
      </c>
      <c r="T881" s="21" t="str">
        <f t="shared" si="277"/>
        <v>OK</v>
      </c>
      <c r="U881" s="12" t="str">
        <f t="shared" si="278"/>
        <v>30/03/2026|АРТ-337|C0879</v>
      </c>
      <c r="V881" s="12" t="str">
        <f t="shared" si="279"/>
        <v>оригинал</v>
      </c>
    </row>
    <row r="882" ht="15" customHeight="1">
      <c r="A882" s="10">
        <v>880</v>
      </c>
      <c r="B882" s="11" t="str">
        <f>RAW_Продажи!A881</f>
        <v>03/30/2026</v>
      </c>
      <c r="C882" s="11" t="str">
        <f>RAW_Продажи!B881</f>
        <v>№АРТ-244</v>
      </c>
      <c r="D882" s="11" t="str">
        <f>RAW_Продажи!C881</f>
        <v>-1</v>
      </c>
      <c r="E882" s="11" t="str">
        <f>RAW_Продажи!D881</f>
        <v>$110</v>
      </c>
      <c r="F882" s="11" t="str">
        <f>RAW_Продажи!E881</f>
        <v>C0880</v>
      </c>
      <c r="G882" s="11" t="str">
        <f>RAW_Продажи!F881</f>
        <v>P039</v>
      </c>
      <c r="H882" s="11" t="str">
        <f>RAW_Продажи!G881</f>
        <v>отменен</v>
      </c>
      <c r="I882" s="12" t="str">
        <f t="shared" si="271"/>
        <v>244</v>
      </c>
      <c r="J882" s="12" t="str">
        <f t="shared" si="272"/>
        <v>$</v>
      </c>
      <c r="K882" s="12">
        <f t="shared" si="273"/>
        <v>110</v>
      </c>
      <c r="L882" s="19">
        <f t="shared" si="274"/>
        <v>46111</v>
      </c>
      <c r="M882" s="13" t="str">
        <f t="shared" si="275"/>
        <v>АРТ-244</v>
      </c>
      <c r="N882" s="13">
        <f t="shared" si="276"/>
        <v>-1</v>
      </c>
      <c r="O882" s="13" t="str">
        <f>IFERROR(VLOOKUP(J882,Справочники!$G$6:$H$8,2,0),"RUB")</f>
        <v>USD</v>
      </c>
      <c r="P882" s="14">
        <f>ROUND(K882*IFERROR(VLOOKUP(J882,Справочники!$G$6:$I$8,3,0),1),2)</f>
        <v>10450</v>
      </c>
      <c r="Q882" s="13" t="str">
        <f>IFERROR(VLOOKUP(H882,Справочники!$D$6:$E$14,2,0),"НЕИЗВЕСТНО")</f>
        <v>Отменен</v>
      </c>
      <c r="R882" s="20">
        <f>IFERROR(INDEX(Товары_очищенные!$Q$3:$Q$503,MATCH(M882,Товары_очищенные!$L$3:$L$503,0)),"нет в каталоге")</f>
        <v>77990</v>
      </c>
      <c r="S882" s="21" t="str">
        <f>IFERROR(INDEX(Товары_очищенные!$N$3:$N$503,MATCH(M882,Товары_очищенные!$L$3:$L$503,0)),"нет в каталоге")</f>
        <v>Мониторы</v>
      </c>
      <c r="T882" s="21" t="str">
        <f t="shared" si="277"/>
        <v>OK</v>
      </c>
      <c r="U882" s="12" t="str">
        <f t="shared" si="278"/>
        <v>30/03/2026|АРТ-244|C0880</v>
      </c>
      <c r="V882" s="12" t="str">
        <f t="shared" si="279"/>
        <v>оригинал</v>
      </c>
    </row>
    <row r="883" ht="15" customHeight="1">
      <c r="A883" s="10">
        <v>881</v>
      </c>
      <c r="B883" s="11" t="str">
        <f>RAW_Продажи!A882</f>
        <v>03/31/2026</v>
      </c>
      <c r="C883" s="11" t="str">
        <f>RAW_Продажи!B882</f>
        <v>АРТ_383</v>
      </c>
      <c r="D883" s="11" t="str">
        <f>RAW_Продажи!C882</f>
        <v>3</v>
      </c>
      <c r="E883" s="11" t="str">
        <f>RAW_Продажи!D882</f>
        <v>€90</v>
      </c>
      <c r="F883" s="11" t="str">
        <f>RAW_Продажи!E882</f>
        <v>C0881</v>
      </c>
      <c r="G883" s="11" t="str">
        <f>RAW_Продажи!F882</f>
        <v>P050</v>
      </c>
      <c r="H883" s="11" t="str">
        <f>RAW_Продажи!G882</f>
        <v>возврат</v>
      </c>
      <c r="I883" s="12" t="str">
        <f t="shared" si="271"/>
        <v>383</v>
      </c>
      <c r="J883" s="12" t="str">
        <f t="shared" si="272"/>
        <v>€</v>
      </c>
      <c r="K883" s="12">
        <f t="shared" si="273"/>
        <v>90</v>
      </c>
      <c r="L883" s="19">
        <f t="shared" si="274"/>
        <v>46112</v>
      </c>
      <c r="M883" s="13" t="str">
        <f t="shared" si="275"/>
        <v>АРТ-383</v>
      </c>
      <c r="N883" s="13">
        <f t="shared" si="276"/>
        <v>3</v>
      </c>
      <c r="O883" s="13" t="str">
        <f>IFERROR(VLOOKUP(J883,Справочники!$G$6:$H$8,2,0),"RUB")</f>
        <v>EUR</v>
      </c>
      <c r="P883" s="14">
        <f>ROUND(K883*IFERROR(VLOOKUP(J883,Справочники!$G$6:$I$8,3,0),1),2)</f>
        <v>9000</v>
      </c>
      <c r="Q883" s="13" t="str">
        <f>IFERROR(VLOOKUP(H883,Справочники!$D$6:$E$14,2,0),"НЕИЗВЕСТНО")</f>
        <v>Возврат</v>
      </c>
      <c r="R883" s="20">
        <f>IFERROR(INDEX(Товары_очищенные!$Q$3:$Q$503,MATCH(M883,Товары_очищенные!$L$3:$L$503,0)),"нет в каталоге")</f>
        <v>41500</v>
      </c>
      <c r="S883" s="21" t="str">
        <f>IFERROR(INDEX(Товары_очищенные!$N$3:$N$503,MATCH(M883,Товары_очищенные!$L$3:$L$503,0)),"нет в каталоге")</f>
        <v>Смартфоны</v>
      </c>
      <c r="T883" s="21" t="str">
        <f t="shared" si="277"/>
        <v>OK</v>
      </c>
      <c r="U883" s="12" t="str">
        <f t="shared" si="278"/>
        <v>31/03/2026|АРТ-383|C0881</v>
      </c>
      <c r="V883" s="12" t="str">
        <f t="shared" si="279"/>
        <v>оригинал</v>
      </c>
    </row>
    <row r="884" ht="15" customHeight="1">
      <c r="A884" s="10">
        <v>882</v>
      </c>
      <c r="B884" s="11" t="str">
        <f>RAW_Продажи!A883</f>
        <v>03/31/2026</v>
      </c>
      <c r="C884" s="11" t="str">
        <f>RAW_Продажи!B883</f>
        <v>229-24</v>
      </c>
      <c r="D884" s="11" t="str">
        <f>RAW_Продажи!C883</f>
        <v>2</v>
      </c>
      <c r="E884" s="11" t="str">
        <f>RAW_Продажи!D883</f>
        <v xml:space="preserve">8000 ₽</v>
      </c>
      <c r="F884" s="11" t="str">
        <f>RAW_Продажи!E883</f>
        <v>C0882</v>
      </c>
      <c r="G884" s="11" t="str">
        <f>RAW_Продажи!F883</f>
        <v>P011</v>
      </c>
      <c r="H884" s="11" t="str">
        <f>RAW_Продажи!G883</f>
        <v>Завершен</v>
      </c>
      <c r="I884" s="12" t="str">
        <f t="shared" si="271"/>
        <v>229-24</v>
      </c>
      <c r="J884" s="12" t="str">
        <f t="shared" si="272"/>
        <v>₽</v>
      </c>
      <c r="K884" s="12">
        <f t="shared" si="273"/>
        <v>8000</v>
      </c>
      <c r="L884" s="19">
        <f t="shared" si="274"/>
        <v>46112</v>
      </c>
      <c r="M884" s="13" t="str">
        <f t="shared" si="275"/>
        <v>АРТ-229</v>
      </c>
      <c r="N884" s="13">
        <f t="shared" si="276"/>
        <v>2</v>
      </c>
      <c r="O884" s="13" t="str">
        <f>IFERROR(VLOOKUP(J884,Справочники!$G$6:$H$8,2,0),"RUB")</f>
        <v>RUB</v>
      </c>
      <c r="P884" s="14">
        <f>ROUND(K884*IFERROR(VLOOKUP(J884,Справочники!$G$6:$I$8,3,0),1),2)</f>
        <v>8000</v>
      </c>
      <c r="Q884" s="13" t="str">
        <f>IFERROR(VLOOKUP(H884,Справочники!$D$6:$E$14,2,0),"НЕИЗВЕСТНО")</f>
        <v>Завершен</v>
      </c>
      <c r="R884" s="20">
        <f>IFERROR(INDEX(Товары_очищенные!$Q$3:$Q$503,MATCH(M884,Товары_очищенные!$L$3:$L$503,0)),"нет в каталоге")</f>
        <v>119990</v>
      </c>
      <c r="S884" s="21" t="str">
        <f>IFERROR(INDEX(Товары_очищенные!$N$3:$N$503,MATCH(M884,Товары_очищенные!$L$3:$L$503,0)),"нет в каталоге")</f>
        <v>Ноутбуки</v>
      </c>
      <c r="T884" s="21" t="str">
        <f t="shared" si="277"/>
        <v>OK</v>
      </c>
      <c r="U884" s="12" t="str">
        <f t="shared" si="278"/>
        <v>31/03/2026|АРТ-229|C0882</v>
      </c>
      <c r="V884" s="12" t="str">
        <f t="shared" si="279"/>
        <v>оригинал</v>
      </c>
    </row>
    <row r="885" ht="15" customHeight="1">
      <c r="A885" s="10">
        <v>883</v>
      </c>
      <c r="B885" s="11" t="str">
        <f>RAW_Продажи!A884</f>
        <v>04/01/2026</v>
      </c>
      <c r="C885" s="11" t="str">
        <f>RAW_Продажи!B884</f>
        <v>№АРТ-066</v>
      </c>
      <c r="D885" s="11" t="str">
        <f>RAW_Продажи!C884</f>
        <v>1</v>
      </c>
      <c r="E885" s="11" t="str">
        <f>RAW_Продажи!D884</f>
        <v>$95</v>
      </c>
      <c r="F885" s="11" t="str">
        <f>RAW_Продажи!E884</f>
        <v>C0883</v>
      </c>
      <c r="G885" s="11" t="str">
        <f>RAW_Продажи!F884</f>
        <v>P027</v>
      </c>
      <c r="H885" s="11" t="str">
        <f>RAW_Продажи!G884</f>
        <v>завершен</v>
      </c>
      <c r="I885" s="12" t="str">
        <f t="shared" si="271"/>
        <v>066</v>
      </c>
      <c r="J885" s="12" t="str">
        <f t="shared" si="272"/>
        <v>$</v>
      </c>
      <c r="K885" s="12">
        <f t="shared" si="273"/>
        <v>95</v>
      </c>
      <c r="L885" s="19">
        <f t="shared" si="274"/>
        <v>46113</v>
      </c>
      <c r="M885" s="13" t="str">
        <f t="shared" si="275"/>
        <v>АРТ-066</v>
      </c>
      <c r="N885" s="13">
        <f t="shared" si="276"/>
        <v>1</v>
      </c>
      <c r="O885" s="13" t="str">
        <f>IFERROR(VLOOKUP(J885,Справочники!$G$6:$H$8,2,0),"RUB")</f>
        <v>USD</v>
      </c>
      <c r="P885" s="14">
        <f>ROUND(K885*IFERROR(VLOOKUP(J885,Справочники!$G$6:$I$8,3,0),1),2)</f>
        <v>9025</v>
      </c>
      <c r="Q885" s="13" t="str">
        <f>IFERROR(VLOOKUP(H885,Справочники!$D$6:$E$14,2,0),"НЕИЗВЕСТНО")</f>
        <v>Завершен</v>
      </c>
      <c r="R885" s="20">
        <f>IFERROR(INDEX(Товары_очищенные!$Q$3:$Q$503,MATCH(M885,Товары_очищенные!$L$3:$L$503,0)),"нет в каталоге")</f>
        <v>57800</v>
      </c>
      <c r="S885" s="21" t="str">
        <f>IFERROR(INDEX(Товары_очищенные!$N$3:$N$503,MATCH(M885,Товары_очищенные!$L$3:$L$503,0)),"нет в каталоге")</f>
        <v>Смартфоны</v>
      </c>
      <c r="T885" s="21" t="str">
        <f t="shared" si="277"/>
        <v>OK</v>
      </c>
      <c r="U885" s="12" t="str">
        <f t="shared" si="278"/>
        <v>01/04/2026|АРТ-066|C0883</v>
      </c>
      <c r="V885" s="12" t="str">
        <f t="shared" si="279"/>
        <v>оригинал</v>
      </c>
    </row>
    <row r="886" ht="15" customHeight="1">
      <c r="A886" s="10">
        <v>884</v>
      </c>
      <c r="B886" s="11" t="str">
        <f>RAW_Продажи!A885</f>
        <v>04/01/2026</v>
      </c>
      <c r="C886" s="11" t="str">
        <f>RAW_Продажи!B885</f>
        <v>АРТ_452</v>
      </c>
      <c r="D886" s="11" t="str">
        <f>RAW_Продажи!C885</f>
        <v>2</v>
      </c>
      <c r="E886" s="11" t="str">
        <f>RAW_Продажи!D885</f>
        <v>€75</v>
      </c>
      <c r="F886" s="11" t="str">
        <f>RAW_Продажи!E885</f>
        <v>C0884</v>
      </c>
      <c r="G886" s="11" t="str">
        <f>RAW_Продажи!F885</f>
        <v>P018</v>
      </c>
      <c r="H886" s="11" t="str">
        <f>RAW_Продажи!G885</f>
        <v>completed</v>
      </c>
      <c r="I886" s="12" t="str">
        <f t="shared" si="271"/>
        <v>452</v>
      </c>
      <c r="J886" s="12" t="str">
        <f t="shared" si="272"/>
        <v>€</v>
      </c>
      <c r="K886" s="12">
        <f t="shared" si="273"/>
        <v>75</v>
      </c>
      <c r="L886" s="19">
        <f t="shared" si="274"/>
        <v>46113</v>
      </c>
      <c r="M886" s="13" t="str">
        <f t="shared" si="275"/>
        <v>АРТ-452</v>
      </c>
      <c r="N886" s="13">
        <f t="shared" si="276"/>
        <v>2</v>
      </c>
      <c r="O886" s="13" t="str">
        <f>IFERROR(VLOOKUP(J886,Справочники!$G$6:$H$8,2,0),"RUB")</f>
        <v>EUR</v>
      </c>
      <c r="P886" s="14">
        <f>ROUND(K886*IFERROR(VLOOKUP(J886,Справочники!$G$6:$I$8,3,0),1),2)</f>
        <v>7500</v>
      </c>
      <c r="Q886" s="13" t="str">
        <f>IFERROR(VLOOKUP(H886,Справочники!$D$6:$E$14,2,0),"НЕИЗВЕСТНО")</f>
        <v>Завершен</v>
      </c>
      <c r="R886" s="20">
        <f>IFERROR(INDEX(Товары_очищенные!$Q$3:$Q$503,MATCH(M886,Товары_очищенные!$L$3:$L$503,0)),"нет в каталоге")</f>
        <v>38500</v>
      </c>
      <c r="S886" s="21" t="str">
        <f>IFERROR(INDEX(Товары_очищенные!$N$3:$N$503,MATCH(M886,Товары_очищенные!$L$3:$L$503,0)),"нет в каталоге")</f>
        <v>Наушники</v>
      </c>
      <c r="T886" s="21" t="str">
        <f t="shared" si="277"/>
        <v>OK</v>
      </c>
      <c r="U886" s="12" t="str">
        <f t="shared" si="278"/>
        <v>01/04/2026|АРТ-452|C0884</v>
      </c>
      <c r="V886" s="12" t="str">
        <f t="shared" si="279"/>
        <v>оригинал</v>
      </c>
    </row>
    <row r="887" ht="15" customHeight="1">
      <c r="A887" s="10">
        <v>885</v>
      </c>
      <c r="B887" s="11" t="str">
        <f>RAW_Продажи!A886</f>
        <v>04/02/2026</v>
      </c>
      <c r="C887" s="11" t="str">
        <f>RAW_Продажи!B886</f>
        <v>392/24</v>
      </c>
      <c r="D887" s="11" t="str">
        <f>RAW_Продажи!C886</f>
        <v xml:space="preserve">3 шт.</v>
      </c>
      <c r="E887" s="11" t="str">
        <f>RAW_Продажи!D886</f>
        <v xml:space="preserve">7000 ₽</v>
      </c>
      <c r="F887" s="11" t="str">
        <f>RAW_Продажи!E886</f>
        <v>C0885</v>
      </c>
      <c r="G887" s="11" t="str">
        <f>RAW_Продажи!F886</f>
        <v>P040</v>
      </c>
      <c r="H887" s="11" t="str">
        <f>RAW_Продажи!G886</f>
        <v>отменен</v>
      </c>
      <c r="I887" s="12" t="str">
        <f t="shared" si="271"/>
        <v>392/24</v>
      </c>
      <c r="J887" s="12" t="str">
        <f t="shared" si="272"/>
        <v>₽</v>
      </c>
      <c r="K887" s="12">
        <f t="shared" si="273"/>
        <v>7000</v>
      </c>
      <c r="L887" s="19">
        <f t="shared" si="274"/>
        <v>46114</v>
      </c>
      <c r="M887" s="13" t="str">
        <f t="shared" si="275"/>
        <v>АРТ-392</v>
      </c>
      <c r="N887" s="13">
        <f t="shared" si="276"/>
        <v>3</v>
      </c>
      <c r="O887" s="13" t="str">
        <f>IFERROR(VLOOKUP(J887,Справочники!$G$6:$H$8,2,0),"RUB")</f>
        <v>RUB</v>
      </c>
      <c r="P887" s="14">
        <f>ROUND(K887*IFERROR(VLOOKUP(J887,Справочники!$G$6:$I$8,3,0),1),2)</f>
        <v>7000</v>
      </c>
      <c r="Q887" s="13" t="str">
        <f>IFERROR(VLOOKUP(H887,Справочники!$D$6:$E$14,2,0),"НЕИЗВЕСТНО")</f>
        <v>Отменен</v>
      </c>
      <c r="R887" s="20">
        <f>IFERROR(INDEX(Товары_очищенные!$Q$3:$Q$503,MATCH(M887,Товары_очищенные!$L$3:$L$503,0)),"нет в каталоге")</f>
        <v>18000</v>
      </c>
      <c r="S887" s="21" t="str">
        <f>IFERROR(INDEX(Товары_очищенные!$N$3:$N$503,MATCH(M887,Товары_очищенные!$L$3:$L$503,0)),"нет в каталоге")</f>
        <v>Наушники</v>
      </c>
      <c r="T887" s="21" t="str">
        <f t="shared" si="277"/>
        <v>OK</v>
      </c>
      <c r="U887" s="12" t="str">
        <f t="shared" si="278"/>
        <v>02/04/2026|АРТ-392|C0885</v>
      </c>
      <c r="V887" s="12" t="str">
        <f t="shared" si="279"/>
        <v>оригинал</v>
      </c>
    </row>
    <row r="888" ht="15" customHeight="1">
      <c r="A888" s="10">
        <v>886</v>
      </c>
      <c r="B888" s="11" t="str">
        <f>RAW_Продажи!A887</f>
        <v>04/02/2026</v>
      </c>
      <c r="C888" s="11" t="str">
        <f>RAW_Продажи!B887</f>
        <v>№АРТ-240</v>
      </c>
      <c r="D888" s="11" t="str">
        <f>RAW_Продажи!C887</f>
        <v>-2</v>
      </c>
      <c r="E888" s="11" t="str">
        <f>RAW_Продажи!D887</f>
        <v>$115</v>
      </c>
      <c r="F888" s="11" t="str">
        <f>RAW_Продажи!E887</f>
        <v>C0886</v>
      </c>
      <c r="G888" s="11" t="str">
        <f>RAW_Продажи!F887</f>
        <v>P003</v>
      </c>
      <c r="H888" s="11" t="str">
        <f>RAW_Продажи!G887</f>
        <v>canceled</v>
      </c>
      <c r="I888" s="12" t="str">
        <f t="shared" si="271"/>
        <v>240</v>
      </c>
      <c r="J888" s="12" t="str">
        <f t="shared" si="272"/>
        <v>$</v>
      </c>
      <c r="K888" s="12">
        <f t="shared" si="273"/>
        <v>115</v>
      </c>
      <c r="L888" s="19">
        <f t="shared" si="274"/>
        <v>46114</v>
      </c>
      <c r="M888" s="13" t="str">
        <f t="shared" si="275"/>
        <v>АРТ-240</v>
      </c>
      <c r="N888" s="13">
        <f t="shared" si="276"/>
        <v>-2</v>
      </c>
      <c r="O888" s="13" t="str">
        <f>IFERROR(VLOOKUP(J888,Справочники!$G$6:$H$8,2,0),"RUB")</f>
        <v>USD</v>
      </c>
      <c r="P888" s="14">
        <f>ROUND(K888*IFERROR(VLOOKUP(J888,Справочники!$G$6:$I$8,3,0),1),2)</f>
        <v>10925</v>
      </c>
      <c r="Q888" s="13" t="str">
        <f>IFERROR(VLOOKUP(H888,Справочники!$D$6:$E$14,2,0),"НЕИЗВЕСТНО")</f>
        <v>Отменен</v>
      </c>
      <c r="R888" s="20">
        <f>IFERROR(INDEX(Товары_очищенные!$Q$3:$Q$503,MATCH(M888,Товары_очищенные!$L$3:$L$503,0)),"нет в каталоге")</f>
        <v>113500</v>
      </c>
      <c r="S888" s="21" t="str">
        <f>IFERROR(INDEX(Товары_очищенные!$N$3:$N$503,MATCH(M888,Товары_очищенные!$L$3:$L$503,0)),"нет в каталоге")</f>
        <v>Телевизоры</v>
      </c>
      <c r="T888" s="21" t="str">
        <f t="shared" si="277"/>
        <v>OK</v>
      </c>
      <c r="U888" s="12" t="str">
        <f t="shared" si="278"/>
        <v>02/04/2026|АРТ-240|C0886</v>
      </c>
      <c r="V888" s="12" t="str">
        <f t="shared" si="279"/>
        <v>оригинал</v>
      </c>
    </row>
    <row r="889" ht="15" customHeight="1">
      <c r="A889" s="10">
        <v>887</v>
      </c>
      <c r="B889" s="11" t="str">
        <f>RAW_Продажи!A888</f>
        <v>04/03/2026</v>
      </c>
      <c r="C889" s="11" t="str">
        <f>RAW_Продажи!B888</f>
        <v>АРТ_301</v>
      </c>
      <c r="D889" s="11" t="str">
        <f>RAW_Продажи!C888</f>
        <v>1</v>
      </c>
      <c r="E889" s="11" t="str">
        <f>RAW_Продажи!D888</f>
        <v>€95</v>
      </c>
      <c r="F889" s="11" t="str">
        <f>RAW_Продажи!E888</f>
        <v>C0887</v>
      </c>
      <c r="G889" s="11" t="str">
        <f>RAW_Продажи!F888</f>
        <v>P025</v>
      </c>
      <c r="H889" s="11" t="str">
        <f>RAW_Продажи!G888</f>
        <v>Завершен</v>
      </c>
      <c r="I889" s="12" t="str">
        <f t="shared" si="271"/>
        <v>301</v>
      </c>
      <c r="J889" s="12" t="str">
        <f t="shared" si="272"/>
        <v>€</v>
      </c>
      <c r="K889" s="12">
        <f t="shared" si="273"/>
        <v>95</v>
      </c>
      <c r="L889" s="19">
        <f t="shared" si="274"/>
        <v>46115</v>
      </c>
      <c r="M889" s="13" t="str">
        <f t="shared" si="275"/>
        <v>АРТ-301</v>
      </c>
      <c r="N889" s="13">
        <f t="shared" si="276"/>
        <v>1</v>
      </c>
      <c r="O889" s="13" t="str">
        <f>IFERROR(VLOOKUP(J889,Справочники!$G$6:$H$8,2,0),"RUB")</f>
        <v>EUR</v>
      </c>
      <c r="P889" s="14">
        <f>ROUND(K889*IFERROR(VLOOKUP(J889,Справочники!$G$6:$I$8,3,0),1),2)</f>
        <v>9500</v>
      </c>
      <c r="Q889" s="13" t="str">
        <f>IFERROR(VLOOKUP(H889,Справочники!$D$6:$E$14,2,0),"НЕИЗВЕСТНО")</f>
        <v>Завершен</v>
      </c>
      <c r="R889" s="20">
        <f>IFERROR(INDEX(Товары_очищенные!$Q$3:$Q$503,MATCH(M889,Товары_очищенные!$L$3:$L$503,0)),"нет в каталоге")</f>
        <v>7990</v>
      </c>
      <c r="S889" s="21" t="str">
        <f>IFERROR(INDEX(Товары_очищенные!$N$3:$N$503,MATCH(M889,Товары_очищенные!$L$3:$L$503,0)),"нет в каталоге")</f>
        <v>Наушники</v>
      </c>
      <c r="T889" s="21" t="str">
        <f t="shared" si="277"/>
        <v>OK</v>
      </c>
      <c r="U889" s="12" t="str">
        <f t="shared" si="278"/>
        <v>03/04/2026|АРТ-301|C0887</v>
      </c>
      <c r="V889" s="12" t="str">
        <f t="shared" si="279"/>
        <v>оригинал</v>
      </c>
    </row>
    <row r="890" ht="15" customHeight="1">
      <c r="A890" s="10">
        <v>888</v>
      </c>
      <c r="B890" s="11" t="str">
        <f>RAW_Продажи!A889</f>
        <v>04/03/2026</v>
      </c>
      <c r="C890" s="11" t="str">
        <f>RAW_Продажи!B889</f>
        <v>134-24</v>
      </c>
      <c r="D890" s="11" t="str">
        <f>RAW_Продажи!C889</f>
        <v>2</v>
      </c>
      <c r="E890" s="11" t="str">
        <f>RAW_Продажи!D889</f>
        <v xml:space="preserve">8500 ₽</v>
      </c>
      <c r="F890" s="11" t="str">
        <f>RAW_Продажи!E889</f>
        <v>C0888</v>
      </c>
      <c r="G890" s="11" t="str">
        <f>RAW_Продажи!F889</f>
        <v>P010</v>
      </c>
      <c r="H890" s="11" t="str">
        <f>RAW_Продажи!G889</f>
        <v>возврат</v>
      </c>
      <c r="I890" s="12" t="str">
        <f t="shared" si="271"/>
        <v>134-24</v>
      </c>
      <c r="J890" s="12" t="str">
        <f t="shared" si="272"/>
        <v>₽</v>
      </c>
      <c r="K890" s="12">
        <f t="shared" si="273"/>
        <v>8500</v>
      </c>
      <c r="L890" s="19">
        <f t="shared" si="274"/>
        <v>46115</v>
      </c>
      <c r="M890" s="13" t="str">
        <f t="shared" si="275"/>
        <v>АРТ-134</v>
      </c>
      <c r="N890" s="13">
        <f t="shared" si="276"/>
        <v>2</v>
      </c>
      <c r="O890" s="13" t="str">
        <f>IFERROR(VLOOKUP(J890,Справочники!$G$6:$H$8,2,0),"RUB")</f>
        <v>RUB</v>
      </c>
      <c r="P890" s="14">
        <f>ROUND(K890*IFERROR(VLOOKUP(J890,Справочники!$G$6:$I$8,3,0),1),2)</f>
        <v>8500</v>
      </c>
      <c r="Q890" s="13" t="str">
        <f>IFERROR(VLOOKUP(H890,Справочники!$D$6:$E$14,2,0),"НЕИЗВЕСТНО")</f>
        <v>Возврат</v>
      </c>
      <c r="R890" s="20">
        <f>IFERROR(INDEX(Товары_очищенные!$Q$3:$Q$503,MATCH(M890,Товары_очищенные!$L$3:$L$503,0)),"нет в каталоге")</f>
        <v>124000</v>
      </c>
      <c r="S890" s="21" t="str">
        <f>IFERROR(INDEX(Товары_очищенные!$N$3:$N$503,MATCH(M890,Товары_очищенные!$L$3:$L$503,0)),"нет в каталоге")</f>
        <v>Телевизоры</v>
      </c>
      <c r="T890" s="21" t="str">
        <f t="shared" si="277"/>
        <v>OK</v>
      </c>
      <c r="U890" s="12" t="str">
        <f t="shared" si="278"/>
        <v>03/04/2026|АРТ-134|C0888</v>
      </c>
      <c r="V890" s="12" t="str">
        <f t="shared" si="279"/>
        <v>оригинал</v>
      </c>
    </row>
    <row r="891" ht="15" customHeight="1">
      <c r="A891" s="10">
        <v>889</v>
      </c>
      <c r="B891" s="11" t="str">
        <f>RAW_Продажи!A890</f>
        <v>04/04/2026</v>
      </c>
      <c r="C891" s="11" t="str">
        <f>RAW_Продажи!B890</f>
        <v>№АРТ-111</v>
      </c>
      <c r="D891" s="11" t="str">
        <f>RAW_Продажи!C890</f>
        <v>3</v>
      </c>
      <c r="E891" s="11" t="str">
        <f>RAW_Продажи!D890</f>
        <v>$105</v>
      </c>
      <c r="F891" s="11" t="str">
        <f>RAW_Продажи!E890</f>
        <v>C0889</v>
      </c>
      <c r="G891" s="11" t="str">
        <f>RAW_Продажи!F890</f>
        <v>P033</v>
      </c>
      <c r="H891" s="11" t="str">
        <f>RAW_Продажи!G890</f>
        <v>завершен</v>
      </c>
      <c r="I891" s="12" t="str">
        <f t="shared" si="271"/>
        <v>111</v>
      </c>
      <c r="J891" s="12" t="str">
        <f t="shared" si="272"/>
        <v>$</v>
      </c>
      <c r="K891" s="12">
        <f t="shared" si="273"/>
        <v>105</v>
      </c>
      <c r="L891" s="19">
        <f t="shared" si="274"/>
        <v>46116</v>
      </c>
      <c r="M891" s="13" t="str">
        <f t="shared" si="275"/>
        <v>АРТ-111</v>
      </c>
      <c r="N891" s="13">
        <f t="shared" si="276"/>
        <v>3</v>
      </c>
      <c r="O891" s="13" t="str">
        <f>IFERROR(VLOOKUP(J891,Справочники!$G$6:$H$8,2,0),"RUB")</f>
        <v>USD</v>
      </c>
      <c r="P891" s="14">
        <f>ROUND(K891*IFERROR(VLOOKUP(J891,Справочники!$G$6:$I$8,3,0),1),2)</f>
        <v>9975</v>
      </c>
      <c r="Q891" s="13" t="str">
        <f>IFERROR(VLOOKUP(H891,Справочники!$D$6:$E$14,2,0),"НЕИЗВЕСТНО")</f>
        <v>Завершен</v>
      </c>
      <c r="R891" s="20">
        <f>IFERROR(INDEX(Товары_очищенные!$Q$3:$Q$503,MATCH(M891,Товары_очищенные!$L$3:$L$503,0)),"нет в каталоге")</f>
        <v>122500</v>
      </c>
      <c r="S891" s="21" t="str">
        <f>IFERROR(INDEX(Товары_очищенные!$N$3:$N$503,MATCH(M891,Товары_очищенные!$L$3:$L$503,0)),"нет в каталоге")</f>
        <v>Телевизоры</v>
      </c>
      <c r="T891" s="21" t="str">
        <f t="shared" si="277"/>
        <v>OK</v>
      </c>
      <c r="U891" s="12" t="str">
        <f t="shared" si="278"/>
        <v>04/04/2026|АРТ-111|C0889</v>
      </c>
      <c r="V891" s="12" t="str">
        <f t="shared" si="279"/>
        <v>оригинал</v>
      </c>
    </row>
    <row r="892" ht="15" customHeight="1">
      <c r="A892" s="10">
        <v>890</v>
      </c>
      <c r="B892" s="11" t="str">
        <f>RAW_Продажи!A891</f>
        <v>04/04/2026</v>
      </c>
      <c r="C892" s="11" t="str">
        <f>RAW_Продажи!B891</f>
        <v>АРТ_498</v>
      </c>
      <c r="D892" s="11" t="str">
        <f>RAW_Продажи!C891</f>
        <v>2</v>
      </c>
      <c r="E892" s="11" t="str">
        <f>RAW_Продажи!D891</f>
        <v>€85</v>
      </c>
      <c r="F892" s="11" t="str">
        <f>RAW_Продажи!E891</f>
        <v>C0890</v>
      </c>
      <c r="G892" s="11" t="str">
        <f>RAW_Продажи!F891</f>
        <v>P047</v>
      </c>
      <c r="H892" s="11" t="str">
        <f>RAW_Продажи!G891</f>
        <v>completed</v>
      </c>
      <c r="I892" s="12" t="str">
        <f t="shared" si="271"/>
        <v>498</v>
      </c>
      <c r="J892" s="12" t="str">
        <f t="shared" si="272"/>
        <v>€</v>
      </c>
      <c r="K892" s="12">
        <f t="shared" si="273"/>
        <v>85</v>
      </c>
      <c r="L892" s="19">
        <f t="shared" si="274"/>
        <v>46116</v>
      </c>
      <c r="M892" s="13" t="str">
        <f t="shared" si="275"/>
        <v>АРТ-498</v>
      </c>
      <c r="N892" s="13">
        <f t="shared" si="276"/>
        <v>2</v>
      </c>
      <c r="O892" s="13" t="str">
        <f>IFERROR(VLOOKUP(J892,Справочники!$G$6:$H$8,2,0),"RUB")</f>
        <v>EUR</v>
      </c>
      <c r="P892" s="14">
        <f>ROUND(K892*IFERROR(VLOOKUP(J892,Справочники!$G$6:$I$8,3,0),1),2)</f>
        <v>8500</v>
      </c>
      <c r="Q892" s="13" t="str">
        <f>IFERROR(VLOOKUP(H892,Справочники!$D$6:$E$14,2,0),"НЕИЗВЕСТНО")</f>
        <v>Завершен</v>
      </c>
      <c r="R892" s="20">
        <f>IFERROR(INDEX(Товары_очищенные!$Q$3:$Q$503,MATCH(M892,Товары_очищенные!$L$3:$L$503,0)),"нет в каталоге")</f>
        <v>62000</v>
      </c>
      <c r="S892" s="21" t="str">
        <f>IFERROR(INDEX(Товары_очищенные!$N$3:$N$503,MATCH(M892,Товары_очищенные!$L$3:$L$503,0)),"нет в каталоге")</f>
        <v>Мониторы</v>
      </c>
      <c r="T892" s="21" t="str">
        <f t="shared" si="277"/>
        <v>OK</v>
      </c>
      <c r="U892" s="12" t="str">
        <f t="shared" si="278"/>
        <v>04/04/2026|АРТ-498|C0890</v>
      </c>
      <c r="V892" s="12" t="str">
        <f t="shared" si="279"/>
        <v>оригинал</v>
      </c>
    </row>
    <row r="893" ht="15" customHeight="1">
      <c r="A893" s="10">
        <v>891</v>
      </c>
      <c r="B893" s="11" t="str">
        <f>RAW_Продажи!A892</f>
        <v>04/05/2026</v>
      </c>
      <c r="C893" s="11" t="str">
        <f>RAW_Продажи!B892</f>
        <v>375/24</v>
      </c>
      <c r="D893" s="11" t="str">
        <f>RAW_Продажи!C892</f>
        <v xml:space="preserve">1 шт.</v>
      </c>
      <c r="E893" s="11" t="str">
        <f>RAW_Продажи!D892</f>
        <v xml:space="preserve">7800 ₽</v>
      </c>
      <c r="F893" s="11" t="str">
        <f>RAW_Продажи!E892</f>
        <v>C0891</v>
      </c>
      <c r="G893" s="11" t="str">
        <f>RAW_Продажи!F892</f>
        <v>P020</v>
      </c>
      <c r="H893" s="11" t="str">
        <f>RAW_Продажи!G892</f>
        <v>Завершен</v>
      </c>
      <c r="I893" s="12" t="str">
        <f t="shared" si="271"/>
        <v>375/24</v>
      </c>
      <c r="J893" s="12" t="str">
        <f t="shared" si="272"/>
        <v>₽</v>
      </c>
      <c r="K893" s="12">
        <f t="shared" si="273"/>
        <v>7800</v>
      </c>
      <c r="L893" s="19">
        <f t="shared" si="274"/>
        <v>46117</v>
      </c>
      <c r="M893" s="13" t="str">
        <f t="shared" si="275"/>
        <v>АРТ-375</v>
      </c>
      <c r="N893" s="13">
        <f t="shared" si="276"/>
        <v>1</v>
      </c>
      <c r="O893" s="13" t="str">
        <f>IFERROR(VLOOKUP(J893,Справочники!$G$6:$H$8,2,0),"RUB")</f>
        <v>RUB</v>
      </c>
      <c r="P893" s="14">
        <f>ROUND(K893*IFERROR(VLOOKUP(J893,Справочники!$G$6:$I$8,3,0),1),2)</f>
        <v>7800</v>
      </c>
      <c r="Q893" s="13" t="str">
        <f>IFERROR(VLOOKUP(H893,Справочники!$D$6:$E$14,2,0),"НЕИЗВЕСТНО")</f>
        <v>Завершен</v>
      </c>
      <c r="R893" s="20">
        <f>IFERROR(INDEX(Товары_очищенные!$Q$3:$Q$503,MATCH(M893,Товары_очищенные!$L$3:$L$503,0)),"нет в каталоге")</f>
        <v>14800</v>
      </c>
      <c r="S893" s="21" t="str">
        <f>IFERROR(INDEX(Товары_очищенные!$N$3:$N$503,MATCH(M893,Товары_очищенные!$L$3:$L$503,0)),"нет в каталоге")</f>
        <v>Аксессуары</v>
      </c>
      <c r="T893" s="21" t="str">
        <f t="shared" si="277"/>
        <v>OK</v>
      </c>
      <c r="U893" s="12" t="str">
        <f t="shared" si="278"/>
        <v>05/04/2026|АРТ-375|C0891</v>
      </c>
      <c r="V893" s="12" t="str">
        <f t="shared" si="279"/>
        <v>оригинал</v>
      </c>
    </row>
    <row r="894" ht="15" customHeight="1">
      <c r="A894" s="10">
        <v>892</v>
      </c>
      <c r="B894" s="11" t="str">
        <f>RAW_Продажи!A893</f>
        <v>04/05/2026</v>
      </c>
      <c r="C894" s="11" t="str">
        <f>RAW_Продажи!B893</f>
        <v>№АРТ-383</v>
      </c>
      <c r="D894" s="11" t="str">
        <f>RAW_Продажи!C893</f>
        <v>-3</v>
      </c>
      <c r="E894" s="11" t="str">
        <f>RAW_Продажи!D893</f>
        <v>$120</v>
      </c>
      <c r="F894" s="11" t="str">
        <f>RAW_Продажи!E893</f>
        <v>C0892</v>
      </c>
      <c r="G894" s="11" t="str">
        <f>RAW_Продажи!F893</f>
        <v>P002</v>
      </c>
      <c r="H894" s="11" t="str">
        <f>RAW_Продажи!G893</f>
        <v>canceled</v>
      </c>
      <c r="I894" s="12" t="str">
        <f t="shared" si="271"/>
        <v>383</v>
      </c>
      <c r="J894" s="12" t="str">
        <f t="shared" si="272"/>
        <v>$</v>
      </c>
      <c r="K894" s="12">
        <f t="shared" si="273"/>
        <v>120</v>
      </c>
      <c r="L894" s="19">
        <f t="shared" si="274"/>
        <v>46117</v>
      </c>
      <c r="M894" s="13" t="str">
        <f t="shared" si="275"/>
        <v>АРТ-383</v>
      </c>
      <c r="N894" s="13">
        <f t="shared" si="276"/>
        <v>-3</v>
      </c>
      <c r="O894" s="13" t="str">
        <f>IFERROR(VLOOKUP(J894,Справочники!$G$6:$H$8,2,0),"RUB")</f>
        <v>USD</v>
      </c>
      <c r="P894" s="14">
        <f>ROUND(K894*IFERROR(VLOOKUP(J894,Справочники!$G$6:$I$8,3,0),1),2)</f>
        <v>11400</v>
      </c>
      <c r="Q894" s="13" t="str">
        <f>IFERROR(VLOOKUP(H894,Справочники!$D$6:$E$14,2,0),"НЕИЗВЕСТНО")</f>
        <v>Отменен</v>
      </c>
      <c r="R894" s="20">
        <f>IFERROR(INDEX(Товары_очищенные!$Q$3:$Q$503,MATCH(M894,Товары_очищенные!$L$3:$L$503,0)),"нет в каталоге")</f>
        <v>41500</v>
      </c>
      <c r="S894" s="21" t="str">
        <f>IFERROR(INDEX(Товары_очищенные!$N$3:$N$503,MATCH(M894,Товары_очищенные!$L$3:$L$503,0)),"нет в каталоге")</f>
        <v>Смартфоны</v>
      </c>
      <c r="T894" s="21" t="str">
        <f t="shared" si="277"/>
        <v>OK</v>
      </c>
      <c r="U894" s="12" t="str">
        <f t="shared" si="278"/>
        <v>05/04/2026|АРТ-383|C0892</v>
      </c>
      <c r="V894" s="12" t="str">
        <f t="shared" si="279"/>
        <v>оригинал</v>
      </c>
    </row>
    <row r="895" ht="15" customHeight="1">
      <c r="A895" s="10">
        <v>893</v>
      </c>
      <c r="B895" s="11" t="str">
        <f>RAW_Продажи!A894</f>
        <v>04/06/2026</v>
      </c>
      <c r="C895" s="11" t="str">
        <f>RAW_Продажи!B894</f>
        <v>АРТ_334</v>
      </c>
      <c r="D895" s="11" t="str">
        <f>RAW_Продажи!C894</f>
        <v>2</v>
      </c>
      <c r="E895" s="11" t="str">
        <f>RAW_Продажи!D894</f>
        <v>€100</v>
      </c>
      <c r="F895" s="11" t="str">
        <f>RAW_Продажи!E894</f>
        <v>C0893</v>
      </c>
      <c r="G895" s="11" t="str">
        <f>RAW_Продажи!F894</f>
        <v>P038</v>
      </c>
      <c r="H895" s="11" t="str">
        <f>RAW_Продажи!G894</f>
        <v>отменен</v>
      </c>
      <c r="I895" s="12" t="str">
        <f t="shared" si="271"/>
        <v>334</v>
      </c>
      <c r="J895" s="12" t="str">
        <f t="shared" si="272"/>
        <v>€</v>
      </c>
      <c r="K895" s="12">
        <f t="shared" si="273"/>
        <v>100</v>
      </c>
      <c r="L895" s="19">
        <f t="shared" si="274"/>
        <v>46118</v>
      </c>
      <c r="M895" s="13" t="str">
        <f t="shared" si="275"/>
        <v>АРТ-334</v>
      </c>
      <c r="N895" s="13">
        <f t="shared" si="276"/>
        <v>2</v>
      </c>
      <c r="O895" s="13" t="str">
        <f>IFERROR(VLOOKUP(J895,Справочники!$G$6:$H$8,2,0),"RUB")</f>
        <v>EUR</v>
      </c>
      <c r="P895" s="14">
        <f>ROUND(K895*IFERROR(VLOOKUP(J895,Справочники!$G$6:$I$8,3,0),1),2)</f>
        <v>10000</v>
      </c>
      <c r="Q895" s="13" t="str">
        <f>IFERROR(VLOOKUP(H895,Справочники!$D$6:$E$14,2,0),"НЕИЗВЕСТНО")</f>
        <v>Отменен</v>
      </c>
      <c r="R895" s="20">
        <f>IFERROR(INDEX(Товары_очищенные!$Q$3:$Q$503,MATCH(M895,Товары_очищенные!$L$3:$L$503,0)),"нет в каталоге")</f>
        <v>48990</v>
      </c>
      <c r="S895" s="21" t="str">
        <f>IFERROR(INDEX(Товары_очищенные!$N$3:$N$503,MATCH(M895,Товары_очищенные!$L$3:$L$503,0)),"нет в каталоге")</f>
        <v>Планшеты</v>
      </c>
      <c r="T895" s="21" t="str">
        <f t="shared" si="277"/>
        <v>OK</v>
      </c>
      <c r="U895" s="12" t="str">
        <f t="shared" si="278"/>
        <v>06/04/2026|АРТ-334|C0893</v>
      </c>
      <c r="V895" s="12" t="str">
        <f t="shared" si="279"/>
        <v>оригинал</v>
      </c>
    </row>
    <row r="896" ht="15" customHeight="1">
      <c r="A896" s="10">
        <v>894</v>
      </c>
      <c r="B896" s="11" t="str">
        <f>RAW_Продажи!A895</f>
        <v>04/06/2026</v>
      </c>
      <c r="C896" s="11" t="str">
        <f>RAW_Продажи!B895</f>
        <v>266-24</v>
      </c>
      <c r="D896" s="11" t="str">
        <f>RAW_Продажи!C895</f>
        <v>1</v>
      </c>
      <c r="E896" s="11" t="str">
        <f>RAW_Продажи!D895</f>
        <v xml:space="preserve">9200 ₽</v>
      </c>
      <c r="F896" s="11" t="str">
        <f>RAW_Продажи!E895</f>
        <v>C0894</v>
      </c>
      <c r="G896" s="11" t="str">
        <f>RAW_Продажи!F895</f>
        <v>P016</v>
      </c>
      <c r="H896" s="11" t="str">
        <f>RAW_Продажи!G895</f>
        <v>возврат</v>
      </c>
      <c r="I896" s="12" t="str">
        <f t="shared" si="271"/>
        <v>266-24</v>
      </c>
      <c r="J896" s="12" t="str">
        <f t="shared" si="272"/>
        <v>₽</v>
      </c>
      <c r="K896" s="12">
        <f t="shared" si="273"/>
        <v>9200</v>
      </c>
      <c r="L896" s="19">
        <f t="shared" si="274"/>
        <v>46118</v>
      </c>
      <c r="M896" s="13" t="str">
        <f t="shared" si="275"/>
        <v>АРТ-266</v>
      </c>
      <c r="N896" s="13">
        <f t="shared" si="276"/>
        <v>1</v>
      </c>
      <c r="O896" s="13" t="str">
        <f>IFERROR(VLOOKUP(J896,Справочники!$G$6:$H$8,2,0),"RUB")</f>
        <v>RUB</v>
      </c>
      <c r="P896" s="14">
        <f>ROUND(K896*IFERROR(VLOOKUP(J896,Справочники!$G$6:$I$8,3,0),1),2)</f>
        <v>9200</v>
      </c>
      <c r="Q896" s="13" t="str">
        <f>IFERROR(VLOOKUP(H896,Справочники!$D$6:$E$14,2,0),"НЕИЗВЕСТНО")</f>
        <v>Возврат</v>
      </c>
      <c r="R896" s="20">
        <f>IFERROR(INDEX(Товары_очищенные!$Q$3:$Q$503,MATCH(M896,Товары_очищенные!$L$3:$L$503,0)),"нет в каталоге")</f>
        <v>65500</v>
      </c>
      <c r="S896" s="21" t="str">
        <f>IFERROR(INDEX(Товары_очищенные!$N$3:$N$503,MATCH(M896,Товары_очищенные!$L$3:$L$503,0)),"нет в каталоге")</f>
        <v>Мониторы</v>
      </c>
      <c r="T896" s="21" t="str">
        <f t="shared" si="277"/>
        <v>OK</v>
      </c>
      <c r="U896" s="12" t="str">
        <f t="shared" si="278"/>
        <v>06/04/2026|АРТ-266|C0894</v>
      </c>
      <c r="V896" s="12" t="str">
        <f t="shared" si="279"/>
        <v>оригинал</v>
      </c>
    </row>
    <row r="897" ht="15" customHeight="1">
      <c r="A897" s="10">
        <v>895</v>
      </c>
      <c r="B897" s="11" t="str">
        <f>RAW_Продажи!A896</f>
        <v>04/07/2026</v>
      </c>
      <c r="C897" s="11" t="str">
        <f>RAW_Продажи!B896</f>
        <v>№АРТ-090</v>
      </c>
      <c r="D897" s="11" t="str">
        <f>RAW_Продажи!C896</f>
        <v>3</v>
      </c>
      <c r="E897" s="11" t="str">
        <f>RAW_Продажи!D896</f>
        <v>$90</v>
      </c>
      <c r="F897" s="11" t="str">
        <f>RAW_Продажи!E896</f>
        <v>C0895</v>
      </c>
      <c r="G897" s="11" t="str">
        <f>RAW_Продажи!F896</f>
        <v>P029</v>
      </c>
      <c r="H897" s="11" t="str">
        <f>RAW_Продажи!G896</f>
        <v>Завершен</v>
      </c>
      <c r="I897" s="12" t="str">
        <f t="shared" si="271"/>
        <v>090</v>
      </c>
      <c r="J897" s="12" t="str">
        <f t="shared" si="272"/>
        <v>$</v>
      </c>
      <c r="K897" s="12">
        <f t="shared" si="273"/>
        <v>90</v>
      </c>
      <c r="L897" s="19">
        <f t="shared" si="274"/>
        <v>46119</v>
      </c>
      <c r="M897" s="13" t="str">
        <f t="shared" si="275"/>
        <v>АРТ-090</v>
      </c>
      <c r="N897" s="13">
        <f t="shared" si="276"/>
        <v>3</v>
      </c>
      <c r="O897" s="13" t="str">
        <f>IFERROR(VLOOKUP(J897,Справочники!$G$6:$H$8,2,0),"RUB")</f>
        <v>USD</v>
      </c>
      <c r="P897" s="14">
        <f>ROUND(K897*IFERROR(VLOOKUP(J897,Справочники!$G$6:$I$8,3,0),1),2)</f>
        <v>8550</v>
      </c>
      <c r="Q897" s="13" t="str">
        <f>IFERROR(VLOOKUP(H897,Справочники!$D$6:$E$14,2,0),"НЕИЗВЕСТНО")</f>
        <v>Завершен</v>
      </c>
      <c r="R897" s="20">
        <f>IFERROR(INDEX(Товары_очищенные!$Q$3:$Q$503,MATCH(M897,Товары_очищенные!$L$3:$L$503,0)),"нет в каталоге")</f>
        <v>56500</v>
      </c>
      <c r="S897" s="21" t="str">
        <f>IFERROR(INDEX(Товары_очищенные!$N$3:$N$503,MATCH(M897,Товары_очищенные!$L$3:$L$503,0)),"нет в каталоге")</f>
        <v>Телевизоры</v>
      </c>
      <c r="T897" s="21" t="str">
        <f t="shared" si="277"/>
        <v>OK</v>
      </c>
      <c r="U897" s="12" t="str">
        <f t="shared" si="278"/>
        <v>07/04/2026|АРТ-090|C0895</v>
      </c>
      <c r="V897" s="12" t="str">
        <f t="shared" si="279"/>
        <v>оригинал</v>
      </c>
    </row>
    <row r="898" ht="15" customHeight="1">
      <c r="A898" s="10">
        <v>896</v>
      </c>
      <c r="B898" s="11" t="str">
        <f>RAW_Продажи!A897</f>
        <v>04/07/2026</v>
      </c>
      <c r="C898" s="11" t="str">
        <f>RAW_Продажи!B897</f>
        <v>АРТ_456</v>
      </c>
      <c r="D898" s="11" t="str">
        <f>RAW_Продажи!C897</f>
        <v>2</v>
      </c>
      <c r="E898" s="11" t="str">
        <f>RAW_Продажи!D897</f>
        <v>€70</v>
      </c>
      <c r="F898" s="11" t="str">
        <f>RAW_Продажи!E897</f>
        <v>C0896</v>
      </c>
      <c r="G898" s="11" t="str">
        <f>RAW_Продажи!F897</f>
        <v>P035</v>
      </c>
      <c r="H898" s="11" t="str">
        <f>RAW_Продажи!G897</f>
        <v>завершен</v>
      </c>
      <c r="I898" s="12" t="str">
        <f t="shared" si="271"/>
        <v>456</v>
      </c>
      <c r="J898" s="12" t="str">
        <f t="shared" si="272"/>
        <v>€</v>
      </c>
      <c r="K898" s="12">
        <f t="shared" si="273"/>
        <v>70</v>
      </c>
      <c r="L898" s="19">
        <f t="shared" si="274"/>
        <v>46119</v>
      </c>
      <c r="M898" s="13" t="str">
        <f t="shared" si="275"/>
        <v>АРТ-456</v>
      </c>
      <c r="N898" s="13">
        <f t="shared" si="276"/>
        <v>2</v>
      </c>
      <c r="O898" s="13" t="str">
        <f>IFERROR(VLOOKUP(J898,Справочники!$G$6:$H$8,2,0),"RUB")</f>
        <v>EUR</v>
      </c>
      <c r="P898" s="14">
        <f>ROUND(K898*IFERROR(VLOOKUP(J898,Справочники!$G$6:$I$8,3,0),1),2)</f>
        <v>7000</v>
      </c>
      <c r="Q898" s="13" t="str">
        <f>IFERROR(VLOOKUP(H898,Справочники!$D$6:$E$14,2,0),"НЕИЗВЕСТНО")</f>
        <v>Завершен</v>
      </c>
      <c r="R898" s="20">
        <f>IFERROR(INDEX(Товары_очищенные!$Q$3:$Q$503,MATCH(M898,Товары_очищенные!$L$3:$L$503,0)),"нет в каталоге")</f>
        <v>77500</v>
      </c>
      <c r="S898" s="21" t="str">
        <f>IFERROR(INDEX(Товары_очищенные!$N$3:$N$503,MATCH(M898,Товары_очищенные!$L$3:$L$503,0)),"нет в каталоге")</f>
        <v>Мониторы</v>
      </c>
      <c r="T898" s="21" t="str">
        <f t="shared" si="277"/>
        <v>OK</v>
      </c>
      <c r="U898" s="12" t="str">
        <f t="shared" si="278"/>
        <v>07/04/2026|АРТ-456|C0896</v>
      </c>
      <c r="V898" s="12" t="str">
        <f t="shared" si="279"/>
        <v>оригинал</v>
      </c>
    </row>
    <row r="899" ht="15" customHeight="1">
      <c r="A899" s="10">
        <v>897</v>
      </c>
      <c r="B899" s="11" t="str">
        <f>RAW_Продажи!A898</f>
        <v>04/08/2026</v>
      </c>
      <c r="C899" s="11" t="str">
        <f>RAW_Продажи!B898</f>
        <v>324/24</v>
      </c>
      <c r="D899" s="11" t="str">
        <f>RAW_Продажи!C898</f>
        <v xml:space="preserve">1 шт.</v>
      </c>
      <c r="E899" s="11" t="str">
        <f>RAW_Продажи!D898</f>
        <v xml:space="preserve">6500 ₽</v>
      </c>
      <c r="F899" s="11" t="str">
        <f>RAW_Продажи!E898</f>
        <v>C0897</v>
      </c>
      <c r="G899" s="11" t="str">
        <f>RAW_Продажи!F898</f>
        <v>P046</v>
      </c>
      <c r="H899" s="11" t="str">
        <f>RAW_Продажи!G898</f>
        <v>completed</v>
      </c>
      <c r="I899" s="12" t="str">
        <f t="shared" si="271"/>
        <v>324/24</v>
      </c>
      <c r="J899" s="12" t="str">
        <f t="shared" si="272"/>
        <v>₽</v>
      </c>
      <c r="K899" s="12">
        <f t="shared" si="273"/>
        <v>6500</v>
      </c>
      <c r="L899" s="19">
        <f t="shared" si="274"/>
        <v>46120</v>
      </c>
      <c r="M899" s="13" t="str">
        <f t="shared" si="275"/>
        <v>АРТ-324</v>
      </c>
      <c r="N899" s="13">
        <f t="shared" si="276"/>
        <v>1</v>
      </c>
      <c r="O899" s="13" t="str">
        <f>IFERROR(VLOOKUP(J899,Справочники!$G$6:$H$8,2,0),"RUB")</f>
        <v>RUB</v>
      </c>
      <c r="P899" s="14">
        <f>ROUND(K899*IFERROR(VLOOKUP(J899,Справочники!$G$6:$I$8,3,0),1),2)</f>
        <v>6500</v>
      </c>
      <c r="Q899" s="13" t="str">
        <f>IFERROR(VLOOKUP(H899,Справочники!$D$6:$E$14,2,0),"НЕИЗВЕСТНО")</f>
        <v>Завершен</v>
      </c>
      <c r="R899" s="20">
        <f>IFERROR(INDEX(Товары_очищенные!$Q$3:$Q$503,MATCH(M899,Товары_очищенные!$L$3:$L$503,0)),"нет в каталоге")</f>
        <v>13800</v>
      </c>
      <c r="S899" s="21" t="str">
        <f>IFERROR(INDEX(Товары_очищенные!$N$3:$N$503,MATCH(M899,Товары_очищенные!$L$3:$L$503,0)),"нет в каталоге")</f>
        <v>Наушники</v>
      </c>
      <c r="T899" s="21" t="str">
        <f t="shared" si="277"/>
        <v>OK</v>
      </c>
      <c r="U899" s="12" t="str">
        <f t="shared" si="278"/>
        <v>08/04/2026|АРТ-324|C0897</v>
      </c>
      <c r="V899" s="12" t="str">
        <f t="shared" si="279"/>
        <v>оригинал</v>
      </c>
    </row>
    <row r="900" ht="15" customHeight="1">
      <c r="A900" s="10">
        <v>898</v>
      </c>
      <c r="B900" s="11" t="str">
        <f>RAW_Продажи!A899</f>
        <v>04/08/2026</v>
      </c>
      <c r="C900" s="11" t="str">
        <f>RAW_Продажи!B899</f>
        <v>№АРТ-184</v>
      </c>
      <c r="D900" s="11" t="str">
        <f>RAW_Продажи!C899</f>
        <v>-1</v>
      </c>
      <c r="E900" s="11" t="str">
        <f>RAW_Продажи!D899</f>
        <v>$110</v>
      </c>
      <c r="F900" s="11" t="str">
        <f>RAW_Продажи!E899</f>
        <v>C0898</v>
      </c>
      <c r="G900" s="11" t="str">
        <f>RAW_Продажи!F899</f>
        <v>P022</v>
      </c>
      <c r="H900" s="11" t="str">
        <f>RAW_Продажи!G899</f>
        <v>отменен</v>
      </c>
      <c r="I900" s="12" t="str">
        <f t="shared" si="271"/>
        <v>184</v>
      </c>
      <c r="J900" s="12" t="str">
        <f t="shared" si="272"/>
        <v>$</v>
      </c>
      <c r="K900" s="12">
        <f t="shared" si="273"/>
        <v>110</v>
      </c>
      <c r="L900" s="19">
        <f t="shared" si="274"/>
        <v>46120</v>
      </c>
      <c r="M900" s="13" t="str">
        <f t="shared" si="275"/>
        <v>АРТ-184</v>
      </c>
      <c r="N900" s="13">
        <f t="shared" si="276"/>
        <v>-1</v>
      </c>
      <c r="O900" s="13" t="str">
        <f>IFERROR(VLOOKUP(J900,Справочники!$G$6:$H$8,2,0),"RUB")</f>
        <v>USD</v>
      </c>
      <c r="P900" s="14">
        <f>ROUND(K900*IFERROR(VLOOKUP(J900,Справочники!$G$6:$I$8,3,0),1),2)</f>
        <v>10450</v>
      </c>
      <c r="Q900" s="13" t="str">
        <f>IFERROR(VLOOKUP(H900,Справочники!$D$6:$E$14,2,0),"НЕИЗВЕСТНО")</f>
        <v>Отменен</v>
      </c>
      <c r="R900" s="20">
        <f>IFERROR(INDEX(Товары_очищенные!$Q$3:$Q$503,MATCH(M900,Товары_очищенные!$L$3:$L$503,0)),"нет в каталоге")</f>
        <v>19990</v>
      </c>
      <c r="S900" s="21" t="str">
        <f>IFERROR(INDEX(Товары_очищенные!$N$3:$N$503,MATCH(M900,Товары_очищенные!$L$3:$L$503,0)),"нет в каталоге")</f>
        <v>Аксессуары</v>
      </c>
      <c r="T900" s="21" t="str">
        <f t="shared" si="277"/>
        <v>OK</v>
      </c>
      <c r="U900" s="12" t="str">
        <f t="shared" si="278"/>
        <v>08/04/2026|АРТ-184|C0898</v>
      </c>
      <c r="V900" s="12" t="str">
        <f t="shared" si="279"/>
        <v>оригинал</v>
      </c>
    </row>
    <row r="901" ht="15" customHeight="1">
      <c r="A901" s="10">
        <v>899</v>
      </c>
      <c r="B901" s="11" t="str">
        <f>RAW_Продажи!A900</f>
        <v>04/09/2026</v>
      </c>
      <c r="C901" s="11" t="str">
        <f>RAW_Продажи!B900</f>
        <v>АРТ_391</v>
      </c>
      <c r="D901" s="11" t="str">
        <f>RAW_Продажи!C900</f>
        <v>3</v>
      </c>
      <c r="E901" s="11" t="str">
        <f>RAW_Продажи!D900</f>
        <v>€90</v>
      </c>
      <c r="F901" s="11" t="str">
        <f>RAW_Продажи!E900</f>
        <v>C0899</v>
      </c>
      <c r="G901" s="11" t="str">
        <f>RAW_Продажи!F900</f>
        <v>P043</v>
      </c>
      <c r="H901" s="11" t="str">
        <f>RAW_Продажи!G900</f>
        <v>canceled</v>
      </c>
      <c r="I901" s="12" t="str">
        <f t="shared" si="271"/>
        <v>391</v>
      </c>
      <c r="J901" s="12" t="str">
        <f t="shared" si="272"/>
        <v>€</v>
      </c>
      <c r="K901" s="12">
        <f t="shared" si="273"/>
        <v>90</v>
      </c>
      <c r="L901" s="19">
        <f t="shared" si="274"/>
        <v>46121</v>
      </c>
      <c r="M901" s="13" t="str">
        <f t="shared" si="275"/>
        <v>АРТ-391</v>
      </c>
      <c r="N901" s="13">
        <f t="shared" si="276"/>
        <v>3</v>
      </c>
      <c r="O901" s="13" t="str">
        <f>IFERROR(VLOOKUP(J901,Справочники!$G$6:$H$8,2,0),"RUB")</f>
        <v>EUR</v>
      </c>
      <c r="P901" s="14">
        <f>ROUND(K901*IFERROR(VLOOKUP(J901,Справочники!$G$6:$I$8,3,0),1),2)</f>
        <v>9000</v>
      </c>
      <c r="Q901" s="13" t="str">
        <f>IFERROR(VLOOKUP(H901,Справочники!$D$6:$E$14,2,0),"НЕИЗВЕСТНО")</f>
        <v>Отменен</v>
      </c>
      <c r="R901" s="20">
        <f>IFERROR(INDEX(Товары_очищенные!$Q$3:$Q$503,MATCH(M901,Товары_очищенные!$L$3:$L$503,0)),"нет в каталоге")</f>
        <v>18990</v>
      </c>
      <c r="S901" s="21" t="str">
        <f>IFERROR(INDEX(Товары_очищенные!$N$3:$N$503,MATCH(M901,Товары_очищенные!$L$3:$L$503,0)),"нет в каталоге")</f>
        <v>Наушники</v>
      </c>
      <c r="T901" s="21" t="str">
        <f t="shared" si="277"/>
        <v>OK</v>
      </c>
      <c r="U901" s="12" t="str">
        <f t="shared" si="278"/>
        <v>09/04/2026|АРТ-391|C0899</v>
      </c>
      <c r="V901" s="12" t="str">
        <f t="shared" si="279"/>
        <v>оригинал</v>
      </c>
    </row>
    <row r="902" ht="15" customHeight="1">
      <c r="A902" s="10">
        <v>900</v>
      </c>
      <c r="B902" s="11" t="str">
        <f>RAW_Продажи!A901</f>
        <v>04/09/2026</v>
      </c>
      <c r="C902" s="11" t="str">
        <f>RAW_Продажи!B901</f>
        <v>176-24</v>
      </c>
      <c r="D902" s="11" t="str">
        <f>RAW_Продажи!C901</f>
        <v>2</v>
      </c>
      <c r="E902" s="11" t="str">
        <f>RAW_Продажи!D901</f>
        <v xml:space="preserve">8000 ₽</v>
      </c>
      <c r="F902" s="11" t="str">
        <f>RAW_Продажи!E901</f>
        <v>C0900</v>
      </c>
      <c r="G902" s="11" t="str">
        <f>RAW_Продажи!F901</f>
        <v>P030</v>
      </c>
      <c r="H902" s="11" t="str">
        <f>RAW_Продажи!G901</f>
        <v>Завершен</v>
      </c>
      <c r="I902" s="12" t="str">
        <f t="shared" si="271"/>
        <v>176-24</v>
      </c>
      <c r="J902" s="12" t="str">
        <f t="shared" si="272"/>
        <v>₽</v>
      </c>
      <c r="K902" s="12">
        <f t="shared" si="273"/>
        <v>8000</v>
      </c>
      <c r="L902" s="19">
        <f t="shared" si="274"/>
        <v>46121</v>
      </c>
      <c r="M902" s="13" t="str">
        <f t="shared" si="275"/>
        <v>АРТ-176</v>
      </c>
      <c r="N902" s="13">
        <f t="shared" si="276"/>
        <v>2</v>
      </c>
      <c r="O902" s="13" t="str">
        <f>IFERROR(VLOOKUP(J902,Справочники!$G$6:$H$8,2,0),"RUB")</f>
        <v>RUB</v>
      </c>
      <c r="P902" s="14">
        <f>ROUND(K902*IFERROR(VLOOKUP(J902,Справочники!$G$6:$I$8,3,0),1),2)</f>
        <v>8000</v>
      </c>
      <c r="Q902" s="13" t="str">
        <f>IFERROR(VLOOKUP(H902,Справочники!$D$6:$E$14,2,0),"НЕИЗВЕСТНО")</f>
        <v>Завершен</v>
      </c>
      <c r="R902" s="20">
        <f>IFERROR(INDEX(Товары_очищенные!$Q$3:$Q$503,MATCH(M902,Товары_очищенные!$L$3:$L$503,0)),"нет в каталоге")</f>
        <v>97000</v>
      </c>
      <c r="S902" s="21" t="str">
        <f>IFERROR(INDEX(Товары_очищенные!$N$3:$N$503,MATCH(M902,Товары_очищенные!$L$3:$L$503,0)),"нет в каталоге")</f>
        <v>Телевизоры</v>
      </c>
      <c r="T902" s="21" t="str">
        <f t="shared" si="277"/>
        <v>OK</v>
      </c>
      <c r="U902" s="12" t="str">
        <f t="shared" si="278"/>
        <v>09/04/2026|АРТ-176|C0900</v>
      </c>
      <c r="V902" s="12" t="str">
        <f t="shared" si="279"/>
        <v>оригинал</v>
      </c>
    </row>
    <row r="903" ht="15" customHeight="1">
      <c r="A903" s="10">
        <v>901</v>
      </c>
      <c r="B903" s="11" t="str">
        <f>RAW_Продажи!A902</f>
        <v>04/10/2026</v>
      </c>
      <c r="C903" s="11" t="str">
        <f>RAW_Продажи!B902</f>
        <v>№АРТ-055</v>
      </c>
      <c r="D903" s="11" t="str">
        <f>RAW_Продажи!C902</f>
        <v>1</v>
      </c>
      <c r="E903" s="11" t="str">
        <f>RAW_Продажи!D902</f>
        <v>$95</v>
      </c>
      <c r="F903" s="11" t="str">
        <f>RAW_Продажи!E902</f>
        <v>C0901</v>
      </c>
      <c r="G903" s="11" t="str">
        <f>RAW_Продажи!F902</f>
        <v>P012</v>
      </c>
      <c r="H903" s="11" t="str">
        <f>RAW_Продажи!G902</f>
        <v>возврат</v>
      </c>
      <c r="I903" s="12" t="str">
        <f t="shared" si="271"/>
        <v>055</v>
      </c>
      <c r="J903" s="12" t="str">
        <f t="shared" si="272"/>
        <v>$</v>
      </c>
      <c r="K903" s="12">
        <f t="shared" si="273"/>
        <v>95</v>
      </c>
      <c r="L903" s="19">
        <f t="shared" si="274"/>
        <v>46122</v>
      </c>
      <c r="M903" s="13" t="str">
        <f t="shared" si="275"/>
        <v>АРТ-055</v>
      </c>
      <c r="N903" s="13">
        <f t="shared" si="276"/>
        <v>1</v>
      </c>
      <c r="O903" s="13" t="str">
        <f>IFERROR(VLOOKUP(J903,Справочники!$G$6:$H$8,2,0),"RUB")</f>
        <v>USD</v>
      </c>
      <c r="P903" s="14">
        <f>ROUND(K903*IFERROR(VLOOKUP(J903,Справочники!$G$6:$I$8,3,0),1),2)</f>
        <v>9025</v>
      </c>
      <c r="Q903" s="13" t="str">
        <f>IFERROR(VLOOKUP(H903,Справочники!$D$6:$E$14,2,0),"НЕИЗВЕСТНО")</f>
        <v>Возврат</v>
      </c>
      <c r="R903" s="20">
        <f>IFERROR(INDEX(Товары_очищенные!$Q$3:$Q$503,MATCH(M903,Товары_очищенные!$L$3:$L$503,0)),"нет в каталоге")</f>
        <v>10990</v>
      </c>
      <c r="S903" s="21" t="str">
        <f>IFERROR(INDEX(Товары_очищенные!$N$3:$N$503,MATCH(M903,Товары_очищенные!$L$3:$L$503,0)),"нет в каталоге")</f>
        <v>Аксессуары</v>
      </c>
      <c r="T903" s="21" t="str">
        <f t="shared" si="277"/>
        <v>OK</v>
      </c>
      <c r="U903" s="12" t="str">
        <f t="shared" si="278"/>
        <v>10/04/2026|АРТ-055|C0901</v>
      </c>
      <c r="V903" s="12" t="str">
        <f t="shared" si="279"/>
        <v>оригинал</v>
      </c>
    </row>
    <row r="904" ht="15" customHeight="1">
      <c r="A904" s="10">
        <v>902</v>
      </c>
      <c r="B904" s="11" t="str">
        <f>RAW_Продажи!A903</f>
        <v>04/10/2026</v>
      </c>
      <c r="C904" s="11" t="str">
        <f>RAW_Продажи!B903</f>
        <v>АРТ_463</v>
      </c>
      <c r="D904" s="11" t="str">
        <f>RAW_Продажи!C903</f>
        <v>2</v>
      </c>
      <c r="E904" s="11" t="str">
        <f>RAW_Продажи!D903</f>
        <v>€75</v>
      </c>
      <c r="F904" s="11" t="str">
        <f>RAW_Продажи!E903</f>
        <v>C0902</v>
      </c>
      <c r="G904" s="11" t="str">
        <f>RAW_Продажи!F903</f>
        <v>P007</v>
      </c>
      <c r="H904" s="11" t="str">
        <f>RAW_Продажи!G903</f>
        <v>завершен</v>
      </c>
      <c r="I904" s="12" t="str">
        <f t="shared" si="271"/>
        <v>463</v>
      </c>
      <c r="J904" s="12" t="str">
        <f t="shared" si="272"/>
        <v>€</v>
      </c>
      <c r="K904" s="12">
        <f t="shared" si="273"/>
        <v>75</v>
      </c>
      <c r="L904" s="19">
        <f t="shared" si="274"/>
        <v>46122</v>
      </c>
      <c r="M904" s="13" t="str">
        <f t="shared" si="275"/>
        <v>АРТ-463</v>
      </c>
      <c r="N904" s="13">
        <f t="shared" si="276"/>
        <v>2</v>
      </c>
      <c r="O904" s="13" t="str">
        <f>IFERROR(VLOOKUP(J904,Справочники!$G$6:$H$8,2,0),"RUB")</f>
        <v>EUR</v>
      </c>
      <c r="P904" s="14">
        <f>ROUND(K904*IFERROR(VLOOKUP(J904,Справочники!$G$6:$I$8,3,0),1),2)</f>
        <v>7500</v>
      </c>
      <c r="Q904" s="13" t="str">
        <f>IFERROR(VLOOKUP(H904,Справочники!$D$6:$E$14,2,0),"НЕИЗВЕСТНО")</f>
        <v>Завершен</v>
      </c>
      <c r="R904" s="20">
        <f>IFERROR(INDEX(Товары_очищенные!$Q$3:$Q$503,MATCH(M904,Товары_очищенные!$L$3:$L$503,0)),"нет в каталоге")</f>
        <v>29990</v>
      </c>
      <c r="S904" s="21" t="str">
        <f>IFERROR(INDEX(Товары_очищенные!$N$3:$N$503,MATCH(M904,Товары_очищенные!$L$3:$L$503,0)),"нет в каталоге")</f>
        <v>Планшеты</v>
      </c>
      <c r="T904" s="21" t="str">
        <f t="shared" si="277"/>
        <v>OK</v>
      </c>
      <c r="U904" s="12" t="str">
        <f t="shared" si="278"/>
        <v>10/04/2026|АРТ-463|C0902</v>
      </c>
      <c r="V904" s="12" t="str">
        <f t="shared" si="279"/>
        <v>оригинал</v>
      </c>
    </row>
    <row r="905" ht="15" customHeight="1">
      <c r="A905" s="10">
        <v>903</v>
      </c>
      <c r="B905" s="11" t="str">
        <f>RAW_Продажи!A904</f>
        <v>04/11/2026</v>
      </c>
      <c r="C905" s="11" t="str">
        <f>RAW_Продажи!B904</f>
        <v>386/24</v>
      </c>
      <c r="D905" s="11" t="str">
        <f>RAW_Продажи!C904</f>
        <v xml:space="preserve">3 шт.</v>
      </c>
      <c r="E905" s="11" t="str">
        <f>RAW_Продажи!D904</f>
        <v xml:space="preserve">7000 ₽</v>
      </c>
      <c r="F905" s="11" t="str">
        <f>RAW_Продажи!E904</f>
        <v>C0903</v>
      </c>
      <c r="G905" s="11" t="str">
        <f>RAW_Продажи!F904</f>
        <v>P023</v>
      </c>
      <c r="H905" s="11" t="str">
        <f>RAW_Продажи!G904</f>
        <v>completed</v>
      </c>
      <c r="I905" s="12" t="str">
        <f t="shared" si="271"/>
        <v>386/24</v>
      </c>
      <c r="J905" s="12" t="str">
        <f t="shared" si="272"/>
        <v>₽</v>
      </c>
      <c r="K905" s="12">
        <f t="shared" si="273"/>
        <v>7000</v>
      </c>
      <c r="L905" s="19">
        <f t="shared" si="274"/>
        <v>46123</v>
      </c>
      <c r="M905" s="13" t="str">
        <f t="shared" si="275"/>
        <v>АРТ-386</v>
      </c>
      <c r="N905" s="13">
        <f t="shared" si="276"/>
        <v>3</v>
      </c>
      <c r="O905" s="13" t="str">
        <f>IFERROR(VLOOKUP(J905,Справочники!$G$6:$H$8,2,0),"RUB")</f>
        <v>RUB</v>
      </c>
      <c r="P905" s="14">
        <f>ROUND(K905*IFERROR(VLOOKUP(J905,Справочники!$G$6:$I$8,3,0),1),2)</f>
        <v>7000</v>
      </c>
      <c r="Q905" s="13" t="str">
        <f>IFERROR(VLOOKUP(H905,Справочники!$D$6:$E$14,2,0),"НЕИЗВЕСТНО")</f>
        <v>Завершен</v>
      </c>
      <c r="R905" s="20">
        <f>IFERROR(INDEX(Товары_очищенные!$Q$3:$Q$503,MATCH(M905,Товары_очищенные!$L$3:$L$503,0)),"нет в каталоге")</f>
        <v>114000</v>
      </c>
      <c r="S905" s="21" t="str">
        <f>IFERROR(INDEX(Товары_очищенные!$N$3:$N$503,MATCH(M905,Товары_очищенные!$L$3:$L$503,0)),"нет в каталоге")</f>
        <v>Ноутбуки</v>
      </c>
      <c r="T905" s="21" t="str">
        <f t="shared" si="277"/>
        <v>OK</v>
      </c>
      <c r="U905" s="12" t="str">
        <f t="shared" si="278"/>
        <v>11/04/2026|АРТ-386|C0903</v>
      </c>
      <c r="V905" s="12" t="str">
        <f t="shared" si="279"/>
        <v>оригинал</v>
      </c>
    </row>
    <row r="906" ht="15" customHeight="1">
      <c r="A906" s="10">
        <v>904</v>
      </c>
      <c r="B906" s="11" t="str">
        <f>RAW_Продажи!A905</f>
        <v>04/11/2026</v>
      </c>
      <c r="C906" s="11" t="str">
        <f>RAW_Продажи!B905</f>
        <v>№АРТ-279</v>
      </c>
      <c r="D906" s="11" t="str">
        <f>RAW_Продажи!C905</f>
        <v>-2</v>
      </c>
      <c r="E906" s="11" t="str">
        <f>RAW_Продажи!D905</f>
        <v>$115</v>
      </c>
      <c r="F906" s="11" t="str">
        <f>RAW_Продажи!E905</f>
        <v>C0904</v>
      </c>
      <c r="G906" s="11" t="str">
        <f>RAW_Продажи!F905</f>
        <v>P045</v>
      </c>
      <c r="H906" s="11" t="str">
        <f>RAW_Продажи!G905</f>
        <v>Завершен</v>
      </c>
      <c r="I906" s="12" t="str">
        <f t="shared" si="271"/>
        <v>279</v>
      </c>
      <c r="J906" s="12" t="str">
        <f t="shared" si="272"/>
        <v>$</v>
      </c>
      <c r="K906" s="12">
        <f t="shared" si="273"/>
        <v>115</v>
      </c>
      <c r="L906" s="19">
        <f t="shared" si="274"/>
        <v>46123</v>
      </c>
      <c r="M906" s="13" t="str">
        <f t="shared" si="275"/>
        <v>АРТ-279</v>
      </c>
      <c r="N906" s="13">
        <f t="shared" si="276"/>
        <v>-2</v>
      </c>
      <c r="O906" s="13" t="str">
        <f>IFERROR(VLOOKUP(J906,Справочники!$G$6:$H$8,2,0),"RUB")</f>
        <v>USD</v>
      </c>
      <c r="P906" s="14">
        <f>ROUND(K906*IFERROR(VLOOKUP(J906,Справочники!$G$6:$I$8,3,0),1),2)</f>
        <v>10925</v>
      </c>
      <c r="Q906" s="13" t="str">
        <f>IFERROR(VLOOKUP(H906,Справочники!$D$6:$E$14,2,0),"НЕИЗВЕСТНО")</f>
        <v>Завершен</v>
      </c>
      <c r="R906" s="20">
        <f>IFERROR(INDEX(Товары_очищенные!$Q$3:$Q$503,MATCH(M906,Товары_очищенные!$L$3:$L$503,0)),"нет в каталоге")</f>
        <v>117500</v>
      </c>
      <c r="S906" s="21" t="str">
        <f>IFERROR(INDEX(Товары_очищенные!$N$3:$N$503,MATCH(M906,Товары_очищенные!$L$3:$L$503,0)),"нет в каталоге")</f>
        <v>Телевизоры</v>
      </c>
      <c r="T906" s="21" t="str">
        <f t="shared" si="277"/>
        <v>OK</v>
      </c>
      <c r="U906" s="12" t="str">
        <f t="shared" si="278"/>
        <v>11/04/2026|АРТ-279|C0904</v>
      </c>
      <c r="V906" s="12" t="str">
        <f t="shared" si="279"/>
        <v>оригинал</v>
      </c>
    </row>
    <row r="907" ht="15" customHeight="1">
      <c r="A907" s="10">
        <v>905</v>
      </c>
      <c r="B907" s="11" t="str">
        <f>RAW_Продажи!A906</f>
        <v>04/12/2026</v>
      </c>
      <c r="C907" s="11" t="str">
        <f>RAW_Продажи!B906</f>
        <v>АРТ_271</v>
      </c>
      <c r="D907" s="11" t="str">
        <f>RAW_Продажи!C906</f>
        <v>1</v>
      </c>
      <c r="E907" s="11" t="str">
        <f>RAW_Продажи!D906</f>
        <v>€95</v>
      </c>
      <c r="F907" s="11" t="str">
        <f>RAW_Продажи!E906</f>
        <v>C0905</v>
      </c>
      <c r="G907" s="11" t="str">
        <f>RAW_Продажи!F906</f>
        <v>P008</v>
      </c>
      <c r="H907" s="11" t="str">
        <f>RAW_Продажи!G906</f>
        <v>canceled</v>
      </c>
      <c r="I907" s="12" t="str">
        <f t="shared" si="271"/>
        <v>271</v>
      </c>
      <c r="J907" s="12" t="str">
        <f t="shared" si="272"/>
        <v>€</v>
      </c>
      <c r="K907" s="12">
        <f t="shared" si="273"/>
        <v>95</v>
      </c>
      <c r="L907" s="19">
        <f t="shared" si="274"/>
        <v>46124</v>
      </c>
      <c r="M907" s="13" t="str">
        <f t="shared" si="275"/>
        <v>АРТ-271</v>
      </c>
      <c r="N907" s="13">
        <f t="shared" si="276"/>
        <v>1</v>
      </c>
      <c r="O907" s="13" t="str">
        <f>IFERROR(VLOOKUP(J907,Справочники!$G$6:$H$8,2,0),"RUB")</f>
        <v>EUR</v>
      </c>
      <c r="P907" s="14">
        <f>ROUND(K907*IFERROR(VLOOKUP(J907,Справочники!$G$6:$I$8,3,0),1),2)</f>
        <v>9500</v>
      </c>
      <c r="Q907" s="13" t="str">
        <f>IFERROR(VLOOKUP(H907,Справочники!$D$6:$E$14,2,0),"НЕИЗВЕСТНО")</f>
        <v>Отменен</v>
      </c>
      <c r="R907" s="20">
        <f>IFERROR(INDEX(Товары_очищенные!$Q$3:$Q$503,MATCH(M907,Товары_очищенные!$L$3:$L$503,0)),"нет в каталоге")</f>
        <v>44990</v>
      </c>
      <c r="S907" s="21" t="str">
        <f>IFERROR(INDEX(Товары_очищенные!$N$3:$N$503,MATCH(M907,Товары_очищенные!$L$3:$L$503,0)),"нет в каталоге")</f>
        <v>Смартфоны</v>
      </c>
      <c r="T907" s="21" t="str">
        <f t="shared" si="277"/>
        <v>OK</v>
      </c>
      <c r="U907" s="12" t="str">
        <f t="shared" si="278"/>
        <v>12/04/2026|АРТ-271|C0905</v>
      </c>
      <c r="V907" s="12" t="str">
        <f t="shared" si="279"/>
        <v>оригинал</v>
      </c>
    </row>
    <row r="908" ht="15" customHeight="1">
      <c r="A908" s="10">
        <v>906</v>
      </c>
      <c r="B908" s="11" t="str">
        <f>RAW_Продажи!A907</f>
        <v>04/12/2026</v>
      </c>
      <c r="C908" s="11" t="str">
        <f>RAW_Продажи!B907</f>
        <v>139-24</v>
      </c>
      <c r="D908" s="11" t="str">
        <f>RAW_Продажи!C907</f>
        <v>2</v>
      </c>
      <c r="E908" s="11" t="str">
        <f>RAW_Продажи!D907</f>
        <v xml:space="preserve">8500 ₽</v>
      </c>
      <c r="F908" s="11" t="str">
        <f>RAW_Продажи!E907</f>
        <v>C0906</v>
      </c>
      <c r="G908" s="11" t="str">
        <f>RAW_Продажи!F907</f>
        <v>P031</v>
      </c>
      <c r="H908" s="11" t="str">
        <f>RAW_Продажи!G907</f>
        <v>отменен</v>
      </c>
      <c r="I908" s="12" t="str">
        <f t="shared" si="271"/>
        <v>139-24</v>
      </c>
      <c r="J908" s="12" t="str">
        <f t="shared" si="272"/>
        <v>₽</v>
      </c>
      <c r="K908" s="12">
        <f t="shared" si="273"/>
        <v>8500</v>
      </c>
      <c r="L908" s="19">
        <f t="shared" si="274"/>
        <v>46124</v>
      </c>
      <c r="M908" s="13" t="str">
        <f t="shared" si="275"/>
        <v>АРТ-139</v>
      </c>
      <c r="N908" s="13">
        <f t="shared" si="276"/>
        <v>2</v>
      </c>
      <c r="O908" s="13" t="str">
        <f>IFERROR(VLOOKUP(J908,Справочники!$G$6:$H$8,2,0),"RUB")</f>
        <v>RUB</v>
      </c>
      <c r="P908" s="14">
        <f>ROUND(K908*IFERROR(VLOOKUP(J908,Справочники!$G$6:$I$8,3,0),1),2)</f>
        <v>8500</v>
      </c>
      <c r="Q908" s="13" t="str">
        <f>IFERROR(VLOOKUP(H908,Справочники!$D$6:$E$14,2,0),"НЕИЗВЕСТНО")</f>
        <v>Отменен</v>
      </c>
      <c r="R908" s="20">
        <f>IFERROR(INDEX(Товары_очищенные!$Q$3:$Q$503,MATCH(M908,Товары_очищенные!$L$3:$L$503,0)),"нет в каталоге")</f>
        <v>89900</v>
      </c>
      <c r="S908" s="21" t="str">
        <f>IFERROR(INDEX(Товары_очищенные!$N$3:$N$503,MATCH(M908,Товары_очищенные!$L$3:$L$503,0)),"нет в каталоге")</f>
        <v>Мониторы</v>
      </c>
      <c r="T908" s="21" t="str">
        <f t="shared" si="277"/>
        <v>OK</v>
      </c>
      <c r="U908" s="12" t="str">
        <f t="shared" si="278"/>
        <v>12/04/2026|АРТ-139|C0906</v>
      </c>
      <c r="V908" s="12" t="str">
        <f t="shared" si="279"/>
        <v>оригинал</v>
      </c>
    </row>
    <row r="909" ht="15" customHeight="1">
      <c r="A909" s="10">
        <v>907</v>
      </c>
      <c r="B909" s="11" t="str">
        <f>RAW_Продажи!A908</f>
        <v>04/13/2026</v>
      </c>
      <c r="C909" s="11" t="str">
        <f>RAW_Продажи!B908</f>
        <v>№АРТ-015</v>
      </c>
      <c r="D909" s="11" t="str">
        <f>RAW_Продажи!C908</f>
        <v>3</v>
      </c>
      <c r="E909" s="11" t="str">
        <f>RAW_Продажи!D908</f>
        <v>$105</v>
      </c>
      <c r="F909" s="11" t="str">
        <f>RAW_Продажи!E908</f>
        <v>C0907</v>
      </c>
      <c r="G909" s="11" t="str">
        <f>RAW_Продажи!F908</f>
        <v>P019</v>
      </c>
      <c r="H909" s="11" t="str">
        <f>RAW_Продажи!G908</f>
        <v>возврат</v>
      </c>
      <c r="I909" s="12" t="str">
        <f t="shared" si="271"/>
        <v>015</v>
      </c>
      <c r="J909" s="12" t="str">
        <f t="shared" si="272"/>
        <v>$</v>
      </c>
      <c r="K909" s="12">
        <f t="shared" si="273"/>
        <v>105</v>
      </c>
      <c r="L909" s="19">
        <f t="shared" si="274"/>
        <v>46125</v>
      </c>
      <c r="M909" s="13" t="str">
        <f t="shared" si="275"/>
        <v>АРТ-015</v>
      </c>
      <c r="N909" s="13">
        <f t="shared" si="276"/>
        <v>3</v>
      </c>
      <c r="O909" s="13" t="str">
        <f>IFERROR(VLOOKUP(J909,Справочники!$G$6:$H$8,2,0),"RUB")</f>
        <v>USD</v>
      </c>
      <c r="P909" s="14">
        <f>ROUND(K909*IFERROR(VLOOKUP(J909,Справочники!$G$6:$I$8,3,0),1),2)</f>
        <v>9975</v>
      </c>
      <c r="Q909" s="13" t="str">
        <f>IFERROR(VLOOKUP(H909,Справочники!$D$6:$E$14,2,0),"НЕИЗВЕСТНО")</f>
        <v>Возврат</v>
      </c>
      <c r="R909" s="20">
        <f>IFERROR(INDEX(Товары_очищенные!$Q$3:$Q$503,MATCH(M909,Товары_очищенные!$L$3:$L$503,0)),"нет в каталоге")</f>
        <v>151000</v>
      </c>
      <c r="S909" s="21" t="str">
        <f>IFERROR(INDEX(Товары_очищенные!$N$3:$N$503,MATCH(M909,Товары_очищенные!$L$3:$L$503,0)),"нет в каталоге")</f>
        <v>Телевизоры</v>
      </c>
      <c r="T909" s="21" t="str">
        <f t="shared" si="277"/>
        <v>OK</v>
      </c>
      <c r="U909" s="12" t="str">
        <f t="shared" si="278"/>
        <v>13/04/2026|АРТ-015|C0907</v>
      </c>
      <c r="V909" s="12" t="str">
        <f t="shared" si="279"/>
        <v>оригинал</v>
      </c>
    </row>
    <row r="910" ht="15" customHeight="1">
      <c r="A910" s="10">
        <v>908</v>
      </c>
      <c r="B910" s="11" t="str">
        <f>RAW_Продажи!A909</f>
        <v>04/13/2026</v>
      </c>
      <c r="C910" s="11" t="str">
        <f>RAW_Продажи!B909</f>
        <v>АРТ_417</v>
      </c>
      <c r="D910" s="11" t="str">
        <f>RAW_Продажи!C909</f>
        <v>2</v>
      </c>
      <c r="E910" s="11" t="str">
        <f>RAW_Продажи!D909</f>
        <v>€85</v>
      </c>
      <c r="F910" s="11" t="str">
        <f>RAW_Продажи!E909</f>
        <v>C0908</v>
      </c>
      <c r="G910" s="11" t="str">
        <f>RAW_Продажи!F909</f>
        <v>P042</v>
      </c>
      <c r="H910" s="11" t="str">
        <f>RAW_Продажи!G909</f>
        <v>Завершен</v>
      </c>
      <c r="I910" s="12" t="str">
        <f t="shared" si="271"/>
        <v>417</v>
      </c>
      <c r="J910" s="12" t="str">
        <f t="shared" si="272"/>
        <v>€</v>
      </c>
      <c r="K910" s="12">
        <f t="shared" si="273"/>
        <v>85</v>
      </c>
      <c r="L910" s="19">
        <f t="shared" si="274"/>
        <v>46125</v>
      </c>
      <c r="M910" s="13" t="str">
        <f t="shared" si="275"/>
        <v>АРТ-417</v>
      </c>
      <c r="N910" s="13">
        <f t="shared" si="276"/>
        <v>2</v>
      </c>
      <c r="O910" s="13" t="str">
        <f>IFERROR(VLOOKUP(J910,Справочники!$G$6:$H$8,2,0),"RUB")</f>
        <v>EUR</v>
      </c>
      <c r="P910" s="14">
        <f>ROUND(K910*IFERROR(VLOOKUP(J910,Справочники!$G$6:$I$8,3,0),1),2)</f>
        <v>8500</v>
      </c>
      <c r="Q910" s="13" t="str">
        <f>IFERROR(VLOOKUP(H910,Справочники!$D$6:$E$14,2,0),"НЕИЗВЕСТНО")</f>
        <v>Завершен</v>
      </c>
      <c r="R910" s="20">
        <f>IFERROR(INDEX(Товары_очищенные!$Q$3:$Q$503,MATCH(M910,Товары_очищенные!$L$3:$L$503,0)),"нет в каталоге")</f>
        <v>15800</v>
      </c>
      <c r="S910" s="21" t="str">
        <f>IFERROR(INDEX(Товары_очищенные!$N$3:$N$503,MATCH(M910,Товары_очищенные!$L$3:$L$503,0)),"нет в каталоге")</f>
        <v>Аксессуары</v>
      </c>
      <c r="T910" s="21" t="str">
        <f t="shared" si="277"/>
        <v>OK</v>
      </c>
      <c r="U910" s="12" t="str">
        <f t="shared" si="278"/>
        <v>13/04/2026|АРТ-417|C0908</v>
      </c>
      <c r="V910" s="12" t="str">
        <f t="shared" si="279"/>
        <v>оригинал</v>
      </c>
    </row>
    <row r="911" ht="15" customHeight="1">
      <c r="A911" s="10">
        <v>909</v>
      </c>
      <c r="B911" s="11" t="str">
        <f>RAW_Продажи!A910</f>
        <v>04/14/2026</v>
      </c>
      <c r="C911" s="11" t="str">
        <f>RAW_Продажи!B910</f>
        <v>307/24</v>
      </c>
      <c r="D911" s="11" t="str">
        <f>RAW_Продажи!C910</f>
        <v xml:space="preserve">1 шт.</v>
      </c>
      <c r="E911" s="11" t="str">
        <f>RAW_Продажи!D910</f>
        <v xml:space="preserve">7800 ₽</v>
      </c>
      <c r="F911" s="11" t="str">
        <f>RAW_Продажи!E910</f>
        <v>C0909</v>
      </c>
      <c r="G911" s="11" t="str">
        <f>RAW_Продажи!F910</f>
        <v>P005</v>
      </c>
      <c r="H911" s="11" t="str">
        <f>RAW_Продажи!G910</f>
        <v>завершен</v>
      </c>
      <c r="I911" s="12" t="str">
        <f t="shared" si="271"/>
        <v>307/24</v>
      </c>
      <c r="J911" s="12" t="str">
        <f t="shared" si="272"/>
        <v>₽</v>
      </c>
      <c r="K911" s="12">
        <f t="shared" si="273"/>
        <v>7800</v>
      </c>
      <c r="L911" s="19">
        <f t="shared" si="274"/>
        <v>46126</v>
      </c>
      <c r="M911" s="13" t="str">
        <f t="shared" si="275"/>
        <v>АРТ-307</v>
      </c>
      <c r="N911" s="13">
        <f t="shared" si="276"/>
        <v>1</v>
      </c>
      <c r="O911" s="13" t="str">
        <f>IFERROR(VLOOKUP(J911,Справочники!$G$6:$H$8,2,0),"RUB")</f>
        <v>RUB</v>
      </c>
      <c r="P911" s="14">
        <f>ROUND(K911*IFERROR(VLOOKUP(J911,Справочники!$G$6:$I$8,3,0),1),2)</f>
        <v>7800</v>
      </c>
      <c r="Q911" s="13" t="str">
        <f>IFERROR(VLOOKUP(H911,Справочники!$D$6:$E$14,2,0),"НЕИЗВЕСТНО")</f>
        <v>Завершен</v>
      </c>
      <c r="R911" s="20">
        <f>IFERROR(INDEX(Товары_очищенные!$Q$3:$Q$503,MATCH(M911,Товары_очищенные!$L$3:$L$503,0)),"нет в каталоге")</f>
        <v>8990</v>
      </c>
      <c r="S911" s="21" t="str">
        <f>IFERROR(INDEX(Товары_очищенные!$N$3:$N$503,MATCH(M911,Товары_очищенные!$L$3:$L$503,0)),"нет в каталоге")</f>
        <v>Аксессуары</v>
      </c>
      <c r="T911" s="21" t="str">
        <f t="shared" si="277"/>
        <v>OK</v>
      </c>
      <c r="U911" s="12" t="str">
        <f t="shared" si="278"/>
        <v>14/04/2026|АРТ-307|C0909</v>
      </c>
      <c r="V911" s="12" t="str">
        <f t="shared" si="279"/>
        <v>оригинал</v>
      </c>
    </row>
    <row r="912" ht="15" customHeight="1">
      <c r="A912" s="10">
        <v>910</v>
      </c>
      <c r="B912" s="11" t="str">
        <f>RAW_Продажи!A911</f>
        <v>04/14/2026</v>
      </c>
      <c r="C912" s="11" t="str">
        <f>RAW_Продажи!B911</f>
        <v>№АРТ-407</v>
      </c>
      <c r="D912" s="11" t="str">
        <f>RAW_Продажи!C911</f>
        <v>-3</v>
      </c>
      <c r="E912" s="11" t="str">
        <f>RAW_Продажи!D911</f>
        <v>$120</v>
      </c>
      <c r="F912" s="11" t="str">
        <f>RAW_Продажи!E911</f>
        <v>C0910</v>
      </c>
      <c r="G912" s="11" t="str">
        <f>RAW_Продажи!F911</f>
        <v>P036</v>
      </c>
      <c r="H912" s="11" t="str">
        <f>RAW_Продажи!G911</f>
        <v>completed</v>
      </c>
      <c r="I912" s="12" t="str">
        <f t="shared" si="271"/>
        <v>407</v>
      </c>
      <c r="J912" s="12" t="str">
        <f t="shared" si="272"/>
        <v>$</v>
      </c>
      <c r="K912" s="12">
        <f t="shared" si="273"/>
        <v>120</v>
      </c>
      <c r="L912" s="19">
        <f t="shared" si="274"/>
        <v>46126</v>
      </c>
      <c r="M912" s="13" t="str">
        <f t="shared" si="275"/>
        <v>АРТ-407</v>
      </c>
      <c r="N912" s="13">
        <f t="shared" si="276"/>
        <v>-3</v>
      </c>
      <c r="O912" s="13" t="str">
        <f>IFERROR(VLOOKUP(J912,Справочники!$G$6:$H$8,2,0),"RUB")</f>
        <v>USD</v>
      </c>
      <c r="P912" s="14">
        <f>ROUND(K912*IFERROR(VLOOKUP(J912,Справочники!$G$6:$I$8,3,0),1),2)</f>
        <v>11400</v>
      </c>
      <c r="Q912" s="13" t="str">
        <f>IFERROR(VLOOKUP(H912,Справочники!$D$6:$E$14,2,0),"НЕИЗВЕСТНО")</f>
        <v>Завершен</v>
      </c>
      <c r="R912" s="20">
        <f>IFERROR(INDEX(Товары_очищенные!$Q$3:$Q$503,MATCH(M912,Товары_очищенные!$L$3:$L$503,0)),"нет в каталоге")</f>
        <v>102000</v>
      </c>
      <c r="S912" s="21" t="str">
        <f>IFERROR(INDEX(Товары_очищенные!$N$3:$N$503,MATCH(M912,Товары_очищенные!$L$3:$L$503,0)),"нет в каталоге")</f>
        <v>Телевизоры</v>
      </c>
      <c r="T912" s="21" t="str">
        <f t="shared" si="277"/>
        <v>OK</v>
      </c>
      <c r="U912" s="12" t="str">
        <f t="shared" si="278"/>
        <v>14/04/2026|АРТ-407|C0910</v>
      </c>
      <c r="V912" s="12" t="str">
        <f t="shared" si="279"/>
        <v>оригинал</v>
      </c>
    </row>
    <row r="913" ht="15" customHeight="1">
      <c r="A913" s="10">
        <v>911</v>
      </c>
      <c r="B913" s="11" t="str">
        <f>RAW_Продажи!A912</f>
        <v>04/15/2026</v>
      </c>
      <c r="C913" s="11" t="str">
        <f>RAW_Продажи!B912</f>
        <v>АРТ_364</v>
      </c>
      <c r="D913" s="11" t="str">
        <f>RAW_Продажи!C912</f>
        <v>2</v>
      </c>
      <c r="E913" s="11" t="str">
        <f>RAW_Продажи!D912</f>
        <v>€100</v>
      </c>
      <c r="F913" s="11" t="str">
        <f>RAW_Продажи!E912</f>
        <v>C0911</v>
      </c>
      <c r="G913" s="11" t="str">
        <f>RAW_Продажи!F912</f>
        <v>P014</v>
      </c>
      <c r="H913" s="11" t="str">
        <f>RAW_Продажи!G912</f>
        <v>отменен</v>
      </c>
      <c r="I913" s="12" t="str">
        <f t="shared" si="271"/>
        <v>364</v>
      </c>
      <c r="J913" s="12" t="str">
        <f t="shared" si="272"/>
        <v>€</v>
      </c>
      <c r="K913" s="12">
        <f t="shared" si="273"/>
        <v>100</v>
      </c>
      <c r="L913" s="19">
        <f t="shared" si="274"/>
        <v>46127</v>
      </c>
      <c r="M913" s="13" t="str">
        <f t="shared" si="275"/>
        <v>АРТ-364</v>
      </c>
      <c r="N913" s="13">
        <f t="shared" si="276"/>
        <v>2</v>
      </c>
      <c r="O913" s="13" t="str">
        <f>IFERROR(VLOOKUP(J913,Справочники!$G$6:$H$8,2,0),"RUB")</f>
        <v>EUR</v>
      </c>
      <c r="P913" s="14">
        <f>ROUND(K913*IFERROR(VLOOKUP(J913,Справочники!$G$6:$I$8,3,0),1),2)</f>
        <v>10000</v>
      </c>
      <c r="Q913" s="13" t="str">
        <f>IFERROR(VLOOKUP(H913,Справочники!$D$6:$E$14,2,0),"НЕИЗВЕСТНО")</f>
        <v>Отменен</v>
      </c>
      <c r="R913" s="20">
        <f>IFERROR(INDEX(Товары_очищенные!$Q$3:$Q$503,MATCH(M913,Товары_очищенные!$L$3:$L$503,0)),"нет в каталоге")</f>
        <v>139990</v>
      </c>
      <c r="S913" s="21" t="str">
        <f>IFERROR(INDEX(Товары_очищенные!$N$3:$N$503,MATCH(M913,Товары_очищенные!$L$3:$L$503,0)),"нет в каталоге")</f>
        <v>Телевизоры</v>
      </c>
      <c r="T913" s="21" t="str">
        <f t="shared" si="277"/>
        <v>OK</v>
      </c>
      <c r="U913" s="12" t="str">
        <f t="shared" si="278"/>
        <v>15/04/2026|АРТ-364|C0911</v>
      </c>
      <c r="V913" s="12" t="str">
        <f t="shared" si="279"/>
        <v>оригинал</v>
      </c>
    </row>
    <row r="914" ht="15" customHeight="1">
      <c r="A914" s="10">
        <v>912</v>
      </c>
      <c r="B914" s="11" t="str">
        <f>RAW_Продажи!A913</f>
        <v>04/15/2026</v>
      </c>
      <c r="C914" s="11" t="str">
        <f>RAW_Продажи!B913</f>
        <v>209-24</v>
      </c>
      <c r="D914" s="11" t="str">
        <f>RAW_Продажи!C913</f>
        <v>1</v>
      </c>
      <c r="E914" s="11" t="str">
        <f>RAW_Продажи!D913</f>
        <v xml:space="preserve">9200 ₽</v>
      </c>
      <c r="F914" s="11" t="str">
        <f>RAW_Продажи!E913</f>
        <v>C0912</v>
      </c>
      <c r="G914" s="11" t="str">
        <f>RAW_Продажи!F913</f>
        <v>P028</v>
      </c>
      <c r="H914" s="11" t="str">
        <f>RAW_Продажи!G913</f>
        <v>canceled</v>
      </c>
      <c r="I914" s="12" t="str">
        <f t="shared" si="271"/>
        <v>209-24</v>
      </c>
      <c r="J914" s="12" t="str">
        <f t="shared" si="272"/>
        <v>₽</v>
      </c>
      <c r="K914" s="12">
        <f t="shared" si="273"/>
        <v>9200</v>
      </c>
      <c r="L914" s="19">
        <f t="shared" si="274"/>
        <v>46127</v>
      </c>
      <c r="M914" s="13" t="str">
        <f t="shared" si="275"/>
        <v>АРТ-209</v>
      </c>
      <c r="N914" s="13">
        <f t="shared" si="276"/>
        <v>1</v>
      </c>
      <c r="O914" s="13" t="str">
        <f>IFERROR(VLOOKUP(J914,Справочники!$G$6:$H$8,2,0),"RUB")</f>
        <v>RUB</v>
      </c>
      <c r="P914" s="14">
        <f>ROUND(K914*IFERROR(VLOOKUP(J914,Справочники!$G$6:$I$8,3,0),1),2)</f>
        <v>9200</v>
      </c>
      <c r="Q914" s="13" t="str">
        <f>IFERROR(VLOOKUP(H914,Справочники!$D$6:$E$14,2,0),"НЕИЗВЕСТНО")</f>
        <v>Отменен</v>
      </c>
      <c r="R914" s="20">
        <f>IFERROR(INDEX(Товары_очищенные!$Q$3:$Q$503,MATCH(M914,Товары_очищенные!$L$3:$L$503,0)),"нет в каталоге")</f>
        <v>10500</v>
      </c>
      <c r="S914" s="21" t="str">
        <f>IFERROR(INDEX(Товары_очищенные!$N$3:$N$503,MATCH(M914,Товары_очищенные!$L$3:$L$503,0)),"нет в каталоге")</f>
        <v>Аксессуары</v>
      </c>
      <c r="T914" s="21" t="str">
        <f t="shared" si="277"/>
        <v>OK</v>
      </c>
      <c r="U914" s="12" t="str">
        <f t="shared" si="278"/>
        <v>15/04/2026|АРТ-209|C0912</v>
      </c>
      <c r="V914" s="12" t="str">
        <f t="shared" si="279"/>
        <v>оригинал</v>
      </c>
    </row>
    <row r="915" ht="15" customHeight="1">
      <c r="A915" s="10">
        <v>913</v>
      </c>
      <c r="B915" s="11" t="str">
        <f>RAW_Продажи!A914</f>
        <v>04/16/2026</v>
      </c>
      <c r="C915" s="11" t="str">
        <f>RAW_Продажи!B914</f>
        <v>№АРТ-143</v>
      </c>
      <c r="D915" s="11" t="str">
        <f>RAW_Продажи!C914</f>
        <v>3</v>
      </c>
      <c r="E915" s="11" t="str">
        <f>RAW_Продажи!D914</f>
        <v>$90</v>
      </c>
      <c r="F915" s="11" t="str">
        <f>RAW_Продажи!E914</f>
        <v>C0913</v>
      </c>
      <c r="G915" s="11" t="str">
        <f>RAW_Продажи!F914</f>
        <v>P009</v>
      </c>
      <c r="H915" s="11" t="str">
        <f>RAW_Продажи!G914</f>
        <v>Завершен</v>
      </c>
      <c r="I915" s="12" t="str">
        <f t="shared" si="271"/>
        <v>143</v>
      </c>
      <c r="J915" s="12" t="str">
        <f t="shared" si="272"/>
        <v>$</v>
      </c>
      <c r="K915" s="12">
        <f t="shared" si="273"/>
        <v>90</v>
      </c>
      <c r="L915" s="19">
        <f t="shared" si="274"/>
        <v>46128</v>
      </c>
      <c r="M915" s="13" t="str">
        <f t="shared" si="275"/>
        <v>АРТ-143</v>
      </c>
      <c r="N915" s="13">
        <f t="shared" si="276"/>
        <v>3</v>
      </c>
      <c r="O915" s="13" t="str">
        <f>IFERROR(VLOOKUP(J915,Справочники!$G$6:$H$8,2,0),"RUB")</f>
        <v>USD</v>
      </c>
      <c r="P915" s="14">
        <f>ROUND(K915*IFERROR(VLOOKUP(J915,Справочники!$G$6:$I$8,3,0),1),2)</f>
        <v>8550</v>
      </c>
      <c r="Q915" s="13" t="str">
        <f>IFERROR(VLOOKUP(H915,Справочники!$D$6:$E$14,2,0),"НЕИЗВЕСТНО")</f>
        <v>Завершен</v>
      </c>
      <c r="R915" s="20">
        <f>IFERROR(INDEX(Товары_очищенные!$Q$3:$Q$503,MATCH(M915,Товары_очищенные!$L$3:$L$503,0)),"нет в каталоге")</f>
        <v>7500</v>
      </c>
      <c r="S915" s="21" t="str">
        <f>IFERROR(INDEX(Товары_очищенные!$N$3:$N$503,MATCH(M915,Товары_очищенные!$L$3:$L$503,0)),"нет в каталоге")</f>
        <v>Аксессуары</v>
      </c>
      <c r="T915" s="21" t="str">
        <f t="shared" si="277"/>
        <v>OK</v>
      </c>
      <c r="U915" s="12" t="str">
        <f t="shared" si="278"/>
        <v>16/04/2026|АРТ-143|C0913</v>
      </c>
      <c r="V915" s="12" t="str">
        <f t="shared" si="279"/>
        <v>оригинал</v>
      </c>
    </row>
    <row r="916" ht="15" customHeight="1">
      <c r="A916" s="10">
        <v>914</v>
      </c>
      <c r="B916" s="11" t="str">
        <f>RAW_Продажи!A915</f>
        <v>04/16/2026</v>
      </c>
      <c r="C916" s="11" t="str">
        <f>RAW_Продажи!B915</f>
        <v>АРТ_482</v>
      </c>
      <c r="D916" s="11" t="str">
        <f>RAW_Продажи!C915</f>
        <v>2</v>
      </c>
      <c r="E916" s="11" t="str">
        <f>RAW_Продажи!D915</f>
        <v>€70</v>
      </c>
      <c r="F916" s="11" t="str">
        <f>RAW_Продажи!E915</f>
        <v>C0914</v>
      </c>
      <c r="G916" s="11" t="str">
        <f>RAW_Продажи!F915</f>
        <v>P041</v>
      </c>
      <c r="H916" s="11" t="str">
        <f>RAW_Продажи!G915</f>
        <v>возврат</v>
      </c>
      <c r="I916" s="12" t="str">
        <f t="shared" si="271"/>
        <v>482</v>
      </c>
      <c r="J916" s="12" t="str">
        <f t="shared" si="272"/>
        <v>€</v>
      </c>
      <c r="K916" s="12">
        <f t="shared" si="273"/>
        <v>70</v>
      </c>
      <c r="L916" s="19">
        <f t="shared" si="274"/>
        <v>46128</v>
      </c>
      <c r="M916" s="13" t="str">
        <f t="shared" si="275"/>
        <v>АРТ-482</v>
      </c>
      <c r="N916" s="13">
        <f t="shared" si="276"/>
        <v>2</v>
      </c>
      <c r="O916" s="13" t="str">
        <f>IFERROR(VLOOKUP(J916,Справочники!$G$6:$H$8,2,0),"RUB")</f>
        <v>EUR</v>
      </c>
      <c r="P916" s="14">
        <f>ROUND(K916*IFERROR(VLOOKUP(J916,Справочники!$G$6:$I$8,3,0),1),2)</f>
        <v>7000</v>
      </c>
      <c r="Q916" s="13" t="str">
        <f>IFERROR(VLOOKUP(H916,Справочники!$D$6:$E$14,2,0),"НЕИЗВЕСТНО")</f>
        <v>Возврат</v>
      </c>
      <c r="R916" s="20">
        <f>IFERROR(INDEX(Товары_очищенные!$Q$3:$Q$503,MATCH(M916,Товары_очищенные!$L$3:$L$503,0)),"нет в каталоге")</f>
        <v>38500</v>
      </c>
      <c r="S916" s="21" t="str">
        <f>IFERROR(INDEX(Товары_очищенные!$N$3:$N$503,MATCH(M916,Товары_очищенные!$L$3:$L$503,0)),"нет в каталоге")</f>
        <v>Планшеты</v>
      </c>
      <c r="T916" s="21" t="str">
        <f t="shared" si="277"/>
        <v>OK</v>
      </c>
      <c r="U916" s="12" t="str">
        <f t="shared" si="278"/>
        <v>16/04/2026|АРТ-482|C0914</v>
      </c>
      <c r="V916" s="12" t="str">
        <f t="shared" si="279"/>
        <v>оригинал</v>
      </c>
    </row>
    <row r="917" ht="15" customHeight="1">
      <c r="A917" s="10">
        <v>915</v>
      </c>
      <c r="B917" s="11" t="str">
        <f>RAW_Продажи!A916</f>
        <v>04/17/2026</v>
      </c>
      <c r="C917" s="11" t="str">
        <f>RAW_Продажи!B916</f>
        <v>311/24</v>
      </c>
      <c r="D917" s="11" t="str">
        <f>RAW_Продажи!C916</f>
        <v xml:space="preserve">1 шт.</v>
      </c>
      <c r="E917" s="11" t="str">
        <f>RAW_Продажи!D916</f>
        <v xml:space="preserve">6500 ₽</v>
      </c>
      <c r="F917" s="11" t="str">
        <f>RAW_Продажи!E916</f>
        <v>C0915</v>
      </c>
      <c r="G917" s="11" t="str">
        <f>RAW_Продажи!F916</f>
        <v>P017</v>
      </c>
      <c r="H917" s="11" t="str">
        <f>RAW_Продажи!G916</f>
        <v>завершен</v>
      </c>
      <c r="I917" s="12" t="str">
        <f t="shared" si="271"/>
        <v>311/24</v>
      </c>
      <c r="J917" s="12" t="str">
        <f t="shared" si="272"/>
        <v>₽</v>
      </c>
      <c r="K917" s="12">
        <f t="shared" si="273"/>
        <v>6500</v>
      </c>
      <c r="L917" s="19">
        <f t="shared" si="274"/>
        <v>46129</v>
      </c>
      <c r="M917" s="13" t="str">
        <f t="shared" si="275"/>
        <v>АРТ-311</v>
      </c>
      <c r="N917" s="13">
        <f t="shared" si="276"/>
        <v>1</v>
      </c>
      <c r="O917" s="13" t="str">
        <f>IFERROR(VLOOKUP(J917,Справочники!$G$6:$H$8,2,0),"RUB")</f>
        <v>RUB</v>
      </c>
      <c r="P917" s="14">
        <f>ROUND(K917*IFERROR(VLOOKUP(J917,Справочники!$G$6:$I$8,3,0),1),2)</f>
        <v>6500</v>
      </c>
      <c r="Q917" s="13" t="str">
        <f>IFERROR(VLOOKUP(H917,Справочники!$D$6:$E$14,2,0),"НЕИЗВЕСТНО")</f>
        <v>Завершен</v>
      </c>
      <c r="R917" s="20">
        <f>IFERROR(INDEX(Товары_очищенные!$Q$3:$Q$503,MATCH(M917,Товары_очищенные!$L$3:$L$503,0)),"нет в каталоге")</f>
        <v>62500</v>
      </c>
      <c r="S917" s="21" t="str">
        <f>IFERROR(INDEX(Товары_очищенные!$N$3:$N$503,MATCH(M917,Товары_очищенные!$L$3:$L$503,0)),"нет в каталоге")</f>
        <v>Планшеты</v>
      </c>
      <c r="T917" s="21" t="str">
        <f t="shared" si="277"/>
        <v>OK</v>
      </c>
      <c r="U917" s="12" t="str">
        <f t="shared" si="278"/>
        <v>17/04/2026|АРТ-311|C0915</v>
      </c>
      <c r="V917" s="12" t="str">
        <f t="shared" si="279"/>
        <v>оригинал</v>
      </c>
    </row>
    <row r="918" ht="15" customHeight="1">
      <c r="A918" s="10">
        <v>916</v>
      </c>
      <c r="B918" s="11" t="str">
        <f>RAW_Продажи!A917</f>
        <v>04/17/2026</v>
      </c>
      <c r="C918" s="11" t="str">
        <f>RAW_Продажи!B917</f>
        <v>№АРТ-309</v>
      </c>
      <c r="D918" s="11" t="str">
        <f>RAW_Продажи!C917</f>
        <v>-1</v>
      </c>
      <c r="E918" s="11" t="str">
        <f>RAW_Продажи!D917</f>
        <v>$110</v>
      </c>
      <c r="F918" s="11" t="str">
        <f>RAW_Продажи!E917</f>
        <v>C0916</v>
      </c>
      <c r="G918" s="11" t="str">
        <f>RAW_Продажи!F917</f>
        <v>P032</v>
      </c>
      <c r="H918" s="11" t="str">
        <f>RAW_Продажи!G917</f>
        <v>completed</v>
      </c>
      <c r="I918" s="12" t="str">
        <f t="shared" si="271"/>
        <v>309</v>
      </c>
      <c r="J918" s="12" t="str">
        <f t="shared" si="272"/>
        <v>$</v>
      </c>
      <c r="K918" s="12">
        <f t="shared" si="273"/>
        <v>110</v>
      </c>
      <c r="L918" s="19">
        <f t="shared" si="274"/>
        <v>46129</v>
      </c>
      <c r="M918" s="13" t="str">
        <f t="shared" si="275"/>
        <v>АРТ-309</v>
      </c>
      <c r="N918" s="13">
        <f t="shared" si="276"/>
        <v>-1</v>
      </c>
      <c r="O918" s="13" t="str">
        <f>IFERROR(VLOOKUP(J918,Справочники!$G$6:$H$8,2,0),"RUB")</f>
        <v>USD</v>
      </c>
      <c r="P918" s="14">
        <f>ROUND(K918*IFERROR(VLOOKUP(J918,Справочники!$G$6:$I$8,3,0),1),2)</f>
        <v>10450</v>
      </c>
      <c r="Q918" s="13" t="str">
        <f>IFERROR(VLOOKUP(H918,Справочники!$D$6:$E$14,2,0),"НЕИЗВЕСТНО")</f>
        <v>Завершен</v>
      </c>
      <c r="R918" s="20">
        <f>IFERROR(INDEX(Товары_очищенные!$Q$3:$Q$503,MATCH(M918,Товары_очищенные!$L$3:$L$503,0)),"нет в каталоге")</f>
        <v>9800</v>
      </c>
      <c r="S918" s="21" t="str">
        <f>IFERROR(INDEX(Товары_очищенные!$N$3:$N$503,MATCH(M918,Товары_очищенные!$L$3:$L$503,0)),"нет в каталоге")</f>
        <v>Аксессуары</v>
      </c>
      <c r="T918" s="21" t="str">
        <f t="shared" si="277"/>
        <v>OK</v>
      </c>
      <c r="U918" s="12" t="str">
        <f t="shared" si="278"/>
        <v>17/04/2026|АРТ-309|C0916</v>
      </c>
      <c r="V918" s="12" t="str">
        <f t="shared" si="279"/>
        <v>оригинал</v>
      </c>
    </row>
    <row r="919" ht="15" customHeight="1">
      <c r="A919" s="10">
        <v>917</v>
      </c>
      <c r="B919" s="11" t="str">
        <f>RAW_Продажи!A918</f>
        <v>04/18/2026</v>
      </c>
      <c r="C919" s="11" t="str">
        <f>RAW_Продажи!B918</f>
        <v>АРТ_282</v>
      </c>
      <c r="D919" s="11" t="str">
        <f>RAW_Продажи!C918</f>
        <v>3</v>
      </c>
      <c r="E919" s="11" t="str">
        <f>RAW_Продажи!D918</f>
        <v>€90</v>
      </c>
      <c r="F919" s="11" t="str">
        <f>RAW_Продажи!E918</f>
        <v>C0917</v>
      </c>
      <c r="G919" s="11" t="str">
        <f>RAW_Продажи!F918</f>
        <v>P049</v>
      </c>
      <c r="H919" s="11" t="str">
        <f>RAW_Продажи!G918</f>
        <v>Завершен</v>
      </c>
      <c r="I919" s="12" t="str">
        <f t="shared" si="271"/>
        <v>282</v>
      </c>
      <c r="J919" s="12" t="str">
        <f t="shared" si="272"/>
        <v>€</v>
      </c>
      <c r="K919" s="12">
        <f t="shared" si="273"/>
        <v>90</v>
      </c>
      <c r="L919" s="19">
        <f t="shared" si="274"/>
        <v>46130</v>
      </c>
      <c r="M919" s="13" t="str">
        <f t="shared" si="275"/>
        <v>АРТ-282</v>
      </c>
      <c r="N919" s="13">
        <f t="shared" si="276"/>
        <v>3</v>
      </c>
      <c r="O919" s="13" t="str">
        <f>IFERROR(VLOOKUP(J919,Справочники!$G$6:$H$8,2,0),"RUB")</f>
        <v>EUR</v>
      </c>
      <c r="P919" s="14">
        <f>ROUND(K919*IFERROR(VLOOKUP(J919,Справочники!$G$6:$I$8,3,0),1),2)</f>
        <v>9000</v>
      </c>
      <c r="Q919" s="13" t="str">
        <f>IFERROR(VLOOKUP(H919,Справочники!$D$6:$E$14,2,0),"НЕИЗВЕСТНО")</f>
        <v>Завершен</v>
      </c>
      <c r="R919" s="20">
        <f>IFERROR(INDEX(Товары_очищенные!$Q$3:$Q$503,MATCH(M919,Товары_очищенные!$L$3:$L$503,0)),"нет в каталоге")</f>
        <v>34500</v>
      </c>
      <c r="S919" s="21" t="str">
        <f>IFERROR(INDEX(Товары_очищенные!$N$3:$N$503,MATCH(M919,Товары_очищенные!$L$3:$L$503,0)),"нет в каталоге")</f>
        <v>Наушники</v>
      </c>
      <c r="T919" s="21" t="str">
        <f t="shared" si="277"/>
        <v>OK</v>
      </c>
      <c r="U919" s="12" t="str">
        <f t="shared" si="278"/>
        <v>18/04/2026|АРТ-282|C0917</v>
      </c>
      <c r="V919" s="12" t="str">
        <f t="shared" si="279"/>
        <v>оригинал</v>
      </c>
    </row>
    <row r="920" ht="15" customHeight="1">
      <c r="A920" s="10">
        <v>918</v>
      </c>
      <c r="B920" s="11" t="str">
        <f>RAW_Продажи!A919</f>
        <v>04/18/2026</v>
      </c>
      <c r="C920" s="11" t="str">
        <f>RAW_Продажи!B919</f>
        <v>242-24</v>
      </c>
      <c r="D920" s="11" t="str">
        <f>RAW_Продажи!C919</f>
        <v>2</v>
      </c>
      <c r="E920" s="11" t="str">
        <f>RAW_Продажи!D919</f>
        <v xml:space="preserve">8000 ₽</v>
      </c>
      <c r="F920" s="11" t="str">
        <f>RAW_Продажи!E919</f>
        <v>C0918</v>
      </c>
      <c r="G920" s="11" t="str">
        <f>RAW_Продажи!F919</f>
        <v>P006</v>
      </c>
      <c r="H920" s="11" t="str">
        <f>RAW_Продажи!G919</f>
        <v>canceled</v>
      </c>
      <c r="I920" s="12" t="str">
        <f t="shared" si="271"/>
        <v>242-24</v>
      </c>
      <c r="J920" s="12" t="str">
        <f t="shared" si="272"/>
        <v>₽</v>
      </c>
      <c r="K920" s="12">
        <f t="shared" si="273"/>
        <v>8000</v>
      </c>
      <c r="L920" s="19">
        <f t="shared" si="274"/>
        <v>46130</v>
      </c>
      <c r="M920" s="13" t="str">
        <f t="shared" si="275"/>
        <v>АРТ-242</v>
      </c>
      <c r="N920" s="13">
        <f t="shared" si="276"/>
        <v>2</v>
      </c>
      <c r="O920" s="13" t="str">
        <f>IFERROR(VLOOKUP(J920,Справочники!$G$6:$H$8,2,0),"RUB")</f>
        <v>RUB</v>
      </c>
      <c r="P920" s="14">
        <f>ROUND(K920*IFERROR(VLOOKUP(J920,Справочники!$G$6:$I$8,3,0),1),2)</f>
        <v>8000</v>
      </c>
      <c r="Q920" s="13" t="str">
        <f>IFERROR(VLOOKUP(H920,Справочники!$D$6:$E$14,2,0),"НЕИЗВЕСТНО")</f>
        <v>Отменен</v>
      </c>
      <c r="R920" s="20">
        <f>IFERROR(INDEX(Товары_очищенные!$Q$3:$Q$503,MATCH(M920,Товары_очищенные!$L$3:$L$503,0)),"нет в каталоге")</f>
        <v>58000</v>
      </c>
      <c r="S920" s="21" t="str">
        <f>IFERROR(INDEX(Товары_очищенные!$N$3:$N$503,MATCH(M920,Товары_очищенные!$L$3:$L$503,0)),"нет в каталоге")</f>
        <v>Наушники</v>
      </c>
      <c r="T920" s="21" t="str">
        <f t="shared" si="277"/>
        <v>OK</v>
      </c>
      <c r="U920" s="12" t="str">
        <f t="shared" si="278"/>
        <v>18/04/2026|АРТ-242|C0918</v>
      </c>
      <c r="V920" s="12" t="str">
        <f t="shared" si="279"/>
        <v>оригинал</v>
      </c>
    </row>
    <row r="921" ht="15" customHeight="1">
      <c r="A921" s="10">
        <v>919</v>
      </c>
      <c r="B921" s="11" t="str">
        <f>RAW_Продажи!A920</f>
        <v>04/19/2026</v>
      </c>
      <c r="C921" s="11" t="str">
        <f>RAW_Продажи!B920</f>
        <v>№АРТ-159</v>
      </c>
      <c r="D921" s="11" t="str">
        <f>RAW_Продажи!C920</f>
        <v>1</v>
      </c>
      <c r="E921" s="11" t="str">
        <f>RAW_Продажи!D920</f>
        <v>$95</v>
      </c>
      <c r="F921" s="11" t="str">
        <f>RAW_Продажи!E920</f>
        <v>C0919</v>
      </c>
      <c r="G921" s="11" t="str">
        <f>RAW_Продажи!F920</f>
        <v>P024</v>
      </c>
      <c r="H921" s="11" t="str">
        <f>RAW_Продажи!G920</f>
        <v>отменен</v>
      </c>
      <c r="I921" s="12" t="str">
        <f t="shared" si="271"/>
        <v>159</v>
      </c>
      <c r="J921" s="12" t="str">
        <f t="shared" si="272"/>
        <v>$</v>
      </c>
      <c r="K921" s="12">
        <f t="shared" si="273"/>
        <v>95</v>
      </c>
      <c r="L921" s="19">
        <f t="shared" si="274"/>
        <v>46131</v>
      </c>
      <c r="M921" s="13" t="str">
        <f t="shared" si="275"/>
        <v>АРТ-159</v>
      </c>
      <c r="N921" s="13">
        <f t="shared" si="276"/>
        <v>1</v>
      </c>
      <c r="O921" s="13" t="str">
        <f>IFERROR(VLOOKUP(J921,Справочники!$G$6:$H$8,2,0),"RUB")</f>
        <v>USD</v>
      </c>
      <c r="P921" s="14">
        <f>ROUND(K921*IFERROR(VLOOKUP(J921,Справочники!$G$6:$I$8,3,0),1),2)</f>
        <v>9025</v>
      </c>
      <c r="Q921" s="13" t="str">
        <f>IFERROR(VLOOKUP(H921,Справочники!$D$6:$E$14,2,0),"НЕИЗВЕСТНО")</f>
        <v>Отменен</v>
      </c>
      <c r="R921" s="20">
        <f>IFERROR(INDEX(Товары_очищенные!$Q$3:$Q$503,MATCH(M921,Товары_очищенные!$L$3:$L$503,0)),"нет в каталоге")</f>
        <v>95500</v>
      </c>
      <c r="S921" s="21" t="str">
        <f>IFERROR(INDEX(Товары_очищенные!$N$3:$N$503,MATCH(M921,Товары_очищенные!$L$3:$L$503,0)),"нет в каталоге")</f>
        <v>Мониторы</v>
      </c>
      <c r="T921" s="21" t="str">
        <f t="shared" si="277"/>
        <v>OK</v>
      </c>
      <c r="U921" s="12" t="str">
        <f t="shared" si="278"/>
        <v>19/04/2026|АРТ-159|C0919</v>
      </c>
      <c r="V921" s="12" t="str">
        <f t="shared" si="279"/>
        <v>оригинал</v>
      </c>
    </row>
    <row r="922" ht="15" customHeight="1">
      <c r="A922" s="10">
        <v>920</v>
      </c>
      <c r="B922" s="11" t="str">
        <f>RAW_Продажи!A921</f>
        <v>04/19/2026</v>
      </c>
      <c r="C922" s="11" t="str">
        <f>RAW_Продажи!B921</f>
        <v>АРТ_482</v>
      </c>
      <c r="D922" s="11" t="str">
        <f>RAW_Продажи!C921</f>
        <v>2</v>
      </c>
      <c r="E922" s="11" t="str">
        <f>RAW_Продажи!D921</f>
        <v>€75</v>
      </c>
      <c r="F922" s="11" t="str">
        <f>RAW_Продажи!E921</f>
        <v>C0920</v>
      </c>
      <c r="G922" s="11" t="str">
        <f>RAW_Продажи!F921</f>
        <v>P015</v>
      </c>
      <c r="H922" s="11" t="str">
        <f>RAW_Продажи!G921</f>
        <v>возврат</v>
      </c>
      <c r="I922" s="12" t="str">
        <f t="shared" si="271"/>
        <v>482</v>
      </c>
      <c r="J922" s="12" t="str">
        <f t="shared" si="272"/>
        <v>€</v>
      </c>
      <c r="K922" s="12">
        <f t="shared" si="273"/>
        <v>75</v>
      </c>
      <c r="L922" s="19">
        <f t="shared" si="274"/>
        <v>46131</v>
      </c>
      <c r="M922" s="13" t="str">
        <f t="shared" si="275"/>
        <v>АРТ-482</v>
      </c>
      <c r="N922" s="13">
        <f t="shared" si="276"/>
        <v>2</v>
      </c>
      <c r="O922" s="13" t="str">
        <f>IFERROR(VLOOKUP(J922,Справочники!$G$6:$H$8,2,0),"RUB")</f>
        <v>EUR</v>
      </c>
      <c r="P922" s="14">
        <f>ROUND(K922*IFERROR(VLOOKUP(J922,Справочники!$G$6:$I$8,3,0),1),2)</f>
        <v>7500</v>
      </c>
      <c r="Q922" s="13" t="str">
        <f>IFERROR(VLOOKUP(H922,Справочники!$D$6:$E$14,2,0),"НЕИЗВЕСТНО")</f>
        <v>Возврат</v>
      </c>
      <c r="R922" s="20">
        <f>IFERROR(INDEX(Товары_очищенные!$Q$3:$Q$503,MATCH(M922,Товары_очищенные!$L$3:$L$503,0)),"нет в каталоге")</f>
        <v>38500</v>
      </c>
      <c r="S922" s="21" t="str">
        <f>IFERROR(INDEX(Товары_очищенные!$N$3:$N$503,MATCH(M922,Товары_очищенные!$L$3:$L$503,0)),"нет в каталоге")</f>
        <v>Планшеты</v>
      </c>
      <c r="T922" s="21" t="str">
        <f t="shared" si="277"/>
        <v>OK</v>
      </c>
      <c r="U922" s="12" t="str">
        <f t="shared" si="278"/>
        <v>19/04/2026|АРТ-482|C0920</v>
      </c>
      <c r="V922" s="12" t="str">
        <f t="shared" si="279"/>
        <v>оригинал</v>
      </c>
    </row>
    <row r="923" ht="15" customHeight="1">
      <c r="A923" s="10">
        <v>921</v>
      </c>
      <c r="B923" s="11" t="str">
        <f>RAW_Продажи!A922</f>
        <v>04/20/2026</v>
      </c>
      <c r="C923" s="11" t="str">
        <f>RAW_Продажи!B922</f>
        <v>335/24</v>
      </c>
      <c r="D923" s="11" t="str">
        <f>RAW_Продажи!C922</f>
        <v xml:space="preserve">3 шт.</v>
      </c>
      <c r="E923" s="11" t="str">
        <f>RAW_Продажи!D922</f>
        <v xml:space="preserve">7000 ₽</v>
      </c>
      <c r="F923" s="11" t="str">
        <f>RAW_Продажи!E922</f>
        <v>C0921</v>
      </c>
      <c r="G923" s="11" t="str">
        <f>RAW_Продажи!F922</f>
        <v>P037</v>
      </c>
      <c r="H923" s="11" t="str">
        <f>RAW_Продажи!G922</f>
        <v>Завершен</v>
      </c>
      <c r="I923" s="12" t="str">
        <f t="shared" si="271"/>
        <v>335/24</v>
      </c>
      <c r="J923" s="12" t="str">
        <f t="shared" si="272"/>
        <v>₽</v>
      </c>
      <c r="K923" s="12">
        <f t="shared" si="273"/>
        <v>7000</v>
      </c>
      <c r="L923" s="19">
        <f t="shared" si="274"/>
        <v>46132</v>
      </c>
      <c r="M923" s="13" t="str">
        <f t="shared" si="275"/>
        <v>АРТ-335</v>
      </c>
      <c r="N923" s="13">
        <f t="shared" si="276"/>
        <v>3</v>
      </c>
      <c r="O923" s="13" t="str">
        <f>IFERROR(VLOOKUP(J923,Справочники!$G$6:$H$8,2,0),"RUB")</f>
        <v>RUB</v>
      </c>
      <c r="P923" s="14">
        <f>ROUND(K923*IFERROR(VLOOKUP(J923,Справочники!$G$6:$I$8,3,0),1),2)</f>
        <v>7000</v>
      </c>
      <c r="Q923" s="13" t="str">
        <f>IFERROR(VLOOKUP(H923,Справочники!$D$6:$E$14,2,0),"НЕИЗВЕСТНО")</f>
        <v>Завершен</v>
      </c>
      <c r="R923" s="20">
        <f>IFERROR(INDEX(Товары_очищенные!$Q$3:$Q$503,MATCH(M923,Товары_очищенные!$L$3:$L$503,0)),"нет в каталоге")</f>
        <v>47000</v>
      </c>
      <c r="S923" s="21" t="str">
        <f>IFERROR(INDEX(Товары_очищенные!$N$3:$N$503,MATCH(M923,Товары_очищенные!$L$3:$L$503,0)),"нет в каталоге")</f>
        <v>Планшеты</v>
      </c>
      <c r="T923" s="21" t="str">
        <f t="shared" si="277"/>
        <v>OK</v>
      </c>
      <c r="U923" s="12" t="str">
        <f t="shared" si="278"/>
        <v>20/04/2026|АРТ-335|C0921</v>
      </c>
      <c r="V923" s="12" t="str">
        <f t="shared" si="279"/>
        <v>оригинал</v>
      </c>
    </row>
    <row r="924" ht="15" customHeight="1">
      <c r="A924" s="10">
        <v>922</v>
      </c>
      <c r="B924" s="11" t="str">
        <f>RAW_Продажи!A923</f>
        <v>04/20/2026</v>
      </c>
      <c r="C924" s="11" t="str">
        <f>RAW_Продажи!B923</f>
        <v>№АРТ-314</v>
      </c>
      <c r="D924" s="11" t="str">
        <f>RAW_Продажи!C923</f>
        <v>-2</v>
      </c>
      <c r="E924" s="11" t="str">
        <f>RAW_Продажи!D923</f>
        <v>$115</v>
      </c>
      <c r="F924" s="11" t="str">
        <f>RAW_Продажи!E923</f>
        <v>C0922</v>
      </c>
      <c r="G924" s="11" t="str">
        <f>RAW_Продажи!F923</f>
        <v>P048</v>
      </c>
      <c r="H924" s="11" t="str">
        <f>RAW_Продажи!G923</f>
        <v>завершен</v>
      </c>
      <c r="I924" s="12" t="str">
        <f t="shared" si="271"/>
        <v>314</v>
      </c>
      <c r="J924" s="12" t="str">
        <f t="shared" si="272"/>
        <v>$</v>
      </c>
      <c r="K924" s="12">
        <f t="shared" si="273"/>
        <v>115</v>
      </c>
      <c r="L924" s="19">
        <f t="shared" si="274"/>
        <v>46132</v>
      </c>
      <c r="M924" s="13" t="str">
        <f t="shared" si="275"/>
        <v>АРТ-314</v>
      </c>
      <c r="N924" s="13">
        <f t="shared" si="276"/>
        <v>-2</v>
      </c>
      <c r="O924" s="13" t="str">
        <f>IFERROR(VLOOKUP(J924,Справочники!$G$6:$H$8,2,0),"RUB")</f>
        <v>USD</v>
      </c>
      <c r="P924" s="14">
        <f>ROUND(K924*IFERROR(VLOOKUP(J924,Справочники!$G$6:$I$8,3,0),1),2)</f>
        <v>10925</v>
      </c>
      <c r="Q924" s="13" t="str">
        <f>IFERROR(VLOOKUP(H924,Справочники!$D$6:$E$14,2,0),"НЕИЗВЕСТНО")</f>
        <v>Завершен</v>
      </c>
      <c r="R924" s="20">
        <f>IFERROR(INDEX(Товары_очищенные!$Q$3:$Q$503,MATCH(M924,Товары_очищенные!$L$3:$L$503,0)),"нет в каталоге")</f>
        <v>67500</v>
      </c>
      <c r="S924" s="21" t="str">
        <f>IFERROR(INDEX(Товары_очищенные!$N$3:$N$503,MATCH(M924,Товары_очищенные!$L$3:$L$503,0)),"нет в каталоге")</f>
        <v>Смартфоны</v>
      </c>
      <c r="T924" s="21" t="str">
        <f t="shared" si="277"/>
        <v>OK</v>
      </c>
      <c r="U924" s="12" t="str">
        <f t="shared" si="278"/>
        <v>20/04/2026|АРТ-314|C0922</v>
      </c>
      <c r="V924" s="12" t="str">
        <f t="shared" si="279"/>
        <v>оригинал</v>
      </c>
    </row>
    <row r="925" ht="15" customHeight="1">
      <c r="A925" s="10">
        <v>923</v>
      </c>
      <c r="B925" s="11" t="str">
        <f>RAW_Продажи!A924</f>
        <v>04/21/2026</v>
      </c>
      <c r="C925" s="11" t="str">
        <f>RAW_Продажи!B924</f>
        <v>АРТ_268</v>
      </c>
      <c r="D925" s="11" t="str">
        <f>RAW_Продажи!C924</f>
        <v>1</v>
      </c>
      <c r="E925" s="11" t="str">
        <f>RAW_Продажи!D924</f>
        <v>€95</v>
      </c>
      <c r="F925" s="11" t="str">
        <f>RAW_Продажи!E924</f>
        <v>C0923</v>
      </c>
      <c r="G925" s="11" t="str">
        <f>RAW_Продажи!F924</f>
        <v>P004</v>
      </c>
      <c r="H925" s="11" t="str">
        <f>RAW_Продажи!G924</f>
        <v>completed</v>
      </c>
      <c r="I925" s="12" t="str">
        <f t="shared" si="271"/>
        <v>268</v>
      </c>
      <c r="J925" s="12" t="str">
        <f t="shared" si="272"/>
        <v>€</v>
      </c>
      <c r="K925" s="12">
        <f t="shared" si="273"/>
        <v>95</v>
      </c>
      <c r="L925" s="19">
        <f t="shared" si="274"/>
        <v>46133</v>
      </c>
      <c r="M925" s="13" t="str">
        <f t="shared" si="275"/>
        <v>АРТ-268</v>
      </c>
      <c r="N925" s="13">
        <f t="shared" si="276"/>
        <v>1</v>
      </c>
      <c r="O925" s="13" t="str">
        <f>IFERROR(VLOOKUP(J925,Справочники!$G$6:$H$8,2,0),"RUB")</f>
        <v>EUR</v>
      </c>
      <c r="P925" s="14">
        <f>ROUND(K925*IFERROR(VLOOKUP(J925,Справочники!$G$6:$I$8,3,0),1),2)</f>
        <v>9500</v>
      </c>
      <c r="Q925" s="13" t="str">
        <f>IFERROR(VLOOKUP(H925,Справочники!$D$6:$E$14,2,0),"НЕИЗВЕСТНО")</f>
        <v>Завершен</v>
      </c>
      <c r="R925" s="20">
        <f>IFERROR(INDEX(Товары_очищенные!$Q$3:$Q$503,MATCH(M925,Товары_очищенные!$L$3:$L$503,0)),"нет в каталоге")</f>
        <v>22990</v>
      </c>
      <c r="S925" s="21" t="str">
        <f>IFERROR(INDEX(Товары_очищенные!$N$3:$N$503,MATCH(M925,Товары_очищенные!$L$3:$L$503,0)),"нет в каталоге")</f>
        <v>Аксессуары</v>
      </c>
      <c r="T925" s="21" t="str">
        <f t="shared" si="277"/>
        <v>OK</v>
      </c>
      <c r="U925" s="12" t="str">
        <f t="shared" si="278"/>
        <v>21/04/2026|АРТ-268|C0923</v>
      </c>
      <c r="V925" s="12" t="str">
        <f t="shared" si="279"/>
        <v>оригинал</v>
      </c>
    </row>
    <row r="926" ht="15" customHeight="1">
      <c r="A926" s="10">
        <v>924</v>
      </c>
      <c r="B926" s="11" t="str">
        <f>RAW_Продажи!A925</f>
        <v>04/21/2026</v>
      </c>
      <c r="C926" s="11" t="str">
        <f>RAW_Продажи!B925</f>
        <v>287-24</v>
      </c>
      <c r="D926" s="11" t="str">
        <f>RAW_Продажи!C925</f>
        <v>2</v>
      </c>
      <c r="E926" s="11" t="str">
        <f>RAW_Продажи!D925</f>
        <v xml:space="preserve">8500 ₽</v>
      </c>
      <c r="F926" s="11" t="str">
        <f>RAW_Продажи!E925</f>
        <v>C0924</v>
      </c>
      <c r="G926" s="11" t="str">
        <f>RAW_Продажи!F925</f>
        <v>P026</v>
      </c>
      <c r="H926" s="11" t="str">
        <f>RAW_Продажи!G925</f>
        <v>отменен</v>
      </c>
      <c r="I926" s="12" t="str">
        <f t="shared" si="271"/>
        <v>287-24</v>
      </c>
      <c r="J926" s="12" t="str">
        <f t="shared" si="272"/>
        <v>₽</v>
      </c>
      <c r="K926" s="12">
        <f t="shared" si="273"/>
        <v>8500</v>
      </c>
      <c r="L926" s="19">
        <f t="shared" si="274"/>
        <v>46133</v>
      </c>
      <c r="M926" s="13" t="str">
        <f t="shared" si="275"/>
        <v>АРТ-287</v>
      </c>
      <c r="N926" s="13">
        <f t="shared" si="276"/>
        <v>2</v>
      </c>
      <c r="O926" s="13" t="str">
        <f>IFERROR(VLOOKUP(J926,Справочники!$G$6:$H$8,2,0),"RUB")</f>
        <v>RUB</v>
      </c>
      <c r="P926" s="14">
        <f>ROUND(K926*IFERROR(VLOOKUP(J926,Справочники!$G$6:$I$8,3,0),1),2)</f>
        <v>8500</v>
      </c>
      <c r="Q926" s="13" t="str">
        <f>IFERROR(VLOOKUP(H926,Справочники!$D$6:$E$14,2,0),"НЕИЗВЕСТНО")</f>
        <v>Отменен</v>
      </c>
      <c r="R926" s="20">
        <f>IFERROR(INDEX(Товары_очищенные!$Q$3:$Q$503,MATCH(M926,Товары_очищенные!$L$3:$L$503,0)),"нет в каталоге")</f>
        <v>7000</v>
      </c>
      <c r="S926" s="21" t="str">
        <f>IFERROR(INDEX(Товары_очищенные!$N$3:$N$503,MATCH(M926,Товары_очищенные!$L$3:$L$503,0)),"нет в каталоге")</f>
        <v>Аксессуары</v>
      </c>
      <c r="T926" s="21" t="str">
        <f t="shared" si="277"/>
        <v>OK</v>
      </c>
      <c r="U926" s="12" t="str">
        <f t="shared" si="278"/>
        <v>21/04/2026|АРТ-287|C0924</v>
      </c>
      <c r="V926" s="12" t="str">
        <f t="shared" si="279"/>
        <v>оригинал</v>
      </c>
    </row>
    <row r="927" ht="15" customHeight="1">
      <c r="A927" s="10">
        <v>925</v>
      </c>
      <c r="B927" s="11" t="str">
        <f>RAW_Продажи!A926</f>
        <v>04/22/2026</v>
      </c>
      <c r="C927" s="11" t="str">
        <f>RAW_Продажи!B926</f>
        <v>№АРТ-048</v>
      </c>
      <c r="D927" s="11" t="str">
        <f>RAW_Продажи!C926</f>
        <v>3</v>
      </c>
      <c r="E927" s="11" t="str">
        <f>RAW_Продажи!D926</f>
        <v>$105</v>
      </c>
      <c r="F927" s="11" t="str">
        <f>RAW_Продажи!E926</f>
        <v>C0925</v>
      </c>
      <c r="G927" s="11" t="str">
        <f>RAW_Продажи!F926</f>
        <v>P013</v>
      </c>
      <c r="H927" s="11" t="str">
        <f>RAW_Продажи!G926</f>
        <v>canceled</v>
      </c>
      <c r="I927" s="12" t="str">
        <f t="shared" si="271"/>
        <v>048</v>
      </c>
      <c r="J927" s="12" t="str">
        <f t="shared" si="272"/>
        <v>$</v>
      </c>
      <c r="K927" s="12">
        <f t="shared" si="273"/>
        <v>105</v>
      </c>
      <c r="L927" s="19">
        <f t="shared" si="274"/>
        <v>46134</v>
      </c>
      <c r="M927" s="13" t="str">
        <f t="shared" si="275"/>
        <v>АРТ-048</v>
      </c>
      <c r="N927" s="13">
        <f t="shared" si="276"/>
        <v>3</v>
      </c>
      <c r="O927" s="13" t="str">
        <f>IFERROR(VLOOKUP(J927,Справочники!$G$6:$H$8,2,0),"RUB")</f>
        <v>USD</v>
      </c>
      <c r="P927" s="14">
        <f>ROUND(K927*IFERROR(VLOOKUP(J927,Справочники!$G$6:$I$8,3,0),1),2)</f>
        <v>9975</v>
      </c>
      <c r="Q927" s="13" t="str">
        <f>IFERROR(VLOOKUP(H927,Справочники!$D$6:$E$14,2,0),"НЕИЗВЕСТНО")</f>
        <v>Отменен</v>
      </c>
      <c r="R927" s="20">
        <f>IFERROR(INDEX(Товары_очищенные!$Q$3:$Q$503,MATCH(M927,Товары_очищенные!$L$3:$L$503,0)),"нет в каталоге")</f>
        <v>25800</v>
      </c>
      <c r="S927" s="21" t="str">
        <f>IFERROR(INDEX(Товары_очищенные!$N$3:$N$503,MATCH(M927,Товары_очищенные!$L$3:$L$503,0)),"нет в каталоге")</f>
        <v>Наушники</v>
      </c>
      <c r="T927" s="21" t="str">
        <f t="shared" si="277"/>
        <v>OK</v>
      </c>
      <c r="U927" s="12" t="str">
        <f t="shared" si="278"/>
        <v>22/04/2026|АРТ-048|C0925</v>
      </c>
      <c r="V927" s="12" t="str">
        <f t="shared" si="279"/>
        <v>оригинал</v>
      </c>
    </row>
    <row r="928" ht="15" customHeight="1">
      <c r="A928" s="10">
        <v>926</v>
      </c>
      <c r="B928" s="11" t="str">
        <f>RAW_Продажи!A927</f>
        <v>04/22/2026</v>
      </c>
      <c r="C928" s="11" t="str">
        <f>RAW_Продажи!B927</f>
        <v>АРТ_458</v>
      </c>
      <c r="D928" s="11" t="str">
        <f>RAW_Продажи!C927</f>
        <v>2</v>
      </c>
      <c r="E928" s="11" t="str">
        <f>RAW_Продажи!D927</f>
        <v>€85</v>
      </c>
      <c r="F928" s="11" t="str">
        <f>RAW_Продажи!E927</f>
        <v>C0926</v>
      </c>
      <c r="G928" s="11" t="str">
        <f>RAW_Продажи!F927</f>
        <v>P034</v>
      </c>
      <c r="H928" s="11" t="str">
        <f>RAW_Продажи!G927</f>
        <v>Завершен</v>
      </c>
      <c r="I928" s="12" t="str">
        <f t="shared" si="271"/>
        <v>458</v>
      </c>
      <c r="J928" s="12" t="str">
        <f t="shared" si="272"/>
        <v>€</v>
      </c>
      <c r="K928" s="12">
        <f t="shared" si="273"/>
        <v>85</v>
      </c>
      <c r="L928" s="19">
        <f t="shared" si="274"/>
        <v>46134</v>
      </c>
      <c r="M928" s="13" t="str">
        <f t="shared" si="275"/>
        <v>АРТ-458</v>
      </c>
      <c r="N928" s="13">
        <f t="shared" si="276"/>
        <v>2</v>
      </c>
      <c r="O928" s="13" t="str">
        <f>IFERROR(VLOOKUP(J928,Справочники!$G$6:$H$8,2,0),"RUB")</f>
        <v>EUR</v>
      </c>
      <c r="P928" s="14">
        <f>ROUND(K928*IFERROR(VLOOKUP(J928,Справочники!$G$6:$I$8,3,0),1),2)</f>
        <v>8500</v>
      </c>
      <c r="Q928" s="13" t="str">
        <f>IFERROR(VLOOKUP(H928,Справочники!$D$6:$E$14,2,0),"НЕИЗВЕСТНО")</f>
        <v>Завершен</v>
      </c>
      <c r="R928" s="20">
        <f>IFERROR(INDEX(Товары_очищенные!$Q$3:$Q$503,MATCH(M928,Товары_очищенные!$L$3:$L$503,0)),"нет в каталоге")</f>
        <v>6500</v>
      </c>
      <c r="S928" s="21" t="str">
        <f>IFERROR(INDEX(Товары_очищенные!$N$3:$N$503,MATCH(M928,Товары_очищенные!$L$3:$L$503,0)),"нет в каталоге")</f>
        <v>Аксессуары</v>
      </c>
      <c r="T928" s="21" t="str">
        <f t="shared" si="277"/>
        <v>OK</v>
      </c>
      <c r="U928" s="12" t="str">
        <f t="shared" si="278"/>
        <v>22/04/2026|АРТ-458|C0926</v>
      </c>
      <c r="V928" s="12" t="str">
        <f t="shared" si="279"/>
        <v>оригинал</v>
      </c>
    </row>
    <row r="929" ht="15" customHeight="1">
      <c r="A929" s="10">
        <v>927</v>
      </c>
      <c r="B929" s="11" t="str">
        <f>RAW_Продажи!A928</f>
        <v>04/23/2026</v>
      </c>
      <c r="C929" s="11" t="str">
        <f>RAW_Продажи!B928</f>
        <v>365/24</v>
      </c>
      <c r="D929" s="11" t="str">
        <f>RAW_Продажи!C928</f>
        <v xml:space="preserve">1 шт.</v>
      </c>
      <c r="E929" s="11" t="str">
        <f>RAW_Продажи!D928</f>
        <v xml:space="preserve">7800 ₽</v>
      </c>
      <c r="F929" s="11" t="str">
        <f>RAW_Продажи!E928</f>
        <v>C0927</v>
      </c>
      <c r="G929" s="11" t="str">
        <f>RAW_Продажи!F928</f>
        <v>P044</v>
      </c>
      <c r="H929" s="11" t="str">
        <f>RAW_Продажи!G928</f>
        <v>возврат</v>
      </c>
      <c r="I929" s="12" t="str">
        <f t="shared" si="271"/>
        <v>365/24</v>
      </c>
      <c r="J929" s="12" t="str">
        <f t="shared" si="272"/>
        <v>₽</v>
      </c>
      <c r="K929" s="12">
        <f t="shared" si="273"/>
        <v>7800</v>
      </c>
      <c r="L929" s="19">
        <f t="shared" si="274"/>
        <v>46135</v>
      </c>
      <c r="M929" s="13" t="str">
        <f t="shared" si="275"/>
        <v>АРТ-365</v>
      </c>
      <c r="N929" s="13">
        <f t="shared" si="276"/>
        <v>1</v>
      </c>
      <c r="O929" s="13" t="str">
        <f>IFERROR(VLOOKUP(J929,Справочники!$G$6:$H$8,2,0),"RUB")</f>
        <v>RUB</v>
      </c>
      <c r="P929" s="14">
        <f>ROUND(K929*IFERROR(VLOOKUP(J929,Справочники!$G$6:$I$8,3,0),1),2)</f>
        <v>7800</v>
      </c>
      <c r="Q929" s="13" t="str">
        <f>IFERROR(VLOOKUP(H929,Справочники!$D$6:$E$14,2,0),"НЕИЗВЕСТНО")</f>
        <v>Возврат</v>
      </c>
      <c r="R929" s="20">
        <f>IFERROR(INDEX(Товары_очищенные!$Q$3:$Q$503,MATCH(M929,Товары_очищенные!$L$3:$L$503,0)),"нет в каталоге")</f>
        <v>137000</v>
      </c>
      <c r="S929" s="21" t="str">
        <f>IFERROR(INDEX(Товары_очищенные!$N$3:$N$503,MATCH(M929,Товары_очищенные!$L$3:$L$503,0)),"нет в каталоге")</f>
        <v>Телевизоры</v>
      </c>
      <c r="T929" s="21" t="str">
        <f t="shared" si="277"/>
        <v>OK</v>
      </c>
      <c r="U929" s="12" t="str">
        <f t="shared" si="278"/>
        <v>23/04/2026|АРТ-365|C0927</v>
      </c>
      <c r="V929" s="12" t="str">
        <f t="shared" si="279"/>
        <v>оригинал</v>
      </c>
    </row>
    <row r="930" ht="15" customHeight="1">
      <c r="A930" s="10">
        <v>928</v>
      </c>
      <c r="B930" s="11" t="str">
        <f>RAW_Продажи!A929</f>
        <v>04/23/2026</v>
      </c>
      <c r="C930" s="11" t="str">
        <f>RAW_Продажи!B929</f>
        <v>№АРТ-395</v>
      </c>
      <c r="D930" s="11" t="str">
        <f>RAW_Продажи!C929</f>
        <v>-3</v>
      </c>
      <c r="E930" s="11" t="str">
        <f>RAW_Продажи!D929</f>
        <v>$120</v>
      </c>
      <c r="F930" s="11" t="str">
        <f>RAW_Продажи!E929</f>
        <v>C0928</v>
      </c>
      <c r="G930" s="11" t="str">
        <f>RAW_Продажи!F929</f>
        <v>P001</v>
      </c>
      <c r="H930" s="11" t="str">
        <f>RAW_Продажи!G929</f>
        <v>завершен</v>
      </c>
      <c r="I930" s="12" t="str">
        <f t="shared" si="271"/>
        <v>395</v>
      </c>
      <c r="J930" s="12" t="str">
        <f t="shared" si="272"/>
        <v>$</v>
      </c>
      <c r="K930" s="12">
        <f t="shared" si="273"/>
        <v>120</v>
      </c>
      <c r="L930" s="19">
        <f t="shared" si="274"/>
        <v>46135</v>
      </c>
      <c r="M930" s="13" t="str">
        <f t="shared" si="275"/>
        <v>АРТ-395</v>
      </c>
      <c r="N930" s="13">
        <f t="shared" si="276"/>
        <v>-3</v>
      </c>
      <c r="O930" s="13" t="str">
        <f>IFERROR(VLOOKUP(J930,Справочники!$G$6:$H$8,2,0),"RUB")</f>
        <v>USD</v>
      </c>
      <c r="P930" s="14">
        <f>ROUND(K930*IFERROR(VLOOKUP(J930,Справочники!$G$6:$I$8,3,0),1),2)</f>
        <v>11400</v>
      </c>
      <c r="Q930" s="13" t="str">
        <f>IFERROR(VLOOKUP(H930,Справочники!$D$6:$E$14,2,0),"НЕИЗВЕСТНО")</f>
        <v>Завершен</v>
      </c>
      <c r="R930" s="20">
        <f>IFERROR(INDEX(Товары_очищенные!$Q$3:$Q$503,MATCH(M930,Товары_очищенные!$L$3:$L$503,0)),"нет в каталоге")</f>
        <v>62500</v>
      </c>
      <c r="S930" s="21" t="str">
        <f>IFERROR(INDEX(Товары_очищенные!$N$3:$N$503,MATCH(M930,Товары_очищенные!$L$3:$L$503,0)),"нет в каталоге")</f>
        <v>Мониторы</v>
      </c>
      <c r="T930" s="21" t="str">
        <f t="shared" si="277"/>
        <v>OK</v>
      </c>
      <c r="U930" s="12" t="str">
        <f t="shared" si="278"/>
        <v>23/04/2026|АРТ-395|C0928</v>
      </c>
      <c r="V930" s="12" t="str">
        <f t="shared" si="279"/>
        <v>оригинал</v>
      </c>
    </row>
    <row r="931" ht="15" customHeight="1">
      <c r="A931" s="10">
        <v>929</v>
      </c>
      <c r="B931" s="11" t="str">
        <f>RAW_Продажи!A930</f>
        <v>04/24/2026</v>
      </c>
      <c r="C931" s="11" t="str">
        <f>RAW_Продажи!B930</f>
        <v>АРТ_284</v>
      </c>
      <c r="D931" s="11" t="str">
        <f>RAW_Продажи!C930</f>
        <v>2</v>
      </c>
      <c r="E931" s="11" t="str">
        <f>RAW_Продажи!D930</f>
        <v>€100</v>
      </c>
      <c r="F931" s="11" t="str">
        <f>RAW_Продажи!E930</f>
        <v>C0929</v>
      </c>
      <c r="G931" s="11" t="str">
        <f>RAW_Продажи!F930</f>
        <v>P021</v>
      </c>
      <c r="H931" s="11" t="str">
        <f>RAW_Продажи!G930</f>
        <v>completed</v>
      </c>
      <c r="I931" s="12" t="str">
        <f t="shared" si="271"/>
        <v>284</v>
      </c>
      <c r="J931" s="12" t="str">
        <f t="shared" si="272"/>
        <v>€</v>
      </c>
      <c r="K931" s="12">
        <f t="shared" si="273"/>
        <v>100</v>
      </c>
      <c r="L931" s="19">
        <f t="shared" si="274"/>
        <v>46136</v>
      </c>
      <c r="M931" s="13" t="str">
        <f t="shared" si="275"/>
        <v>АРТ-284</v>
      </c>
      <c r="N931" s="13">
        <f t="shared" si="276"/>
        <v>2</v>
      </c>
      <c r="O931" s="13" t="str">
        <f>IFERROR(VLOOKUP(J931,Справочники!$G$6:$H$8,2,0),"RUB")</f>
        <v>EUR</v>
      </c>
      <c r="P931" s="14">
        <f>ROUND(K931*IFERROR(VLOOKUP(J931,Справочники!$G$6:$I$8,3,0),1),2)</f>
        <v>10000</v>
      </c>
      <c r="Q931" s="13" t="str">
        <f>IFERROR(VLOOKUP(H931,Справочники!$D$6:$E$14,2,0),"НЕИЗВЕСТНО")</f>
        <v>Завершен</v>
      </c>
      <c r="R931" s="20">
        <f>IFERROR(INDEX(Товары_очищенные!$Q$3:$Q$503,MATCH(M931,Товары_очищенные!$L$3:$L$503,0)),"нет в каталоге")</f>
        <v>82000</v>
      </c>
      <c r="S931" s="21" t="str">
        <f>IFERROR(INDEX(Товары_очищенные!$N$3:$N$503,MATCH(M931,Товары_очищенные!$L$3:$L$503,0)),"нет в каталоге")</f>
        <v>Мониторы</v>
      </c>
      <c r="T931" s="21" t="str">
        <f t="shared" si="277"/>
        <v>OK</v>
      </c>
      <c r="U931" s="12" t="str">
        <f t="shared" si="278"/>
        <v>24/04/2026|АРТ-284|C0929</v>
      </c>
      <c r="V931" s="12" t="str">
        <f t="shared" si="279"/>
        <v>оригинал</v>
      </c>
    </row>
    <row r="932" ht="15" customHeight="1">
      <c r="A932" s="10">
        <v>930</v>
      </c>
      <c r="B932" s="11" t="str">
        <f>RAW_Продажи!A931</f>
        <v>04/24/2026</v>
      </c>
      <c r="C932" s="11" t="str">
        <f>RAW_Продажи!B931</f>
        <v>230-24</v>
      </c>
      <c r="D932" s="11" t="str">
        <f>RAW_Продажи!C931</f>
        <v>1</v>
      </c>
      <c r="E932" s="11" t="str">
        <f>RAW_Продажи!D931</f>
        <v xml:space="preserve">9200 ₽</v>
      </c>
      <c r="F932" s="11" t="str">
        <f>RAW_Продажи!E931</f>
        <v>C0930</v>
      </c>
      <c r="G932" s="11" t="str">
        <f>RAW_Продажи!F931</f>
        <v>P039</v>
      </c>
      <c r="H932" s="11" t="str">
        <f>RAW_Продажи!G931</f>
        <v>Завершен</v>
      </c>
      <c r="I932" s="12" t="str">
        <f t="shared" ref="I932:I995" si="280">SUBSTITUTE(SUBSTITUTE(C932,"№АРТ-",""),"АРТ_","")</f>
        <v>230-24</v>
      </c>
      <c r="J932" s="12" t="str">
        <f t="shared" ref="J932:J995" si="281">IF(LEFT(TRIM(E932),1)="$","$",IF(LEFT(TRIM(E932),1)="€","€","₽"))</f>
        <v>₽</v>
      </c>
      <c r="K932" s="12">
        <f t="shared" ref="K932:K995" si="282">VALUE(SUBSTITUTE(SUBSTITUTE(SUBSTITUTE(SUBSTITUTE(TRIM(E932),"$",""),"€",""),"₽","")," ",""))</f>
        <v>9200</v>
      </c>
      <c r="L932" s="19">
        <f t="shared" ref="L932:L995" si="283">DATE(VALUE(MID(B932,7,4)),VALUE(LEFT(B932,2)),VALUE(MID(B932,4,2)))</f>
        <v>46136</v>
      </c>
      <c r="M932" s="13" t="str">
        <f t="shared" ref="M932:M995" si="284">"АРТ-"&amp;LEFT(I932,3)</f>
        <v>АРТ-230</v>
      </c>
      <c r="N932" s="13">
        <f t="shared" ref="N932:N995" si="285">VALUE(LEFT(TRIM(D932),FIND(" ",TRIM(D932)&amp;" ")-1))</f>
        <v>1</v>
      </c>
      <c r="O932" s="13" t="str">
        <f>IFERROR(VLOOKUP(J932,Справочники!$G$6:$H$8,2,0),"RUB")</f>
        <v>RUB</v>
      </c>
      <c r="P932" s="14">
        <f>ROUND(K932*IFERROR(VLOOKUP(J932,Справочники!$G$6:$I$8,3,0),1),2)</f>
        <v>9200</v>
      </c>
      <c r="Q932" s="13" t="str">
        <f>IFERROR(VLOOKUP(H932,Справочники!$D$6:$E$14,2,0),"НЕИЗВЕСТНО")</f>
        <v>Завершен</v>
      </c>
      <c r="R932" s="20">
        <f>IFERROR(INDEX(Товары_очищенные!$Q$3:$Q$503,MATCH(M932,Товары_очищенные!$L$3:$L$503,0)),"нет в каталоге")</f>
        <v>117000</v>
      </c>
      <c r="S932" s="21" t="str">
        <f>IFERROR(INDEX(Товары_очищенные!$N$3:$N$503,MATCH(M932,Товары_очищенные!$L$3:$L$503,0)),"нет в каталоге")</f>
        <v>Ноутбуки</v>
      </c>
      <c r="T932" s="21" t="str">
        <f t="shared" ref="T932:T995" si="286">IF(ISNUMBER(R932),IF(P932&lt;=R932*1.5,"OK","Цена выше розницы"),"—")</f>
        <v>OK</v>
      </c>
      <c r="U932" s="12" t="str">
        <f t="shared" ref="U932:U995" si="287">TEXT(L932,"DD.MM.YYYY")&amp;"|"&amp;M932&amp;"|"&amp;F932</f>
        <v>24/04/2026|АРТ-230|C0930</v>
      </c>
      <c r="V932" s="12" t="str">
        <f t="shared" ref="V932:V995" si="288">IF(COUNTIF($U$3:U932,U932)&gt;1,"ДУБЛЬ","оригинал")</f>
        <v>оригинал</v>
      </c>
    </row>
    <row r="933" ht="15" customHeight="1">
      <c r="A933" s="10">
        <v>931</v>
      </c>
      <c r="B933" s="11" t="str">
        <f>RAW_Продажи!A932</f>
        <v>04/25/2026</v>
      </c>
      <c r="C933" s="11" t="str">
        <f>RAW_Продажи!B932</f>
        <v>№АРТ-066</v>
      </c>
      <c r="D933" s="11" t="str">
        <f>RAW_Продажи!C932</f>
        <v>3</v>
      </c>
      <c r="E933" s="11" t="str">
        <f>RAW_Продажи!D932</f>
        <v>$90</v>
      </c>
      <c r="F933" s="11" t="str">
        <f>RAW_Продажи!E932</f>
        <v>C0931</v>
      </c>
      <c r="G933" s="11" t="str">
        <f>RAW_Продажи!F932</f>
        <v>P050</v>
      </c>
      <c r="H933" s="11" t="str">
        <f>RAW_Продажи!G932</f>
        <v>canceled</v>
      </c>
      <c r="I933" s="12" t="str">
        <f t="shared" si="280"/>
        <v>066</v>
      </c>
      <c r="J933" s="12" t="str">
        <f t="shared" si="281"/>
        <v>$</v>
      </c>
      <c r="K933" s="12">
        <f t="shared" si="282"/>
        <v>90</v>
      </c>
      <c r="L933" s="19">
        <f t="shared" si="283"/>
        <v>46137</v>
      </c>
      <c r="M933" s="13" t="str">
        <f t="shared" si="284"/>
        <v>АРТ-066</v>
      </c>
      <c r="N933" s="13">
        <f t="shared" si="285"/>
        <v>3</v>
      </c>
      <c r="O933" s="13" t="str">
        <f>IFERROR(VLOOKUP(J933,Справочники!$G$6:$H$8,2,0),"RUB")</f>
        <v>USD</v>
      </c>
      <c r="P933" s="14">
        <f>ROUND(K933*IFERROR(VLOOKUP(J933,Справочники!$G$6:$I$8,3,0),1),2)</f>
        <v>8550</v>
      </c>
      <c r="Q933" s="13" t="str">
        <f>IFERROR(VLOOKUP(H933,Справочники!$D$6:$E$14,2,0),"НЕИЗВЕСТНО")</f>
        <v>Отменен</v>
      </c>
      <c r="R933" s="20">
        <f>IFERROR(INDEX(Товары_очищенные!$Q$3:$Q$503,MATCH(M933,Товары_очищенные!$L$3:$L$503,0)),"нет в каталоге")</f>
        <v>57800</v>
      </c>
      <c r="S933" s="21" t="str">
        <f>IFERROR(INDEX(Товары_очищенные!$N$3:$N$503,MATCH(M933,Товары_очищенные!$L$3:$L$503,0)),"нет в каталоге")</f>
        <v>Смартфоны</v>
      </c>
      <c r="T933" s="21" t="str">
        <f t="shared" si="286"/>
        <v>OK</v>
      </c>
      <c r="U933" s="12" t="str">
        <f t="shared" si="287"/>
        <v>25/04/2026|АРТ-066|C0931</v>
      </c>
      <c r="V933" s="12" t="str">
        <f t="shared" si="288"/>
        <v>оригинал</v>
      </c>
    </row>
    <row r="934" ht="15" customHeight="1">
      <c r="A934" s="10">
        <v>932</v>
      </c>
      <c r="B934" s="11" t="str">
        <f>RAW_Продажи!A933</f>
        <v>04/25/2026</v>
      </c>
      <c r="C934" s="11" t="str">
        <f>RAW_Продажи!B933</f>
        <v>АРТ_440</v>
      </c>
      <c r="D934" s="11" t="str">
        <f>RAW_Продажи!C933</f>
        <v>2</v>
      </c>
      <c r="E934" s="11" t="str">
        <f>RAW_Продажи!D933</f>
        <v>€70</v>
      </c>
      <c r="F934" s="11" t="str">
        <f>RAW_Продажи!E933</f>
        <v>C0932</v>
      </c>
      <c r="G934" s="11" t="str">
        <f>RAW_Продажи!F933</f>
        <v>P011</v>
      </c>
      <c r="H934" s="11" t="str">
        <f>RAW_Продажи!G933</f>
        <v>отменен</v>
      </c>
      <c r="I934" s="12" t="str">
        <f t="shared" si="280"/>
        <v>440</v>
      </c>
      <c r="J934" s="12" t="str">
        <f t="shared" si="281"/>
        <v>€</v>
      </c>
      <c r="K934" s="12">
        <f t="shared" si="282"/>
        <v>70</v>
      </c>
      <c r="L934" s="19">
        <f t="shared" si="283"/>
        <v>46137</v>
      </c>
      <c r="M934" s="13" t="str">
        <f t="shared" si="284"/>
        <v>АРТ-440</v>
      </c>
      <c r="N934" s="13">
        <f t="shared" si="285"/>
        <v>2</v>
      </c>
      <c r="O934" s="13" t="str">
        <f>IFERROR(VLOOKUP(J934,Справочники!$G$6:$H$8,2,0),"RUB")</f>
        <v>EUR</v>
      </c>
      <c r="P934" s="14">
        <f>ROUND(K934*IFERROR(VLOOKUP(J934,Справочники!$G$6:$I$8,3,0),1),2)</f>
        <v>7000</v>
      </c>
      <c r="Q934" s="13" t="str">
        <f>IFERROR(VLOOKUP(H934,Справочники!$D$6:$E$14,2,0),"НЕИЗВЕСТНО")</f>
        <v>Отменен</v>
      </c>
      <c r="R934" s="20">
        <f>IFERROR(INDEX(Товары_очищенные!$Q$3:$Q$503,MATCH(M934,Товары_очищенные!$L$3:$L$503,0)),"нет в каталоге")</f>
        <v>28500</v>
      </c>
      <c r="S934" s="21" t="str">
        <f>IFERROR(INDEX(Товары_очищенные!$N$3:$N$503,MATCH(M934,Товары_очищенные!$L$3:$L$503,0)),"нет в каталоге")</f>
        <v>Планшеты</v>
      </c>
      <c r="T934" s="21" t="str">
        <f t="shared" si="286"/>
        <v>OK</v>
      </c>
      <c r="U934" s="12" t="str">
        <f t="shared" si="287"/>
        <v>25/04/2026|АРТ-440|C0932</v>
      </c>
      <c r="V934" s="12" t="str">
        <f t="shared" si="288"/>
        <v>оригинал</v>
      </c>
    </row>
    <row r="935" ht="15" customHeight="1">
      <c r="A935" s="10">
        <v>933</v>
      </c>
      <c r="B935" s="11" t="str">
        <f>RAW_Продажи!A934</f>
        <v>04/26/2026</v>
      </c>
      <c r="C935" s="11" t="str">
        <f>RAW_Продажи!B934</f>
        <v>332/24</v>
      </c>
      <c r="D935" s="11" t="str">
        <f>RAW_Продажи!C934</f>
        <v xml:space="preserve">1 шт.</v>
      </c>
      <c r="E935" s="11" t="str">
        <f>RAW_Продажи!D934</f>
        <v xml:space="preserve">6500 ₽</v>
      </c>
      <c r="F935" s="11" t="str">
        <f>RAW_Продажи!E934</f>
        <v>C0933</v>
      </c>
      <c r="G935" s="11" t="str">
        <f>RAW_Продажи!F934</f>
        <v>P027</v>
      </c>
      <c r="H935" s="11" t="str">
        <f>RAW_Продажи!G934</f>
        <v>возврат</v>
      </c>
      <c r="I935" s="12" t="str">
        <f t="shared" si="280"/>
        <v>332/24</v>
      </c>
      <c r="J935" s="12" t="str">
        <f t="shared" si="281"/>
        <v>₽</v>
      </c>
      <c r="K935" s="12">
        <f t="shared" si="282"/>
        <v>6500</v>
      </c>
      <c r="L935" s="19">
        <f t="shared" si="283"/>
        <v>46138</v>
      </c>
      <c r="M935" s="13" t="str">
        <f t="shared" si="284"/>
        <v>АРТ-332</v>
      </c>
      <c r="N935" s="13">
        <f t="shared" si="285"/>
        <v>1</v>
      </c>
      <c r="O935" s="13" t="str">
        <f>IFERROR(VLOOKUP(J935,Справочники!$G$6:$H$8,2,0),"RUB")</f>
        <v>RUB</v>
      </c>
      <c r="P935" s="14">
        <f>ROUND(K935*IFERROR(VLOOKUP(J935,Справочники!$G$6:$I$8,3,0),1),2)</f>
        <v>6500</v>
      </c>
      <c r="Q935" s="13" t="str">
        <f>IFERROR(VLOOKUP(H935,Справочники!$D$6:$E$14,2,0),"НЕИЗВЕСТНО")</f>
        <v>Возврат</v>
      </c>
      <c r="R935" s="20">
        <f>IFERROR(INDEX(Товары_очищенные!$Q$3:$Q$503,MATCH(M935,Товары_очищенные!$L$3:$L$503,0)),"нет в каталоге")</f>
        <v>67500</v>
      </c>
      <c r="S935" s="21" t="str">
        <f>IFERROR(INDEX(Товары_очищенные!$N$3:$N$503,MATCH(M935,Товары_очищенные!$L$3:$L$503,0)),"нет в каталоге")</f>
        <v>Часы</v>
      </c>
      <c r="T935" s="21" t="str">
        <f t="shared" si="286"/>
        <v>OK</v>
      </c>
      <c r="U935" s="12" t="str">
        <f t="shared" si="287"/>
        <v>26/04/2026|АРТ-332|C0933</v>
      </c>
      <c r="V935" s="12" t="str">
        <f t="shared" si="288"/>
        <v>оригинал</v>
      </c>
    </row>
    <row r="936" ht="15" customHeight="1">
      <c r="A936" s="10">
        <v>934</v>
      </c>
      <c r="B936" s="11" t="str">
        <f>RAW_Продажи!A935</f>
        <v>04/26/2026</v>
      </c>
      <c r="C936" s="11" t="str">
        <f>RAW_Продажи!B935</f>
        <v>№АРТ-278</v>
      </c>
      <c r="D936" s="11" t="str">
        <f>RAW_Продажи!C935</f>
        <v>-1</v>
      </c>
      <c r="E936" s="11" t="str">
        <f>RAW_Продажи!D935</f>
        <v>$110</v>
      </c>
      <c r="F936" s="11" t="str">
        <f>RAW_Продажи!E935</f>
        <v>C0934</v>
      </c>
      <c r="G936" s="11" t="str">
        <f>RAW_Продажи!F935</f>
        <v>P018</v>
      </c>
      <c r="H936" s="11" t="str">
        <f>RAW_Продажи!G935</f>
        <v>Завершен</v>
      </c>
      <c r="I936" s="12" t="str">
        <f t="shared" si="280"/>
        <v>278</v>
      </c>
      <c r="J936" s="12" t="str">
        <f t="shared" si="281"/>
        <v>$</v>
      </c>
      <c r="K936" s="12">
        <f t="shared" si="282"/>
        <v>110</v>
      </c>
      <c r="L936" s="19">
        <f t="shared" si="283"/>
        <v>46138</v>
      </c>
      <c r="M936" s="13" t="str">
        <f t="shared" si="284"/>
        <v>АРТ-278</v>
      </c>
      <c r="N936" s="13">
        <f t="shared" si="285"/>
        <v>-1</v>
      </c>
      <c r="O936" s="13" t="str">
        <f>IFERROR(VLOOKUP(J936,Справочники!$G$6:$H$8,2,0),"RUB")</f>
        <v>USD</v>
      </c>
      <c r="P936" s="14">
        <f>ROUND(K936*IFERROR(VLOOKUP(J936,Справочники!$G$6:$I$8,3,0),1),2)</f>
        <v>10450</v>
      </c>
      <c r="Q936" s="13" t="str">
        <f>IFERROR(VLOOKUP(H936,Справочники!$D$6:$E$14,2,0),"НЕИЗВЕСТНО")</f>
        <v>Завершен</v>
      </c>
      <c r="R936" s="20">
        <f>IFERROR(INDEX(Товары_очищенные!$Q$3:$Q$503,MATCH(M936,Товары_очищенные!$L$3:$L$503,0)),"нет в каталоге")</f>
        <v>112000</v>
      </c>
      <c r="S936" s="21" t="str">
        <f>IFERROR(INDEX(Товары_очищенные!$N$3:$N$503,MATCH(M936,Товары_очищенные!$L$3:$L$503,0)),"нет в каталоге")</f>
        <v>Телевизоры</v>
      </c>
      <c r="T936" s="21" t="str">
        <f t="shared" si="286"/>
        <v>OK</v>
      </c>
      <c r="U936" s="12" t="str">
        <f t="shared" si="287"/>
        <v>26/04/2026|АРТ-278|C0934</v>
      </c>
      <c r="V936" s="12" t="str">
        <f t="shared" si="288"/>
        <v>оригинал</v>
      </c>
    </row>
    <row r="937" ht="15" customHeight="1">
      <c r="A937" s="10">
        <v>935</v>
      </c>
      <c r="B937" s="11" t="str">
        <f>RAW_Продажи!A936</f>
        <v>04/27/2026</v>
      </c>
      <c r="C937" s="11" t="str">
        <f>RAW_Продажи!B936</f>
        <v>АРТ_379</v>
      </c>
      <c r="D937" s="11" t="str">
        <f>RAW_Продажи!C936</f>
        <v>3</v>
      </c>
      <c r="E937" s="11" t="str">
        <f>RAW_Продажи!D936</f>
        <v>€90</v>
      </c>
      <c r="F937" s="11" t="str">
        <f>RAW_Продажи!E936</f>
        <v>C0935</v>
      </c>
      <c r="G937" s="11" t="str">
        <f>RAW_Продажи!F936</f>
        <v>P040</v>
      </c>
      <c r="H937" s="11" t="str">
        <f>RAW_Продажи!G936</f>
        <v>завершен</v>
      </c>
      <c r="I937" s="12" t="str">
        <f t="shared" si="280"/>
        <v>379</v>
      </c>
      <c r="J937" s="12" t="str">
        <f t="shared" si="281"/>
        <v>€</v>
      </c>
      <c r="K937" s="12">
        <f t="shared" si="282"/>
        <v>90</v>
      </c>
      <c r="L937" s="19">
        <f t="shared" si="283"/>
        <v>46139</v>
      </c>
      <c r="M937" s="13" t="str">
        <f t="shared" si="284"/>
        <v>АРТ-379</v>
      </c>
      <c r="N937" s="13">
        <f t="shared" si="285"/>
        <v>3</v>
      </c>
      <c r="O937" s="13" t="str">
        <f>IFERROR(VLOOKUP(J937,Справочники!$G$6:$H$8,2,0),"RUB")</f>
        <v>EUR</v>
      </c>
      <c r="P937" s="14">
        <f>ROUND(K937*IFERROR(VLOOKUP(J937,Справочники!$G$6:$I$8,3,0),1),2)</f>
        <v>9000</v>
      </c>
      <c r="Q937" s="13" t="str">
        <f>IFERROR(VLOOKUP(H937,Справочники!$D$6:$E$14,2,0),"НЕИЗВЕСТНО")</f>
        <v>Завершен</v>
      </c>
      <c r="R937" s="20">
        <f>IFERROR(INDEX(Товары_очищенные!$Q$3:$Q$503,MATCH(M937,Товары_очищенные!$L$3:$L$503,0)),"нет в каталоге")</f>
        <v>36990</v>
      </c>
      <c r="S937" s="21" t="str">
        <f>IFERROR(INDEX(Товары_очищенные!$N$3:$N$503,MATCH(M937,Товары_очищенные!$L$3:$L$503,0)),"нет в каталоге")</f>
        <v>Планшеты</v>
      </c>
      <c r="T937" s="21" t="str">
        <f t="shared" si="286"/>
        <v>OK</v>
      </c>
      <c r="U937" s="12" t="str">
        <f t="shared" si="287"/>
        <v>27/04/2026|АРТ-379|C0935</v>
      </c>
      <c r="V937" s="12" t="str">
        <f t="shared" si="288"/>
        <v>оригинал</v>
      </c>
    </row>
    <row r="938" ht="15" customHeight="1">
      <c r="A938" s="10">
        <v>936</v>
      </c>
      <c r="B938" s="11" t="str">
        <f>RAW_Продажи!A937</f>
        <v>04/27/2026</v>
      </c>
      <c r="C938" s="11" t="str">
        <f>RAW_Продажи!B937</f>
        <v>109-24</v>
      </c>
      <c r="D938" s="11" t="str">
        <f>RAW_Продажи!C937</f>
        <v>2</v>
      </c>
      <c r="E938" s="11" t="str">
        <f>RAW_Продажи!D937</f>
        <v xml:space="preserve">8000 ₽</v>
      </c>
      <c r="F938" s="11" t="str">
        <f>RAW_Продажи!E937</f>
        <v>C0936</v>
      </c>
      <c r="G938" s="11" t="str">
        <f>RAW_Продажи!F937</f>
        <v>P003</v>
      </c>
      <c r="H938" s="11" t="str">
        <f>RAW_Продажи!G937</f>
        <v>completed</v>
      </c>
      <c r="I938" s="12" t="str">
        <f t="shared" si="280"/>
        <v>109-24</v>
      </c>
      <c r="J938" s="12" t="str">
        <f t="shared" si="281"/>
        <v>₽</v>
      </c>
      <c r="K938" s="12">
        <f t="shared" si="282"/>
        <v>8000</v>
      </c>
      <c r="L938" s="19">
        <f t="shared" si="283"/>
        <v>46139</v>
      </c>
      <c r="M938" s="13" t="str">
        <f t="shared" si="284"/>
        <v>АРТ-109</v>
      </c>
      <c r="N938" s="13">
        <f t="shared" si="285"/>
        <v>2</v>
      </c>
      <c r="O938" s="13" t="str">
        <f>IFERROR(VLOOKUP(J938,Справочники!$G$6:$H$8,2,0),"RUB")</f>
        <v>RUB</v>
      </c>
      <c r="P938" s="14">
        <f>ROUND(K938*IFERROR(VLOOKUP(J938,Справочники!$G$6:$I$8,3,0),1),2)</f>
        <v>8000</v>
      </c>
      <c r="Q938" s="13" t="str">
        <f>IFERROR(VLOOKUP(H938,Справочники!$D$6:$E$14,2,0),"НЕИЗВЕСТНО")</f>
        <v>Завершен</v>
      </c>
      <c r="R938" s="20">
        <f>IFERROR(INDEX(Товары_очищенные!$Q$3:$Q$503,MATCH(M938,Товары_очищенные!$L$3:$L$503,0)),"нет в каталоге")</f>
        <v>119999</v>
      </c>
      <c r="S938" s="21" t="str">
        <f>IFERROR(INDEX(Товары_очищенные!$N$3:$N$503,MATCH(M938,Товары_очищенные!$L$3:$L$503,0)),"нет в каталоге")</f>
        <v>Телевизоры</v>
      </c>
      <c r="T938" s="21" t="str">
        <f t="shared" si="286"/>
        <v>OK</v>
      </c>
      <c r="U938" s="12" t="str">
        <f t="shared" si="287"/>
        <v>27/04/2026|АРТ-109|C0936</v>
      </c>
      <c r="V938" s="12" t="str">
        <f t="shared" si="288"/>
        <v>оригинал</v>
      </c>
    </row>
    <row r="939" ht="15" customHeight="1">
      <c r="A939" s="10">
        <v>937</v>
      </c>
      <c r="B939" s="11" t="str">
        <f>RAW_Продажи!A938</f>
        <v>04/28/2026</v>
      </c>
      <c r="C939" s="11" t="str">
        <f>RAW_Продажи!B938</f>
        <v>№АРТ-098</v>
      </c>
      <c r="D939" s="11" t="str">
        <f>RAW_Продажи!C938</f>
        <v>1</v>
      </c>
      <c r="E939" s="11" t="str">
        <f>RAW_Продажи!D938</f>
        <v>$95</v>
      </c>
      <c r="F939" s="11" t="str">
        <f>RAW_Продажи!E938</f>
        <v>C0937</v>
      </c>
      <c r="G939" s="11" t="str">
        <f>RAW_Продажи!F938</f>
        <v>P025</v>
      </c>
      <c r="H939" s="11" t="str">
        <f>RAW_Продажи!G938</f>
        <v>отменен</v>
      </c>
      <c r="I939" s="12" t="str">
        <f t="shared" si="280"/>
        <v>098</v>
      </c>
      <c r="J939" s="12" t="str">
        <f t="shared" si="281"/>
        <v>$</v>
      </c>
      <c r="K939" s="12">
        <f t="shared" si="282"/>
        <v>95</v>
      </c>
      <c r="L939" s="19">
        <f t="shared" si="283"/>
        <v>46140</v>
      </c>
      <c r="M939" s="13" t="str">
        <f t="shared" si="284"/>
        <v>АРТ-098</v>
      </c>
      <c r="N939" s="13">
        <f t="shared" si="285"/>
        <v>1</v>
      </c>
      <c r="O939" s="13" t="str">
        <f>IFERROR(VLOOKUP(J939,Справочники!$G$6:$H$8,2,0),"RUB")</f>
        <v>USD</v>
      </c>
      <c r="P939" s="14">
        <f>ROUND(K939*IFERROR(VLOOKUP(J939,Справочники!$G$6:$I$8,3,0),1),2)</f>
        <v>9025</v>
      </c>
      <c r="Q939" s="13" t="str">
        <f>IFERROR(VLOOKUP(H939,Справочники!$D$6:$E$14,2,0),"НЕИЗВЕСТНО")</f>
        <v>Отменен</v>
      </c>
      <c r="R939" s="20">
        <f>IFERROR(INDEX(Товары_очищенные!$Q$3:$Q$503,MATCH(M939,Товары_очищенные!$L$3:$L$503,0)),"нет в каталоге")</f>
        <v>6500</v>
      </c>
      <c r="S939" s="21" t="str">
        <f>IFERROR(INDEX(Товары_очищенные!$N$3:$N$503,MATCH(M939,Товары_очищенные!$L$3:$L$503,0)),"нет в каталоге")</f>
        <v>Аксессуары</v>
      </c>
      <c r="T939" s="21" t="str">
        <f t="shared" si="286"/>
        <v>OK</v>
      </c>
      <c r="U939" s="12" t="str">
        <f t="shared" si="287"/>
        <v>28/04/2026|АРТ-098|C0937</v>
      </c>
      <c r="V939" s="12" t="str">
        <f t="shared" si="288"/>
        <v>оригинал</v>
      </c>
    </row>
    <row r="940" ht="15" customHeight="1">
      <c r="A940" s="10">
        <v>938</v>
      </c>
      <c r="B940" s="11" t="str">
        <f>RAW_Продажи!A939</f>
        <v>04/28/2026</v>
      </c>
      <c r="C940" s="11" t="str">
        <f>RAW_Продажи!B939</f>
        <v>АРТ_462</v>
      </c>
      <c r="D940" s="11" t="str">
        <f>RAW_Продажи!C939</f>
        <v>2</v>
      </c>
      <c r="E940" s="11" t="str">
        <f>RAW_Продажи!D939</f>
        <v>€75</v>
      </c>
      <c r="F940" s="11" t="str">
        <f>RAW_Продажи!E939</f>
        <v>C0938</v>
      </c>
      <c r="G940" s="11" t="str">
        <f>RAW_Продажи!F939</f>
        <v>P010</v>
      </c>
      <c r="H940" s="11" t="str">
        <f>RAW_Продажи!G939</f>
        <v>canceled</v>
      </c>
      <c r="I940" s="12" t="str">
        <f t="shared" si="280"/>
        <v>462</v>
      </c>
      <c r="J940" s="12" t="str">
        <f t="shared" si="281"/>
        <v>€</v>
      </c>
      <c r="K940" s="12">
        <f t="shared" si="282"/>
        <v>75</v>
      </c>
      <c r="L940" s="19">
        <f t="shared" si="283"/>
        <v>46140</v>
      </c>
      <c r="M940" s="13" t="str">
        <f t="shared" si="284"/>
        <v>АРТ-462</v>
      </c>
      <c r="N940" s="13">
        <f t="shared" si="285"/>
        <v>2</v>
      </c>
      <c r="O940" s="13" t="str">
        <f>IFERROR(VLOOKUP(J940,Справочники!$G$6:$H$8,2,0),"RUB")</f>
        <v>EUR</v>
      </c>
      <c r="P940" s="14">
        <f>ROUND(K940*IFERROR(VLOOKUP(J940,Справочники!$G$6:$I$8,3,0),1),2)</f>
        <v>7500</v>
      </c>
      <c r="Q940" s="13" t="str">
        <f>IFERROR(VLOOKUP(H940,Справочники!$D$6:$E$14,2,0),"НЕИЗВЕСТНО")</f>
        <v>Отменен</v>
      </c>
      <c r="R940" s="20">
        <f>IFERROR(INDEX(Товары_очищенные!$Q$3:$Q$503,MATCH(M940,Товары_очищенные!$L$3:$L$503,0)),"нет в каталоге")</f>
        <v>49500</v>
      </c>
      <c r="S940" s="21" t="str">
        <f>IFERROR(INDEX(Товары_очищенные!$N$3:$N$503,MATCH(M940,Товары_очищенные!$L$3:$L$503,0)),"нет в каталоге")</f>
        <v>Часы</v>
      </c>
      <c r="T940" s="21" t="str">
        <f t="shared" si="286"/>
        <v>OK</v>
      </c>
      <c r="U940" s="12" t="str">
        <f t="shared" si="287"/>
        <v>28/04/2026|АРТ-462|C0938</v>
      </c>
      <c r="V940" s="12" t="str">
        <f t="shared" si="288"/>
        <v>оригинал</v>
      </c>
    </row>
    <row r="941" ht="15" customHeight="1">
      <c r="A941" s="10">
        <v>939</v>
      </c>
      <c r="B941" s="11" t="str">
        <f>RAW_Продажи!A940</f>
        <v>04/29/2026</v>
      </c>
      <c r="C941" s="11" t="str">
        <f>RAW_Продажи!B940</f>
        <v>336/24</v>
      </c>
      <c r="D941" s="11" t="str">
        <f>RAW_Продажи!C940</f>
        <v xml:space="preserve">3 шт.</v>
      </c>
      <c r="E941" s="11" t="str">
        <f>RAW_Продажи!D940</f>
        <v xml:space="preserve">7000 ₽</v>
      </c>
      <c r="F941" s="11" t="str">
        <f>RAW_Продажи!E940</f>
        <v>C0939</v>
      </c>
      <c r="G941" s="11" t="str">
        <f>RAW_Продажи!F940</f>
        <v>P033</v>
      </c>
      <c r="H941" s="11" t="str">
        <f>RAW_Продажи!G940</f>
        <v>Завершен</v>
      </c>
      <c r="I941" s="12" t="str">
        <f t="shared" si="280"/>
        <v>336/24</v>
      </c>
      <c r="J941" s="12" t="str">
        <f t="shared" si="281"/>
        <v>₽</v>
      </c>
      <c r="K941" s="12">
        <f t="shared" si="282"/>
        <v>7000</v>
      </c>
      <c r="L941" s="19">
        <f t="shared" si="283"/>
        <v>46141</v>
      </c>
      <c r="M941" s="13" t="str">
        <f t="shared" si="284"/>
        <v>АРТ-336</v>
      </c>
      <c r="N941" s="13">
        <f t="shared" si="285"/>
        <v>3</v>
      </c>
      <c r="O941" s="13" t="str">
        <f>IFERROR(VLOOKUP(J941,Справочники!$G$6:$H$8,2,0),"RUB")</f>
        <v>RUB</v>
      </c>
      <c r="P941" s="14">
        <f>ROUND(K941*IFERROR(VLOOKUP(J941,Справочники!$G$6:$I$8,3,0),1),2)</f>
        <v>7000</v>
      </c>
      <c r="Q941" s="13" t="str">
        <f>IFERROR(VLOOKUP(H941,Справочники!$D$6:$E$14,2,0),"НЕИЗВЕСТНО")</f>
        <v>Завершен</v>
      </c>
      <c r="R941" s="20">
        <f>IFERROR(INDEX(Товары_очищенные!$Q$3:$Q$503,MATCH(M941,Товары_очищенные!$L$3:$L$503,0)),"нет в каталоге")</f>
        <v>50500</v>
      </c>
      <c r="S941" s="21" t="str">
        <f>IFERROR(INDEX(Товары_очищенные!$N$3:$N$503,MATCH(M941,Товары_очищенные!$L$3:$L$503,0)),"нет в каталоге")</f>
        <v>Планшеты</v>
      </c>
      <c r="T941" s="21" t="str">
        <f t="shared" si="286"/>
        <v>OK</v>
      </c>
      <c r="U941" s="12" t="str">
        <f t="shared" si="287"/>
        <v>29/04/2026|АРТ-336|C0939</v>
      </c>
      <c r="V941" s="12" t="str">
        <f t="shared" si="288"/>
        <v>оригинал</v>
      </c>
    </row>
    <row r="942" ht="15" customHeight="1">
      <c r="A942" s="10">
        <v>940</v>
      </c>
      <c r="B942" s="11" t="str">
        <f>RAW_Продажи!A941</f>
        <v>04/29/2026</v>
      </c>
      <c r="C942" s="11" t="str">
        <f>RAW_Продажи!B941</f>
        <v>№АРТ-333</v>
      </c>
      <c r="D942" s="11" t="str">
        <f>RAW_Продажи!C941</f>
        <v>-2</v>
      </c>
      <c r="E942" s="11" t="str">
        <f>RAW_Продажи!D941</f>
        <v>$115</v>
      </c>
      <c r="F942" s="11" t="str">
        <f>RAW_Продажи!E941</f>
        <v>C0940</v>
      </c>
      <c r="G942" s="11" t="str">
        <f>RAW_Продажи!F941</f>
        <v>P047</v>
      </c>
      <c r="H942" s="11" t="str">
        <f>RAW_Продажи!G941</f>
        <v>возврат</v>
      </c>
      <c r="I942" s="12" t="str">
        <f t="shared" si="280"/>
        <v>333</v>
      </c>
      <c r="J942" s="12" t="str">
        <f t="shared" si="281"/>
        <v>$</v>
      </c>
      <c r="K942" s="12">
        <f t="shared" si="282"/>
        <v>115</v>
      </c>
      <c r="L942" s="19">
        <f t="shared" si="283"/>
        <v>46141</v>
      </c>
      <c r="M942" s="13" t="str">
        <f t="shared" si="284"/>
        <v>АРТ-333</v>
      </c>
      <c r="N942" s="13">
        <f t="shared" si="285"/>
        <v>-2</v>
      </c>
      <c r="O942" s="13" t="str">
        <f>IFERROR(VLOOKUP(J942,Справочники!$G$6:$H$8,2,0),"RUB")</f>
        <v>USD</v>
      </c>
      <c r="P942" s="14">
        <f>ROUND(K942*IFERROR(VLOOKUP(J942,Справочники!$G$6:$I$8,3,0),1),2)</f>
        <v>10925</v>
      </c>
      <c r="Q942" s="13" t="str">
        <f>IFERROR(VLOOKUP(H942,Справочники!$D$6:$E$14,2,0),"НЕИЗВЕСТНО")</f>
        <v>Возврат</v>
      </c>
      <c r="R942" s="20">
        <f>IFERROR(INDEX(Товары_очищенные!$Q$3:$Q$503,MATCH(M942,Товары_очищенные!$L$3:$L$503,0)),"нет в каталоге")</f>
        <v>72000</v>
      </c>
      <c r="S942" s="21" t="str">
        <f>IFERROR(INDEX(Товары_очищенные!$N$3:$N$503,MATCH(M942,Товары_очищенные!$L$3:$L$503,0)),"нет в каталоге")</f>
        <v>Часы</v>
      </c>
      <c r="T942" s="21" t="str">
        <f t="shared" si="286"/>
        <v>OK</v>
      </c>
      <c r="U942" s="12" t="str">
        <f t="shared" si="287"/>
        <v>29/04/2026|АРТ-333|C0940</v>
      </c>
      <c r="V942" s="12" t="str">
        <f t="shared" si="288"/>
        <v>оригинал</v>
      </c>
    </row>
    <row r="943" ht="15" customHeight="1">
      <c r="A943" s="10">
        <v>941</v>
      </c>
      <c r="B943" s="11" t="str">
        <f>RAW_Продажи!A942</f>
        <v>04/30/2026</v>
      </c>
      <c r="C943" s="11" t="str">
        <f>RAW_Продажи!B942</f>
        <v>АРТ_293</v>
      </c>
      <c r="D943" s="11" t="str">
        <f>RAW_Продажи!C942</f>
        <v>1</v>
      </c>
      <c r="E943" s="11" t="str">
        <f>RAW_Продажи!D942</f>
        <v>€95</v>
      </c>
      <c r="F943" s="11" t="str">
        <f>RAW_Продажи!E942</f>
        <v>C0941</v>
      </c>
      <c r="G943" s="11" t="str">
        <f>RAW_Продажи!F942</f>
        <v>P020</v>
      </c>
      <c r="H943" s="11" t="str">
        <f>RAW_Продажи!G942</f>
        <v>завершен</v>
      </c>
      <c r="I943" s="12" t="str">
        <f t="shared" si="280"/>
        <v>293</v>
      </c>
      <c r="J943" s="12" t="str">
        <f t="shared" si="281"/>
        <v>€</v>
      </c>
      <c r="K943" s="12">
        <f t="shared" si="282"/>
        <v>95</v>
      </c>
      <c r="L943" s="19">
        <f t="shared" si="283"/>
        <v>46142</v>
      </c>
      <c r="M943" s="13" t="str">
        <f t="shared" si="284"/>
        <v>АРТ-293</v>
      </c>
      <c r="N943" s="13">
        <f t="shared" si="285"/>
        <v>1</v>
      </c>
      <c r="O943" s="13" t="str">
        <f>IFERROR(VLOOKUP(J943,Справочники!$G$6:$H$8,2,0),"RUB")</f>
        <v>EUR</v>
      </c>
      <c r="P943" s="14">
        <f>ROUND(K943*IFERROR(VLOOKUP(J943,Справочники!$G$6:$I$8,3,0),1),2)</f>
        <v>9500</v>
      </c>
      <c r="Q943" s="13" t="str">
        <f>IFERROR(VLOOKUP(H943,Справочники!$D$6:$E$14,2,0),"НЕИЗВЕСТНО")</f>
        <v>Завершен</v>
      </c>
      <c r="R943" s="20">
        <f>IFERROR(INDEX(Товары_очищенные!$Q$3:$Q$503,MATCH(M943,Товары_очищенные!$L$3:$L$503,0)),"нет в каталоге")</f>
        <v>132000</v>
      </c>
      <c r="S943" s="21" t="str">
        <f>IFERROR(INDEX(Товары_очищенные!$N$3:$N$503,MATCH(M943,Товары_очищенные!$L$3:$L$503,0)),"нет в каталоге")</f>
        <v>Ноутбуки</v>
      </c>
      <c r="T943" s="21" t="str">
        <f t="shared" si="286"/>
        <v>OK</v>
      </c>
      <c r="U943" s="12" t="str">
        <f t="shared" si="287"/>
        <v>30/04/2026|АРТ-293|C0941</v>
      </c>
      <c r="V943" s="12" t="str">
        <f t="shared" si="288"/>
        <v>оригинал</v>
      </c>
    </row>
    <row r="944" ht="15" customHeight="1">
      <c r="A944" s="10">
        <v>942</v>
      </c>
      <c r="B944" s="11" t="str">
        <f>RAW_Продажи!A943</f>
        <v>04/30/2026</v>
      </c>
      <c r="C944" s="11" t="str">
        <f>RAW_Продажи!B943</f>
        <v>244-24</v>
      </c>
      <c r="D944" s="11" t="str">
        <f>RAW_Продажи!C943</f>
        <v>2</v>
      </c>
      <c r="E944" s="11" t="str">
        <f>RAW_Продажи!D943</f>
        <v xml:space="preserve">8500 ₽</v>
      </c>
      <c r="F944" s="11" t="str">
        <f>RAW_Продажи!E943</f>
        <v>C0942</v>
      </c>
      <c r="G944" s="11" t="str">
        <f>RAW_Продажи!F943</f>
        <v>P002</v>
      </c>
      <c r="H944" s="11" t="str">
        <f>RAW_Продажи!G943</f>
        <v>completed</v>
      </c>
      <c r="I944" s="12" t="str">
        <f t="shared" si="280"/>
        <v>244-24</v>
      </c>
      <c r="J944" s="12" t="str">
        <f t="shared" si="281"/>
        <v>₽</v>
      </c>
      <c r="K944" s="12">
        <f t="shared" si="282"/>
        <v>8500</v>
      </c>
      <c r="L944" s="19">
        <f t="shared" si="283"/>
        <v>46142</v>
      </c>
      <c r="M944" s="13" t="str">
        <f t="shared" si="284"/>
        <v>АРТ-244</v>
      </c>
      <c r="N944" s="13">
        <f t="shared" si="285"/>
        <v>2</v>
      </c>
      <c r="O944" s="13" t="str">
        <f>IFERROR(VLOOKUP(J944,Справочники!$G$6:$H$8,2,0),"RUB")</f>
        <v>RUB</v>
      </c>
      <c r="P944" s="14">
        <f>ROUND(K944*IFERROR(VLOOKUP(J944,Справочники!$G$6:$I$8,3,0),1),2)</f>
        <v>8500</v>
      </c>
      <c r="Q944" s="13" t="str">
        <f>IFERROR(VLOOKUP(H944,Справочники!$D$6:$E$14,2,0),"НЕИЗВЕСТНО")</f>
        <v>Завершен</v>
      </c>
      <c r="R944" s="20">
        <f>IFERROR(INDEX(Товары_очищенные!$Q$3:$Q$503,MATCH(M944,Товары_очищенные!$L$3:$L$503,0)),"нет в каталоге")</f>
        <v>77990</v>
      </c>
      <c r="S944" s="21" t="str">
        <f>IFERROR(INDEX(Товары_очищенные!$N$3:$N$503,MATCH(M944,Товары_очищенные!$L$3:$L$503,0)),"нет в каталоге")</f>
        <v>Мониторы</v>
      </c>
      <c r="T944" s="21" t="str">
        <f t="shared" si="286"/>
        <v>OK</v>
      </c>
      <c r="U944" s="12" t="str">
        <f t="shared" si="287"/>
        <v>30/04/2026|АРТ-244|C0942</v>
      </c>
      <c r="V944" s="12" t="str">
        <f t="shared" si="288"/>
        <v>оригинал</v>
      </c>
    </row>
    <row r="945" ht="15" customHeight="1">
      <c r="A945" s="10">
        <v>943</v>
      </c>
      <c r="B945" s="11" t="str">
        <f>RAW_Продажи!A944</f>
        <v>05/01/2026</v>
      </c>
      <c r="C945" s="11" t="str">
        <f>RAW_Продажи!B944</f>
        <v>№АРТ-179</v>
      </c>
      <c r="D945" s="11" t="str">
        <f>RAW_Продажи!C944</f>
        <v>3</v>
      </c>
      <c r="E945" s="11" t="str">
        <f>RAW_Продажи!D944</f>
        <v>$105</v>
      </c>
      <c r="F945" s="11" t="str">
        <f>RAW_Продажи!E944</f>
        <v>C0943</v>
      </c>
      <c r="G945" s="11" t="str">
        <f>RAW_Продажи!F944</f>
        <v>P038</v>
      </c>
      <c r="H945" s="11" t="str">
        <f>RAW_Продажи!G944</f>
        <v>Завершен</v>
      </c>
      <c r="I945" s="12" t="str">
        <f t="shared" si="280"/>
        <v>179</v>
      </c>
      <c r="J945" s="12" t="str">
        <f t="shared" si="281"/>
        <v>$</v>
      </c>
      <c r="K945" s="12">
        <f t="shared" si="282"/>
        <v>105</v>
      </c>
      <c r="L945" s="19">
        <f t="shared" si="283"/>
        <v>46143</v>
      </c>
      <c r="M945" s="13" t="str">
        <f t="shared" si="284"/>
        <v>АРТ-179</v>
      </c>
      <c r="N945" s="13">
        <f t="shared" si="285"/>
        <v>3</v>
      </c>
      <c r="O945" s="13" t="str">
        <f>IFERROR(VLOOKUP(J945,Справочники!$G$6:$H$8,2,0),"RUB")</f>
        <v>USD</v>
      </c>
      <c r="P945" s="14">
        <f>ROUND(K945*IFERROR(VLOOKUP(J945,Справочники!$G$6:$I$8,3,0),1),2)</f>
        <v>9975</v>
      </c>
      <c r="Q945" s="13" t="str">
        <f>IFERROR(VLOOKUP(H945,Справочники!$D$6:$E$14,2,0),"НЕИЗВЕСТНО")</f>
        <v>Завершен</v>
      </c>
      <c r="R945" s="20">
        <f>IFERROR(INDEX(Товары_очищенные!$Q$3:$Q$503,MATCH(M945,Товары_очищенные!$L$3:$L$503,0)),"нет в каталоге")</f>
        <v>13000</v>
      </c>
      <c r="S945" s="21" t="str">
        <f>IFERROR(INDEX(Товары_очищенные!$N$3:$N$503,MATCH(M945,Товары_очищенные!$L$3:$L$503,0)),"нет в каталоге")</f>
        <v>Наушники</v>
      </c>
      <c r="T945" s="21" t="str">
        <f t="shared" si="286"/>
        <v>OK</v>
      </c>
      <c r="U945" s="12" t="str">
        <f t="shared" si="287"/>
        <v>01/05/2026|АРТ-179|C0943</v>
      </c>
      <c r="V945" s="12" t="str">
        <f t="shared" si="288"/>
        <v>оригинал</v>
      </c>
    </row>
    <row r="946" ht="15" customHeight="1">
      <c r="A946" s="10">
        <v>944</v>
      </c>
      <c r="B946" s="11" t="str">
        <f>RAW_Продажи!A945</f>
        <v>05/01/2026</v>
      </c>
      <c r="C946" s="11" t="str">
        <f>RAW_Продажи!B945</f>
        <v>АРТ_421</v>
      </c>
      <c r="D946" s="11" t="str">
        <f>RAW_Продажи!C945</f>
        <v>2</v>
      </c>
      <c r="E946" s="11" t="str">
        <f>RAW_Продажи!D945</f>
        <v>€85</v>
      </c>
      <c r="F946" s="11" t="str">
        <f>RAW_Продажи!E945</f>
        <v>C0944</v>
      </c>
      <c r="G946" s="11" t="str">
        <f>RAW_Продажи!F945</f>
        <v>P016</v>
      </c>
      <c r="H946" s="11" t="str">
        <f>RAW_Продажи!G945</f>
        <v>canceled</v>
      </c>
      <c r="I946" s="12" t="str">
        <f t="shared" si="280"/>
        <v>421</v>
      </c>
      <c r="J946" s="12" t="str">
        <f t="shared" si="281"/>
        <v>€</v>
      </c>
      <c r="K946" s="12">
        <f t="shared" si="282"/>
        <v>85</v>
      </c>
      <c r="L946" s="19">
        <f t="shared" si="283"/>
        <v>46143</v>
      </c>
      <c r="M946" s="13" t="str">
        <f t="shared" si="284"/>
        <v>АРТ-421</v>
      </c>
      <c r="N946" s="13">
        <f t="shared" si="285"/>
        <v>2</v>
      </c>
      <c r="O946" s="13" t="str">
        <f>IFERROR(VLOOKUP(J946,Справочники!$G$6:$H$8,2,0),"RUB")</f>
        <v>EUR</v>
      </c>
      <c r="P946" s="14">
        <f>ROUND(K946*IFERROR(VLOOKUP(J946,Справочники!$G$6:$I$8,3,0),1),2)</f>
        <v>8500</v>
      </c>
      <c r="Q946" s="13" t="str">
        <f>IFERROR(VLOOKUP(H946,Справочники!$D$6:$E$14,2,0),"НЕИЗВЕСТНО")</f>
        <v>Отменен</v>
      </c>
      <c r="R946" s="20">
        <f>IFERROR(INDEX(Товары_очищенные!$Q$3:$Q$503,MATCH(M946,Товары_очищенные!$L$3:$L$503,0)),"нет в каталоге")</f>
        <v>126990</v>
      </c>
      <c r="S946" s="21" t="str">
        <f>IFERROR(INDEX(Товары_очищенные!$N$3:$N$503,MATCH(M946,Товары_очищенные!$L$3:$L$503,0)),"нет в каталоге")</f>
        <v>Ноутбуки</v>
      </c>
      <c r="T946" s="21" t="str">
        <f t="shared" si="286"/>
        <v>OK</v>
      </c>
      <c r="U946" s="12" t="str">
        <f t="shared" si="287"/>
        <v>01/05/2026|АРТ-421|C0944</v>
      </c>
      <c r="V946" s="12" t="str">
        <f t="shared" si="288"/>
        <v>оригинал</v>
      </c>
    </row>
    <row r="947" ht="15" customHeight="1">
      <c r="A947" s="10">
        <v>945</v>
      </c>
      <c r="B947" s="11" t="str">
        <f>RAW_Продажи!A946</f>
        <v>05/02/2026</v>
      </c>
      <c r="C947" s="11" t="str">
        <f>RAW_Продажи!B946</f>
        <v>369/24</v>
      </c>
      <c r="D947" s="11" t="str">
        <f>RAW_Продажи!C946</f>
        <v xml:space="preserve">1 шт.</v>
      </c>
      <c r="E947" s="11" t="str">
        <f>RAW_Продажи!D946</f>
        <v xml:space="preserve">7800 ₽</v>
      </c>
      <c r="F947" s="11" t="str">
        <f>RAW_Продажи!E946</f>
        <v>C0945</v>
      </c>
      <c r="G947" s="11" t="str">
        <f>RAW_Продажи!F946</f>
        <v>P029</v>
      </c>
      <c r="H947" s="11" t="str">
        <f>RAW_Продажи!G946</f>
        <v>отменен</v>
      </c>
      <c r="I947" s="12" t="str">
        <f t="shared" si="280"/>
        <v>369/24</v>
      </c>
      <c r="J947" s="12" t="str">
        <f t="shared" si="281"/>
        <v>₽</v>
      </c>
      <c r="K947" s="12">
        <f t="shared" si="282"/>
        <v>7800</v>
      </c>
      <c r="L947" s="19">
        <f t="shared" si="283"/>
        <v>46144</v>
      </c>
      <c r="M947" s="13" t="str">
        <f t="shared" si="284"/>
        <v>АРТ-369</v>
      </c>
      <c r="N947" s="13">
        <f t="shared" si="285"/>
        <v>1</v>
      </c>
      <c r="O947" s="13" t="str">
        <f>IFERROR(VLOOKUP(J947,Справочники!$G$6:$H$8,2,0),"RUB")</f>
        <v>RUB</v>
      </c>
      <c r="P947" s="14">
        <f>ROUND(K947*IFERROR(VLOOKUP(J947,Справочники!$G$6:$I$8,3,0),1),2)</f>
        <v>7800</v>
      </c>
      <c r="Q947" s="13" t="str">
        <f>IFERROR(VLOOKUP(H947,Справочники!$D$6:$E$14,2,0),"НЕИЗВЕСТНО")</f>
        <v>Отменен</v>
      </c>
      <c r="R947" s="20">
        <f>IFERROR(INDEX(Товары_очищенные!$Q$3:$Q$503,MATCH(M947,Товары_очищенные!$L$3:$L$503,0)),"нет в каталоге")</f>
        <v>20800</v>
      </c>
      <c r="S947" s="21" t="str">
        <f>IFERROR(INDEX(Товары_очищенные!$N$3:$N$503,MATCH(M947,Товары_очищенные!$L$3:$L$503,0)),"нет в каталоге")</f>
        <v>Наушники</v>
      </c>
      <c r="T947" s="21" t="str">
        <f t="shared" si="286"/>
        <v>OK</v>
      </c>
      <c r="U947" s="12" t="str">
        <f t="shared" si="287"/>
        <v>02/05/2026|АРТ-369|C0945</v>
      </c>
      <c r="V947" s="12" t="str">
        <f t="shared" si="288"/>
        <v>оригинал</v>
      </c>
    </row>
    <row r="948" ht="15" customHeight="1">
      <c r="A948" s="10">
        <v>946</v>
      </c>
      <c r="B948" s="11" t="str">
        <f>RAW_Продажи!A947</f>
        <v>05/02/2026</v>
      </c>
      <c r="C948" s="11" t="str">
        <f>RAW_Продажи!B947</f>
        <v>№АРТ-170</v>
      </c>
      <c r="D948" s="11" t="str">
        <f>RAW_Продажи!C947</f>
        <v>-3</v>
      </c>
      <c r="E948" s="11" t="str">
        <f>RAW_Продажи!D947</f>
        <v>$120</v>
      </c>
      <c r="F948" s="11" t="str">
        <f>RAW_Продажи!E947</f>
        <v>C0946</v>
      </c>
      <c r="G948" s="11" t="str">
        <f>RAW_Продажи!F947</f>
        <v>P035</v>
      </c>
      <c r="H948" s="11" t="str">
        <f>RAW_Продажи!G947</f>
        <v>возврат</v>
      </c>
      <c r="I948" s="12" t="str">
        <f t="shared" si="280"/>
        <v>170</v>
      </c>
      <c r="J948" s="12" t="str">
        <f t="shared" si="281"/>
        <v>$</v>
      </c>
      <c r="K948" s="12">
        <f t="shared" si="282"/>
        <v>120</v>
      </c>
      <c r="L948" s="19">
        <f t="shared" si="283"/>
        <v>46144</v>
      </c>
      <c r="M948" s="13" t="str">
        <f t="shared" si="284"/>
        <v>АРТ-170</v>
      </c>
      <c r="N948" s="13">
        <f t="shared" si="285"/>
        <v>-3</v>
      </c>
      <c r="O948" s="13" t="str">
        <f>IFERROR(VLOOKUP(J948,Справочники!$G$6:$H$8,2,0),"RUB")</f>
        <v>USD</v>
      </c>
      <c r="P948" s="14">
        <f>ROUND(K948*IFERROR(VLOOKUP(J948,Справочники!$G$6:$I$8,3,0),1),2)</f>
        <v>11400</v>
      </c>
      <c r="Q948" s="13" t="str">
        <f>IFERROR(VLOOKUP(H948,Справочники!$D$6:$E$14,2,0),"НЕИЗВЕСТНО")</f>
        <v>Возврат</v>
      </c>
      <c r="R948" s="20">
        <f>IFERROR(INDEX(Товары_очищенные!$Q$3:$Q$503,MATCH(M948,Товары_очищенные!$L$3:$L$503,0)),"нет в каталоге")</f>
        <v>56500</v>
      </c>
      <c r="S948" s="21" t="str">
        <f>IFERROR(INDEX(Товары_очищенные!$N$3:$N$503,MATCH(M948,Товары_очищенные!$L$3:$L$503,0)),"нет в каталоге")</f>
        <v>Смартфоны</v>
      </c>
      <c r="T948" s="21" t="str">
        <f t="shared" si="286"/>
        <v>OK</v>
      </c>
      <c r="U948" s="12" t="str">
        <f t="shared" si="287"/>
        <v>02/05/2026|АРТ-170|C0946</v>
      </c>
      <c r="V948" s="12" t="str">
        <f t="shared" si="288"/>
        <v>оригинал</v>
      </c>
    </row>
    <row r="949" ht="15" customHeight="1">
      <c r="A949" s="10">
        <v>947</v>
      </c>
      <c r="B949" s="11" t="str">
        <f>RAW_Продажи!A948</f>
        <v>05/03/2026</v>
      </c>
      <c r="C949" s="11" t="str">
        <f>RAW_Продажи!B948</f>
        <v>АРТ_315</v>
      </c>
      <c r="D949" s="11" t="str">
        <f>RAW_Продажи!C948</f>
        <v>2</v>
      </c>
      <c r="E949" s="11" t="str">
        <f>RAW_Продажи!D948</f>
        <v>€100</v>
      </c>
      <c r="F949" s="11" t="str">
        <f>RAW_Продажи!E948</f>
        <v>C0947</v>
      </c>
      <c r="G949" s="11" t="str">
        <f>RAW_Продажи!F948</f>
        <v>P046</v>
      </c>
      <c r="H949" s="11" t="str">
        <f>RAW_Продажи!G948</f>
        <v>Завершен</v>
      </c>
      <c r="I949" s="12" t="str">
        <f t="shared" si="280"/>
        <v>315</v>
      </c>
      <c r="J949" s="12" t="str">
        <f t="shared" si="281"/>
        <v>€</v>
      </c>
      <c r="K949" s="12">
        <f t="shared" si="282"/>
        <v>100</v>
      </c>
      <c r="L949" s="19">
        <f t="shared" si="283"/>
        <v>46145</v>
      </c>
      <c r="M949" s="13" t="str">
        <f t="shared" si="284"/>
        <v>АРТ-315</v>
      </c>
      <c r="N949" s="13">
        <f t="shared" si="285"/>
        <v>2</v>
      </c>
      <c r="O949" s="13" t="str">
        <f>IFERROR(VLOOKUP(J949,Справочники!$G$6:$H$8,2,0),"RUB")</f>
        <v>EUR</v>
      </c>
      <c r="P949" s="14">
        <f>ROUND(K949*IFERROR(VLOOKUP(J949,Справочники!$G$6:$I$8,3,0),1),2)</f>
        <v>10000</v>
      </c>
      <c r="Q949" s="13" t="str">
        <f>IFERROR(VLOOKUP(H949,Справочники!$D$6:$E$14,2,0),"НЕИЗВЕСТНО")</f>
        <v>Завершен</v>
      </c>
      <c r="R949" s="20">
        <f>IFERROR(INDEX(Товары_очищенные!$Q$3:$Q$503,MATCH(M949,Товары_очищенные!$L$3:$L$503,0)),"нет в каталоге")</f>
        <v>72000</v>
      </c>
      <c r="S949" s="21" t="str">
        <f>IFERROR(INDEX(Товары_очищенные!$N$3:$N$503,MATCH(M949,Товары_очищенные!$L$3:$L$503,0)),"нет в каталоге")</f>
        <v>Смартфоны</v>
      </c>
      <c r="T949" s="21" t="str">
        <f t="shared" si="286"/>
        <v>OK</v>
      </c>
      <c r="U949" s="12" t="str">
        <f t="shared" si="287"/>
        <v>03/05/2026|АРТ-315|C0947</v>
      </c>
      <c r="V949" s="12" t="str">
        <f t="shared" si="288"/>
        <v>оригинал</v>
      </c>
    </row>
    <row r="950" ht="15" customHeight="1">
      <c r="A950" s="10">
        <v>948</v>
      </c>
      <c r="B950" s="11" t="str">
        <f>RAW_Продажи!A949</f>
        <v>05/03/2026</v>
      </c>
      <c r="C950" s="11" t="str">
        <f>RAW_Продажи!B949</f>
        <v>273-24</v>
      </c>
      <c r="D950" s="11" t="str">
        <f>RAW_Продажи!C949</f>
        <v>1</v>
      </c>
      <c r="E950" s="11" t="str">
        <f>RAW_Продажи!D949</f>
        <v xml:space="preserve">9200 ₽</v>
      </c>
      <c r="F950" s="11" t="str">
        <f>RAW_Продажи!E949</f>
        <v>C0948</v>
      </c>
      <c r="G950" s="11" t="str">
        <f>RAW_Продажи!F949</f>
        <v>P022</v>
      </c>
      <c r="H950" s="11" t="str">
        <f>RAW_Продажи!G949</f>
        <v>завершен</v>
      </c>
      <c r="I950" s="12" t="str">
        <f t="shared" si="280"/>
        <v>273-24</v>
      </c>
      <c r="J950" s="12" t="str">
        <f t="shared" si="281"/>
        <v>₽</v>
      </c>
      <c r="K950" s="12">
        <f t="shared" si="282"/>
        <v>9200</v>
      </c>
      <c r="L950" s="19">
        <f t="shared" si="283"/>
        <v>46145</v>
      </c>
      <c r="M950" s="13" t="str">
        <f t="shared" si="284"/>
        <v>АРТ-273</v>
      </c>
      <c r="N950" s="13">
        <f t="shared" si="285"/>
        <v>1</v>
      </c>
      <c r="O950" s="13" t="str">
        <f>IFERROR(VLOOKUP(J950,Справочники!$G$6:$H$8,2,0),"RUB")</f>
        <v>RUB</v>
      </c>
      <c r="P950" s="14">
        <f>ROUND(K950*IFERROR(VLOOKUP(J950,Справочники!$G$6:$I$8,3,0),1),2)</f>
        <v>9200</v>
      </c>
      <c r="Q950" s="13" t="str">
        <f>IFERROR(VLOOKUP(H950,Справочники!$D$6:$E$14,2,0),"НЕИЗВЕСТНО")</f>
        <v>Завершен</v>
      </c>
      <c r="R950" s="20">
        <f>IFERROR(INDEX(Товары_очищенные!$Q$3:$Q$503,MATCH(M950,Товары_очищенные!$L$3:$L$503,0)),"нет в каталоге")</f>
        <v>46500</v>
      </c>
      <c r="S950" s="21" t="str">
        <f>IFERROR(INDEX(Товары_очищенные!$N$3:$N$503,MATCH(M950,Товары_очищенные!$L$3:$L$503,0)),"нет в каталоге")</f>
        <v>Смартфоны</v>
      </c>
      <c r="T950" s="21" t="str">
        <f t="shared" si="286"/>
        <v>OK</v>
      </c>
      <c r="U950" s="12" t="str">
        <f t="shared" si="287"/>
        <v>03/05/2026|АРТ-273|C0948</v>
      </c>
      <c r="V950" s="12" t="str">
        <f t="shared" si="288"/>
        <v>оригинал</v>
      </c>
    </row>
    <row r="951" ht="15" customHeight="1">
      <c r="A951" s="10">
        <v>949</v>
      </c>
      <c r="B951" s="11" t="str">
        <f>RAW_Продажи!A950</f>
        <v>05/04/2026</v>
      </c>
      <c r="C951" s="11" t="str">
        <f>RAW_Продажи!B950</f>
        <v>№АРТ-133</v>
      </c>
      <c r="D951" s="11" t="str">
        <f>RAW_Продажи!C950</f>
        <v>3</v>
      </c>
      <c r="E951" s="11" t="str">
        <f>RAW_Продажи!D950</f>
        <v>$90</v>
      </c>
      <c r="F951" s="11" t="str">
        <f>RAW_Продажи!E950</f>
        <v>C0949</v>
      </c>
      <c r="G951" s="11" t="str">
        <f>RAW_Продажи!F950</f>
        <v>P043</v>
      </c>
      <c r="H951" s="11" t="str">
        <f>RAW_Продажи!G950</f>
        <v>completed</v>
      </c>
      <c r="I951" s="12" t="str">
        <f t="shared" si="280"/>
        <v>133</v>
      </c>
      <c r="J951" s="12" t="str">
        <f t="shared" si="281"/>
        <v>$</v>
      </c>
      <c r="K951" s="12">
        <f t="shared" si="282"/>
        <v>90</v>
      </c>
      <c r="L951" s="19">
        <f t="shared" si="283"/>
        <v>46146</v>
      </c>
      <c r="M951" s="13" t="str">
        <f t="shared" si="284"/>
        <v>АРТ-133</v>
      </c>
      <c r="N951" s="13">
        <f t="shared" si="285"/>
        <v>3</v>
      </c>
      <c r="O951" s="13" t="str">
        <f>IFERROR(VLOOKUP(J951,Справочники!$G$6:$H$8,2,0),"RUB")</f>
        <v>USD</v>
      </c>
      <c r="P951" s="14">
        <f>ROUND(K951*IFERROR(VLOOKUP(J951,Справочники!$G$6:$I$8,3,0),1),2)</f>
        <v>8550</v>
      </c>
      <c r="Q951" s="13" t="str">
        <f>IFERROR(VLOOKUP(H951,Справочники!$D$6:$E$14,2,0),"НЕИЗВЕСТНО")</f>
        <v>Завершен</v>
      </c>
      <c r="R951" s="20">
        <f>IFERROR(INDEX(Товары_очищенные!$Q$3:$Q$503,MATCH(M951,Товары_очищенные!$L$3:$L$503,0)),"нет в каталоге")</f>
        <v>126990</v>
      </c>
      <c r="S951" s="21" t="str">
        <f>IFERROR(INDEX(Товары_очищенные!$N$3:$N$503,MATCH(M951,Товары_очищенные!$L$3:$L$503,0)),"нет в каталоге")</f>
        <v>Телевизоры</v>
      </c>
      <c r="T951" s="21" t="str">
        <f t="shared" si="286"/>
        <v>OK</v>
      </c>
      <c r="U951" s="12" t="str">
        <f t="shared" si="287"/>
        <v>04/05/2026|АРТ-133|C0949</v>
      </c>
      <c r="V951" s="12" t="str">
        <f t="shared" si="288"/>
        <v>оригинал</v>
      </c>
    </row>
    <row r="952" ht="15" customHeight="1">
      <c r="A952" s="10">
        <v>950</v>
      </c>
      <c r="B952" s="11" t="str">
        <f>RAW_Продажи!A951</f>
        <v>05/04/2026</v>
      </c>
      <c r="C952" s="11" t="str">
        <f>RAW_Продажи!B951</f>
        <v>АРТ_480</v>
      </c>
      <c r="D952" s="11" t="str">
        <f>RAW_Продажи!C951</f>
        <v>2</v>
      </c>
      <c r="E952" s="11" t="str">
        <f>RAW_Продажи!D951</f>
        <v>€70</v>
      </c>
      <c r="F952" s="11" t="str">
        <f>RAW_Продажи!E951</f>
        <v>C0950</v>
      </c>
      <c r="G952" s="11" t="str">
        <f>RAW_Продажи!F951</f>
        <v>P030</v>
      </c>
      <c r="H952" s="11" t="str">
        <f>RAW_Продажи!G951</f>
        <v>отменен</v>
      </c>
      <c r="I952" s="12" t="str">
        <f t="shared" si="280"/>
        <v>480</v>
      </c>
      <c r="J952" s="12" t="str">
        <f t="shared" si="281"/>
        <v>€</v>
      </c>
      <c r="K952" s="12">
        <f t="shared" si="282"/>
        <v>70</v>
      </c>
      <c r="L952" s="19">
        <f t="shared" si="283"/>
        <v>46146</v>
      </c>
      <c r="M952" s="13" t="str">
        <f t="shared" si="284"/>
        <v>АРТ-480</v>
      </c>
      <c r="N952" s="13">
        <f t="shared" si="285"/>
        <v>2</v>
      </c>
      <c r="O952" s="13" t="str">
        <f>IFERROR(VLOOKUP(J952,Справочники!$G$6:$H$8,2,0),"RUB")</f>
        <v>EUR</v>
      </c>
      <c r="P952" s="14">
        <f>ROUND(K952*IFERROR(VLOOKUP(J952,Справочники!$G$6:$I$8,3,0),1),2)</f>
        <v>7000</v>
      </c>
      <c r="Q952" s="13" t="str">
        <f>IFERROR(VLOOKUP(H952,Справочники!$D$6:$E$14,2,0),"НЕИЗВЕСТНО")</f>
        <v>Отменен</v>
      </c>
      <c r="R952" s="20">
        <f>IFERROR(INDEX(Товары_очищенные!$Q$3:$Q$503,MATCH(M952,Товары_очищенные!$L$3:$L$503,0)),"нет в каталоге")</f>
        <v>13800</v>
      </c>
      <c r="S952" s="21" t="str">
        <f>IFERROR(INDEX(Товары_очищенные!$N$3:$N$503,MATCH(M952,Товары_очищенные!$L$3:$L$503,0)),"нет в каталоге")</f>
        <v>Аксессуары</v>
      </c>
      <c r="T952" s="21" t="str">
        <f t="shared" si="286"/>
        <v>OK</v>
      </c>
      <c r="U952" s="12" t="str">
        <f t="shared" si="287"/>
        <v>04/05/2026|АРТ-480|C0950</v>
      </c>
      <c r="V952" s="12" t="str">
        <f t="shared" si="288"/>
        <v>оригинал</v>
      </c>
    </row>
    <row r="953" ht="15" customHeight="1">
      <c r="A953" s="10">
        <v>951</v>
      </c>
      <c r="B953" s="11" t="str">
        <f>RAW_Продажи!A952</f>
        <v>05/05/2026</v>
      </c>
      <c r="C953" s="11" t="str">
        <f>RAW_Продажи!B952</f>
        <v>389/24</v>
      </c>
      <c r="D953" s="11" t="str">
        <f>RAW_Продажи!C952</f>
        <v xml:space="preserve">1 шт.</v>
      </c>
      <c r="E953" s="11" t="str">
        <f>RAW_Продажи!D952</f>
        <v xml:space="preserve">6500 ₽</v>
      </c>
      <c r="F953" s="11" t="str">
        <f>RAW_Продажи!E952</f>
        <v>C0951</v>
      </c>
      <c r="G953" s="11" t="str">
        <f>RAW_Продажи!F952</f>
        <v>P012</v>
      </c>
      <c r="H953" s="11" t="str">
        <f>RAW_Продажи!G952</f>
        <v>canceled</v>
      </c>
      <c r="I953" s="12" t="str">
        <f t="shared" si="280"/>
        <v>389/24</v>
      </c>
      <c r="J953" s="12" t="str">
        <f t="shared" si="281"/>
        <v>₽</v>
      </c>
      <c r="K953" s="12">
        <f t="shared" si="282"/>
        <v>6500</v>
      </c>
      <c r="L953" s="19">
        <f t="shared" si="283"/>
        <v>46147</v>
      </c>
      <c r="M953" s="13" t="str">
        <f t="shared" si="284"/>
        <v>АРТ-389</v>
      </c>
      <c r="N953" s="13">
        <f t="shared" si="285"/>
        <v>1</v>
      </c>
      <c r="O953" s="13" t="str">
        <f>IFERROR(VLOOKUP(J953,Справочники!$G$6:$H$8,2,0),"RUB")</f>
        <v>RUB</v>
      </c>
      <c r="P953" s="14">
        <f>ROUND(K953*IFERROR(VLOOKUP(J953,Справочники!$G$6:$I$8,3,0),1),2)</f>
        <v>6500</v>
      </c>
      <c r="Q953" s="13" t="str">
        <f>IFERROR(VLOOKUP(H953,Справочники!$D$6:$E$14,2,0),"НЕИЗВЕСТНО")</f>
        <v>Отменен</v>
      </c>
      <c r="R953" s="20">
        <f>IFERROR(INDEX(Товары_очищенные!$Q$3:$Q$503,MATCH(M953,Товары_очищенные!$L$3:$L$503,0)),"нет в каталоге")</f>
        <v>75000</v>
      </c>
      <c r="S953" s="21" t="str">
        <f>IFERROR(INDEX(Товары_очищенные!$N$3:$N$503,MATCH(M953,Товары_очищенные!$L$3:$L$503,0)),"нет в каталоге")</f>
        <v>Телевизоры</v>
      </c>
      <c r="T953" s="21" t="str">
        <f t="shared" si="286"/>
        <v>OK</v>
      </c>
      <c r="U953" s="12" t="str">
        <f t="shared" si="287"/>
        <v>05/05/2026|АРТ-389|C0951</v>
      </c>
      <c r="V953" s="12" t="str">
        <f t="shared" si="288"/>
        <v>оригинал</v>
      </c>
    </row>
    <row r="954" ht="15" customHeight="1">
      <c r="A954" s="10">
        <v>952</v>
      </c>
      <c r="B954" s="11" t="str">
        <f>RAW_Продажи!A953</f>
        <v>05/05/2026</v>
      </c>
      <c r="C954" s="11" t="str">
        <f>RAW_Продажи!B953</f>
        <v>№АРТ-369</v>
      </c>
      <c r="D954" s="11" t="str">
        <f>RAW_Продажи!C953</f>
        <v>-1</v>
      </c>
      <c r="E954" s="11" t="str">
        <f>RAW_Продажи!D953</f>
        <v>$110</v>
      </c>
      <c r="F954" s="11" t="str">
        <f>RAW_Продажи!E953</f>
        <v>C0952</v>
      </c>
      <c r="G954" s="11" t="str">
        <f>RAW_Продажи!F953</f>
        <v>P007</v>
      </c>
      <c r="H954" s="11" t="str">
        <f>RAW_Продажи!G953</f>
        <v>Завершен</v>
      </c>
      <c r="I954" s="12" t="str">
        <f t="shared" si="280"/>
        <v>369</v>
      </c>
      <c r="J954" s="12" t="str">
        <f t="shared" si="281"/>
        <v>$</v>
      </c>
      <c r="K954" s="12">
        <f t="shared" si="282"/>
        <v>110</v>
      </c>
      <c r="L954" s="19">
        <f t="shared" si="283"/>
        <v>46147</v>
      </c>
      <c r="M954" s="13" t="str">
        <f t="shared" si="284"/>
        <v>АРТ-369</v>
      </c>
      <c r="N954" s="13">
        <f t="shared" si="285"/>
        <v>-1</v>
      </c>
      <c r="O954" s="13" t="str">
        <f>IFERROR(VLOOKUP(J954,Справочники!$G$6:$H$8,2,0),"RUB")</f>
        <v>USD</v>
      </c>
      <c r="P954" s="14">
        <f>ROUND(K954*IFERROR(VLOOKUP(J954,Справочники!$G$6:$I$8,3,0),1),2)</f>
        <v>10450</v>
      </c>
      <c r="Q954" s="13" t="str">
        <f>IFERROR(VLOOKUP(H954,Справочники!$D$6:$E$14,2,0),"НЕИЗВЕСТНО")</f>
        <v>Завершен</v>
      </c>
      <c r="R954" s="20">
        <f>IFERROR(INDEX(Товары_очищенные!$Q$3:$Q$503,MATCH(M954,Товары_очищенные!$L$3:$L$503,0)),"нет в каталоге")</f>
        <v>20800</v>
      </c>
      <c r="S954" s="21" t="str">
        <f>IFERROR(INDEX(Товары_очищенные!$N$3:$N$503,MATCH(M954,Товары_очищенные!$L$3:$L$503,0)),"нет в каталоге")</f>
        <v>Наушники</v>
      </c>
      <c r="T954" s="21" t="str">
        <f t="shared" si="286"/>
        <v>OK</v>
      </c>
      <c r="U954" s="12" t="str">
        <f t="shared" si="287"/>
        <v>05/05/2026|АРТ-369|C0952</v>
      </c>
      <c r="V954" s="12" t="str">
        <f t="shared" si="288"/>
        <v>оригинал</v>
      </c>
    </row>
    <row r="955" ht="15" customHeight="1">
      <c r="A955" s="10">
        <v>953</v>
      </c>
      <c r="B955" s="11" t="str">
        <f>RAW_Продажи!A954</f>
        <v>05/06/2026</v>
      </c>
      <c r="C955" s="11" t="str">
        <f>RAW_Продажи!B954</f>
        <v>АРТ_245</v>
      </c>
      <c r="D955" s="11" t="str">
        <f>RAW_Продажи!C954</f>
        <v>3</v>
      </c>
      <c r="E955" s="11" t="str">
        <f>RAW_Продажи!D954</f>
        <v>€90</v>
      </c>
      <c r="F955" s="11" t="str">
        <f>RAW_Продажи!E954</f>
        <v>C0953</v>
      </c>
      <c r="G955" s="11" t="str">
        <f>RAW_Продажи!F954</f>
        <v>P023</v>
      </c>
      <c r="H955" s="11" t="str">
        <f>RAW_Продажи!G954</f>
        <v>возврат</v>
      </c>
      <c r="I955" s="12" t="str">
        <f t="shared" si="280"/>
        <v>245</v>
      </c>
      <c r="J955" s="12" t="str">
        <f t="shared" si="281"/>
        <v>€</v>
      </c>
      <c r="K955" s="12">
        <f t="shared" si="282"/>
        <v>90</v>
      </c>
      <c r="L955" s="19">
        <f t="shared" si="283"/>
        <v>46148</v>
      </c>
      <c r="M955" s="13" t="str">
        <f t="shared" si="284"/>
        <v>АРТ-245</v>
      </c>
      <c r="N955" s="13">
        <f t="shared" si="285"/>
        <v>3</v>
      </c>
      <c r="O955" s="13" t="str">
        <f>IFERROR(VLOOKUP(J955,Справочники!$G$6:$H$8,2,0),"RUB")</f>
        <v>EUR</v>
      </c>
      <c r="P955" s="14">
        <f>ROUND(K955*IFERROR(VLOOKUP(J955,Справочники!$G$6:$I$8,3,0),1),2)</f>
        <v>9000</v>
      </c>
      <c r="Q955" s="13" t="str">
        <f>IFERROR(VLOOKUP(H955,Справочники!$D$6:$E$14,2,0),"НЕИЗВЕСТНО")</f>
        <v>Возврат</v>
      </c>
      <c r="R955" s="20">
        <f>IFERROR(INDEX(Товары_очищенные!$Q$3:$Q$503,MATCH(M955,Товары_очищенные!$L$3:$L$503,0)),"нет в каталоге")</f>
        <v>75000</v>
      </c>
      <c r="S955" s="21" t="str">
        <f>IFERROR(INDEX(Товары_очищенные!$N$3:$N$503,MATCH(M955,Товары_очищенные!$L$3:$L$503,0)),"нет в каталоге")</f>
        <v>Мониторы</v>
      </c>
      <c r="T955" s="21" t="str">
        <f t="shared" si="286"/>
        <v>OK</v>
      </c>
      <c r="U955" s="12" t="str">
        <f t="shared" si="287"/>
        <v>06/05/2026|АРТ-245|C0953</v>
      </c>
      <c r="V955" s="12" t="str">
        <f t="shared" si="288"/>
        <v>оригинал</v>
      </c>
    </row>
    <row r="956" ht="15" customHeight="1">
      <c r="A956" s="10">
        <v>954</v>
      </c>
      <c r="B956" s="11" t="str">
        <f>RAW_Продажи!A955</f>
        <v>05/06/2026</v>
      </c>
      <c r="C956" s="11" t="str">
        <f>RAW_Продажи!B955</f>
        <v>289-24</v>
      </c>
      <c r="D956" s="11" t="str">
        <f>RAW_Продажи!C955</f>
        <v>2</v>
      </c>
      <c r="E956" s="11" t="str">
        <f>RAW_Продажи!D955</f>
        <v xml:space="preserve">8000 ₽</v>
      </c>
      <c r="F956" s="11" t="str">
        <f>RAW_Продажи!E955</f>
        <v>C0954</v>
      </c>
      <c r="G956" s="11" t="str">
        <f>RAW_Продажи!F955</f>
        <v>P045</v>
      </c>
      <c r="H956" s="11" t="str">
        <f>RAW_Продажи!G955</f>
        <v>завершен</v>
      </c>
      <c r="I956" s="12" t="str">
        <f t="shared" si="280"/>
        <v>289-24</v>
      </c>
      <c r="J956" s="12" t="str">
        <f t="shared" si="281"/>
        <v>₽</v>
      </c>
      <c r="K956" s="12">
        <f t="shared" si="282"/>
        <v>8000</v>
      </c>
      <c r="L956" s="19">
        <f t="shared" si="283"/>
        <v>46148</v>
      </c>
      <c r="M956" s="13" t="str">
        <f t="shared" si="284"/>
        <v>АРТ-289</v>
      </c>
      <c r="N956" s="13">
        <f t="shared" si="285"/>
        <v>2</v>
      </c>
      <c r="O956" s="13" t="str">
        <f>IFERROR(VLOOKUP(J956,Справочники!$G$6:$H$8,2,0),"RUB")</f>
        <v>RUB</v>
      </c>
      <c r="P956" s="14">
        <f>ROUND(K956*IFERROR(VLOOKUP(J956,Справочники!$G$6:$I$8,3,0),1),2)</f>
        <v>8000</v>
      </c>
      <c r="Q956" s="13" t="str">
        <f>IFERROR(VLOOKUP(H956,Справочники!$D$6:$E$14,2,0),"НЕИЗВЕСТНО")</f>
        <v>Завершен</v>
      </c>
      <c r="R956" s="20">
        <f>IFERROR(INDEX(Товары_очищенные!$Q$3:$Q$503,MATCH(M956,Товары_очищенные!$L$3:$L$503,0)),"нет в каталоге")</f>
        <v>62990</v>
      </c>
      <c r="S956" s="21" t="str">
        <f>IFERROR(INDEX(Товары_очищенные!$N$3:$N$503,MATCH(M956,Товары_очищенные!$L$3:$L$503,0)),"нет в каталоге")</f>
        <v>Часы</v>
      </c>
      <c r="T956" s="21" t="str">
        <f t="shared" si="286"/>
        <v>OK</v>
      </c>
      <c r="U956" s="12" t="str">
        <f t="shared" si="287"/>
        <v>06/05/2026|АРТ-289|C0954</v>
      </c>
      <c r="V956" s="12" t="str">
        <f t="shared" si="288"/>
        <v>оригинал</v>
      </c>
    </row>
    <row r="957" ht="15" customHeight="1">
      <c r="A957" s="10">
        <v>955</v>
      </c>
      <c r="B957" s="11" t="str">
        <f>RAW_Продажи!A956</f>
        <v>05/07/2026</v>
      </c>
      <c r="C957" s="11" t="str">
        <f>RAW_Продажи!B956</f>
        <v>№АРТ-064</v>
      </c>
      <c r="D957" s="11" t="str">
        <f>RAW_Продажи!C956</f>
        <v>1</v>
      </c>
      <c r="E957" s="11" t="str">
        <f>RAW_Продажи!D956</f>
        <v>$95</v>
      </c>
      <c r="F957" s="11" t="str">
        <f>RAW_Продажи!E956</f>
        <v>C0955</v>
      </c>
      <c r="G957" s="11" t="str">
        <f>RAW_Продажи!F956</f>
        <v>P008</v>
      </c>
      <c r="H957" s="11" t="str">
        <f>RAW_Продажи!G956</f>
        <v>completed</v>
      </c>
      <c r="I957" s="12" t="str">
        <f t="shared" si="280"/>
        <v>064</v>
      </c>
      <c r="J957" s="12" t="str">
        <f t="shared" si="281"/>
        <v>$</v>
      </c>
      <c r="K957" s="12">
        <f t="shared" si="282"/>
        <v>95</v>
      </c>
      <c r="L957" s="19">
        <f t="shared" si="283"/>
        <v>46149</v>
      </c>
      <c r="M957" s="13" t="str">
        <f t="shared" si="284"/>
        <v>АРТ-064</v>
      </c>
      <c r="N957" s="13">
        <f t="shared" si="285"/>
        <v>1</v>
      </c>
      <c r="O957" s="13" t="str">
        <f>IFERROR(VLOOKUP(J957,Справочники!$G$6:$H$8,2,0),"RUB")</f>
        <v>USD</v>
      </c>
      <c r="P957" s="14">
        <f>ROUND(K957*IFERROR(VLOOKUP(J957,Справочники!$G$6:$I$8,3,0),1),2)</f>
        <v>9025</v>
      </c>
      <c r="Q957" s="13" t="str">
        <f>IFERROR(VLOOKUP(H957,Справочники!$D$6:$E$14,2,0),"НЕИЗВЕСТНО")</f>
        <v>Завершен</v>
      </c>
      <c r="R957" s="20">
        <f>IFERROR(INDEX(Товары_очищенные!$Q$3:$Q$503,MATCH(M957,Товары_очищенные!$L$3:$L$503,0)),"нет в каталоге")</f>
        <v>56990</v>
      </c>
      <c r="S957" s="21" t="str">
        <f>IFERROR(INDEX(Товары_очищенные!$N$3:$N$503,MATCH(M957,Товары_очищенные!$L$3:$L$503,0)),"нет в каталоге")</f>
        <v>Смартфоны</v>
      </c>
      <c r="T957" s="21" t="str">
        <f t="shared" si="286"/>
        <v>OK</v>
      </c>
      <c r="U957" s="12" t="str">
        <f t="shared" si="287"/>
        <v>07/05/2026|АРТ-064|C0955</v>
      </c>
      <c r="V957" s="12" t="str">
        <f t="shared" si="288"/>
        <v>оригинал</v>
      </c>
    </row>
    <row r="958" ht="15" customHeight="1">
      <c r="A958" s="10">
        <v>956</v>
      </c>
      <c r="B958" s="11" t="str">
        <f>RAW_Продажи!A957</f>
        <v>05/07/2026</v>
      </c>
      <c r="C958" s="11" t="str">
        <f>RAW_Продажи!B957</f>
        <v>АРТ_499</v>
      </c>
      <c r="D958" s="11" t="str">
        <f>RAW_Продажи!C957</f>
        <v>2</v>
      </c>
      <c r="E958" s="11" t="str">
        <f>RAW_Продажи!D957</f>
        <v>€75</v>
      </c>
      <c r="F958" s="11" t="str">
        <f>RAW_Продажи!E957</f>
        <v>C0956</v>
      </c>
      <c r="G958" s="11" t="str">
        <f>RAW_Продажи!F957</f>
        <v>P031</v>
      </c>
      <c r="H958" s="11" t="str">
        <f>RAW_Продажи!G957</f>
        <v>Завершен</v>
      </c>
      <c r="I958" s="12" t="str">
        <f t="shared" si="280"/>
        <v>499</v>
      </c>
      <c r="J958" s="12" t="str">
        <f t="shared" si="281"/>
        <v>€</v>
      </c>
      <c r="K958" s="12">
        <f t="shared" si="282"/>
        <v>75</v>
      </c>
      <c r="L958" s="19">
        <f t="shared" si="283"/>
        <v>46149</v>
      </c>
      <c r="M958" s="13" t="str">
        <f t="shared" si="284"/>
        <v>АРТ-499</v>
      </c>
      <c r="N958" s="13">
        <f t="shared" si="285"/>
        <v>2</v>
      </c>
      <c r="O958" s="13" t="str">
        <f>IFERROR(VLOOKUP(J958,Справочники!$G$6:$H$8,2,0),"RUB")</f>
        <v>EUR</v>
      </c>
      <c r="P958" s="14">
        <f>ROUND(K958*IFERROR(VLOOKUP(J958,Справочники!$G$6:$I$8,3,0),1),2)</f>
        <v>7500</v>
      </c>
      <c r="Q958" s="13" t="str">
        <f>IFERROR(VLOOKUP(H958,Справочники!$D$6:$E$14,2,0),"НЕИЗВЕСТНО")</f>
        <v>Завершен</v>
      </c>
      <c r="R958" s="20">
        <f>IFERROR(INDEX(Товары_очищенные!$Q$3:$Q$503,MATCH(M958,Товары_очищенные!$L$3:$L$503,0)),"нет в каталоге")</f>
        <v>5990</v>
      </c>
      <c r="S958" s="21" t="str">
        <f>IFERROR(INDEX(Товары_очищенные!$N$3:$N$503,MATCH(M958,Товары_очищенные!$L$3:$L$503,0)),"нет в каталоге")</f>
        <v>Аксессуары</v>
      </c>
      <c r="T958" s="21" t="str">
        <f t="shared" si="286"/>
        <v>OK</v>
      </c>
      <c r="U958" s="12" t="str">
        <f t="shared" si="287"/>
        <v>07/05/2026|АРТ-499|C0956</v>
      </c>
      <c r="V958" s="12" t="str">
        <f t="shared" si="288"/>
        <v>оригинал</v>
      </c>
    </row>
    <row r="959" ht="15" customHeight="1">
      <c r="A959" s="10">
        <v>957</v>
      </c>
      <c r="B959" s="11" t="str">
        <f>RAW_Продажи!A958</f>
        <v>05/08/2026</v>
      </c>
      <c r="C959" s="11" t="str">
        <f>RAW_Продажи!B958</f>
        <v>375/24</v>
      </c>
      <c r="D959" s="11" t="str">
        <f>RAW_Продажи!C958</f>
        <v xml:space="preserve">3 шт.</v>
      </c>
      <c r="E959" s="11" t="str">
        <f>RAW_Продажи!D958</f>
        <v xml:space="preserve">7000 ₽</v>
      </c>
      <c r="F959" s="11" t="str">
        <f>RAW_Продажи!E958</f>
        <v>C0957</v>
      </c>
      <c r="G959" s="11" t="str">
        <f>RAW_Продажи!F958</f>
        <v>P019</v>
      </c>
      <c r="H959" s="11" t="str">
        <f>RAW_Продажи!G958</f>
        <v>canceled</v>
      </c>
      <c r="I959" s="12" t="str">
        <f t="shared" si="280"/>
        <v>375/24</v>
      </c>
      <c r="J959" s="12" t="str">
        <f t="shared" si="281"/>
        <v>₽</v>
      </c>
      <c r="K959" s="12">
        <f t="shared" si="282"/>
        <v>7000</v>
      </c>
      <c r="L959" s="19">
        <f t="shared" si="283"/>
        <v>46150</v>
      </c>
      <c r="M959" s="13" t="str">
        <f t="shared" si="284"/>
        <v>АРТ-375</v>
      </c>
      <c r="N959" s="13">
        <f t="shared" si="285"/>
        <v>3</v>
      </c>
      <c r="O959" s="13" t="str">
        <f>IFERROR(VLOOKUP(J959,Справочники!$G$6:$H$8,2,0),"RUB")</f>
        <v>RUB</v>
      </c>
      <c r="P959" s="14">
        <f>ROUND(K959*IFERROR(VLOOKUP(J959,Справочники!$G$6:$I$8,3,0),1),2)</f>
        <v>7000</v>
      </c>
      <c r="Q959" s="13" t="str">
        <f>IFERROR(VLOOKUP(H959,Справочники!$D$6:$E$14,2,0),"НЕИЗВЕСТНО")</f>
        <v>Отменен</v>
      </c>
      <c r="R959" s="20">
        <f>IFERROR(INDEX(Товары_очищенные!$Q$3:$Q$503,MATCH(M959,Товары_очищенные!$L$3:$L$503,0)),"нет в каталоге")</f>
        <v>14800</v>
      </c>
      <c r="S959" s="21" t="str">
        <f>IFERROR(INDEX(Товары_очищенные!$N$3:$N$503,MATCH(M959,Товары_очищенные!$L$3:$L$503,0)),"нет в каталоге")</f>
        <v>Аксессуары</v>
      </c>
      <c r="T959" s="21" t="str">
        <f t="shared" si="286"/>
        <v>OK</v>
      </c>
      <c r="U959" s="12" t="str">
        <f t="shared" si="287"/>
        <v>08/05/2026|АРТ-375|C0957</v>
      </c>
      <c r="V959" s="12" t="str">
        <f t="shared" si="288"/>
        <v>оригинал</v>
      </c>
    </row>
    <row r="960" ht="15" customHeight="1">
      <c r="A960" s="10">
        <v>958</v>
      </c>
      <c r="B960" s="11" t="str">
        <f>RAW_Продажи!A959</f>
        <v>05/08/2026</v>
      </c>
      <c r="C960" s="11" t="str">
        <f>RAW_Продажи!B959</f>
        <v>№АРТ-295</v>
      </c>
      <c r="D960" s="11" t="str">
        <f>RAW_Продажи!C959</f>
        <v>-2</v>
      </c>
      <c r="E960" s="11" t="str">
        <f>RAW_Продажи!D959</f>
        <v>$115</v>
      </c>
      <c r="F960" s="11" t="str">
        <f>RAW_Продажи!E959</f>
        <v>C0958</v>
      </c>
      <c r="G960" s="11" t="str">
        <f>RAW_Продажи!F959</f>
        <v>P042</v>
      </c>
      <c r="H960" s="11" t="str">
        <f>RAW_Продажи!G959</f>
        <v>отменен</v>
      </c>
      <c r="I960" s="12" t="str">
        <f t="shared" si="280"/>
        <v>295</v>
      </c>
      <c r="J960" s="12" t="str">
        <f t="shared" si="281"/>
        <v>$</v>
      </c>
      <c r="K960" s="12">
        <f t="shared" si="282"/>
        <v>115</v>
      </c>
      <c r="L960" s="19">
        <f t="shared" si="283"/>
        <v>46150</v>
      </c>
      <c r="M960" s="13" t="str">
        <f t="shared" si="284"/>
        <v>АРТ-295</v>
      </c>
      <c r="N960" s="13">
        <f t="shared" si="285"/>
        <v>-2</v>
      </c>
      <c r="O960" s="13" t="str">
        <f>IFERROR(VLOOKUP(J960,Справочники!$G$6:$H$8,2,0),"RUB")</f>
        <v>USD</v>
      </c>
      <c r="P960" s="14">
        <f>ROUND(K960*IFERROR(VLOOKUP(J960,Справочники!$G$6:$I$8,3,0),1),2)</f>
        <v>10925</v>
      </c>
      <c r="Q960" s="13" t="str">
        <f>IFERROR(VLOOKUP(H960,Справочники!$D$6:$E$14,2,0),"НЕИЗВЕСТНО")</f>
        <v>Отменен</v>
      </c>
      <c r="R960" s="20">
        <f>IFERROR(INDEX(Товары_очищенные!$Q$3:$Q$503,MATCH(M960,Товары_очищенные!$L$3:$L$503,0)),"нет в каталоге")</f>
        <v>34990</v>
      </c>
      <c r="S960" s="21" t="str">
        <f>IFERROR(INDEX(Товары_очищенные!$N$3:$N$503,MATCH(M960,Товары_очищенные!$L$3:$L$503,0)),"нет в каталоге")</f>
        <v>Смартфоны</v>
      </c>
      <c r="T960" s="21" t="str">
        <f t="shared" si="286"/>
        <v>OK</v>
      </c>
      <c r="U960" s="12" t="str">
        <f t="shared" si="287"/>
        <v>08/05/2026|АРТ-295|C0958</v>
      </c>
      <c r="V960" s="12" t="str">
        <f t="shared" si="288"/>
        <v>оригинал</v>
      </c>
    </row>
    <row r="961" ht="15" customHeight="1">
      <c r="A961" s="10">
        <v>959</v>
      </c>
      <c r="B961" s="11" t="str">
        <f>RAW_Продажи!A960</f>
        <v>05/09/2026</v>
      </c>
      <c r="C961" s="11" t="str">
        <f>RAW_Продажи!B960</f>
        <v>АРТ_309</v>
      </c>
      <c r="D961" s="11" t="str">
        <f>RAW_Продажи!C960</f>
        <v>1</v>
      </c>
      <c r="E961" s="11" t="str">
        <f>RAW_Продажи!D960</f>
        <v>€95</v>
      </c>
      <c r="F961" s="11" t="str">
        <f>RAW_Продажи!E960</f>
        <v>C0959</v>
      </c>
      <c r="G961" s="11" t="str">
        <f>RAW_Продажи!F960</f>
        <v>P005</v>
      </c>
      <c r="H961" s="11" t="str">
        <f>RAW_Продажи!G960</f>
        <v>возврат</v>
      </c>
      <c r="I961" s="12" t="str">
        <f t="shared" si="280"/>
        <v>309</v>
      </c>
      <c r="J961" s="12" t="str">
        <f t="shared" si="281"/>
        <v>€</v>
      </c>
      <c r="K961" s="12">
        <f t="shared" si="282"/>
        <v>95</v>
      </c>
      <c r="L961" s="19">
        <f t="shared" si="283"/>
        <v>46151</v>
      </c>
      <c r="M961" s="13" t="str">
        <f t="shared" si="284"/>
        <v>АРТ-309</v>
      </c>
      <c r="N961" s="13">
        <f t="shared" si="285"/>
        <v>1</v>
      </c>
      <c r="O961" s="13" t="str">
        <f>IFERROR(VLOOKUP(J961,Справочники!$G$6:$H$8,2,0),"RUB")</f>
        <v>EUR</v>
      </c>
      <c r="P961" s="14">
        <f>ROUND(K961*IFERROR(VLOOKUP(J961,Справочники!$G$6:$I$8,3,0),1),2)</f>
        <v>9500</v>
      </c>
      <c r="Q961" s="13" t="str">
        <f>IFERROR(VLOOKUP(H961,Справочники!$D$6:$E$14,2,0),"НЕИЗВЕСТНО")</f>
        <v>Возврат</v>
      </c>
      <c r="R961" s="20">
        <f>IFERROR(INDEX(Товары_очищенные!$Q$3:$Q$503,MATCH(M961,Товары_очищенные!$L$3:$L$503,0)),"нет в каталоге")</f>
        <v>9800</v>
      </c>
      <c r="S961" s="21" t="str">
        <f>IFERROR(INDEX(Товары_очищенные!$N$3:$N$503,MATCH(M961,Товары_очищенные!$L$3:$L$503,0)),"нет в каталоге")</f>
        <v>Аксессуары</v>
      </c>
      <c r="T961" s="21" t="str">
        <f t="shared" si="286"/>
        <v>OK</v>
      </c>
      <c r="U961" s="12" t="str">
        <f t="shared" si="287"/>
        <v>09/05/2026|АРТ-309|C0959</v>
      </c>
      <c r="V961" s="12" t="str">
        <f t="shared" si="288"/>
        <v>оригинал</v>
      </c>
    </row>
    <row r="962" ht="15" customHeight="1">
      <c r="A962" s="10">
        <v>960</v>
      </c>
      <c r="B962" s="11" t="str">
        <f>RAW_Продажи!A961</f>
        <v>05/09/2026</v>
      </c>
      <c r="C962" s="11" t="str">
        <f>RAW_Продажи!B961</f>
        <v>132-24</v>
      </c>
      <c r="D962" s="11" t="str">
        <f>RAW_Продажи!C961</f>
        <v>2</v>
      </c>
      <c r="E962" s="11" t="str">
        <f>RAW_Продажи!D961</f>
        <v xml:space="preserve">8500 ₽</v>
      </c>
      <c r="F962" s="11" t="str">
        <f>RAW_Продажи!E961</f>
        <v>C0960</v>
      </c>
      <c r="G962" s="11" t="str">
        <f>RAW_Продажи!F961</f>
        <v>P036</v>
      </c>
      <c r="H962" s="11" t="str">
        <f>RAW_Продажи!G961</f>
        <v>Завершен</v>
      </c>
      <c r="I962" s="12" t="str">
        <f t="shared" si="280"/>
        <v>132-24</v>
      </c>
      <c r="J962" s="12" t="str">
        <f t="shared" si="281"/>
        <v>₽</v>
      </c>
      <c r="K962" s="12">
        <f t="shared" si="282"/>
        <v>8500</v>
      </c>
      <c r="L962" s="19">
        <f t="shared" si="283"/>
        <v>46151</v>
      </c>
      <c r="M962" s="13" t="str">
        <f t="shared" si="284"/>
        <v>АРТ-132</v>
      </c>
      <c r="N962" s="13">
        <f t="shared" si="285"/>
        <v>2</v>
      </c>
      <c r="O962" s="13" t="str">
        <f>IFERROR(VLOOKUP(J962,Справочники!$G$6:$H$8,2,0),"RUB")</f>
        <v>RUB</v>
      </c>
      <c r="P962" s="14">
        <f>ROUND(K962*IFERROR(VLOOKUP(J962,Справочники!$G$6:$I$8,3,0),1),2)</f>
        <v>8500</v>
      </c>
      <c r="Q962" s="13" t="str">
        <f>IFERROR(VLOOKUP(H962,Справочники!$D$6:$E$14,2,0),"НЕИЗВЕСТНО")</f>
        <v>Завершен</v>
      </c>
      <c r="R962" s="20">
        <f>IFERROR(INDEX(Товары_очищенные!$Q$3:$Q$503,MATCH(M962,Товары_очищенные!$L$3:$L$503,0)),"нет в каталоге")</f>
        <v>44500</v>
      </c>
      <c r="S962" s="21" t="str">
        <f>IFERROR(INDEX(Товары_очищенные!$N$3:$N$503,MATCH(M962,Товары_очищенные!$L$3:$L$503,0)),"нет в каталоге")</f>
        <v>Планшеты</v>
      </c>
      <c r="T962" s="21" t="str">
        <f t="shared" si="286"/>
        <v>OK</v>
      </c>
      <c r="U962" s="12" t="str">
        <f t="shared" si="287"/>
        <v>09/05/2026|АРТ-132|C0960</v>
      </c>
      <c r="V962" s="12" t="str">
        <f t="shared" si="288"/>
        <v>оригинал</v>
      </c>
    </row>
    <row r="963" ht="15" customHeight="1">
      <c r="A963" s="10">
        <v>961</v>
      </c>
      <c r="B963" s="11" t="str">
        <f>RAW_Продажи!A962</f>
        <v>05/10/2026</v>
      </c>
      <c r="C963" s="11" t="str">
        <f>RAW_Продажи!B962</f>
        <v>№АРТ-076</v>
      </c>
      <c r="D963" s="11" t="str">
        <f>RAW_Продажи!C962</f>
        <v>3</v>
      </c>
      <c r="E963" s="11" t="str">
        <f>RAW_Продажи!D962</f>
        <v>$105</v>
      </c>
      <c r="F963" s="11" t="str">
        <f>RAW_Продажи!E962</f>
        <v>C0961</v>
      </c>
      <c r="G963" s="11" t="str">
        <f>RAW_Продажи!F962</f>
        <v>P014</v>
      </c>
      <c r="H963" s="11" t="str">
        <f>RAW_Продажи!G962</f>
        <v>завершен</v>
      </c>
      <c r="I963" s="12" t="str">
        <f t="shared" si="280"/>
        <v>076</v>
      </c>
      <c r="J963" s="12" t="str">
        <f t="shared" si="281"/>
        <v>$</v>
      </c>
      <c r="K963" s="12">
        <f t="shared" si="282"/>
        <v>105</v>
      </c>
      <c r="L963" s="19">
        <f t="shared" si="283"/>
        <v>46152</v>
      </c>
      <c r="M963" s="13" t="str">
        <f t="shared" si="284"/>
        <v>АРТ-076</v>
      </c>
      <c r="N963" s="13">
        <f t="shared" si="285"/>
        <v>3</v>
      </c>
      <c r="O963" s="13" t="str">
        <f>IFERROR(VLOOKUP(J963,Справочники!$G$6:$H$8,2,0),"RUB")</f>
        <v>USD</v>
      </c>
      <c r="P963" s="14">
        <f>ROUND(K963*IFERROR(VLOOKUP(J963,Справочники!$G$6:$I$8,3,0),1),2)</f>
        <v>9975</v>
      </c>
      <c r="Q963" s="13" t="str">
        <f>IFERROR(VLOOKUP(H963,Справочники!$D$6:$E$14,2,0),"НЕИЗВЕСТНО")</f>
        <v>Завершен</v>
      </c>
      <c r="R963" s="20">
        <f>IFERROR(INDEX(Товары_очищенные!$Q$3:$Q$503,MATCH(M963,Товары_очищенные!$L$3:$L$503,0)),"нет в каталоге")</f>
        <v>12990</v>
      </c>
      <c r="S963" s="21" t="str">
        <f>IFERROR(INDEX(Товары_очищенные!$N$3:$N$503,MATCH(M963,Товары_очищенные!$L$3:$L$503,0)),"нет в каталоге")</f>
        <v>Аксессуары</v>
      </c>
      <c r="T963" s="21" t="str">
        <f t="shared" si="286"/>
        <v>OK</v>
      </c>
      <c r="U963" s="12" t="str">
        <f t="shared" si="287"/>
        <v>10/05/2026|АРТ-076|C0961</v>
      </c>
      <c r="V963" s="12" t="str">
        <f t="shared" si="288"/>
        <v>оригинал</v>
      </c>
    </row>
    <row r="964" ht="15" customHeight="1">
      <c r="A964" s="10">
        <v>962</v>
      </c>
      <c r="B964" s="11" t="str">
        <f>RAW_Продажи!A963</f>
        <v>05/10/2026</v>
      </c>
      <c r="C964" s="11" t="str">
        <f>RAW_Продажи!B963</f>
        <v>АРТ_454</v>
      </c>
      <c r="D964" s="11" t="str">
        <f>RAW_Продажи!C963</f>
        <v>2</v>
      </c>
      <c r="E964" s="11" t="str">
        <f>RAW_Продажи!D963</f>
        <v>€85</v>
      </c>
      <c r="F964" s="11" t="str">
        <f>RAW_Продажи!E963</f>
        <v>C0962</v>
      </c>
      <c r="G964" s="11" t="str">
        <f>RAW_Продажи!F963</f>
        <v>P028</v>
      </c>
      <c r="H964" s="11" t="str">
        <f>RAW_Продажи!G963</f>
        <v>completed</v>
      </c>
      <c r="I964" s="12" t="str">
        <f t="shared" si="280"/>
        <v>454</v>
      </c>
      <c r="J964" s="12" t="str">
        <f t="shared" si="281"/>
        <v>€</v>
      </c>
      <c r="K964" s="12">
        <f t="shared" si="282"/>
        <v>85</v>
      </c>
      <c r="L964" s="19">
        <f t="shared" si="283"/>
        <v>46152</v>
      </c>
      <c r="M964" s="13" t="str">
        <f t="shared" si="284"/>
        <v>АРТ-454</v>
      </c>
      <c r="N964" s="13">
        <f t="shared" si="285"/>
        <v>2</v>
      </c>
      <c r="O964" s="13" t="str">
        <f>IFERROR(VLOOKUP(J964,Справочники!$G$6:$H$8,2,0),"RUB")</f>
        <v>EUR</v>
      </c>
      <c r="P964" s="14">
        <f>ROUND(K964*IFERROR(VLOOKUP(J964,Справочники!$G$6:$I$8,3,0),1),2)</f>
        <v>8500</v>
      </c>
      <c r="Q964" s="13" t="str">
        <f>IFERROR(VLOOKUP(H964,Справочники!$D$6:$E$14,2,0),"НЕИЗВЕСТНО")</f>
        <v>Завершен</v>
      </c>
      <c r="R964" s="20">
        <f>IFERROR(INDEX(Товары_очищенные!$Q$3:$Q$503,MATCH(M964,Товары_очищенные!$L$3:$L$503,0)),"нет в каталоге")</f>
        <v>74990</v>
      </c>
      <c r="S964" s="21" t="str">
        <f>IFERROR(INDEX(Товары_очищенные!$N$3:$N$503,MATCH(M964,Товары_очищенные!$L$3:$L$503,0)),"нет в каталоге")</f>
        <v>Мониторы</v>
      </c>
      <c r="T964" s="21" t="str">
        <f t="shared" si="286"/>
        <v>OK</v>
      </c>
      <c r="U964" s="12" t="str">
        <f t="shared" si="287"/>
        <v>10/05/2026|АРТ-454|C0962</v>
      </c>
      <c r="V964" s="12" t="str">
        <f t="shared" si="288"/>
        <v>оригинал</v>
      </c>
    </row>
    <row r="965" ht="15" customHeight="1">
      <c r="A965" s="10">
        <v>963</v>
      </c>
      <c r="B965" s="11" t="str">
        <f>RAW_Продажи!A964</f>
        <v>05/11/2026</v>
      </c>
      <c r="C965" s="11" t="str">
        <f>RAW_Продажи!B964</f>
        <v>330/24</v>
      </c>
      <c r="D965" s="11" t="str">
        <f>RAW_Продажи!C964</f>
        <v xml:space="preserve">1 шт.</v>
      </c>
      <c r="E965" s="11" t="str">
        <f>RAW_Продажи!D964</f>
        <v xml:space="preserve">7800 ₽</v>
      </c>
      <c r="F965" s="11" t="str">
        <f>RAW_Продажи!E964</f>
        <v>C0963</v>
      </c>
      <c r="G965" s="11" t="str">
        <f>RAW_Продажи!F964</f>
        <v>P009</v>
      </c>
      <c r="H965" s="11" t="str">
        <f>RAW_Продажи!G964</f>
        <v>отменен</v>
      </c>
      <c r="I965" s="12" t="str">
        <f t="shared" si="280"/>
        <v>330/24</v>
      </c>
      <c r="J965" s="12" t="str">
        <f t="shared" si="281"/>
        <v>₽</v>
      </c>
      <c r="K965" s="12">
        <f t="shared" si="282"/>
        <v>7800</v>
      </c>
      <c r="L965" s="19">
        <f t="shared" si="283"/>
        <v>46153</v>
      </c>
      <c r="M965" s="13" t="str">
        <f t="shared" si="284"/>
        <v>АРТ-330</v>
      </c>
      <c r="N965" s="13">
        <f t="shared" si="285"/>
        <v>1</v>
      </c>
      <c r="O965" s="13" t="str">
        <f>IFERROR(VLOOKUP(J965,Справочники!$G$6:$H$8,2,0),"RUB")</f>
        <v>RUB</v>
      </c>
      <c r="P965" s="14">
        <f>ROUND(K965*IFERROR(VLOOKUP(J965,Справочники!$G$6:$I$8,3,0),1),2)</f>
        <v>7800</v>
      </c>
      <c r="Q965" s="13" t="str">
        <f>IFERROR(VLOOKUP(H965,Справочники!$D$6:$E$14,2,0),"НЕИЗВЕСТНО")</f>
        <v>Отменен</v>
      </c>
      <c r="R965" s="20">
        <f>IFERROR(INDEX(Товары_очищенные!$Q$3:$Q$503,MATCH(M965,Товары_очищенные!$L$3:$L$503,0)),"нет в каталоге")</f>
        <v>12800</v>
      </c>
      <c r="S965" s="21" t="str">
        <f>IFERROR(INDEX(Товары_очищенные!$N$3:$N$503,MATCH(M965,Товары_очищенные!$L$3:$L$503,0)),"нет в каталоге")</f>
        <v>Аксессуары</v>
      </c>
      <c r="T965" s="21" t="str">
        <f t="shared" si="286"/>
        <v>OK</v>
      </c>
      <c r="U965" s="12" t="str">
        <f t="shared" si="287"/>
        <v>11/05/2026|АРТ-330|C0963</v>
      </c>
      <c r="V965" s="12" t="str">
        <f t="shared" si="288"/>
        <v>оригинал</v>
      </c>
    </row>
    <row r="966" ht="15" customHeight="1">
      <c r="A966" s="10">
        <v>964</v>
      </c>
      <c r="B966" s="11" t="str">
        <f>RAW_Продажи!A965</f>
        <v>05/11/2026</v>
      </c>
      <c r="C966" s="11" t="str">
        <f>RAW_Продажи!B965</f>
        <v>№АРТ-346</v>
      </c>
      <c r="D966" s="11" t="str">
        <f>RAW_Продажи!C965</f>
        <v>-3</v>
      </c>
      <c r="E966" s="11" t="str">
        <f>RAW_Продажи!D965</f>
        <v>$120</v>
      </c>
      <c r="F966" s="11" t="str">
        <f>RAW_Продажи!E965</f>
        <v>C0964</v>
      </c>
      <c r="G966" s="11" t="str">
        <f>RAW_Продажи!F965</f>
        <v>P041</v>
      </c>
      <c r="H966" s="11" t="str">
        <f>RAW_Продажи!G965</f>
        <v>canceled</v>
      </c>
      <c r="I966" s="12" t="str">
        <f t="shared" si="280"/>
        <v>346</v>
      </c>
      <c r="J966" s="12" t="str">
        <f t="shared" si="281"/>
        <v>$</v>
      </c>
      <c r="K966" s="12">
        <f t="shared" si="282"/>
        <v>120</v>
      </c>
      <c r="L966" s="19">
        <f t="shared" si="283"/>
        <v>46153</v>
      </c>
      <c r="M966" s="13" t="str">
        <f t="shared" si="284"/>
        <v>АРТ-346</v>
      </c>
      <c r="N966" s="13">
        <f t="shared" si="285"/>
        <v>-3</v>
      </c>
      <c r="O966" s="13" t="str">
        <f>IFERROR(VLOOKUP(J966,Справочники!$G$6:$H$8,2,0),"RUB")</f>
        <v>USD</v>
      </c>
      <c r="P966" s="14">
        <f>ROUND(K966*IFERROR(VLOOKUP(J966,Справочники!$G$6:$I$8,3,0),1),2)</f>
        <v>11400</v>
      </c>
      <c r="Q966" s="13" t="str">
        <f>IFERROR(VLOOKUP(H966,Справочники!$D$6:$E$14,2,0),"НЕИЗВЕСТНО")</f>
        <v>Отменен</v>
      </c>
      <c r="R966" s="20">
        <f>IFERROR(INDEX(Товары_очищенные!$Q$3:$Q$503,MATCH(M966,Товары_очищенные!$L$3:$L$503,0)),"нет в каталоге")</f>
        <v>19990</v>
      </c>
      <c r="S966" s="21" t="str">
        <f>IFERROR(INDEX(Товары_очищенные!$N$3:$N$503,MATCH(M966,Товары_очищенные!$L$3:$L$503,0)),"нет в каталоге")</f>
        <v>Наушники</v>
      </c>
      <c r="T966" s="21" t="str">
        <f t="shared" si="286"/>
        <v>OK</v>
      </c>
      <c r="U966" s="12" t="str">
        <f t="shared" si="287"/>
        <v>11/05/2026|АРТ-346|C0964</v>
      </c>
      <c r="V966" s="12" t="str">
        <f t="shared" si="288"/>
        <v>оригинал</v>
      </c>
    </row>
    <row r="967" ht="15" customHeight="1">
      <c r="A967" s="10">
        <v>965</v>
      </c>
      <c r="B967" s="11" t="str">
        <f>RAW_Продажи!A966</f>
        <v>05/12/2026</v>
      </c>
      <c r="C967" s="11" t="str">
        <f>RAW_Продажи!B966</f>
        <v>АРТ_263</v>
      </c>
      <c r="D967" s="11" t="str">
        <f>RAW_Продажи!C966</f>
        <v>2</v>
      </c>
      <c r="E967" s="11" t="str">
        <f>RAW_Продажи!D966</f>
        <v>€100</v>
      </c>
      <c r="F967" s="11" t="str">
        <f>RAW_Продажи!E966</f>
        <v>C0965</v>
      </c>
      <c r="G967" s="11" t="str">
        <f>RAW_Продажи!F966</f>
        <v>P017</v>
      </c>
      <c r="H967" s="11" t="str">
        <f>RAW_Продажи!G966</f>
        <v>Завершен</v>
      </c>
      <c r="I967" s="12" t="str">
        <f t="shared" si="280"/>
        <v>263</v>
      </c>
      <c r="J967" s="12" t="str">
        <f t="shared" si="281"/>
        <v>€</v>
      </c>
      <c r="K967" s="12">
        <f t="shared" si="282"/>
        <v>100</v>
      </c>
      <c r="L967" s="19">
        <f t="shared" si="283"/>
        <v>46154</v>
      </c>
      <c r="M967" s="13" t="str">
        <f t="shared" si="284"/>
        <v>АРТ-263</v>
      </c>
      <c r="N967" s="13">
        <f t="shared" si="285"/>
        <v>2</v>
      </c>
      <c r="O967" s="13" t="str">
        <f>IFERROR(VLOOKUP(J967,Справочники!$G$6:$H$8,2,0),"RUB")</f>
        <v>EUR</v>
      </c>
      <c r="P967" s="14">
        <f>ROUND(K967*IFERROR(VLOOKUP(J967,Справочники!$G$6:$I$8,3,0),1),2)</f>
        <v>10000</v>
      </c>
      <c r="Q967" s="13" t="str">
        <f>IFERROR(VLOOKUP(H967,Справочники!$D$6:$E$14,2,0),"НЕИЗВЕСТНО")</f>
        <v>Завершен</v>
      </c>
      <c r="R967" s="20">
        <f>IFERROR(INDEX(Товары_очищенные!$Q$3:$Q$503,MATCH(M967,Товары_очищенные!$L$3:$L$503,0)),"нет в каталоге")</f>
        <v>11000</v>
      </c>
      <c r="S967" s="21" t="str">
        <f>IFERROR(INDEX(Товары_очищенные!$N$3:$N$503,MATCH(M967,Товары_очищенные!$L$3:$L$503,0)),"нет в каталоге")</f>
        <v>Наушники</v>
      </c>
      <c r="T967" s="21" t="str">
        <f t="shared" si="286"/>
        <v>OK</v>
      </c>
      <c r="U967" s="12" t="str">
        <f t="shared" si="287"/>
        <v>12/05/2026|АРТ-263|C0965</v>
      </c>
      <c r="V967" s="12" t="str">
        <f t="shared" si="288"/>
        <v>оригинал</v>
      </c>
    </row>
    <row r="968" ht="15" customHeight="1">
      <c r="A968" s="10">
        <v>966</v>
      </c>
      <c r="B968" s="11" t="str">
        <f>RAW_Продажи!A967</f>
        <v>05/12/2026</v>
      </c>
      <c r="C968" s="11" t="str">
        <f>RAW_Продажи!B967</f>
        <v>222-24</v>
      </c>
      <c r="D968" s="11" t="str">
        <f>RAW_Продажи!C967</f>
        <v>1</v>
      </c>
      <c r="E968" s="11" t="str">
        <f>RAW_Продажи!D967</f>
        <v xml:space="preserve">9200 ₽</v>
      </c>
      <c r="F968" s="11" t="str">
        <f>RAW_Продажи!E967</f>
        <v>C0966</v>
      </c>
      <c r="G968" s="11" t="str">
        <f>RAW_Продажи!F967</f>
        <v>P032</v>
      </c>
      <c r="H968" s="11" t="str">
        <f>RAW_Продажи!G967</f>
        <v>возврат</v>
      </c>
      <c r="I968" s="12" t="str">
        <f t="shared" si="280"/>
        <v>222-24</v>
      </c>
      <c r="J968" s="12" t="str">
        <f t="shared" si="281"/>
        <v>₽</v>
      </c>
      <c r="K968" s="12">
        <f t="shared" si="282"/>
        <v>9200</v>
      </c>
      <c r="L968" s="19">
        <f t="shared" si="283"/>
        <v>46154</v>
      </c>
      <c r="M968" s="13" t="str">
        <f t="shared" si="284"/>
        <v>АРТ-222</v>
      </c>
      <c r="N968" s="13">
        <f t="shared" si="285"/>
        <v>1</v>
      </c>
      <c r="O968" s="13" t="str">
        <f>IFERROR(VLOOKUP(J968,Справочники!$G$6:$H$8,2,0),"RUB")</f>
        <v>RUB</v>
      </c>
      <c r="P968" s="14">
        <f>ROUND(K968*IFERROR(VLOOKUP(J968,Справочники!$G$6:$I$8,3,0),1),2)</f>
        <v>9200</v>
      </c>
      <c r="Q968" s="13" t="str">
        <f>IFERROR(VLOOKUP(H968,Справочники!$D$6:$E$14,2,0),"НЕИЗВЕСТНО")</f>
        <v>Возврат</v>
      </c>
      <c r="R968" s="20">
        <f>IFERROR(INDEX(Товары_очищенные!$Q$3:$Q$503,MATCH(M968,Товары_очищенные!$L$3:$L$503,0)),"нет в каталоге")</f>
        <v>26000</v>
      </c>
      <c r="S968" s="21" t="str">
        <f>IFERROR(INDEX(Товары_очищенные!$N$3:$N$503,MATCH(M968,Товары_очищенные!$L$3:$L$503,0)),"нет в каталоге")</f>
        <v>Наушники</v>
      </c>
      <c r="T968" s="21" t="str">
        <f t="shared" si="286"/>
        <v>OK</v>
      </c>
      <c r="U968" s="12" t="str">
        <f t="shared" si="287"/>
        <v>12/05/2026|АРТ-222|C0966</v>
      </c>
      <c r="V968" s="12" t="str">
        <f t="shared" si="288"/>
        <v>оригинал</v>
      </c>
    </row>
    <row r="969" ht="15" customHeight="1">
      <c r="A969" s="10">
        <v>967</v>
      </c>
      <c r="B969" s="11" t="str">
        <f>RAW_Продажи!A968</f>
        <v>05/13/2026</v>
      </c>
      <c r="C969" s="11" t="str">
        <f>RAW_Продажи!B968</f>
        <v>№АРТ-083</v>
      </c>
      <c r="D969" s="11" t="str">
        <f>RAW_Продажи!C968</f>
        <v>3</v>
      </c>
      <c r="E969" s="11" t="str">
        <f>RAW_Продажи!D968</f>
        <v>$90</v>
      </c>
      <c r="F969" s="11" t="str">
        <f>RAW_Продажи!E968</f>
        <v>C0967</v>
      </c>
      <c r="G969" s="11" t="str">
        <f>RAW_Продажи!F968</f>
        <v>P049</v>
      </c>
      <c r="H969" s="11" t="str">
        <f>RAW_Продажи!G968</f>
        <v>завершен</v>
      </c>
      <c r="I969" s="12" t="str">
        <f t="shared" si="280"/>
        <v>083</v>
      </c>
      <c r="J969" s="12" t="str">
        <f t="shared" si="281"/>
        <v>$</v>
      </c>
      <c r="K969" s="12">
        <f t="shared" si="282"/>
        <v>90</v>
      </c>
      <c r="L969" s="19">
        <f t="shared" si="283"/>
        <v>46155</v>
      </c>
      <c r="M969" s="13" t="str">
        <f t="shared" si="284"/>
        <v>АРТ-083</v>
      </c>
      <c r="N969" s="13">
        <f t="shared" si="285"/>
        <v>3</v>
      </c>
      <c r="O969" s="13" t="str">
        <f>IFERROR(VLOOKUP(J969,Справочники!$G$6:$H$8,2,0),"RUB")</f>
        <v>USD</v>
      </c>
      <c r="P969" s="14">
        <f>ROUND(K969*IFERROR(VLOOKUP(J969,Справочники!$G$6:$I$8,3,0),1),2)</f>
        <v>8550</v>
      </c>
      <c r="Q969" s="13" t="str">
        <f>IFERROR(VLOOKUP(H969,Справочники!$D$6:$E$14,2,0),"НЕИЗВЕСТНО")</f>
        <v>Завершен</v>
      </c>
      <c r="R969" s="20">
        <f>IFERROR(INDEX(Товары_очищенные!$Q$3:$Q$503,MATCH(M969,Товары_очищенные!$L$3:$L$503,0)),"нет в каталоге")</f>
        <v>38500</v>
      </c>
      <c r="S969" s="21" t="str">
        <f>IFERROR(INDEX(Товары_очищенные!$N$3:$N$503,MATCH(M969,Товары_очищенные!$L$3:$L$503,0)),"нет в каталоге")</f>
        <v>Часы</v>
      </c>
      <c r="T969" s="21" t="str">
        <f t="shared" si="286"/>
        <v>OK</v>
      </c>
      <c r="U969" s="12" t="str">
        <f t="shared" si="287"/>
        <v>13/05/2026|АРТ-083|C0967</v>
      </c>
      <c r="V969" s="12" t="str">
        <f t="shared" si="288"/>
        <v>оригинал</v>
      </c>
    </row>
    <row r="970" ht="15" customHeight="1">
      <c r="A970" s="10">
        <v>968</v>
      </c>
      <c r="B970" s="11" t="str">
        <f>RAW_Продажи!A969</f>
        <v>05/13/2026</v>
      </c>
      <c r="C970" s="11" t="str">
        <f>RAW_Продажи!B969</f>
        <v>АРТ_410</v>
      </c>
      <c r="D970" s="11" t="str">
        <f>RAW_Продажи!C969</f>
        <v>2</v>
      </c>
      <c r="E970" s="11" t="str">
        <f>RAW_Продажи!D969</f>
        <v>€70</v>
      </c>
      <c r="F970" s="11" t="str">
        <f>RAW_Продажи!E969</f>
        <v>C0968</v>
      </c>
      <c r="G970" s="11" t="str">
        <f>RAW_Продажи!F969</f>
        <v>P006</v>
      </c>
      <c r="H970" s="11" t="str">
        <f>RAW_Продажи!G969</f>
        <v>completed</v>
      </c>
      <c r="I970" s="12" t="str">
        <f t="shared" si="280"/>
        <v>410</v>
      </c>
      <c r="J970" s="12" t="str">
        <f t="shared" si="281"/>
        <v>€</v>
      </c>
      <c r="K970" s="12">
        <f t="shared" si="282"/>
        <v>70</v>
      </c>
      <c r="L970" s="19">
        <f t="shared" si="283"/>
        <v>46155</v>
      </c>
      <c r="M970" s="13" t="str">
        <f t="shared" si="284"/>
        <v>АРТ-410</v>
      </c>
      <c r="N970" s="13">
        <f t="shared" si="285"/>
        <v>2</v>
      </c>
      <c r="O970" s="13" t="str">
        <f>IFERROR(VLOOKUP(J970,Справочники!$G$6:$H$8,2,0),"RUB")</f>
        <v>EUR</v>
      </c>
      <c r="P970" s="14">
        <f>ROUND(K970*IFERROR(VLOOKUP(J970,Справочники!$G$6:$I$8,3,0),1),2)</f>
        <v>7000</v>
      </c>
      <c r="Q970" s="13" t="str">
        <f>IFERROR(VLOOKUP(H970,Справочники!$D$6:$E$14,2,0),"НЕИЗВЕСТНО")</f>
        <v>Завершен</v>
      </c>
      <c r="R970" s="20">
        <f>IFERROR(INDEX(Товары_очищенные!$Q$3:$Q$503,MATCH(M970,Товары_очищенные!$L$3:$L$503,0)),"нет в каталоге")</f>
        <v>38500</v>
      </c>
      <c r="S970" s="21" t="str">
        <f>IFERROR(INDEX(Товары_очищенные!$N$3:$N$503,MATCH(M970,Товары_очищенные!$L$3:$L$503,0)),"нет в каталоге")</f>
        <v>Наушники</v>
      </c>
      <c r="T970" s="21" t="str">
        <f t="shared" si="286"/>
        <v>OK</v>
      </c>
      <c r="U970" s="12" t="str">
        <f t="shared" si="287"/>
        <v>13/05/2026|АРТ-410|C0968</v>
      </c>
      <c r="V970" s="12" t="str">
        <f t="shared" si="288"/>
        <v>оригинал</v>
      </c>
    </row>
    <row r="971" ht="15" customHeight="1">
      <c r="A971" s="10">
        <v>969</v>
      </c>
      <c r="B971" s="11" t="str">
        <f>RAW_Продажи!A970</f>
        <v>05/14/2026</v>
      </c>
      <c r="C971" s="11" t="str">
        <f>RAW_Продажи!B970</f>
        <v>312/24</v>
      </c>
      <c r="D971" s="11" t="str">
        <f>RAW_Продажи!C970</f>
        <v xml:space="preserve">1 шт.</v>
      </c>
      <c r="E971" s="11" t="str">
        <f>RAW_Продажи!D970</f>
        <v xml:space="preserve">6500 ₽</v>
      </c>
      <c r="F971" s="11" t="str">
        <f>RAW_Продажи!E970</f>
        <v>C0969</v>
      </c>
      <c r="G971" s="11" t="str">
        <f>RAW_Продажи!F970</f>
        <v>P024</v>
      </c>
      <c r="H971" s="11" t="str">
        <f>RAW_Продажи!G970</f>
        <v>Завершен</v>
      </c>
      <c r="I971" s="12" t="str">
        <f t="shared" si="280"/>
        <v>312/24</v>
      </c>
      <c r="J971" s="12" t="str">
        <f t="shared" si="281"/>
        <v>₽</v>
      </c>
      <c r="K971" s="12">
        <f t="shared" si="282"/>
        <v>6500</v>
      </c>
      <c r="L971" s="19">
        <f t="shared" si="283"/>
        <v>46156</v>
      </c>
      <c r="M971" s="13" t="str">
        <f t="shared" si="284"/>
        <v>АРТ-312</v>
      </c>
      <c r="N971" s="13">
        <f t="shared" si="285"/>
        <v>1</v>
      </c>
      <c r="O971" s="13" t="str">
        <f>IFERROR(VLOOKUP(J971,Справочники!$G$6:$H$8,2,0),"RUB")</f>
        <v>RUB</v>
      </c>
      <c r="P971" s="14">
        <f>ROUND(K971*IFERROR(VLOOKUP(J971,Справочники!$G$6:$I$8,3,0),1),2)</f>
        <v>6500</v>
      </c>
      <c r="Q971" s="13" t="str">
        <f>IFERROR(VLOOKUP(H971,Справочники!$D$6:$E$14,2,0),"НЕИЗВЕСТНО")</f>
        <v>Завершен</v>
      </c>
      <c r="R971" s="20">
        <f>IFERROR(INDEX(Товары_очищенные!$Q$3:$Q$503,MATCH(M971,Товары_очищенные!$L$3:$L$503,0)),"нет в каталоге")</f>
        <v>67000</v>
      </c>
      <c r="S971" s="21" t="str">
        <f>IFERROR(INDEX(Товары_очищенные!$N$3:$N$503,MATCH(M971,Товары_очищенные!$L$3:$L$503,0)),"нет в каталоге")</f>
        <v>Планшеты</v>
      </c>
      <c r="T971" s="21" t="str">
        <f t="shared" si="286"/>
        <v>OK</v>
      </c>
      <c r="U971" s="12" t="str">
        <f t="shared" si="287"/>
        <v>14/05/2026|АРТ-312|C0969</v>
      </c>
      <c r="V971" s="12" t="str">
        <f t="shared" si="288"/>
        <v>оригинал</v>
      </c>
    </row>
    <row r="972" ht="15" customHeight="1">
      <c r="A972" s="10">
        <v>970</v>
      </c>
      <c r="B972" s="11" t="str">
        <f>RAW_Продажи!A971</f>
        <v>05/14/2026</v>
      </c>
      <c r="C972" s="11" t="str">
        <f>RAW_Продажи!B971</f>
        <v>№АРТ-344</v>
      </c>
      <c r="D972" s="11" t="str">
        <f>RAW_Продажи!C971</f>
        <v>-1</v>
      </c>
      <c r="E972" s="11" t="str">
        <f>RAW_Продажи!D971</f>
        <v>$110</v>
      </c>
      <c r="F972" s="11" t="str">
        <f>RAW_Продажи!E971</f>
        <v>C0970</v>
      </c>
      <c r="G972" s="11" t="str">
        <f>RAW_Продажи!F971</f>
        <v>P015</v>
      </c>
      <c r="H972" s="11" t="str">
        <f>RAW_Продажи!G971</f>
        <v>canceled</v>
      </c>
      <c r="I972" s="12" t="str">
        <f t="shared" si="280"/>
        <v>344</v>
      </c>
      <c r="J972" s="12" t="str">
        <f t="shared" si="281"/>
        <v>$</v>
      </c>
      <c r="K972" s="12">
        <f t="shared" si="282"/>
        <v>110</v>
      </c>
      <c r="L972" s="19">
        <f t="shared" si="283"/>
        <v>46156</v>
      </c>
      <c r="M972" s="13" t="str">
        <f t="shared" si="284"/>
        <v>АРТ-344</v>
      </c>
      <c r="N972" s="13">
        <f t="shared" si="285"/>
        <v>-1</v>
      </c>
      <c r="O972" s="13" t="str">
        <f>IFERROR(VLOOKUP(J972,Справочники!$G$6:$H$8,2,0),"RUB")</f>
        <v>USD</v>
      </c>
      <c r="P972" s="14">
        <f>ROUND(K972*IFERROR(VLOOKUP(J972,Справочники!$G$6:$I$8,3,0),1),2)</f>
        <v>10450</v>
      </c>
      <c r="Q972" s="13" t="str">
        <f>IFERROR(VLOOKUP(H972,Справочники!$D$6:$E$14,2,0),"НЕИЗВЕСТНО")</f>
        <v>Отменен</v>
      </c>
      <c r="R972" s="20">
        <f>IFERROR(INDEX(Товары_очищенные!$Q$3:$Q$503,MATCH(M972,Товары_очищенные!$L$3:$L$503,0)),"нет в каталоге")</f>
        <v>82000</v>
      </c>
      <c r="S972" s="21" t="str">
        <f>IFERROR(INDEX(Товары_очищенные!$N$3:$N$503,MATCH(M972,Товары_очищенные!$L$3:$L$503,0)),"нет в каталоге")</f>
        <v>Телевизоры</v>
      </c>
      <c r="T972" s="21" t="str">
        <f t="shared" si="286"/>
        <v>OK</v>
      </c>
      <c r="U972" s="12" t="str">
        <f t="shared" si="287"/>
        <v>14/05/2026|АРТ-344|C0970</v>
      </c>
      <c r="V972" s="12" t="str">
        <f t="shared" si="288"/>
        <v>оригинал</v>
      </c>
    </row>
    <row r="973" ht="15" customHeight="1">
      <c r="A973" s="10">
        <v>971</v>
      </c>
      <c r="B973" s="11" t="str">
        <f>RAW_Продажи!A972</f>
        <v>05/15/2026</v>
      </c>
      <c r="C973" s="11" t="str">
        <f>RAW_Продажи!B972</f>
        <v>АРТ_371</v>
      </c>
      <c r="D973" s="11" t="str">
        <f>RAW_Продажи!C972</f>
        <v>3</v>
      </c>
      <c r="E973" s="11" t="str">
        <f>RAW_Продажи!D972</f>
        <v>€90</v>
      </c>
      <c r="F973" s="11" t="str">
        <f>RAW_Продажи!E972</f>
        <v>C0971</v>
      </c>
      <c r="G973" s="11" t="str">
        <f>RAW_Продажи!F972</f>
        <v>P037</v>
      </c>
      <c r="H973" s="11" t="str">
        <f>RAW_Продажи!G972</f>
        <v>отменен</v>
      </c>
      <c r="I973" s="12" t="str">
        <f t="shared" si="280"/>
        <v>371</v>
      </c>
      <c r="J973" s="12" t="str">
        <f t="shared" si="281"/>
        <v>€</v>
      </c>
      <c r="K973" s="12">
        <f t="shared" si="282"/>
        <v>90</v>
      </c>
      <c r="L973" s="19">
        <f t="shared" si="283"/>
        <v>46157</v>
      </c>
      <c r="M973" s="13" t="str">
        <f t="shared" si="284"/>
        <v>АРТ-371</v>
      </c>
      <c r="N973" s="13">
        <f t="shared" si="285"/>
        <v>3</v>
      </c>
      <c r="O973" s="13" t="str">
        <f>IFERROR(VLOOKUP(J973,Справочники!$G$6:$H$8,2,0),"RUB")</f>
        <v>EUR</v>
      </c>
      <c r="P973" s="14">
        <f>ROUND(K973*IFERROR(VLOOKUP(J973,Справочники!$G$6:$I$8,3,0),1),2)</f>
        <v>9000</v>
      </c>
      <c r="Q973" s="13" t="str">
        <f>IFERROR(VLOOKUP(H973,Справочники!$D$6:$E$14,2,0),"НЕИЗВЕСТНО")</f>
        <v>Отменен</v>
      </c>
      <c r="R973" s="20">
        <f>IFERROR(INDEX(Товары_очищенные!$Q$3:$Q$503,MATCH(M973,Товары_очищенные!$L$3:$L$503,0)),"нет в каталоге")</f>
        <v>48000</v>
      </c>
      <c r="S973" s="21" t="str">
        <f>IFERROR(INDEX(Товары_очищенные!$N$3:$N$503,MATCH(M973,Товары_очищенные!$L$3:$L$503,0)),"нет в каталоге")</f>
        <v>Мониторы</v>
      </c>
      <c r="T973" s="21" t="str">
        <f t="shared" si="286"/>
        <v>OK</v>
      </c>
      <c r="U973" s="12" t="str">
        <f t="shared" si="287"/>
        <v>15/05/2026|АРТ-371|C0971</v>
      </c>
      <c r="V973" s="12" t="str">
        <f t="shared" si="288"/>
        <v>оригинал</v>
      </c>
    </row>
    <row r="974" ht="15" customHeight="1">
      <c r="A974" s="10">
        <v>972</v>
      </c>
      <c r="B974" s="11" t="str">
        <f>RAW_Продажи!A973</f>
        <v>05/15/2026</v>
      </c>
      <c r="C974" s="11" t="str">
        <f>RAW_Продажи!B973</f>
        <v>154-24</v>
      </c>
      <c r="D974" s="11" t="str">
        <f>RAW_Продажи!C973</f>
        <v>2</v>
      </c>
      <c r="E974" s="11" t="str">
        <f>RAW_Продажи!D973</f>
        <v xml:space="preserve">8000 ₽</v>
      </c>
      <c r="F974" s="11" t="str">
        <f>RAW_Продажи!E973</f>
        <v>C0972</v>
      </c>
      <c r="G974" s="11" t="str">
        <f>RAW_Продажи!F973</f>
        <v>P048</v>
      </c>
      <c r="H974" s="11" t="str">
        <f>RAW_Продажи!G973</f>
        <v>возврат</v>
      </c>
      <c r="I974" s="12" t="str">
        <f t="shared" si="280"/>
        <v>154-24</v>
      </c>
      <c r="J974" s="12" t="str">
        <f t="shared" si="281"/>
        <v>₽</v>
      </c>
      <c r="K974" s="12">
        <f t="shared" si="282"/>
        <v>8000</v>
      </c>
      <c r="L974" s="19">
        <f t="shared" si="283"/>
        <v>46157</v>
      </c>
      <c r="M974" s="13" t="str">
        <f t="shared" si="284"/>
        <v>АРТ-154</v>
      </c>
      <c r="N974" s="13">
        <f t="shared" si="285"/>
        <v>2</v>
      </c>
      <c r="O974" s="13" t="str">
        <f>IFERROR(VLOOKUP(J974,Справочники!$G$6:$H$8,2,0),"RUB")</f>
        <v>RUB</v>
      </c>
      <c r="P974" s="14">
        <f>ROUND(K974*IFERROR(VLOOKUP(J974,Справочники!$G$6:$I$8,3,0),1),2)</f>
        <v>8000</v>
      </c>
      <c r="Q974" s="13" t="str">
        <f>IFERROR(VLOOKUP(H974,Справочники!$D$6:$E$14,2,0),"НЕИЗВЕСТНО")</f>
        <v>Возврат</v>
      </c>
      <c r="R974" s="20">
        <f>IFERROR(INDEX(Товары_очищенные!$Q$3:$Q$503,MATCH(M974,Товары_очищенные!$L$3:$L$503,0)),"нет в каталоге")</f>
        <v>16990</v>
      </c>
      <c r="S974" s="21" t="str">
        <f>IFERROR(INDEX(Товары_очищенные!$N$3:$N$503,MATCH(M974,Товары_очищенные!$L$3:$L$503,0)),"нет в каталоге")</f>
        <v>Наушники</v>
      </c>
      <c r="T974" s="21" t="str">
        <f t="shared" si="286"/>
        <v>OK</v>
      </c>
      <c r="U974" s="12" t="str">
        <f t="shared" si="287"/>
        <v>15/05/2026|АРТ-154|C0972</v>
      </c>
      <c r="V974" s="12" t="str">
        <f t="shared" si="288"/>
        <v>оригинал</v>
      </c>
    </row>
    <row r="975" ht="15" customHeight="1">
      <c r="A975" s="10">
        <v>973</v>
      </c>
      <c r="B975" s="11" t="str">
        <f>RAW_Продажи!A974</f>
        <v>05/16/2026</v>
      </c>
      <c r="C975" s="11" t="str">
        <f>RAW_Продажи!B974</f>
        <v>№АРТ-039</v>
      </c>
      <c r="D975" s="11" t="str">
        <f>RAW_Продажи!C974</f>
        <v>1</v>
      </c>
      <c r="E975" s="11" t="str">
        <f>RAW_Продажи!D974</f>
        <v>$95</v>
      </c>
      <c r="F975" s="11" t="str">
        <f>RAW_Продажи!E974</f>
        <v>C0973</v>
      </c>
      <c r="G975" s="11" t="str">
        <f>RAW_Продажи!F974</f>
        <v>P004</v>
      </c>
      <c r="H975" s="11" t="str">
        <f>RAW_Продажи!G974</f>
        <v>Завершен</v>
      </c>
      <c r="I975" s="12" t="str">
        <f t="shared" si="280"/>
        <v>039</v>
      </c>
      <c r="J975" s="12" t="str">
        <f t="shared" si="281"/>
        <v>$</v>
      </c>
      <c r="K975" s="12">
        <f t="shared" si="282"/>
        <v>95</v>
      </c>
      <c r="L975" s="19">
        <f t="shared" si="283"/>
        <v>46158</v>
      </c>
      <c r="M975" s="13" t="str">
        <f t="shared" si="284"/>
        <v>АРТ-039</v>
      </c>
      <c r="N975" s="13">
        <f t="shared" si="285"/>
        <v>1</v>
      </c>
      <c r="O975" s="13" t="str">
        <f>IFERROR(VLOOKUP(J975,Справочники!$G$6:$H$8,2,0),"RUB")</f>
        <v>USD</v>
      </c>
      <c r="P975" s="14">
        <f>ROUND(K975*IFERROR(VLOOKUP(J975,Справочники!$G$6:$I$8,3,0),1),2)</f>
        <v>9025</v>
      </c>
      <c r="Q975" s="13" t="str">
        <f>IFERROR(VLOOKUP(H975,Справочники!$D$6:$E$14,2,0),"НЕИЗВЕСТНО")</f>
        <v>Завершен</v>
      </c>
      <c r="R975" s="20">
        <f>IFERROR(INDEX(Товары_очищенные!$Q$3:$Q$503,MATCH(M975,Товары_очищенные!$L$3:$L$503,0)),"нет в каталоге")</f>
        <v>71000</v>
      </c>
      <c r="S975" s="21" t="str">
        <f>IFERROR(INDEX(Товары_очищенные!$N$3:$N$503,MATCH(M975,Товары_очищенные!$L$3:$L$503,0)),"нет в каталоге")</f>
        <v>Часы</v>
      </c>
      <c r="T975" s="21" t="str">
        <f t="shared" si="286"/>
        <v>OK</v>
      </c>
      <c r="U975" s="12" t="str">
        <f t="shared" si="287"/>
        <v>16/05/2026|АРТ-039|C0973</v>
      </c>
      <c r="V975" s="12" t="str">
        <f t="shared" si="288"/>
        <v>оригинал</v>
      </c>
    </row>
    <row r="976" ht="15" customHeight="1">
      <c r="A976" s="10">
        <v>974</v>
      </c>
      <c r="B976" s="11" t="str">
        <f>RAW_Продажи!A975</f>
        <v>05/16/2026</v>
      </c>
      <c r="C976" s="11" t="str">
        <f>RAW_Продажи!B975</f>
        <v>АРТ_495</v>
      </c>
      <c r="D976" s="11" t="str">
        <f>RAW_Продажи!C975</f>
        <v>2</v>
      </c>
      <c r="E976" s="11" t="str">
        <f>RAW_Продажи!D975</f>
        <v>€75</v>
      </c>
      <c r="F976" s="11" t="str">
        <f>RAW_Продажи!E975</f>
        <v>C0974</v>
      </c>
      <c r="G976" s="11" t="str">
        <f>RAW_Продажи!F975</f>
        <v>P026</v>
      </c>
      <c r="H976" s="11" t="str">
        <f>RAW_Продажи!G975</f>
        <v>завершен</v>
      </c>
      <c r="I976" s="12" t="str">
        <f t="shared" si="280"/>
        <v>495</v>
      </c>
      <c r="J976" s="12" t="str">
        <f t="shared" si="281"/>
        <v>€</v>
      </c>
      <c r="K976" s="12">
        <f t="shared" si="282"/>
        <v>75</v>
      </c>
      <c r="L976" s="19">
        <f t="shared" si="283"/>
        <v>46158</v>
      </c>
      <c r="M976" s="13" t="str">
        <f t="shared" si="284"/>
        <v>АРТ-495</v>
      </c>
      <c r="N976" s="13">
        <f t="shared" si="285"/>
        <v>2</v>
      </c>
      <c r="O976" s="13" t="str">
        <f>IFERROR(VLOOKUP(J976,Справочники!$G$6:$H$8,2,0),"RUB")</f>
        <v>EUR</v>
      </c>
      <c r="P976" s="14">
        <f>ROUND(K976*IFERROR(VLOOKUP(J976,Справочники!$G$6:$I$8,3,0),1),2)</f>
        <v>7500</v>
      </c>
      <c r="Q976" s="13" t="str">
        <f>IFERROR(VLOOKUP(H976,Справочники!$D$6:$E$14,2,0),"НЕИЗВЕСТНО")</f>
        <v>Завершен</v>
      </c>
      <c r="R976" s="20">
        <f>IFERROR(INDEX(Товары_очищенные!$Q$3:$Q$503,MATCH(M976,Товары_очищенные!$L$3:$L$503,0)),"нет в каталоге")</f>
        <v>15800</v>
      </c>
      <c r="S976" s="21" t="str">
        <f>IFERROR(INDEX(Товары_очищенные!$N$3:$N$503,MATCH(M976,Товары_очищенные!$L$3:$L$503,0)),"нет в каталоге")</f>
        <v>Наушники</v>
      </c>
      <c r="T976" s="21" t="str">
        <f t="shared" si="286"/>
        <v>OK</v>
      </c>
      <c r="U976" s="12" t="str">
        <f t="shared" si="287"/>
        <v>16/05/2026|АРТ-495|C0974</v>
      </c>
      <c r="V976" s="12" t="str">
        <f t="shared" si="288"/>
        <v>оригинал</v>
      </c>
    </row>
    <row r="977" ht="15" customHeight="1">
      <c r="A977" s="10">
        <v>975</v>
      </c>
      <c r="B977" s="11" t="str">
        <f>RAW_Продажи!A976</f>
        <v>05/17/2026</v>
      </c>
      <c r="C977" s="11" t="str">
        <f>RAW_Продажи!B976</f>
        <v>377/24</v>
      </c>
      <c r="D977" s="11" t="str">
        <f>RAW_Продажи!C976</f>
        <v xml:space="preserve">3 шт.</v>
      </c>
      <c r="E977" s="11" t="str">
        <f>RAW_Продажи!D976</f>
        <v xml:space="preserve">7000 ₽</v>
      </c>
      <c r="F977" s="11" t="str">
        <f>RAW_Продажи!E976</f>
        <v>C0975</v>
      </c>
      <c r="G977" s="11" t="str">
        <f>RAW_Продажи!F976</f>
        <v>P013</v>
      </c>
      <c r="H977" s="11" t="str">
        <f>RAW_Продажи!G976</f>
        <v>completed</v>
      </c>
      <c r="I977" s="12" t="str">
        <f t="shared" si="280"/>
        <v>377/24</v>
      </c>
      <c r="J977" s="12" t="str">
        <f t="shared" si="281"/>
        <v>₽</v>
      </c>
      <c r="K977" s="12">
        <f t="shared" si="282"/>
        <v>7000</v>
      </c>
      <c r="L977" s="19">
        <f t="shared" si="283"/>
        <v>46159</v>
      </c>
      <c r="M977" s="13" t="str">
        <f t="shared" si="284"/>
        <v>АРТ-377</v>
      </c>
      <c r="N977" s="13">
        <f t="shared" si="285"/>
        <v>3</v>
      </c>
      <c r="O977" s="13" t="str">
        <f>IFERROR(VLOOKUP(J977,Справочники!$G$6:$H$8,2,0),"RUB")</f>
        <v>RUB</v>
      </c>
      <c r="P977" s="14">
        <f>ROUND(K977*IFERROR(VLOOKUP(J977,Справочники!$G$6:$I$8,3,0),1),2)</f>
        <v>7000</v>
      </c>
      <c r="Q977" s="13" t="str">
        <f>IFERROR(VLOOKUP(H977,Справочники!$D$6:$E$14,2,0),"НЕИЗВЕСТНО")</f>
        <v>Завершен</v>
      </c>
      <c r="R977" s="20">
        <f>IFERROR(INDEX(Товары_очищенные!$Q$3:$Q$503,MATCH(M977,Товары_очищенные!$L$3:$L$503,0)),"нет в каталоге")</f>
        <v>23500</v>
      </c>
      <c r="S977" s="21" t="str">
        <f>IFERROR(INDEX(Товары_очищенные!$N$3:$N$503,MATCH(M977,Товары_очищенные!$L$3:$L$503,0)),"нет в каталоге")</f>
        <v>Часы</v>
      </c>
      <c r="T977" s="21" t="str">
        <f t="shared" si="286"/>
        <v>OK</v>
      </c>
      <c r="U977" s="12" t="str">
        <f t="shared" si="287"/>
        <v>17/05/2026|АРТ-377|C0975</v>
      </c>
      <c r="V977" s="12" t="str">
        <f t="shared" si="288"/>
        <v>оригинал</v>
      </c>
    </row>
    <row r="978" ht="15" customHeight="1">
      <c r="A978" s="10">
        <v>976</v>
      </c>
      <c r="B978" s="11" t="str">
        <f>RAW_Продажи!A977</f>
        <v>05/17/2026</v>
      </c>
      <c r="C978" s="11" t="str">
        <f>RAW_Продажи!B977</f>
        <v>№АРТ-208</v>
      </c>
      <c r="D978" s="11" t="str">
        <f>RAW_Продажи!C977</f>
        <v>-2</v>
      </c>
      <c r="E978" s="11" t="str">
        <f>RAW_Продажи!D977</f>
        <v>$115</v>
      </c>
      <c r="F978" s="11" t="str">
        <f>RAW_Продажи!E977</f>
        <v>C0976</v>
      </c>
      <c r="G978" s="11" t="str">
        <f>RAW_Продажи!F977</f>
        <v>P034</v>
      </c>
      <c r="H978" s="11" t="str">
        <f>RAW_Продажи!G977</f>
        <v>отменен</v>
      </c>
      <c r="I978" s="12" t="str">
        <f t="shared" si="280"/>
        <v>208</v>
      </c>
      <c r="J978" s="12" t="str">
        <f t="shared" si="281"/>
        <v>$</v>
      </c>
      <c r="K978" s="12">
        <f t="shared" si="282"/>
        <v>115</v>
      </c>
      <c r="L978" s="19">
        <f t="shared" si="283"/>
        <v>46159</v>
      </c>
      <c r="M978" s="13" t="str">
        <f t="shared" si="284"/>
        <v>АРТ-208</v>
      </c>
      <c r="N978" s="13">
        <f t="shared" si="285"/>
        <v>-2</v>
      </c>
      <c r="O978" s="13" t="str">
        <f>IFERROR(VLOOKUP(J978,Справочники!$G$6:$H$8,2,0),"RUB")</f>
        <v>USD</v>
      </c>
      <c r="P978" s="14">
        <f>ROUND(K978*IFERROR(VLOOKUP(J978,Справочники!$G$6:$I$8,3,0),1),2)</f>
        <v>10925</v>
      </c>
      <c r="Q978" s="13" t="str">
        <f>IFERROR(VLOOKUP(H978,Справочники!$D$6:$E$14,2,0),"НЕИЗВЕСТНО")</f>
        <v>Отменен</v>
      </c>
      <c r="R978" s="20">
        <f>IFERROR(INDEX(Товары_очищенные!$Q$3:$Q$503,MATCH(M978,Товары_очищенные!$L$3:$L$503,0)),"нет в каталоге")</f>
        <v>10990</v>
      </c>
      <c r="S978" s="21" t="str">
        <f>IFERROR(INDEX(Товары_очищенные!$N$3:$N$503,MATCH(M978,Товары_очищенные!$L$3:$L$503,0)),"нет в каталоге")</f>
        <v>Аксессуары</v>
      </c>
      <c r="T978" s="21" t="str">
        <f t="shared" si="286"/>
        <v>OK</v>
      </c>
      <c r="U978" s="12" t="str">
        <f t="shared" si="287"/>
        <v>17/05/2026|АРТ-208|C0976</v>
      </c>
      <c r="V978" s="12" t="str">
        <f t="shared" si="288"/>
        <v>оригинал</v>
      </c>
    </row>
    <row r="979" ht="15" customHeight="1">
      <c r="A979" s="10">
        <v>977</v>
      </c>
      <c r="B979" s="11" t="str">
        <f>RAW_Продажи!A978</f>
        <v>05/18/2026</v>
      </c>
      <c r="C979" s="11" t="str">
        <f>RAW_Продажи!B978</f>
        <v>АРТ_263</v>
      </c>
      <c r="D979" s="11" t="str">
        <f>RAW_Продажи!C978</f>
        <v>1</v>
      </c>
      <c r="E979" s="11" t="str">
        <f>RAW_Продажи!D978</f>
        <v>€95</v>
      </c>
      <c r="F979" s="11" t="str">
        <f>RAW_Продажи!E978</f>
        <v>C0977</v>
      </c>
      <c r="G979" s="11" t="str">
        <f>RAW_Продажи!F978</f>
        <v>P044</v>
      </c>
      <c r="H979" s="11" t="str">
        <f>RAW_Продажи!G978</f>
        <v>canceled</v>
      </c>
      <c r="I979" s="12" t="str">
        <f t="shared" si="280"/>
        <v>263</v>
      </c>
      <c r="J979" s="12" t="str">
        <f t="shared" si="281"/>
        <v>€</v>
      </c>
      <c r="K979" s="12">
        <f t="shared" si="282"/>
        <v>95</v>
      </c>
      <c r="L979" s="19">
        <f t="shared" si="283"/>
        <v>46160</v>
      </c>
      <c r="M979" s="13" t="str">
        <f t="shared" si="284"/>
        <v>АРТ-263</v>
      </c>
      <c r="N979" s="13">
        <f t="shared" si="285"/>
        <v>1</v>
      </c>
      <c r="O979" s="13" t="str">
        <f>IFERROR(VLOOKUP(J979,Справочники!$G$6:$H$8,2,0),"RUB")</f>
        <v>EUR</v>
      </c>
      <c r="P979" s="14">
        <f>ROUND(K979*IFERROR(VLOOKUP(J979,Справочники!$G$6:$I$8,3,0),1),2)</f>
        <v>9500</v>
      </c>
      <c r="Q979" s="13" t="str">
        <f>IFERROR(VLOOKUP(H979,Справочники!$D$6:$E$14,2,0),"НЕИЗВЕСТНО")</f>
        <v>Отменен</v>
      </c>
      <c r="R979" s="20">
        <f>IFERROR(INDEX(Товары_очищенные!$Q$3:$Q$503,MATCH(M979,Товары_очищенные!$L$3:$L$503,0)),"нет в каталоге")</f>
        <v>11000</v>
      </c>
      <c r="S979" s="21" t="str">
        <f>IFERROR(INDEX(Товары_очищенные!$N$3:$N$503,MATCH(M979,Товары_очищенные!$L$3:$L$503,0)),"нет в каталоге")</f>
        <v>Наушники</v>
      </c>
      <c r="T979" s="21" t="str">
        <f t="shared" si="286"/>
        <v>OK</v>
      </c>
      <c r="U979" s="12" t="str">
        <f t="shared" si="287"/>
        <v>18/05/2026|АРТ-263|C0977</v>
      </c>
      <c r="V979" s="12" t="str">
        <f t="shared" si="288"/>
        <v>оригинал</v>
      </c>
    </row>
    <row r="980" ht="15" customHeight="1">
      <c r="A980" s="10">
        <v>978</v>
      </c>
      <c r="B980" s="11" t="str">
        <f>RAW_Продажи!A979</f>
        <v>05/18/2026</v>
      </c>
      <c r="C980" s="11" t="str">
        <f>RAW_Продажи!B979</f>
        <v>193-24</v>
      </c>
      <c r="D980" s="11" t="str">
        <f>RAW_Продажи!C979</f>
        <v>2</v>
      </c>
      <c r="E980" s="11" t="str">
        <f>RAW_Продажи!D979</f>
        <v xml:space="preserve">8500 ₽</v>
      </c>
      <c r="F980" s="11" t="str">
        <f>RAW_Продажи!E979</f>
        <v>C0978</v>
      </c>
      <c r="G980" s="11" t="str">
        <f>RAW_Продажи!F979</f>
        <v>P001</v>
      </c>
      <c r="H980" s="11" t="str">
        <f>RAW_Продажи!G979</f>
        <v>Завершен</v>
      </c>
      <c r="I980" s="12" t="str">
        <f t="shared" si="280"/>
        <v>193-24</v>
      </c>
      <c r="J980" s="12" t="str">
        <f t="shared" si="281"/>
        <v>₽</v>
      </c>
      <c r="K980" s="12">
        <f t="shared" si="282"/>
        <v>8500</v>
      </c>
      <c r="L980" s="19">
        <f t="shared" si="283"/>
        <v>46160</v>
      </c>
      <c r="M980" s="13" t="str">
        <f t="shared" si="284"/>
        <v>АРТ-193</v>
      </c>
      <c r="N980" s="13">
        <f t="shared" si="285"/>
        <v>2</v>
      </c>
      <c r="O980" s="13" t="str">
        <f>IFERROR(VLOOKUP(J980,Справочники!$G$6:$H$8,2,0),"RUB")</f>
        <v>RUB</v>
      </c>
      <c r="P980" s="14">
        <f>ROUND(K980*IFERROR(VLOOKUP(J980,Справочники!$G$6:$I$8,3,0),1),2)</f>
        <v>8500</v>
      </c>
      <c r="Q980" s="13" t="str">
        <f>IFERROR(VLOOKUP(H980,Справочники!$D$6:$E$14,2,0),"НЕИЗВЕСТНО")</f>
        <v>Завершен</v>
      </c>
      <c r="R980" s="20">
        <f>IFERROR(INDEX(Товары_очищенные!$Q$3:$Q$503,MATCH(M980,Товары_очищенные!$L$3:$L$503,0)),"нет в каталоге")</f>
        <v>129990</v>
      </c>
      <c r="S980" s="21" t="str">
        <f>IFERROR(INDEX(Товары_очищенные!$N$3:$N$503,MATCH(M980,Товары_очищенные!$L$3:$L$503,0)),"нет в каталоге")</f>
        <v>Ноутбуки</v>
      </c>
      <c r="T980" s="21" t="str">
        <f t="shared" si="286"/>
        <v>OK</v>
      </c>
      <c r="U980" s="12" t="str">
        <f t="shared" si="287"/>
        <v>18/05/2026|АРТ-193|C0978</v>
      </c>
      <c r="V980" s="12" t="str">
        <f t="shared" si="288"/>
        <v>оригинал</v>
      </c>
    </row>
    <row r="981" ht="15" customHeight="1">
      <c r="A981" s="10">
        <v>979</v>
      </c>
      <c r="B981" s="11" t="str">
        <f>RAW_Продажи!A980</f>
        <v>05/19/2026</v>
      </c>
      <c r="C981" s="11" t="str">
        <f>RAW_Продажи!B980</f>
        <v>№АРТ-111</v>
      </c>
      <c r="D981" s="11" t="str">
        <f>RAW_Продажи!C980</f>
        <v>3</v>
      </c>
      <c r="E981" s="11" t="str">
        <f>RAW_Продажи!D980</f>
        <v>$105</v>
      </c>
      <c r="F981" s="11" t="str">
        <f>RAW_Продажи!E980</f>
        <v>C0979</v>
      </c>
      <c r="G981" s="11" t="str">
        <f>RAW_Продажи!F980</f>
        <v>P021</v>
      </c>
      <c r="H981" s="11" t="str">
        <f>RAW_Продажи!G980</f>
        <v>возврат</v>
      </c>
      <c r="I981" s="12" t="str">
        <f t="shared" si="280"/>
        <v>111</v>
      </c>
      <c r="J981" s="12" t="str">
        <f t="shared" si="281"/>
        <v>$</v>
      </c>
      <c r="K981" s="12">
        <f t="shared" si="282"/>
        <v>105</v>
      </c>
      <c r="L981" s="19">
        <f t="shared" si="283"/>
        <v>46161</v>
      </c>
      <c r="M981" s="13" t="str">
        <f t="shared" si="284"/>
        <v>АРТ-111</v>
      </c>
      <c r="N981" s="13">
        <f t="shared" si="285"/>
        <v>3</v>
      </c>
      <c r="O981" s="13" t="str">
        <f>IFERROR(VLOOKUP(J981,Справочники!$G$6:$H$8,2,0),"RUB")</f>
        <v>USD</v>
      </c>
      <c r="P981" s="14">
        <f>ROUND(K981*IFERROR(VLOOKUP(J981,Справочники!$G$6:$I$8,3,0),1),2)</f>
        <v>9975</v>
      </c>
      <c r="Q981" s="13" t="str">
        <f>IFERROR(VLOOKUP(H981,Справочники!$D$6:$E$14,2,0),"НЕИЗВЕСТНО")</f>
        <v>Возврат</v>
      </c>
      <c r="R981" s="20">
        <f>IFERROR(INDEX(Товары_очищенные!$Q$3:$Q$503,MATCH(M981,Товары_очищенные!$L$3:$L$503,0)),"нет в каталоге")</f>
        <v>122500</v>
      </c>
      <c r="S981" s="21" t="str">
        <f>IFERROR(INDEX(Товары_очищенные!$N$3:$N$503,MATCH(M981,Товары_очищенные!$L$3:$L$503,0)),"нет в каталоге")</f>
        <v>Телевизоры</v>
      </c>
      <c r="T981" s="21" t="str">
        <f t="shared" si="286"/>
        <v>OK</v>
      </c>
      <c r="U981" s="12" t="str">
        <f t="shared" si="287"/>
        <v>19/05/2026|АРТ-111|C0979</v>
      </c>
      <c r="V981" s="12" t="str">
        <f t="shared" si="288"/>
        <v>оригинал</v>
      </c>
    </row>
    <row r="982" ht="15" customHeight="1">
      <c r="A982" s="10">
        <v>980</v>
      </c>
      <c r="B982" s="11" t="str">
        <f>RAW_Продажи!A981</f>
        <v>05/19/2026</v>
      </c>
      <c r="C982" s="11" t="str">
        <f>RAW_Продажи!B981</f>
        <v>АРТ_423</v>
      </c>
      <c r="D982" s="11" t="str">
        <f>RAW_Продажи!C981</f>
        <v>2</v>
      </c>
      <c r="E982" s="11" t="str">
        <f>RAW_Продажи!D981</f>
        <v>€85</v>
      </c>
      <c r="F982" s="11" t="str">
        <f>RAW_Продажи!E981</f>
        <v>C0980</v>
      </c>
      <c r="G982" s="11" t="str">
        <f>RAW_Продажи!F981</f>
        <v>P039</v>
      </c>
      <c r="H982" s="11" t="str">
        <f>RAW_Продажи!G981</f>
        <v>завершен</v>
      </c>
      <c r="I982" s="12" t="str">
        <f t="shared" si="280"/>
        <v>423</v>
      </c>
      <c r="J982" s="12" t="str">
        <f t="shared" si="281"/>
        <v>€</v>
      </c>
      <c r="K982" s="12">
        <f t="shared" si="282"/>
        <v>85</v>
      </c>
      <c r="L982" s="19">
        <f t="shared" si="283"/>
        <v>46161</v>
      </c>
      <c r="M982" s="13" t="str">
        <f t="shared" si="284"/>
        <v>АРТ-423</v>
      </c>
      <c r="N982" s="13">
        <f t="shared" si="285"/>
        <v>2</v>
      </c>
      <c r="O982" s="13" t="str">
        <f>IFERROR(VLOOKUP(J982,Справочники!$G$6:$H$8,2,0),"RUB")</f>
        <v>EUR</v>
      </c>
      <c r="P982" s="14">
        <f>ROUND(K982*IFERROR(VLOOKUP(J982,Справочники!$G$6:$I$8,3,0),1),2)</f>
        <v>8500</v>
      </c>
      <c r="Q982" s="13" t="str">
        <f>IFERROR(VLOOKUP(H982,Справочники!$D$6:$E$14,2,0),"НЕИЗВЕСТНО")</f>
        <v>Завершен</v>
      </c>
      <c r="R982" s="20">
        <f>IFERROR(INDEX(Товары_очищенные!$Q$3:$Q$503,MATCH(M982,Товары_очищенные!$L$3:$L$503,0)),"нет в каталоге")</f>
        <v>129500</v>
      </c>
      <c r="S982" s="21" t="str">
        <f>IFERROR(INDEX(Товары_очищенные!$N$3:$N$503,MATCH(M982,Товары_очищенные!$L$3:$L$503,0)),"нет в каталоге")</f>
        <v>Ноутбуки</v>
      </c>
      <c r="T982" s="21" t="str">
        <f t="shared" si="286"/>
        <v>OK</v>
      </c>
      <c r="U982" s="12" t="str">
        <f t="shared" si="287"/>
        <v>19/05/2026|АРТ-423|C0980</v>
      </c>
      <c r="V982" s="12" t="str">
        <f t="shared" si="288"/>
        <v>оригинал</v>
      </c>
    </row>
    <row r="983" ht="15" customHeight="1">
      <c r="A983" s="10">
        <v>981</v>
      </c>
      <c r="B983" s="11" t="str">
        <f>RAW_Продажи!A982</f>
        <v>05/20/2026</v>
      </c>
      <c r="C983" s="11" t="str">
        <f>RAW_Продажи!B982</f>
        <v>315/24</v>
      </c>
      <c r="D983" s="11" t="str">
        <f>RAW_Продажи!C982</f>
        <v xml:space="preserve">1 шт.</v>
      </c>
      <c r="E983" s="11" t="str">
        <f>RAW_Продажи!D982</f>
        <v xml:space="preserve">7800 ₽</v>
      </c>
      <c r="F983" s="11" t="str">
        <f>RAW_Продажи!E982</f>
        <v>C0981</v>
      </c>
      <c r="G983" s="11" t="str">
        <f>RAW_Продажи!F982</f>
        <v>P050</v>
      </c>
      <c r="H983" s="11" t="str">
        <f>RAW_Продажи!G982</f>
        <v>completed</v>
      </c>
      <c r="I983" s="12" t="str">
        <f t="shared" si="280"/>
        <v>315/24</v>
      </c>
      <c r="J983" s="12" t="str">
        <f t="shared" si="281"/>
        <v>₽</v>
      </c>
      <c r="K983" s="12">
        <f t="shared" si="282"/>
        <v>7800</v>
      </c>
      <c r="L983" s="19">
        <f t="shared" si="283"/>
        <v>46162</v>
      </c>
      <c r="M983" s="13" t="str">
        <f t="shared" si="284"/>
        <v>АРТ-315</v>
      </c>
      <c r="N983" s="13">
        <f t="shared" si="285"/>
        <v>1</v>
      </c>
      <c r="O983" s="13" t="str">
        <f>IFERROR(VLOOKUP(J983,Справочники!$G$6:$H$8,2,0),"RUB")</f>
        <v>RUB</v>
      </c>
      <c r="P983" s="14">
        <f>ROUND(K983*IFERROR(VLOOKUP(J983,Справочники!$G$6:$I$8,3,0),1),2)</f>
        <v>7800</v>
      </c>
      <c r="Q983" s="13" t="str">
        <f>IFERROR(VLOOKUP(H983,Справочники!$D$6:$E$14,2,0),"НЕИЗВЕСТНО")</f>
        <v>Завершен</v>
      </c>
      <c r="R983" s="20">
        <f>IFERROR(INDEX(Товары_очищенные!$Q$3:$Q$503,MATCH(M983,Товары_очищенные!$L$3:$L$503,0)),"нет в каталоге")</f>
        <v>72000</v>
      </c>
      <c r="S983" s="21" t="str">
        <f>IFERROR(INDEX(Товары_очищенные!$N$3:$N$503,MATCH(M983,Товары_очищенные!$L$3:$L$503,0)),"нет в каталоге")</f>
        <v>Смартфоны</v>
      </c>
      <c r="T983" s="21" t="str">
        <f t="shared" si="286"/>
        <v>OK</v>
      </c>
      <c r="U983" s="12" t="str">
        <f t="shared" si="287"/>
        <v>20/05/2026|АРТ-315|C0981</v>
      </c>
      <c r="V983" s="12" t="str">
        <f t="shared" si="288"/>
        <v>оригинал</v>
      </c>
    </row>
    <row r="984" ht="15" customHeight="1">
      <c r="A984" s="10">
        <v>982</v>
      </c>
      <c r="B984" s="11" t="str">
        <f>RAW_Продажи!A983</f>
        <v>05/20/2026</v>
      </c>
      <c r="C984" s="11" t="str">
        <f>RAW_Продажи!B983</f>
        <v>№АРТ-289</v>
      </c>
      <c r="D984" s="11" t="str">
        <f>RAW_Продажи!C983</f>
        <v>-3</v>
      </c>
      <c r="E984" s="11" t="str">
        <f>RAW_Продажи!D983</f>
        <v>$120</v>
      </c>
      <c r="F984" s="11" t="str">
        <f>RAW_Продажи!E983</f>
        <v>C0982</v>
      </c>
      <c r="G984" s="11" t="str">
        <f>RAW_Продажи!F983</f>
        <v>P011</v>
      </c>
      <c r="H984" s="11" t="str">
        <f>RAW_Продажи!G983</f>
        <v>Завершен</v>
      </c>
      <c r="I984" s="12" t="str">
        <f t="shared" si="280"/>
        <v>289</v>
      </c>
      <c r="J984" s="12" t="str">
        <f t="shared" si="281"/>
        <v>$</v>
      </c>
      <c r="K984" s="12">
        <f t="shared" si="282"/>
        <v>120</v>
      </c>
      <c r="L984" s="19">
        <f t="shared" si="283"/>
        <v>46162</v>
      </c>
      <c r="M984" s="13" t="str">
        <f t="shared" si="284"/>
        <v>АРТ-289</v>
      </c>
      <c r="N984" s="13">
        <f t="shared" si="285"/>
        <v>-3</v>
      </c>
      <c r="O984" s="13" t="str">
        <f>IFERROR(VLOOKUP(J984,Справочники!$G$6:$H$8,2,0),"RUB")</f>
        <v>USD</v>
      </c>
      <c r="P984" s="14">
        <f>ROUND(K984*IFERROR(VLOOKUP(J984,Справочники!$G$6:$I$8,3,0),1),2)</f>
        <v>11400</v>
      </c>
      <c r="Q984" s="13" t="str">
        <f>IFERROR(VLOOKUP(H984,Справочники!$D$6:$E$14,2,0),"НЕИЗВЕСТНО")</f>
        <v>Завершен</v>
      </c>
      <c r="R984" s="20">
        <f>IFERROR(INDEX(Товары_очищенные!$Q$3:$Q$503,MATCH(M984,Товары_очищенные!$L$3:$L$503,0)),"нет в каталоге")</f>
        <v>62990</v>
      </c>
      <c r="S984" s="21" t="str">
        <f>IFERROR(INDEX(Товары_очищенные!$N$3:$N$503,MATCH(M984,Товары_очищенные!$L$3:$L$503,0)),"нет в каталоге")</f>
        <v>Часы</v>
      </c>
      <c r="T984" s="21" t="str">
        <f t="shared" si="286"/>
        <v>OK</v>
      </c>
      <c r="U984" s="12" t="str">
        <f t="shared" si="287"/>
        <v>20/05/2026|АРТ-289|C0982</v>
      </c>
      <c r="V984" s="12" t="str">
        <f t="shared" si="288"/>
        <v>оригинал</v>
      </c>
    </row>
    <row r="985" ht="15" customHeight="1">
      <c r="A985" s="10">
        <v>983</v>
      </c>
      <c r="B985" s="11" t="str">
        <f>RAW_Продажи!A984</f>
        <v>05/21/2026</v>
      </c>
      <c r="C985" s="11" t="str">
        <f>RAW_Продажи!B984</f>
        <v>АРТ_359</v>
      </c>
      <c r="D985" s="11" t="str">
        <f>RAW_Продажи!C984</f>
        <v>2</v>
      </c>
      <c r="E985" s="11" t="str">
        <f>RAW_Продажи!D984</f>
        <v>€100</v>
      </c>
      <c r="F985" s="11" t="str">
        <f>RAW_Продажи!E984</f>
        <v>C0983</v>
      </c>
      <c r="G985" s="11" t="str">
        <f>RAW_Продажи!F984</f>
        <v>P027</v>
      </c>
      <c r="H985" s="11" t="str">
        <f>RAW_Продажи!G984</f>
        <v>canceled</v>
      </c>
      <c r="I985" s="12" t="str">
        <f t="shared" si="280"/>
        <v>359</v>
      </c>
      <c r="J985" s="12" t="str">
        <f t="shared" si="281"/>
        <v>€</v>
      </c>
      <c r="K985" s="12">
        <f t="shared" si="282"/>
        <v>100</v>
      </c>
      <c r="L985" s="19">
        <f t="shared" si="283"/>
        <v>46163</v>
      </c>
      <c r="M985" s="13" t="str">
        <f t="shared" si="284"/>
        <v>АРТ-359</v>
      </c>
      <c r="N985" s="13">
        <f t="shared" si="285"/>
        <v>2</v>
      </c>
      <c r="O985" s="13" t="str">
        <f>IFERROR(VLOOKUP(J985,Справочники!$G$6:$H$8,2,0),"RUB")</f>
        <v>EUR</v>
      </c>
      <c r="P985" s="14">
        <f>ROUND(K985*IFERROR(VLOOKUP(J985,Справочники!$G$6:$I$8,3,0),1),2)</f>
        <v>10000</v>
      </c>
      <c r="Q985" s="13" t="str">
        <f>IFERROR(VLOOKUP(H985,Справочники!$D$6:$E$14,2,0),"НЕИЗВЕСТНО")</f>
        <v>Отменен</v>
      </c>
      <c r="R985" s="20">
        <f>IFERROR(INDEX(Товары_очищенные!$Q$3:$Q$503,MATCH(M985,Товары_очищенные!$L$3:$L$503,0)),"нет в каталоге")</f>
        <v>58000</v>
      </c>
      <c r="S985" s="21" t="str">
        <f>IFERROR(INDEX(Товары_очищенные!$N$3:$N$503,MATCH(M985,Товары_очищенные!$L$3:$L$503,0)),"нет в каталоге")</f>
        <v>Планшеты</v>
      </c>
      <c r="T985" s="21" t="str">
        <f t="shared" si="286"/>
        <v>OK</v>
      </c>
      <c r="U985" s="12" t="str">
        <f t="shared" si="287"/>
        <v>21/05/2026|АРТ-359|C0983</v>
      </c>
      <c r="V985" s="12" t="str">
        <f t="shared" si="288"/>
        <v>оригинал</v>
      </c>
    </row>
    <row r="986" ht="15" customHeight="1">
      <c r="A986" s="10">
        <v>984</v>
      </c>
      <c r="B986" s="11" t="str">
        <f>RAW_Продажи!A985</f>
        <v>05/21/2026</v>
      </c>
      <c r="C986" s="11" t="str">
        <f>RAW_Продажи!B985</f>
        <v>282-24</v>
      </c>
      <c r="D986" s="11" t="str">
        <f>RAW_Продажи!C985</f>
        <v>1</v>
      </c>
      <c r="E986" s="11" t="str">
        <f>RAW_Продажи!D985</f>
        <v xml:space="preserve">9200 ₽</v>
      </c>
      <c r="F986" s="11" t="str">
        <f>RAW_Продажи!E985</f>
        <v>C0984</v>
      </c>
      <c r="G986" s="11" t="str">
        <f>RAW_Продажи!F985</f>
        <v>P018</v>
      </c>
      <c r="H986" s="11" t="str">
        <f>RAW_Продажи!G985</f>
        <v>отменен</v>
      </c>
      <c r="I986" s="12" t="str">
        <f t="shared" si="280"/>
        <v>282-24</v>
      </c>
      <c r="J986" s="12" t="str">
        <f t="shared" si="281"/>
        <v>₽</v>
      </c>
      <c r="K986" s="12">
        <f t="shared" si="282"/>
        <v>9200</v>
      </c>
      <c r="L986" s="19">
        <f t="shared" si="283"/>
        <v>46163</v>
      </c>
      <c r="M986" s="13" t="str">
        <f t="shared" si="284"/>
        <v>АРТ-282</v>
      </c>
      <c r="N986" s="13">
        <f t="shared" si="285"/>
        <v>1</v>
      </c>
      <c r="O986" s="13" t="str">
        <f>IFERROR(VLOOKUP(J986,Справочники!$G$6:$H$8,2,0),"RUB")</f>
        <v>RUB</v>
      </c>
      <c r="P986" s="14">
        <f>ROUND(K986*IFERROR(VLOOKUP(J986,Справочники!$G$6:$I$8,3,0),1),2)</f>
        <v>9200</v>
      </c>
      <c r="Q986" s="13" t="str">
        <f>IFERROR(VLOOKUP(H986,Справочники!$D$6:$E$14,2,0),"НЕИЗВЕСТНО")</f>
        <v>Отменен</v>
      </c>
      <c r="R986" s="20">
        <f>IFERROR(INDEX(Товары_очищенные!$Q$3:$Q$503,MATCH(M986,Товары_очищенные!$L$3:$L$503,0)),"нет в каталоге")</f>
        <v>34500</v>
      </c>
      <c r="S986" s="21" t="str">
        <f>IFERROR(INDEX(Товары_очищенные!$N$3:$N$503,MATCH(M986,Товары_очищенные!$L$3:$L$503,0)),"нет в каталоге")</f>
        <v>Наушники</v>
      </c>
      <c r="T986" s="21" t="str">
        <f t="shared" si="286"/>
        <v>OK</v>
      </c>
      <c r="U986" s="12" t="str">
        <f t="shared" si="287"/>
        <v>21/05/2026|АРТ-282|C0984</v>
      </c>
      <c r="V986" s="12" t="str">
        <f t="shared" si="288"/>
        <v>оригинал</v>
      </c>
    </row>
    <row r="987" ht="15" customHeight="1">
      <c r="A987" s="10">
        <v>985</v>
      </c>
      <c r="B987" s="11" t="str">
        <f>RAW_Продажи!A986</f>
        <v>05/22/2026</v>
      </c>
      <c r="C987" s="11" t="str">
        <f>RAW_Продажи!B986</f>
        <v>№АРТ-048</v>
      </c>
      <c r="D987" s="11" t="str">
        <f>RAW_Продажи!C986</f>
        <v>3</v>
      </c>
      <c r="E987" s="11" t="str">
        <f>RAW_Продажи!D986</f>
        <v>$90</v>
      </c>
      <c r="F987" s="11" t="str">
        <f>RAW_Продажи!E986</f>
        <v>C0985</v>
      </c>
      <c r="G987" s="11" t="str">
        <f>RAW_Продажи!F986</f>
        <v>P040</v>
      </c>
      <c r="H987" s="11" t="str">
        <f>RAW_Продажи!G986</f>
        <v>возврат</v>
      </c>
      <c r="I987" s="12" t="str">
        <f t="shared" si="280"/>
        <v>048</v>
      </c>
      <c r="J987" s="12" t="str">
        <f t="shared" si="281"/>
        <v>$</v>
      </c>
      <c r="K987" s="12">
        <f t="shared" si="282"/>
        <v>90</v>
      </c>
      <c r="L987" s="19">
        <f t="shared" si="283"/>
        <v>46164</v>
      </c>
      <c r="M987" s="13" t="str">
        <f t="shared" si="284"/>
        <v>АРТ-048</v>
      </c>
      <c r="N987" s="13">
        <f t="shared" si="285"/>
        <v>3</v>
      </c>
      <c r="O987" s="13" t="str">
        <f>IFERROR(VLOOKUP(J987,Справочники!$G$6:$H$8,2,0),"RUB")</f>
        <v>USD</v>
      </c>
      <c r="P987" s="14">
        <f>ROUND(K987*IFERROR(VLOOKUP(J987,Справочники!$G$6:$I$8,3,0),1),2)</f>
        <v>8550</v>
      </c>
      <c r="Q987" s="13" t="str">
        <f>IFERROR(VLOOKUP(H987,Справочники!$D$6:$E$14,2,0),"НЕИЗВЕСТНО")</f>
        <v>Возврат</v>
      </c>
      <c r="R987" s="20">
        <f>IFERROR(INDEX(Товары_очищенные!$Q$3:$Q$503,MATCH(M987,Товары_очищенные!$L$3:$L$503,0)),"нет в каталоге")</f>
        <v>25800</v>
      </c>
      <c r="S987" s="21" t="str">
        <f>IFERROR(INDEX(Товары_очищенные!$N$3:$N$503,MATCH(M987,Товары_очищенные!$L$3:$L$503,0)),"нет в каталоге")</f>
        <v>Наушники</v>
      </c>
      <c r="T987" s="21" t="str">
        <f t="shared" si="286"/>
        <v>OK</v>
      </c>
      <c r="U987" s="12" t="str">
        <f t="shared" si="287"/>
        <v>22/05/2026|АРТ-048|C0985</v>
      </c>
      <c r="V987" s="12" t="str">
        <f t="shared" si="288"/>
        <v>оригинал</v>
      </c>
    </row>
    <row r="988" ht="15" customHeight="1">
      <c r="A988" s="10">
        <v>986</v>
      </c>
      <c r="B988" s="11" t="str">
        <f>RAW_Продажи!A987</f>
        <v>05/22/2026</v>
      </c>
      <c r="C988" s="11" t="str">
        <f>RAW_Продажи!B987</f>
        <v>АРТ_446</v>
      </c>
      <c r="D988" s="11" t="str">
        <f>RAW_Продажи!C987</f>
        <v>2</v>
      </c>
      <c r="E988" s="11" t="str">
        <f>RAW_Продажи!D987</f>
        <v>€70</v>
      </c>
      <c r="F988" s="11" t="str">
        <f>RAW_Продажи!E987</f>
        <v>C0986</v>
      </c>
      <c r="G988" s="11" t="str">
        <f>RAW_Продажи!F987</f>
        <v>P003</v>
      </c>
      <c r="H988" s="11" t="str">
        <f>RAW_Продажи!G987</f>
        <v>Завершен</v>
      </c>
      <c r="I988" s="12" t="str">
        <f t="shared" si="280"/>
        <v>446</v>
      </c>
      <c r="J988" s="12" t="str">
        <f t="shared" si="281"/>
        <v>€</v>
      </c>
      <c r="K988" s="12">
        <f t="shared" si="282"/>
        <v>70</v>
      </c>
      <c r="L988" s="19">
        <f t="shared" si="283"/>
        <v>46164</v>
      </c>
      <c r="M988" s="13" t="str">
        <f t="shared" si="284"/>
        <v>АРТ-446</v>
      </c>
      <c r="N988" s="13">
        <f t="shared" si="285"/>
        <v>2</v>
      </c>
      <c r="O988" s="13" t="str">
        <f>IFERROR(VLOOKUP(J988,Справочники!$G$6:$H$8,2,0),"RUB")</f>
        <v>EUR</v>
      </c>
      <c r="P988" s="14">
        <f>ROUND(K988*IFERROR(VLOOKUP(J988,Справочники!$G$6:$I$8,3,0),1),2)</f>
        <v>7000</v>
      </c>
      <c r="Q988" s="13" t="str">
        <f>IFERROR(VLOOKUP(H988,Справочники!$D$6:$E$14,2,0),"НЕИЗВЕСТНО")</f>
        <v>Завершен</v>
      </c>
      <c r="R988" s="20">
        <f>IFERROR(INDEX(Товары_очищенные!$Q$3:$Q$503,MATCH(M988,Товары_очищенные!$L$3:$L$503,0)),"нет в каталоге")</f>
        <v>139000</v>
      </c>
      <c r="S988" s="21" t="str">
        <f>IFERROR(INDEX(Товары_очищенные!$N$3:$N$503,MATCH(M988,Товары_очищенные!$L$3:$L$503,0)),"нет в каталоге")</f>
        <v>Ноутбуки</v>
      </c>
      <c r="T988" s="21" t="str">
        <f t="shared" si="286"/>
        <v>OK</v>
      </c>
      <c r="U988" s="12" t="str">
        <f t="shared" si="287"/>
        <v>22/05/2026|АРТ-446|C0986</v>
      </c>
      <c r="V988" s="12" t="str">
        <f t="shared" si="288"/>
        <v>оригинал</v>
      </c>
    </row>
    <row r="989" ht="15" customHeight="1">
      <c r="A989" s="10">
        <v>987</v>
      </c>
      <c r="B989" s="11" t="str">
        <f>RAW_Продажи!A988</f>
        <v>05/23/2026</v>
      </c>
      <c r="C989" s="11" t="str">
        <f>RAW_Продажи!B988</f>
        <v>358/24</v>
      </c>
      <c r="D989" s="11" t="str">
        <f>RAW_Продажи!C988</f>
        <v xml:space="preserve">1 шт.</v>
      </c>
      <c r="E989" s="11" t="str">
        <f>RAW_Продажи!D988</f>
        <v xml:space="preserve">6500 ₽</v>
      </c>
      <c r="F989" s="11" t="str">
        <f>RAW_Продажи!E988</f>
        <v>C0987</v>
      </c>
      <c r="G989" s="11" t="str">
        <f>RAW_Продажи!F988</f>
        <v>P025</v>
      </c>
      <c r="H989" s="11" t="str">
        <f>RAW_Продажи!G988</f>
        <v>завершен</v>
      </c>
      <c r="I989" s="12" t="str">
        <f t="shared" si="280"/>
        <v>358/24</v>
      </c>
      <c r="J989" s="12" t="str">
        <f t="shared" si="281"/>
        <v>₽</v>
      </c>
      <c r="K989" s="12">
        <f t="shared" si="282"/>
        <v>6500</v>
      </c>
      <c r="L989" s="19">
        <f t="shared" si="283"/>
        <v>46165</v>
      </c>
      <c r="M989" s="13" t="str">
        <f t="shared" si="284"/>
        <v>АРТ-358</v>
      </c>
      <c r="N989" s="13">
        <f t="shared" si="285"/>
        <v>1</v>
      </c>
      <c r="O989" s="13" t="str">
        <f>IFERROR(VLOOKUP(J989,Справочники!$G$6:$H$8,2,0),"RUB")</f>
        <v>RUB</v>
      </c>
      <c r="P989" s="14">
        <f>ROUND(K989*IFERROR(VLOOKUP(J989,Справочники!$G$6:$I$8,3,0),1),2)</f>
        <v>6500</v>
      </c>
      <c r="Q989" s="13" t="str">
        <f>IFERROR(VLOOKUP(H989,Справочники!$D$6:$E$14,2,0),"НЕИЗВЕСТНО")</f>
        <v>Завершен</v>
      </c>
      <c r="R989" s="20">
        <f>IFERROR(INDEX(Товары_очищенные!$Q$3:$Q$503,MATCH(M989,Товары_очищенные!$L$3:$L$503,0)),"нет в каталоге")</f>
        <v>59990</v>
      </c>
      <c r="S989" s="21" t="str">
        <f>IFERROR(INDEX(Товары_очищенные!$N$3:$N$503,MATCH(M989,Товары_очищенные!$L$3:$L$503,0)),"нет в каталоге")</f>
        <v>Планшеты</v>
      </c>
      <c r="T989" s="21" t="str">
        <f t="shared" si="286"/>
        <v>OK</v>
      </c>
      <c r="U989" s="12" t="str">
        <f t="shared" si="287"/>
        <v>23/05/2026|АРТ-358|C0987</v>
      </c>
      <c r="V989" s="12" t="str">
        <f t="shared" si="288"/>
        <v>оригинал</v>
      </c>
    </row>
    <row r="990" ht="15" customHeight="1">
      <c r="A990" s="10">
        <v>988</v>
      </c>
      <c r="B990" s="11" t="str">
        <f>RAW_Продажи!A989</f>
        <v>05/23/2026</v>
      </c>
      <c r="C990" s="11" t="str">
        <f>RAW_Продажи!B989</f>
        <v>№АРТ-140</v>
      </c>
      <c r="D990" s="11" t="str">
        <f>RAW_Продажи!C989</f>
        <v>-1</v>
      </c>
      <c r="E990" s="11" t="str">
        <f>RAW_Продажи!D989</f>
        <v>$110</v>
      </c>
      <c r="F990" s="11" t="str">
        <f>RAW_Продажи!E989</f>
        <v>C0988</v>
      </c>
      <c r="G990" s="11" t="str">
        <f>RAW_Продажи!F989</f>
        <v>P010</v>
      </c>
      <c r="H990" s="11" t="str">
        <f>RAW_Продажи!G989</f>
        <v>completed</v>
      </c>
      <c r="I990" s="12" t="str">
        <f t="shared" si="280"/>
        <v>140</v>
      </c>
      <c r="J990" s="12" t="str">
        <f t="shared" si="281"/>
        <v>$</v>
      </c>
      <c r="K990" s="12">
        <f t="shared" si="282"/>
        <v>110</v>
      </c>
      <c r="L990" s="19">
        <f t="shared" si="283"/>
        <v>46165</v>
      </c>
      <c r="M990" s="13" t="str">
        <f t="shared" si="284"/>
        <v>АРТ-140</v>
      </c>
      <c r="N990" s="13">
        <f t="shared" si="285"/>
        <v>-1</v>
      </c>
      <c r="O990" s="13" t="str">
        <f>IFERROR(VLOOKUP(J990,Справочники!$G$6:$H$8,2,0),"RUB")</f>
        <v>USD</v>
      </c>
      <c r="P990" s="14">
        <f>ROUND(K990*IFERROR(VLOOKUP(J990,Справочники!$G$6:$I$8,3,0),1),2)</f>
        <v>10450</v>
      </c>
      <c r="Q990" s="13" t="str">
        <f>IFERROR(VLOOKUP(H990,Справочники!$D$6:$E$14,2,0),"НЕИЗВЕСТНО")</f>
        <v>Завершен</v>
      </c>
      <c r="R990" s="20">
        <f>IFERROR(INDEX(Товары_очищенные!$Q$3:$Q$503,MATCH(M990,Товары_очищенные!$L$3:$L$503,0)),"нет в каталоге")</f>
        <v>87000</v>
      </c>
      <c r="S990" s="21" t="str">
        <f>IFERROR(INDEX(Товары_очищенные!$N$3:$N$503,MATCH(M990,Товары_очищенные!$L$3:$L$503,0)),"нет в каталоге")</f>
        <v>Мониторы</v>
      </c>
      <c r="T990" s="21" t="str">
        <f t="shared" si="286"/>
        <v>OK</v>
      </c>
      <c r="U990" s="12" t="str">
        <f t="shared" si="287"/>
        <v>23/05/2026|АРТ-140|C0988</v>
      </c>
      <c r="V990" s="12" t="str">
        <f t="shared" si="288"/>
        <v>оригинал</v>
      </c>
    </row>
    <row r="991" ht="15" customHeight="1">
      <c r="A991" s="10">
        <v>989</v>
      </c>
      <c r="B991" s="11" t="str">
        <f>RAW_Продажи!A990</f>
        <v>05/24/2026</v>
      </c>
      <c r="C991" s="11" t="str">
        <f>RAW_Продажи!B990</f>
        <v>АРТ_270</v>
      </c>
      <c r="D991" s="11" t="str">
        <f>RAW_Продажи!C990</f>
        <v>3</v>
      </c>
      <c r="E991" s="11" t="str">
        <f>RAW_Продажи!D990</f>
        <v>€90</v>
      </c>
      <c r="F991" s="11" t="str">
        <f>RAW_Продажи!E990</f>
        <v>C0989</v>
      </c>
      <c r="G991" s="11" t="str">
        <f>RAW_Продажи!F990</f>
        <v>P033</v>
      </c>
      <c r="H991" s="11" t="str">
        <f>RAW_Продажи!G990</f>
        <v>отменен</v>
      </c>
      <c r="I991" s="12" t="str">
        <f t="shared" si="280"/>
        <v>270</v>
      </c>
      <c r="J991" s="12" t="str">
        <f t="shared" si="281"/>
        <v>€</v>
      </c>
      <c r="K991" s="12">
        <f t="shared" si="282"/>
        <v>90</v>
      </c>
      <c r="L991" s="19">
        <f t="shared" si="283"/>
        <v>46166</v>
      </c>
      <c r="M991" s="13" t="str">
        <f t="shared" si="284"/>
        <v>АРТ-270</v>
      </c>
      <c r="N991" s="13">
        <f t="shared" si="285"/>
        <v>3</v>
      </c>
      <c r="O991" s="13" t="str">
        <f>IFERROR(VLOOKUP(J991,Справочники!$G$6:$H$8,2,0),"RUB")</f>
        <v>EUR</v>
      </c>
      <c r="P991" s="14">
        <f>ROUND(K991*IFERROR(VLOOKUP(J991,Справочники!$G$6:$I$8,3,0),1),2)</f>
        <v>9000</v>
      </c>
      <c r="Q991" s="13" t="str">
        <f>IFERROR(VLOOKUP(H991,Справочники!$D$6:$E$14,2,0),"НЕИЗВЕСТНО")</f>
        <v>Отменен</v>
      </c>
      <c r="R991" s="20">
        <f>IFERROR(INDEX(Товары_очищенные!$Q$3:$Q$503,MATCH(M991,Товары_очищенные!$L$3:$L$503,0)),"нет в каталоге")</f>
        <v>24500</v>
      </c>
      <c r="S991" s="21" t="str">
        <f>IFERROR(INDEX(Товары_очищенные!$N$3:$N$503,MATCH(M991,Товары_очищенные!$L$3:$L$503,0)),"нет в каталоге")</f>
        <v>Аксессуары</v>
      </c>
      <c r="T991" s="21" t="str">
        <f t="shared" si="286"/>
        <v>OK</v>
      </c>
      <c r="U991" s="12" t="str">
        <f t="shared" si="287"/>
        <v>24/05/2026|АРТ-270|C0989</v>
      </c>
      <c r="V991" s="12" t="str">
        <f t="shared" si="288"/>
        <v>оригинал</v>
      </c>
    </row>
    <row r="992" ht="15" customHeight="1">
      <c r="A992" s="10">
        <v>990</v>
      </c>
      <c r="B992" s="11" t="str">
        <f>RAW_Продажи!A991</f>
        <v>05/24/2026</v>
      </c>
      <c r="C992" s="11" t="str">
        <f>RAW_Продажи!B991</f>
        <v>187-24</v>
      </c>
      <c r="D992" s="11" t="str">
        <f>RAW_Продажи!C991</f>
        <v>2</v>
      </c>
      <c r="E992" s="11" t="str">
        <f>RAW_Продажи!D991</f>
        <v xml:space="preserve">8000 ₽</v>
      </c>
      <c r="F992" s="11" t="str">
        <f>RAW_Продажи!E991</f>
        <v>C0990</v>
      </c>
      <c r="G992" s="11" t="str">
        <f>RAW_Продажи!F991</f>
        <v>P047</v>
      </c>
      <c r="H992" s="11" t="str">
        <f>RAW_Продажи!G991</f>
        <v>canceled</v>
      </c>
      <c r="I992" s="12" t="str">
        <f t="shared" si="280"/>
        <v>187-24</v>
      </c>
      <c r="J992" s="12" t="str">
        <f t="shared" si="281"/>
        <v>₽</v>
      </c>
      <c r="K992" s="12">
        <f t="shared" si="282"/>
        <v>8000</v>
      </c>
      <c r="L992" s="19">
        <f t="shared" si="283"/>
        <v>46166</v>
      </c>
      <c r="M992" s="13" t="str">
        <f t="shared" si="284"/>
        <v>АРТ-187</v>
      </c>
      <c r="N992" s="13">
        <f t="shared" si="285"/>
        <v>2</v>
      </c>
      <c r="O992" s="13" t="str">
        <f>IFERROR(VLOOKUP(J992,Справочники!$G$6:$H$8,2,0),"RUB")</f>
        <v>RUB</v>
      </c>
      <c r="P992" s="14">
        <f>ROUND(K992*IFERROR(VLOOKUP(J992,Справочники!$G$6:$I$8,3,0),1),2)</f>
        <v>8000</v>
      </c>
      <c r="Q992" s="13" t="str">
        <f>IFERROR(VLOOKUP(H992,Справочники!$D$6:$E$14,2,0),"НЕИЗВЕСТНО")</f>
        <v>Отменен</v>
      </c>
      <c r="R992" s="20">
        <f>IFERROR(INDEX(Товары_очищенные!$Q$3:$Q$503,MATCH(M992,Товары_очищенные!$L$3:$L$503,0)),"нет в каталоге")</f>
        <v>49990</v>
      </c>
      <c r="S992" s="21" t="str">
        <f>IFERROR(INDEX(Товары_очищенные!$N$3:$N$503,MATCH(M992,Товары_очищенные!$L$3:$L$503,0)),"нет в каталоге")</f>
        <v>Часы</v>
      </c>
      <c r="T992" s="21" t="str">
        <f t="shared" si="286"/>
        <v>OK</v>
      </c>
      <c r="U992" s="12" t="str">
        <f t="shared" si="287"/>
        <v>24/05/2026|АРТ-187|C0990</v>
      </c>
      <c r="V992" s="12" t="str">
        <f t="shared" si="288"/>
        <v>оригинал</v>
      </c>
    </row>
    <row r="993" ht="15" customHeight="1">
      <c r="A993" s="10">
        <v>991</v>
      </c>
      <c r="B993" s="11" t="str">
        <f>RAW_Продажи!A992</f>
        <v>05/25/2026</v>
      </c>
      <c r="C993" s="11" t="str">
        <f>RAW_Продажи!B992</f>
        <v>№АРТ-163</v>
      </c>
      <c r="D993" s="11" t="str">
        <f>RAW_Продажи!C992</f>
        <v>1</v>
      </c>
      <c r="E993" s="11" t="str">
        <f>RAW_Продажи!D992</f>
        <v>$95</v>
      </c>
      <c r="F993" s="11" t="str">
        <f>RAW_Продажи!E992</f>
        <v>C0991</v>
      </c>
      <c r="G993" s="11" t="str">
        <f>RAW_Продажи!F992</f>
        <v>P020</v>
      </c>
      <c r="H993" s="11" t="str">
        <f>RAW_Продажи!G992</f>
        <v>Завершен</v>
      </c>
      <c r="I993" s="12" t="str">
        <f t="shared" si="280"/>
        <v>163</v>
      </c>
      <c r="J993" s="12" t="str">
        <f t="shared" si="281"/>
        <v>$</v>
      </c>
      <c r="K993" s="12">
        <f t="shared" si="282"/>
        <v>95</v>
      </c>
      <c r="L993" s="19">
        <f t="shared" si="283"/>
        <v>46167</v>
      </c>
      <c r="M993" s="13" t="str">
        <f t="shared" si="284"/>
        <v>АРТ-163</v>
      </c>
      <c r="N993" s="13">
        <f t="shared" si="285"/>
        <v>1</v>
      </c>
      <c r="O993" s="13" t="str">
        <f>IFERROR(VLOOKUP(J993,Справочники!$G$6:$H$8,2,0),"RUB")</f>
        <v>USD</v>
      </c>
      <c r="P993" s="14">
        <f>ROUND(K993*IFERROR(VLOOKUP(J993,Справочники!$G$6:$I$8,3,0),1),2)</f>
        <v>9025</v>
      </c>
      <c r="Q993" s="13" t="str">
        <f>IFERROR(VLOOKUP(H993,Справочники!$D$6:$E$14,2,0),"НЕИЗВЕСТНО")</f>
        <v>Завершен</v>
      </c>
      <c r="R993" s="20">
        <f>IFERROR(INDEX(Товары_очищенные!$Q$3:$Q$503,MATCH(M993,Товары_очищенные!$L$3:$L$503,0)),"нет в каталоге")</f>
        <v>29990</v>
      </c>
      <c r="S993" s="21" t="str">
        <f>IFERROR(INDEX(Товары_очищенные!$N$3:$N$503,MATCH(M993,Товары_очищенные!$L$3:$L$503,0)),"нет в каталоге")</f>
        <v>Часы</v>
      </c>
      <c r="T993" s="21" t="str">
        <f t="shared" si="286"/>
        <v>OK</v>
      </c>
      <c r="U993" s="12" t="str">
        <f t="shared" si="287"/>
        <v>25/05/2026|АРТ-163|C0991</v>
      </c>
      <c r="V993" s="12" t="str">
        <f t="shared" si="288"/>
        <v>оригинал</v>
      </c>
    </row>
    <row r="994" ht="15" customHeight="1">
      <c r="A994" s="10">
        <v>992</v>
      </c>
      <c r="B994" s="11" t="str">
        <f>RAW_Продажи!A993</f>
        <v>05/25/2026</v>
      </c>
      <c r="C994" s="11" t="str">
        <f>RAW_Продажи!B993</f>
        <v>АРТ_497</v>
      </c>
      <c r="D994" s="11" t="str">
        <f>RAW_Продажи!C993</f>
        <v>2</v>
      </c>
      <c r="E994" s="11" t="str">
        <f>RAW_Продажи!D993</f>
        <v>€75</v>
      </c>
      <c r="F994" s="11" t="str">
        <f>RAW_Продажи!E993</f>
        <v>C0992</v>
      </c>
      <c r="G994" s="11" t="str">
        <f>RAW_Продажи!F993</f>
        <v>P002</v>
      </c>
      <c r="H994" s="11" t="str">
        <f>RAW_Продажи!G993</f>
        <v>возврат</v>
      </c>
      <c r="I994" s="12" t="str">
        <f t="shared" si="280"/>
        <v>497</v>
      </c>
      <c r="J994" s="12" t="str">
        <f t="shared" si="281"/>
        <v>€</v>
      </c>
      <c r="K994" s="12">
        <f t="shared" si="282"/>
        <v>75</v>
      </c>
      <c r="L994" s="19">
        <f t="shared" si="283"/>
        <v>46167</v>
      </c>
      <c r="M994" s="13" t="str">
        <f t="shared" si="284"/>
        <v>АРТ-497</v>
      </c>
      <c r="N994" s="13">
        <f t="shared" si="285"/>
        <v>2</v>
      </c>
      <c r="O994" s="13" t="str">
        <f>IFERROR(VLOOKUP(J994,Справочники!$G$6:$H$8,2,0),"RUB")</f>
        <v>EUR</v>
      </c>
      <c r="P994" s="14">
        <f>ROUND(K994*IFERROR(VLOOKUP(J994,Справочники!$G$6:$I$8,3,0),1),2)</f>
        <v>7500</v>
      </c>
      <c r="Q994" s="13" t="str">
        <f>IFERROR(VLOOKUP(H994,Справочники!$D$6:$E$14,2,0),"НЕИЗВЕСТНО")</f>
        <v>Возврат</v>
      </c>
      <c r="R994" s="20">
        <f>IFERROR(INDEX(Товары_очищенные!$Q$3:$Q$503,MATCH(M994,Товары_очищенные!$L$3:$L$503,0)),"нет в каталоге")</f>
        <v>57500</v>
      </c>
      <c r="S994" s="21" t="str">
        <f>IFERROR(INDEX(Товары_очищенные!$N$3:$N$503,MATCH(M994,Товары_очищенные!$L$3:$L$503,0)),"нет в каталоге")</f>
        <v>Мониторы</v>
      </c>
      <c r="T994" s="21" t="str">
        <f t="shared" si="286"/>
        <v>OK</v>
      </c>
      <c r="U994" s="12" t="str">
        <f t="shared" si="287"/>
        <v>25/05/2026|АРТ-497|C0992</v>
      </c>
      <c r="V994" s="12" t="str">
        <f t="shared" si="288"/>
        <v>оригинал</v>
      </c>
    </row>
    <row r="995" ht="15" customHeight="1">
      <c r="A995" s="10">
        <v>993</v>
      </c>
      <c r="B995" s="11" t="str">
        <f>RAW_Продажи!A994</f>
        <v>05/26/2026</v>
      </c>
      <c r="C995" s="11" t="str">
        <f>RAW_Продажи!B994</f>
        <v>315/24</v>
      </c>
      <c r="D995" s="11" t="str">
        <f>RAW_Продажи!C994</f>
        <v xml:space="preserve">3 шт.</v>
      </c>
      <c r="E995" s="11" t="str">
        <f>RAW_Продажи!D994</f>
        <v xml:space="preserve">7000 ₽</v>
      </c>
      <c r="F995" s="11" t="str">
        <f>RAW_Продажи!E994</f>
        <v>C0993</v>
      </c>
      <c r="G995" s="11" t="str">
        <f>RAW_Продажи!F994</f>
        <v>P038</v>
      </c>
      <c r="H995" s="11" t="str">
        <f>RAW_Продажи!G994</f>
        <v>завершен</v>
      </c>
      <c r="I995" s="12" t="str">
        <f t="shared" si="280"/>
        <v>315/24</v>
      </c>
      <c r="J995" s="12" t="str">
        <f t="shared" si="281"/>
        <v>₽</v>
      </c>
      <c r="K995" s="12">
        <f t="shared" si="282"/>
        <v>7000</v>
      </c>
      <c r="L995" s="19">
        <f t="shared" si="283"/>
        <v>46168</v>
      </c>
      <c r="M995" s="13" t="str">
        <f t="shared" si="284"/>
        <v>АРТ-315</v>
      </c>
      <c r="N995" s="13">
        <f t="shared" si="285"/>
        <v>3</v>
      </c>
      <c r="O995" s="13" t="str">
        <f>IFERROR(VLOOKUP(J995,Справочники!$G$6:$H$8,2,0),"RUB")</f>
        <v>RUB</v>
      </c>
      <c r="P995" s="14">
        <f>ROUND(K995*IFERROR(VLOOKUP(J995,Справочники!$G$6:$I$8,3,0),1),2)</f>
        <v>7000</v>
      </c>
      <c r="Q995" s="13" t="str">
        <f>IFERROR(VLOOKUP(H995,Справочники!$D$6:$E$14,2,0),"НЕИЗВЕСТНО")</f>
        <v>Завершен</v>
      </c>
      <c r="R995" s="20">
        <f>IFERROR(INDEX(Товары_очищенные!$Q$3:$Q$503,MATCH(M995,Товары_очищенные!$L$3:$L$503,0)),"нет в каталоге")</f>
        <v>72000</v>
      </c>
      <c r="S995" s="21" t="str">
        <f>IFERROR(INDEX(Товары_очищенные!$N$3:$N$503,MATCH(M995,Товары_очищенные!$L$3:$L$503,0)),"нет в каталоге")</f>
        <v>Смартфоны</v>
      </c>
      <c r="T995" s="21" t="str">
        <f t="shared" si="286"/>
        <v>OK</v>
      </c>
      <c r="U995" s="12" t="str">
        <f t="shared" si="287"/>
        <v>26/05/2026|АРТ-315|C0993</v>
      </c>
      <c r="V995" s="12" t="str">
        <f t="shared" si="288"/>
        <v>оригинал</v>
      </c>
    </row>
    <row r="996" ht="15" customHeight="1">
      <c r="A996" s="10">
        <v>994</v>
      </c>
      <c r="B996" s="11" t="str">
        <f>RAW_Продажи!A995</f>
        <v>05/26/2026</v>
      </c>
      <c r="C996" s="11" t="str">
        <f>RAW_Продажи!B995</f>
        <v>№АРТ-174</v>
      </c>
      <c r="D996" s="11" t="str">
        <f>RAW_Продажи!C995</f>
        <v>-2</v>
      </c>
      <c r="E996" s="11" t="str">
        <f>RAW_Продажи!D995</f>
        <v>$115</v>
      </c>
      <c r="F996" s="11" t="str">
        <f>RAW_Продажи!E995</f>
        <v>C0994</v>
      </c>
      <c r="G996" s="11" t="str">
        <f>RAW_Продажи!F995</f>
        <v>P016</v>
      </c>
      <c r="H996" s="11" t="str">
        <f>RAW_Продажи!G995</f>
        <v>completed</v>
      </c>
      <c r="I996" s="12" t="str">
        <f t="shared" ref="I996:I999" si="289">SUBSTITUTE(SUBSTITUTE(C996,"№АРТ-",""),"АРТ_","")</f>
        <v>174</v>
      </c>
      <c r="J996" s="12" t="str">
        <f t="shared" ref="J996:J999" si="290">IF(LEFT(TRIM(E996),1)="$","$",IF(LEFT(TRIM(E996),1)="€","€","₽"))</f>
        <v>$</v>
      </c>
      <c r="K996" s="12">
        <f t="shared" ref="K996:K999" si="291">VALUE(SUBSTITUTE(SUBSTITUTE(SUBSTITUTE(SUBSTITUTE(TRIM(E996),"$",""),"€",""),"₽","")," ",""))</f>
        <v>115</v>
      </c>
      <c r="L996" s="19">
        <f t="shared" ref="L996:L999" si="292">DATE(VALUE(MID(B996,7,4)),VALUE(LEFT(B996,2)),VALUE(MID(B996,4,2)))</f>
        <v>46168</v>
      </c>
      <c r="M996" s="13" t="str">
        <f t="shared" ref="M996:M999" si="293">"АРТ-"&amp;LEFT(I996,3)</f>
        <v>АРТ-174</v>
      </c>
      <c r="N996" s="13">
        <f t="shared" ref="N996:N999" si="294">VALUE(LEFT(TRIM(D996),FIND(" ",TRIM(D996)&amp;" ")-1))</f>
        <v>-2</v>
      </c>
      <c r="O996" s="13" t="str">
        <f>IFERROR(VLOOKUP(J996,Справочники!$G$6:$H$8,2,0),"RUB")</f>
        <v>USD</v>
      </c>
      <c r="P996" s="14">
        <f>ROUND(K996*IFERROR(VLOOKUP(J996,Справочники!$G$6:$I$8,3,0),1),2)</f>
        <v>10925</v>
      </c>
      <c r="Q996" s="13" t="str">
        <f>IFERROR(VLOOKUP(H996,Справочники!$D$6:$E$14,2,0),"НЕИЗВЕСТНО")</f>
        <v>Завершен</v>
      </c>
      <c r="R996" s="20">
        <f>IFERROR(INDEX(Товары_очищенные!$Q$3:$Q$503,MATCH(M996,Товары_очищенные!$L$3:$L$503,0)),"нет в каталоге")</f>
        <v>107500</v>
      </c>
      <c r="S996" s="21" t="str">
        <f>IFERROR(INDEX(Товары_очищенные!$N$3:$N$503,MATCH(M996,Товары_очищенные!$L$3:$L$503,0)),"нет в каталоге")</f>
        <v>Ноутбуки</v>
      </c>
      <c r="T996" s="21" t="str">
        <f t="shared" ref="T996:T999" si="295">IF(ISNUMBER(R996),IF(P996&lt;=R996*1.5,"OK","Цена выше розницы"),"—")</f>
        <v>OK</v>
      </c>
      <c r="U996" s="12" t="str">
        <f t="shared" ref="U996:U999" si="296">TEXT(L996,"DD.MM.YYYY")&amp;"|"&amp;M996&amp;"|"&amp;F996</f>
        <v>26/05/2026|АРТ-174|C0994</v>
      </c>
      <c r="V996" s="12" t="str">
        <f t="shared" ref="V996:V999" si="297">IF(COUNTIF($U$3:U996,U996)&gt;1,"ДУБЛЬ","оригинал")</f>
        <v>оригинал</v>
      </c>
    </row>
    <row r="997" ht="15" customHeight="1">
      <c r="A997" s="10">
        <v>995</v>
      </c>
      <c r="B997" s="11" t="str">
        <f>RAW_Продажи!A996</f>
        <v>05/27/2026</v>
      </c>
      <c r="C997" s="11" t="str">
        <f>RAW_Продажи!B996</f>
        <v>АРТ_269</v>
      </c>
      <c r="D997" s="11" t="str">
        <f>RAW_Продажи!C996</f>
        <v>1</v>
      </c>
      <c r="E997" s="11" t="str">
        <f>RAW_Продажи!D996</f>
        <v>€95</v>
      </c>
      <c r="F997" s="11" t="str">
        <f>RAW_Продажи!E996</f>
        <v>C0995</v>
      </c>
      <c r="G997" s="11" t="str">
        <f>RAW_Продажи!F996</f>
        <v>P029</v>
      </c>
      <c r="H997" s="11" t="str">
        <f>RAW_Продажи!G996</f>
        <v>Завершен</v>
      </c>
      <c r="I997" s="12" t="str">
        <f t="shared" si="289"/>
        <v>269</v>
      </c>
      <c r="J997" s="12" t="str">
        <f t="shared" si="290"/>
        <v>€</v>
      </c>
      <c r="K997" s="12">
        <f t="shared" si="291"/>
        <v>95</v>
      </c>
      <c r="L997" s="19">
        <f t="shared" si="292"/>
        <v>46169</v>
      </c>
      <c r="M997" s="13" t="str">
        <f t="shared" si="293"/>
        <v>АРТ-269</v>
      </c>
      <c r="N997" s="13">
        <f t="shared" si="294"/>
        <v>1</v>
      </c>
      <c r="O997" s="13" t="str">
        <f>IFERROR(VLOOKUP(J997,Справочники!$G$6:$H$8,2,0),"RUB")</f>
        <v>EUR</v>
      </c>
      <c r="P997" s="14">
        <f>ROUND(K997*IFERROR(VLOOKUP(J997,Справочники!$G$6:$I$8,3,0),1),2)</f>
        <v>9500</v>
      </c>
      <c r="Q997" s="13" t="str">
        <f>IFERROR(VLOOKUP(H997,Справочники!$D$6:$E$14,2,0),"НЕИЗВЕСТНО")</f>
        <v>Завершен</v>
      </c>
      <c r="R997" s="20">
        <f>IFERROR(INDEX(Товары_очищенные!$Q$3:$Q$503,MATCH(M997,Товары_очищенные!$L$3:$L$503,0)),"нет в каталоге")</f>
        <v>21500</v>
      </c>
      <c r="S997" s="21" t="str">
        <f>IFERROR(INDEX(Товары_очищенные!$N$3:$N$503,MATCH(M997,Товары_очищенные!$L$3:$L$503,0)),"нет в каталоге")</f>
        <v>Аксессуары</v>
      </c>
      <c r="T997" s="21" t="str">
        <f t="shared" si="295"/>
        <v>OK</v>
      </c>
      <c r="U997" s="12" t="str">
        <f t="shared" si="296"/>
        <v>27/05/2026|АРТ-269|C0995</v>
      </c>
      <c r="V997" s="12" t="str">
        <f t="shared" si="297"/>
        <v>оригинал</v>
      </c>
    </row>
    <row r="998" ht="15" customHeight="1">
      <c r="A998" s="10">
        <v>996</v>
      </c>
      <c r="B998" s="11" t="str">
        <f>RAW_Продажи!A997</f>
        <v>05/27/2026</v>
      </c>
      <c r="C998" s="11" t="str">
        <f>RAW_Продажи!B997</f>
        <v>289-24</v>
      </c>
      <c r="D998" s="11" t="str">
        <f>RAW_Продажи!C997</f>
        <v>2</v>
      </c>
      <c r="E998" s="11" t="str">
        <f>RAW_Продажи!D997</f>
        <v xml:space="preserve">8500 ₽</v>
      </c>
      <c r="F998" s="11" t="str">
        <f>RAW_Продажи!E997</f>
        <v>C0996</v>
      </c>
      <c r="G998" s="11" t="str">
        <f>RAW_Продажи!F997</f>
        <v>P035</v>
      </c>
      <c r="H998" s="11" t="str">
        <f>RAW_Продажи!G997</f>
        <v>canceled</v>
      </c>
      <c r="I998" s="12" t="str">
        <f t="shared" si="289"/>
        <v>289-24</v>
      </c>
      <c r="J998" s="12" t="str">
        <f t="shared" si="290"/>
        <v>₽</v>
      </c>
      <c r="K998" s="12">
        <f t="shared" si="291"/>
        <v>8500</v>
      </c>
      <c r="L998" s="19">
        <f t="shared" si="292"/>
        <v>46169</v>
      </c>
      <c r="M998" s="13" t="str">
        <f t="shared" si="293"/>
        <v>АРТ-289</v>
      </c>
      <c r="N998" s="13">
        <f t="shared" si="294"/>
        <v>2</v>
      </c>
      <c r="O998" s="13" t="str">
        <f>IFERROR(VLOOKUP(J998,Справочники!$G$6:$H$8,2,0),"RUB")</f>
        <v>RUB</v>
      </c>
      <c r="P998" s="14">
        <f>ROUND(K998*IFERROR(VLOOKUP(J998,Справочники!$G$6:$I$8,3,0),1),2)</f>
        <v>8500</v>
      </c>
      <c r="Q998" s="13" t="str">
        <f>IFERROR(VLOOKUP(H998,Справочники!$D$6:$E$14,2,0),"НЕИЗВЕСТНО")</f>
        <v>Отменен</v>
      </c>
      <c r="R998" s="20">
        <f>IFERROR(INDEX(Товары_очищенные!$Q$3:$Q$503,MATCH(M998,Товары_очищенные!$L$3:$L$503,0)),"нет в каталоге")</f>
        <v>62990</v>
      </c>
      <c r="S998" s="21" t="str">
        <f>IFERROR(INDEX(Товары_очищенные!$N$3:$N$503,MATCH(M998,Товары_очищенные!$L$3:$L$503,0)),"нет в каталоге")</f>
        <v>Часы</v>
      </c>
      <c r="T998" s="21" t="str">
        <f t="shared" si="295"/>
        <v>OK</v>
      </c>
      <c r="U998" s="12" t="str">
        <f t="shared" si="296"/>
        <v>27/05/2026|АРТ-289|C0996</v>
      </c>
      <c r="V998" s="12" t="str">
        <f t="shared" si="297"/>
        <v>оригинал</v>
      </c>
    </row>
    <row r="999" ht="15" customHeight="1">
      <c r="A999" s="10">
        <v>997</v>
      </c>
      <c r="B999" s="11" t="str">
        <f>RAW_Продажи!A998</f>
        <v>05/28/2026</v>
      </c>
      <c r="C999" s="11" t="str">
        <f>RAW_Продажи!B998</f>
        <v>№АРТ-097</v>
      </c>
      <c r="D999" s="11" t="str">
        <f>RAW_Продажи!C998</f>
        <v>3</v>
      </c>
      <c r="E999" s="11" t="str">
        <f>RAW_Продажи!D998</f>
        <v>$105</v>
      </c>
      <c r="F999" s="11" t="str">
        <f>RAW_Продажи!E998</f>
        <v>C0997</v>
      </c>
      <c r="G999" s="11" t="str">
        <f>RAW_Продажи!F998</f>
        <v>P046</v>
      </c>
      <c r="H999" s="11" t="str">
        <f>RAW_Продажи!G998</f>
        <v>отменен</v>
      </c>
      <c r="I999" s="12" t="str">
        <f t="shared" si="289"/>
        <v>097</v>
      </c>
      <c r="J999" s="12" t="str">
        <f t="shared" si="290"/>
        <v>$</v>
      </c>
      <c r="K999" s="12">
        <f t="shared" si="291"/>
        <v>105</v>
      </c>
      <c r="L999" s="19">
        <f t="shared" si="292"/>
        <v>46170</v>
      </c>
      <c r="M999" s="13" t="str">
        <f t="shared" si="293"/>
        <v>АРТ-097</v>
      </c>
      <c r="N999" s="13">
        <f t="shared" si="294"/>
        <v>3</v>
      </c>
      <c r="O999" s="13" t="str">
        <f>IFERROR(VLOOKUP(J999,Справочники!$G$6:$H$8,2,0),"RUB")</f>
        <v>USD</v>
      </c>
      <c r="P999" s="14">
        <f>ROUND(K999*IFERROR(VLOOKUP(J999,Справочники!$G$6:$I$8,3,0),1),2)</f>
        <v>9975</v>
      </c>
      <c r="Q999" s="13" t="str">
        <f>IFERROR(VLOOKUP(H999,Справочники!$D$6:$E$14,2,0),"НЕИЗВЕСТНО")</f>
        <v>Отменен</v>
      </c>
      <c r="R999" s="20">
        <f>IFERROR(INDEX(Товары_очищенные!$Q$3:$Q$503,MATCH(M999,Товары_очищенные!$L$3:$L$503,0)),"нет в каталоге")</f>
        <v>6990</v>
      </c>
      <c r="S999" s="21" t="str">
        <f>IFERROR(INDEX(Товары_очищенные!$N$3:$N$503,MATCH(M999,Товары_очищенные!$L$3:$L$503,0)),"нет в каталоге")</f>
        <v>Аксессуары</v>
      </c>
      <c r="T999" s="21" t="str">
        <f t="shared" si="295"/>
        <v>OK</v>
      </c>
      <c r="U999" s="12" t="str">
        <f t="shared" si="296"/>
        <v>28/05/2026|АРТ-097|C0997</v>
      </c>
      <c r="V999" s="12" t="str">
        <f t="shared" si="297"/>
        <v>оригинал</v>
      </c>
    </row>
    <row r="1000" ht="15" customHeight="1">
      <c r="A1000" s="10">
        <v>998</v>
      </c>
      <c r="B1000" s="11" t="str">
        <f>RAW_Продажи!A999</f>
        <v>05/28/2026</v>
      </c>
      <c r="C1000" s="11" t="str">
        <f>RAW_Продажи!B999</f>
        <v>АРТ_411</v>
      </c>
      <c r="D1000" s="11" t="str">
        <f>RAW_Продажи!C999</f>
        <v>2</v>
      </c>
      <c r="E1000" s="11" t="str">
        <f>RAW_Продажи!D999</f>
        <v>€85</v>
      </c>
      <c r="F1000" s="11" t="str">
        <f>RAW_Продажи!E999</f>
        <v>C0998</v>
      </c>
      <c r="G1000" s="11" t="str">
        <f>RAW_Продажи!F999</f>
        <v>P022</v>
      </c>
      <c r="H1000" s="11" t="str">
        <f>RAW_Продажи!G999</f>
        <v>возврат</v>
      </c>
      <c r="I1000" s="12" t="str">
        <f t="shared" ref="I1000:I1002" si="298">SUBSTITUTE(SUBSTITUTE(C1000,"№АРТ-",""),"АРТ_","")</f>
        <v>411</v>
      </c>
      <c r="J1000" s="12" t="str">
        <f t="shared" ref="J1000:J1002" si="299">IF(LEFT(TRIM(E1000),1)="$","$",IF(LEFT(TRIM(E1000),1)="€","€","₽"))</f>
        <v>€</v>
      </c>
      <c r="K1000" s="12">
        <f t="shared" ref="K1000:K1002" si="300">VALUE(SUBSTITUTE(SUBSTITUTE(SUBSTITUTE(SUBSTITUTE(TRIM(E1000),"$",""),"€",""),"₽","")," ",""))</f>
        <v>85</v>
      </c>
      <c r="L1000" s="19">
        <f t="shared" ref="L1000:L1002" si="301">DATE(VALUE(MID(B1000,7,4)),VALUE(LEFT(B1000,2)),VALUE(MID(B1000,4,2)))</f>
        <v>46170</v>
      </c>
      <c r="M1000" s="13" t="str">
        <f t="shared" ref="M1000:M1002" si="302">"АРТ-"&amp;LEFT(I1000,3)</f>
        <v>АРТ-411</v>
      </c>
      <c r="N1000" s="13">
        <f t="shared" ref="N1000:N1002" si="303">VALUE(LEFT(TRIM(D1000),FIND(" ",TRIM(D1000)&amp;" ")-1))</f>
        <v>2</v>
      </c>
      <c r="O1000" s="13" t="str">
        <f>IFERROR(VLOOKUP(J1000,Справочники!$G$6:$H$8,2,0),"RUB")</f>
        <v>EUR</v>
      </c>
      <c r="P1000" s="14">
        <f>ROUND(K1000*IFERROR(VLOOKUP(J1000,Справочники!$G$6:$I$8,3,0),1),2)</f>
        <v>8500</v>
      </c>
      <c r="Q1000" s="13" t="str">
        <f>IFERROR(VLOOKUP(H1000,Справочники!$D$6:$E$14,2,0),"НЕИЗВЕСТНО")</f>
        <v>Возврат</v>
      </c>
      <c r="R1000" s="20">
        <f>IFERROR(INDEX(Товары_очищенные!$Q$3:$Q$503,MATCH(M1000,Товары_очищенные!$L$3:$L$503,0)),"нет в каталоге")</f>
        <v>41500</v>
      </c>
      <c r="S1000" s="21" t="str">
        <f>IFERROR(INDEX(Товары_очищенные!$N$3:$N$503,MATCH(M1000,Товары_очищенные!$L$3:$L$503,0)),"нет в каталоге")</f>
        <v>Наушники</v>
      </c>
      <c r="T1000" s="21" t="str">
        <f t="shared" ref="T1000:T1002" si="304">IF(ISNUMBER(R1000),IF(P1000&lt;=R1000*1.5,"OK","Цена выше розницы"),"—")</f>
        <v>OK</v>
      </c>
      <c r="U1000" s="12" t="str">
        <f t="shared" ref="U1000:U1002" si="305">TEXT(L1000,"DD.MM.YYYY")&amp;"|"&amp;M1000&amp;"|"&amp;F1000</f>
        <v>28/05/2026|АРТ-411|C0998</v>
      </c>
      <c r="V1000" s="12" t="str">
        <f t="shared" ref="V1000:V1002" si="306">IF(COUNTIF($U$3:U1000,U1000)&gt;1,"ДУБЛЬ","оригинал")</f>
        <v>оригинал</v>
      </c>
    </row>
    <row r="1001" ht="15" customHeight="1">
      <c r="A1001" s="10">
        <v>999</v>
      </c>
      <c r="B1001" s="11" t="str">
        <f>RAW_Продажи!A1000</f>
        <v>05/29/2026</v>
      </c>
      <c r="C1001" s="11" t="str">
        <f>RAW_Продажи!B1000</f>
        <v>372/24</v>
      </c>
      <c r="D1001" s="11" t="str">
        <f>RAW_Продажи!C1000</f>
        <v xml:space="preserve">1 шт.</v>
      </c>
      <c r="E1001" s="11" t="str">
        <f>RAW_Продажи!D1000</f>
        <v xml:space="preserve">7800 ₽</v>
      </c>
      <c r="F1001" s="11" t="str">
        <f>RAW_Продажи!E1000</f>
        <v>C0999</v>
      </c>
      <c r="G1001" s="11" t="str">
        <f>RAW_Продажи!F1000</f>
        <v>P043</v>
      </c>
      <c r="H1001" s="11" t="str">
        <f>RAW_Продажи!G1000</f>
        <v>Завершен</v>
      </c>
      <c r="I1001" s="12" t="str">
        <f t="shared" si="298"/>
        <v>372/24</v>
      </c>
      <c r="J1001" s="12" t="str">
        <f t="shared" si="299"/>
        <v>₽</v>
      </c>
      <c r="K1001" s="12">
        <f t="shared" si="300"/>
        <v>7800</v>
      </c>
      <c r="L1001" s="19">
        <f t="shared" si="301"/>
        <v>46171</v>
      </c>
      <c r="M1001" s="13" t="str">
        <f t="shared" si="302"/>
        <v>АРТ-372</v>
      </c>
      <c r="N1001" s="13">
        <f t="shared" si="303"/>
        <v>1</v>
      </c>
      <c r="O1001" s="13" t="str">
        <f>IFERROR(VLOOKUP(J1001,Справочники!$G$6:$H$8,2,0),"RUB")</f>
        <v>RUB</v>
      </c>
      <c r="P1001" s="14">
        <f>ROUND(K1001*IFERROR(VLOOKUP(J1001,Справочники!$G$6:$I$8,3,0),1),2)</f>
        <v>7800</v>
      </c>
      <c r="Q1001" s="13" t="str">
        <f>IFERROR(VLOOKUP(H1001,Справочники!$D$6:$E$14,2,0),"НЕИЗВЕСТНО")</f>
        <v>Завершен</v>
      </c>
      <c r="R1001" s="20">
        <f>IFERROR(INDEX(Товары_очищенные!$Q$3:$Q$503,MATCH(M1001,Товары_очищенные!$L$3:$L$503,0)),"нет в каталоге")</f>
        <v>52000</v>
      </c>
      <c r="S1001" s="21" t="str">
        <f>IFERROR(INDEX(Товары_очищенные!$N$3:$N$503,MATCH(M1001,Товары_очищенные!$L$3:$L$503,0)),"нет в каталоге")</f>
        <v>Мониторы</v>
      </c>
      <c r="T1001" s="21" t="str">
        <f t="shared" si="304"/>
        <v>OK</v>
      </c>
      <c r="U1001" s="12" t="str">
        <f t="shared" si="305"/>
        <v>29/05/2026|АРТ-372|C0999</v>
      </c>
      <c r="V1001" s="12" t="str">
        <f t="shared" si="306"/>
        <v>оригинал</v>
      </c>
    </row>
    <row r="1002" ht="15" customHeight="1">
      <c r="A1002" s="10">
        <v>1000</v>
      </c>
      <c r="B1002" s="11" t="str">
        <f>RAW_Продажи!A1001</f>
        <v>05/29/2026</v>
      </c>
      <c r="C1002" s="11" t="str">
        <f>RAW_Продажи!B1001</f>
        <v>№АРТ-357</v>
      </c>
      <c r="D1002" s="11" t="str">
        <f>RAW_Продажи!C1001</f>
        <v>-3</v>
      </c>
      <c r="E1002" s="11" t="str">
        <f>RAW_Продажи!D1001</f>
        <v>$120</v>
      </c>
      <c r="F1002" s="11" t="str">
        <f>RAW_Продажи!E1001</f>
        <v>C1000</v>
      </c>
      <c r="G1002" s="11" t="str">
        <f>RAW_Продажи!F1001</f>
        <v>P030</v>
      </c>
      <c r="H1002" s="11" t="str">
        <f>RAW_Продажи!G1001</f>
        <v>завершен</v>
      </c>
      <c r="I1002" s="12" t="str">
        <f t="shared" si="298"/>
        <v>357</v>
      </c>
      <c r="J1002" s="12" t="str">
        <f t="shared" si="299"/>
        <v>$</v>
      </c>
      <c r="K1002" s="12">
        <f t="shared" si="300"/>
        <v>120</v>
      </c>
      <c r="L1002" s="19">
        <f t="shared" si="301"/>
        <v>46171</v>
      </c>
      <c r="M1002" s="13" t="str">
        <f t="shared" si="302"/>
        <v>АРТ-357</v>
      </c>
      <c r="N1002" s="13">
        <f t="shared" si="303"/>
        <v>-3</v>
      </c>
      <c r="O1002" s="13" t="str">
        <f>IFERROR(VLOOKUP(J1002,Справочники!$G$6:$H$8,2,0),"RUB")</f>
        <v>USD</v>
      </c>
      <c r="P1002" s="14">
        <f>ROUND(K1002*IFERROR(VLOOKUP(J1002,Справочники!$G$6:$I$8,3,0),1),2)</f>
        <v>11400</v>
      </c>
      <c r="Q1002" s="13" t="str">
        <f>IFERROR(VLOOKUP(H1002,Справочники!$D$6:$E$14,2,0),"НЕИЗВЕСТНО")</f>
        <v>Завершен</v>
      </c>
      <c r="R1002" s="20">
        <f>IFERROR(INDEX(Товары_очищенные!$Q$3:$Q$503,MATCH(M1002,Товары_очищенные!$L$3:$L$503,0)),"нет в каталоге")</f>
        <v>88000</v>
      </c>
      <c r="S1002" s="21" t="str">
        <f>IFERROR(INDEX(Товары_очищенные!$N$3:$N$503,MATCH(M1002,Товары_очищенные!$L$3:$L$503,0)),"нет в каталоге")</f>
        <v>Смартфоны</v>
      </c>
      <c r="T1002" s="21" t="str">
        <f t="shared" si="304"/>
        <v>OK</v>
      </c>
      <c r="U1002" s="12" t="str">
        <f t="shared" si="305"/>
        <v>29/05/2026|АРТ-357|C1000</v>
      </c>
      <c r="V1002" s="12" t="str">
        <f t="shared" si="306"/>
        <v>оригинал</v>
      </c>
    </row>
  </sheetData>
  <printOptions headings="0" gridLines="0"/>
  <pageMargins left="0.75" right="0.75" top="1" bottom="1" header="0.51181102362204689" footer="0.51181102362204689"/>
  <pageSetup paperSize="9" scale="100" fitToWidth="1" fitToHeight="1" pageOrder="downThenOver" orientation="portrait" usePrinterDefaults="1" blackAndWhite="0" draft="0" cellComments="none" useFirstPageNumber="0" errors="displayed" horizontalDpi="300" verticalDpi="300" copies="1"/>
  <headerFooter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filterMode="0">
    <outlinePr applyStyles="0" summaryBelow="1" summaryRight="1" showOutlineSymbols="1"/>
    <pageSetUpPr autoPageBreaks="1" fitToPage="0"/>
  </sheetPr>
  <sheetViews>
    <sheetView showFormulas="0" showGridLines="0" showRowColHeaders="1" showZeros="1" showRuler="1" view="normal" topLeftCell="A1" zoomScale="100" workbookViewId="0">
      <pane ySplit="2" topLeftCell="A3" activePane="bottomLeft" state="frozen"/>
      <selection activeCell="A1" activeCellId="0" sqref="A1"/>
    </sheetView>
  </sheetViews>
  <sheetFormatPr defaultColWidth="8.6796875" defaultRowHeight="14.25"/>
  <cols>
    <col customWidth="1" min="1" max="1" style="1" width="5"/>
    <col customWidth="1" min="2" max="2" style="1" width="10"/>
    <col customWidth="1" min="3" max="3" style="1" width="26"/>
    <col customWidth="1" min="4" max="4" style="1" width="14"/>
    <col customWidth="1" min="5" max="6" style="1" width="20"/>
    <col customWidth="1" min="7" max="7" style="1" width="16"/>
    <col customWidth="1" min="8" max="9" style="1" width="14"/>
    <col customWidth="1" min="10" max="10" style="1" width="20"/>
    <col customWidth="1" min="11" max="11" style="1" width="16"/>
    <col customWidth="1" min="12" max="12" style="1" width="8"/>
    <col customWidth="1" min="13" max="13" style="1" width="26"/>
    <col customWidth="1" min="14" max="14" style="1" width="18"/>
    <col customWidth="1" min="15" max="16" style="1" width="14"/>
    <col customWidth="1" min="17" max="17" style="1" width="8"/>
    <col customWidth="1" min="18" max="18" style="1" width="18"/>
    <col customWidth="1" min="19" max="20" style="1" width="20"/>
    <col customWidth="1" min="21" max="21" style="1" width="12"/>
    <col customWidth="1" min="22" max="22" style="1" width="16"/>
  </cols>
  <sheetData>
    <row r="1" ht="15" customHeight="1">
      <c r="A1" s="4" t="s">
        <v>140</v>
      </c>
    </row>
    <row r="2" ht="21.75" customHeight="1">
      <c r="A2" s="9" t="s">
        <v>76</v>
      </c>
      <c r="B2" s="9" t="s">
        <v>101</v>
      </c>
      <c r="C2" s="9" t="s">
        <v>141</v>
      </c>
      <c r="D2" s="9" t="s">
        <v>142</v>
      </c>
      <c r="E2" s="9" t="s">
        <v>105</v>
      </c>
      <c r="F2" s="9" t="s">
        <v>106</v>
      </c>
      <c r="G2" s="9" t="s">
        <v>143</v>
      </c>
      <c r="H2" s="9" t="s">
        <v>144</v>
      </c>
      <c r="I2" s="9" t="s">
        <v>109</v>
      </c>
      <c r="J2" s="9" t="s">
        <v>145</v>
      </c>
      <c r="K2" s="9" t="s">
        <v>146</v>
      </c>
      <c r="L2" s="9" t="s">
        <v>112</v>
      </c>
      <c r="M2" s="9" t="s">
        <v>147</v>
      </c>
      <c r="N2" s="9" t="s">
        <v>148</v>
      </c>
      <c r="O2" s="9" t="s">
        <v>149</v>
      </c>
      <c r="P2" s="9" t="s">
        <v>150</v>
      </c>
      <c r="Q2" s="9" t="s">
        <v>151</v>
      </c>
      <c r="R2" s="17" t="s">
        <v>152</v>
      </c>
      <c r="S2" s="9" t="s">
        <v>117</v>
      </c>
      <c r="T2" s="9" t="s">
        <v>118</v>
      </c>
      <c r="U2" s="17" t="s">
        <v>119</v>
      </c>
      <c r="V2" s="9" t="s">
        <v>153</v>
      </c>
    </row>
    <row r="3" ht="15" customHeight="1">
      <c r="A3" s="10">
        <v>1</v>
      </c>
      <c r="B3" s="11" t="str">
        <f>RAW_Клиенты!A2</f>
        <v>C0001</v>
      </c>
      <c r="C3" s="11" t="str">
        <f>RAW_Клиенты!B2</f>
        <v xml:space="preserve">Иванов Иван Иванович</v>
      </c>
      <c r="D3" s="11" t="str">
        <f>RAW_Клиенты!C2</f>
        <v>15.05.1990</v>
      </c>
      <c r="E3" s="11" t="str">
        <f>RAW_Клиенты!D2</f>
        <v>8-903-123-45-67</v>
      </c>
      <c r="F3" s="11" t="str">
        <f>RAW_Клиенты!E2</f>
        <v>ivanov@mail.ru</v>
      </c>
      <c r="G3" s="11" t="str">
        <f>RAW_Клиенты!F2</f>
        <v>Москва</v>
      </c>
      <c r="H3" s="11" t="str">
        <f>RAW_Клиенты!G2</f>
        <v>01.01.2022</v>
      </c>
      <c r="I3" s="12" t="str">
        <f t="shared" ref="I3:I9" si="307">SUBSTITUTE(SUBSTITUTE(SUBSTITUTE(SUBSTITUTE(SUBSTITUTE(SUBSTITUTE(E3," ",""),"-",""),"+",""),"(",""),")",""),CHAR(160),"")</f>
        <v>89031234567</v>
      </c>
      <c r="J3" s="12" t="str">
        <f t="shared" ref="J3:J9" si="308">SUBSTITUTE(SUBSTITUTE(TRIM(F3)," ",""),CHAR(160),"")</f>
        <v>ivanov@mail.ru</v>
      </c>
      <c r="K3" s="12" t="str">
        <f t="shared" ref="K3:K9" si="309">TRIM(SUBSTITUTE(SUBSTITUTE(TRIM(G3),"г.",""),"г ",""))</f>
        <v>Москва</v>
      </c>
      <c r="L3" s="13" t="str">
        <f t="shared" ref="L3:L9" si="310">B3</f>
        <v>C0001</v>
      </c>
      <c r="M3" s="13" t="str">
        <f t="shared" ref="M3:M9" si="311">PROPER(TRIM(C3))</f>
        <v xml:space="preserve">Иванов Иван Иванович</v>
      </c>
      <c r="N3" s="13">
        <f t="shared" ref="N3:N9" ca="1" si="312">IF(ISNUMBER(FIND(".",C3)),"инициалы: проверить",IF(SUMPRODUCT(--ISNUMBER(FIND(MID("abcdefghijklmnopqrstuvwxyz",ROW(INDIRECT("1:26")),1),LOWER(C3))))&gt;0,"латиница: транслит","OK"))</f>
        <v>0</v>
      </c>
      <c r="O3" s="19">
        <f t="shared" ref="O3:O9" si="313">IF(ISNUMBER(FIND("-",D3)),DATE(VALUE(LEFT(D3,4)),VALUE(MID(D3,6,2)),VALUE(MID(D3,9,2))),DATE(VALUE(MID(D3,7,4)),VALUE(MID(D3,4,2)),VALUE(LEFT(D3,2))))</f>
        <v>33008</v>
      </c>
      <c r="P3" s="19">
        <f t="shared" ref="P3:P9" si="314">IF(ISNUMBER(FIND("-",H3)),DATE(VALUE(LEFT(H3,4)),VALUE(MID(H3,6,2)),VALUE(MID(H3,9,2))),DATE(VALUE(MID(H3,7,4)),VALUE(MID(H3,4,2)),VALUE(LEFT(H3,2))))</f>
        <v>44562</v>
      </c>
      <c r="Q3" s="13">
        <f t="shared" ref="Q3:Q9" ca="1" si="315">DATEDIF(O3,TODAY(),"Y")</f>
        <v>36</v>
      </c>
      <c r="R3" s="13" t="str">
        <f t="shared" ref="R3:R9" si="316">IF(OR(Q3&lt;18,Q3&gt;120),"Ошибка даты рождения","OK")</f>
        <v>OK</v>
      </c>
      <c r="S3" s="13" t="str">
        <f t="shared" ref="S3:S9" si="317">IF(LEN(I3)&gt;=10,"+7 ("&amp;MID(I3,LEN(I3)-9,3)&amp;") "&amp;MID(I3,LEN(I3)-6,3)&amp;"-"&amp;MID(I3,LEN(I3)-3,2)&amp;"-"&amp;RIGHT(I3,2),"Ошибка телефона")</f>
        <v xml:space="preserve">+7 (903) 123-45-67</v>
      </c>
      <c r="T3" s="13" t="str">
        <f t="shared" ref="T3:T9" si="318">J3</f>
        <v>ivanov@mail.ru</v>
      </c>
      <c r="U3" s="13" t="str">
        <f t="shared" ref="U3:U9" si="319">IF(AND(ISNUMBER(FIND("@",J3)),ISNUMBER(FIND(".",MID(J3,FIND("@",J3),100)))),"OK","Ошибка Email")</f>
        <v>OK</v>
      </c>
      <c r="V3" s="13" t="str">
        <f>IFERROR(VLOOKUP(K3,Справочники!$K$6:$L$13,2,0),K3)</f>
        <v>Москва</v>
      </c>
    </row>
    <row r="4" ht="15" customHeight="1">
      <c r="A4" s="10">
        <v>2</v>
      </c>
      <c r="B4" s="11" t="str">
        <f>RAW_Клиенты!A3</f>
        <v>C0002</v>
      </c>
      <c r="C4" s="11" t="str">
        <f>RAW_Клиенты!B3</f>
        <v xml:space="preserve">Петров Петр Петрович</v>
      </c>
      <c r="D4" s="11" t="str">
        <f>RAW_Клиенты!C3</f>
        <v>23.08.1985</v>
      </c>
      <c r="E4" s="11" t="str">
        <f>RAW_Клиенты!D3</f>
        <v xml:space="preserve">+7 903 234-56-78</v>
      </c>
      <c r="F4" s="11" t="str">
        <f>RAW_Клиенты!E3</f>
        <v>petrov@yandex</v>
      </c>
      <c r="G4" s="11" t="str">
        <f>RAW_Клиенты!F3</f>
        <v>Санкт-Петербург</v>
      </c>
      <c r="H4" s="11" t="str">
        <f>RAW_Клиенты!G3</f>
        <v>2022-01-15</v>
      </c>
      <c r="I4" s="12" t="str">
        <f t="shared" si="307"/>
        <v>79032345678</v>
      </c>
      <c r="J4" s="12" t="str">
        <f t="shared" si="308"/>
        <v>petrov@yandex</v>
      </c>
      <c r="K4" s="12" t="str">
        <f t="shared" si="309"/>
        <v>Санкт-Петербург</v>
      </c>
      <c r="L4" s="13" t="str">
        <f t="shared" si="310"/>
        <v>C0002</v>
      </c>
      <c r="M4" s="13" t="str">
        <f t="shared" si="311"/>
        <v xml:space="preserve">Петров Петр Петрович</v>
      </c>
      <c r="N4" s="13">
        <f t="shared" ca="1" si="312"/>
        <v>0</v>
      </c>
      <c r="O4" s="19">
        <f t="shared" si="313"/>
        <v>31282</v>
      </c>
      <c r="P4" s="19">
        <f t="shared" si="314"/>
        <v>44576</v>
      </c>
      <c r="Q4" s="13">
        <f t="shared" ca="1" si="315"/>
        <v>41</v>
      </c>
      <c r="R4" s="13" t="str">
        <f t="shared" si="316"/>
        <v>OK</v>
      </c>
      <c r="S4" s="13" t="str">
        <f t="shared" si="317"/>
        <v xml:space="preserve">+7 (903) 234-56-78</v>
      </c>
      <c r="T4" s="13" t="str">
        <f t="shared" si="318"/>
        <v>petrov@yandex</v>
      </c>
      <c r="U4" s="18" t="str">
        <f t="shared" si="319"/>
        <v xml:space="preserve">Ошибка Email</v>
      </c>
      <c r="V4" s="13" t="str">
        <f>IFERROR(VLOOKUP(K4,Справочники!$K$6:$L$13,2,0),K4)</f>
        <v>Санкт-Петербург</v>
      </c>
    </row>
    <row r="5" ht="15" customHeight="1">
      <c r="A5" s="10">
        <v>3</v>
      </c>
      <c r="B5" s="11" t="str">
        <f>RAW_Клиенты!A4</f>
        <v>C0003</v>
      </c>
      <c r="C5" s="11" t="str">
        <f>RAW_Клиенты!B4</f>
        <v xml:space="preserve">Сидоров Сидор Сидорович</v>
      </c>
      <c r="D5" s="11" t="str">
        <f>RAW_Клиенты!C4</f>
        <v>12.03.1992</v>
      </c>
      <c r="E5" s="11" t="str">
        <f>RAW_Клиенты!D4</f>
        <v xml:space="preserve">8 903 345 67 89</v>
      </c>
      <c r="F5" s="11" t="str">
        <f>RAW_Клиенты!E4</f>
        <v>sidorov@gmail.com</v>
      </c>
      <c r="G5" s="11" t="str">
        <f>RAW_Клиенты!F4</f>
        <v>Екатеринбург</v>
      </c>
      <c r="H5" s="11" t="str">
        <f>RAW_Клиенты!G4</f>
        <v>15.01.2022</v>
      </c>
      <c r="I5" s="12" t="str">
        <f t="shared" si="307"/>
        <v>89033456789</v>
      </c>
      <c r="J5" s="12" t="str">
        <f t="shared" si="308"/>
        <v>sidorov@gmail.com</v>
      </c>
      <c r="K5" s="12" t="str">
        <f t="shared" si="309"/>
        <v>Екатеринбург</v>
      </c>
      <c r="L5" s="13" t="str">
        <f t="shared" si="310"/>
        <v>C0003</v>
      </c>
      <c r="M5" s="13" t="str">
        <f t="shared" si="311"/>
        <v xml:space="preserve">Сидоров Сидор Сидорович</v>
      </c>
      <c r="N5" s="13">
        <f t="shared" ca="1" si="312"/>
        <v>0</v>
      </c>
      <c r="O5" s="19">
        <f t="shared" si="313"/>
        <v>33675</v>
      </c>
      <c r="P5" s="19">
        <f t="shared" si="314"/>
        <v>44576</v>
      </c>
      <c r="Q5" s="13">
        <f t="shared" ca="1" si="315"/>
        <v>34</v>
      </c>
      <c r="R5" s="13" t="str">
        <f t="shared" si="316"/>
        <v>OK</v>
      </c>
      <c r="S5" s="13" t="str">
        <f t="shared" si="317"/>
        <v xml:space="preserve">+7 (903) 345-67-89</v>
      </c>
      <c r="T5" s="13" t="str">
        <f t="shared" si="318"/>
        <v>sidorov@gmail.com</v>
      </c>
      <c r="U5" s="13" t="str">
        <f t="shared" si="319"/>
        <v>OK</v>
      </c>
      <c r="V5" s="13" t="str">
        <f>IFERROR(VLOOKUP(K5,Справочники!$K$6:$L$13,2,0),K5)</f>
        <v>Екатеринбург</v>
      </c>
    </row>
    <row r="6" ht="15" customHeight="1">
      <c r="A6" s="10">
        <v>4</v>
      </c>
      <c r="B6" s="11" t="str">
        <f>RAW_Клиенты!A5</f>
        <v>C0004</v>
      </c>
      <c r="C6" s="11" t="str">
        <f>RAW_Клиенты!B5</f>
        <v xml:space="preserve">Кузнецова Анна Сергеевна</v>
      </c>
      <c r="D6" s="11" t="str">
        <f>RAW_Клиенты!C5</f>
        <v>07.11.1978</v>
      </c>
      <c r="E6" s="11" t="str">
        <f>RAW_Клиенты!D5</f>
        <v>+79034567890</v>
      </c>
      <c r="F6" s="11" t="str">
        <f>RAW_Клиенты!E5</f>
        <v>kuznetsova@mail</v>
      </c>
      <c r="G6" s="11" t="str">
        <f>RAW_Клиенты!F5</f>
        <v>Новосибирск</v>
      </c>
      <c r="H6" s="11" t="str">
        <f>RAW_Клиенты!G5</f>
        <v>01.02.2022</v>
      </c>
      <c r="I6" s="12" t="str">
        <f t="shared" si="307"/>
        <v>79034567890</v>
      </c>
      <c r="J6" s="12" t="str">
        <f t="shared" si="308"/>
        <v>kuznetsova@mail</v>
      </c>
      <c r="K6" s="12" t="str">
        <f t="shared" si="309"/>
        <v>Новосибирск</v>
      </c>
      <c r="L6" s="13" t="str">
        <f t="shared" si="310"/>
        <v>C0004</v>
      </c>
      <c r="M6" s="13" t="str">
        <f t="shared" si="311"/>
        <v xml:space="preserve">Кузнецова Анна Сергеевна</v>
      </c>
      <c r="N6" s="13">
        <f t="shared" ca="1" si="312"/>
        <v>0</v>
      </c>
      <c r="O6" s="19">
        <f t="shared" si="313"/>
        <v>28801</v>
      </c>
      <c r="P6" s="19">
        <f t="shared" si="314"/>
        <v>44593</v>
      </c>
      <c r="Q6" s="13">
        <f t="shared" ca="1" si="315"/>
        <v>47</v>
      </c>
      <c r="R6" s="13" t="str">
        <f t="shared" si="316"/>
        <v>OK</v>
      </c>
      <c r="S6" s="13" t="str">
        <f t="shared" si="317"/>
        <v xml:space="preserve">+7 (903) 456-78-90</v>
      </c>
      <c r="T6" s="13" t="str">
        <f t="shared" si="318"/>
        <v>kuznetsova@mail</v>
      </c>
      <c r="U6" s="18" t="str">
        <f t="shared" si="319"/>
        <v xml:space="preserve">Ошибка Email</v>
      </c>
      <c r="V6" s="13" t="str">
        <f>IFERROR(VLOOKUP(K6,Справочники!$K$6:$L$13,2,0),K6)</f>
        <v>Новосибирск</v>
      </c>
    </row>
    <row r="7" ht="15" customHeight="1">
      <c r="A7" s="10">
        <v>5</v>
      </c>
      <c r="B7" s="11" t="str">
        <f>RAW_Клиенты!A6</f>
        <v>C0005</v>
      </c>
      <c r="C7" s="11" t="str">
        <f>RAW_Клиенты!B6</f>
        <v xml:space="preserve">Смирнов Алексей Владимирович</v>
      </c>
      <c r="D7" s="11" t="str">
        <f>RAW_Клиенты!C6</f>
        <v>30.06.1995</v>
      </c>
      <c r="E7" s="11" t="str">
        <f>RAW_Клиенты!D6</f>
        <v>8-903-456-78-90</v>
      </c>
      <c r="F7" s="11" t="str">
        <f>RAW_Клиенты!E6</f>
        <v>smirnov@yandex</v>
      </c>
      <c r="G7" s="11" t="str">
        <f>RAW_Клиенты!F6</f>
        <v>Казань</v>
      </c>
      <c r="H7" s="11" t="str">
        <f>RAW_Клиенты!G6</f>
        <v>2022-02-10</v>
      </c>
      <c r="I7" s="12" t="str">
        <f t="shared" si="307"/>
        <v>89034567890</v>
      </c>
      <c r="J7" s="12" t="str">
        <f t="shared" si="308"/>
        <v>smirnov@yandex</v>
      </c>
      <c r="K7" s="12" t="str">
        <f t="shared" si="309"/>
        <v>Казань</v>
      </c>
      <c r="L7" s="13" t="str">
        <f t="shared" si="310"/>
        <v>C0005</v>
      </c>
      <c r="M7" s="13" t="str">
        <f t="shared" si="311"/>
        <v xml:space="preserve">Смирнов Алексей Владимирович</v>
      </c>
      <c r="N7" s="13">
        <f t="shared" ca="1" si="312"/>
        <v>0</v>
      </c>
      <c r="O7" s="19">
        <f t="shared" si="313"/>
        <v>34880</v>
      </c>
      <c r="P7" s="19">
        <f t="shared" si="314"/>
        <v>44602</v>
      </c>
      <c r="Q7" s="13">
        <f t="shared" ca="1" si="315"/>
        <v>31</v>
      </c>
      <c r="R7" s="13" t="str">
        <f t="shared" si="316"/>
        <v>OK</v>
      </c>
      <c r="S7" s="13" t="str">
        <f t="shared" si="317"/>
        <v xml:space="preserve">+7 (903) 456-78-90</v>
      </c>
      <c r="T7" s="13" t="str">
        <f t="shared" si="318"/>
        <v>smirnov@yandex</v>
      </c>
      <c r="U7" s="18" t="str">
        <f t="shared" si="319"/>
        <v xml:space="preserve">Ошибка Email</v>
      </c>
      <c r="V7" s="13" t="str">
        <f>IFERROR(VLOOKUP(K7,Справочники!$K$6:$L$13,2,0),K7)</f>
        <v>Казань</v>
      </c>
    </row>
    <row r="8" ht="15" customHeight="1">
      <c r="A8" s="10">
        <v>6</v>
      </c>
      <c r="B8" s="11" t="str">
        <f>RAW_Клиенты!A7</f>
        <v>C0006</v>
      </c>
      <c r="C8" s="11" t="str">
        <f>RAW_Клиенты!B7</f>
        <v xml:space="preserve">Попова Елена Дмитриевна</v>
      </c>
      <c r="D8" s="11" t="str">
        <f>RAW_Клиенты!C7</f>
        <v>14.09.1982</v>
      </c>
      <c r="E8" s="11" t="str">
        <f>RAW_Клиенты!D7</f>
        <v xml:space="preserve">8 903 567 89 01</v>
      </c>
      <c r="F8" s="11" t="str">
        <f>RAW_Клиенты!E7</f>
        <v>popova@gmail</v>
      </c>
      <c r="G8" s="11" t="str">
        <f>RAW_Клиенты!F7</f>
        <v xml:space="preserve">Нижний Новгород</v>
      </c>
      <c r="H8" s="11" t="str">
        <f>RAW_Клиенты!G7</f>
        <v>10.02.2022</v>
      </c>
      <c r="I8" s="12" t="str">
        <f t="shared" si="307"/>
        <v>89035678901</v>
      </c>
      <c r="J8" s="12" t="str">
        <f t="shared" si="308"/>
        <v>popova@gmail</v>
      </c>
      <c r="K8" s="12" t="str">
        <f t="shared" si="309"/>
        <v xml:space="preserve">Нижний Новгород</v>
      </c>
      <c r="L8" s="13" t="str">
        <f t="shared" si="310"/>
        <v>C0006</v>
      </c>
      <c r="M8" s="13" t="str">
        <f t="shared" si="311"/>
        <v xml:space="preserve">Попова Елена Дмитриевна</v>
      </c>
      <c r="N8" s="13">
        <f t="shared" ca="1" si="312"/>
        <v>0</v>
      </c>
      <c r="O8" s="19">
        <f t="shared" si="313"/>
        <v>30208</v>
      </c>
      <c r="P8" s="19">
        <f t="shared" si="314"/>
        <v>44602</v>
      </c>
      <c r="Q8" s="13">
        <f t="shared" ca="1" si="315"/>
        <v>44</v>
      </c>
      <c r="R8" s="13" t="str">
        <f t="shared" si="316"/>
        <v>OK</v>
      </c>
      <c r="S8" s="13" t="str">
        <f t="shared" si="317"/>
        <v xml:space="preserve">+7 (903) 567-89-01</v>
      </c>
      <c r="T8" s="13" t="str">
        <f t="shared" si="318"/>
        <v>popova@gmail</v>
      </c>
      <c r="U8" s="18" t="str">
        <f t="shared" si="319"/>
        <v xml:space="preserve">Ошибка Email</v>
      </c>
      <c r="V8" s="13" t="str">
        <f>IFERROR(VLOOKUP(K8,Справочники!$K$6:$L$13,2,0),K8)</f>
        <v xml:space="preserve">Нижний Новгород</v>
      </c>
    </row>
    <row r="9" ht="15" customHeight="1">
      <c r="A9" s="10">
        <v>7</v>
      </c>
      <c r="B9" s="11" t="str">
        <f>RAW_Клиенты!A8</f>
        <v>C0007</v>
      </c>
      <c r="C9" s="11" t="str">
        <f>RAW_Клиенты!B8</f>
        <v xml:space="preserve">Васильев Андрей Николаевич</v>
      </c>
      <c r="D9" s="11" t="str">
        <f>RAW_Клиенты!C8</f>
        <v>25.12.1970</v>
      </c>
      <c r="E9" s="11" t="str">
        <f>RAW_Клиенты!D8</f>
        <v>+79035678901</v>
      </c>
      <c r="F9" s="11" t="str">
        <f>RAW_Клиенты!E8</f>
        <v>vasiliev@mail</v>
      </c>
      <c r="G9" s="11" t="str">
        <f>RAW_Клиенты!F8</f>
        <v>Челябинск</v>
      </c>
      <c r="H9" s="11" t="str">
        <f>RAW_Клиенты!G8</f>
        <v>01.03.2022</v>
      </c>
      <c r="I9" s="12" t="str">
        <f t="shared" si="307"/>
        <v>79035678901</v>
      </c>
      <c r="J9" s="12" t="str">
        <f t="shared" si="308"/>
        <v>vasiliev@mail</v>
      </c>
      <c r="K9" s="12" t="str">
        <f t="shared" si="309"/>
        <v>Челябинск</v>
      </c>
      <c r="L9" s="13" t="str">
        <f t="shared" si="310"/>
        <v>C0007</v>
      </c>
      <c r="M9" s="13" t="str">
        <f t="shared" si="311"/>
        <v xml:space="preserve">Васильев Андрей Николаевич</v>
      </c>
      <c r="N9" s="13">
        <f t="shared" ca="1" si="312"/>
        <v>0</v>
      </c>
      <c r="O9" s="19">
        <f t="shared" si="313"/>
        <v>25927</v>
      </c>
      <c r="P9" s="19">
        <f t="shared" si="314"/>
        <v>44621</v>
      </c>
      <c r="Q9" s="13">
        <f t="shared" ca="1" si="315"/>
        <v>55</v>
      </c>
      <c r="R9" s="13" t="str">
        <f t="shared" si="316"/>
        <v>OK</v>
      </c>
      <c r="S9" s="13" t="str">
        <f t="shared" si="317"/>
        <v xml:space="preserve">+7 (903) 567-89-01</v>
      </c>
      <c r="T9" s="13" t="str">
        <f t="shared" si="318"/>
        <v>vasiliev@mail</v>
      </c>
      <c r="U9" s="18" t="str">
        <f t="shared" si="319"/>
        <v xml:space="preserve">Ошибка Email</v>
      </c>
      <c r="V9" s="13" t="str">
        <f>IFERROR(VLOOKUP(K9,Справочники!$K$6:$L$13,2,0),K9)</f>
        <v>Челябинск</v>
      </c>
    </row>
    <row r="10" ht="15" customHeight="1">
      <c r="A10" s="10">
        <v>8</v>
      </c>
      <c r="B10" s="11" t="str">
        <f>RAW_Клиенты!A9</f>
        <v>C0008</v>
      </c>
      <c r="C10" s="11" t="str">
        <f>RAW_Клиенты!B9</f>
        <v xml:space="preserve">Зайцева Ольга Игоревна</v>
      </c>
      <c r="D10" s="11" t="str">
        <f>RAW_Клиенты!C9</f>
        <v>19.04.1988</v>
      </c>
      <c r="E10" s="11" t="str">
        <f>RAW_Клиенты!D9</f>
        <v>8-903-678-90-12</v>
      </c>
      <c r="F10" s="11" t="str">
        <f>RAW_Клиенты!E9</f>
        <v>zaitceva@yandex</v>
      </c>
      <c r="G10" s="11" t="str">
        <f>RAW_Клиенты!F9</f>
        <v>Самара</v>
      </c>
      <c r="H10" s="11" t="str">
        <f>RAW_Клиенты!G9</f>
        <v>2022-03-15</v>
      </c>
      <c r="I10" s="12" t="str">
        <f t="shared" ref="I10:I73" si="320">SUBSTITUTE(SUBSTITUTE(SUBSTITUTE(SUBSTITUTE(SUBSTITUTE(SUBSTITUTE(E10," ",""),"-",""),"+",""),"(",""),")",""),CHAR(160),"")</f>
        <v>89036789012</v>
      </c>
      <c r="J10" s="12" t="str">
        <f t="shared" ref="J10:J73" si="321">SUBSTITUTE(SUBSTITUTE(TRIM(F10)," ",""),CHAR(160),"")</f>
        <v>zaitceva@yandex</v>
      </c>
      <c r="K10" s="12" t="str">
        <f t="shared" ref="K10:K73" si="322">TRIM(SUBSTITUTE(SUBSTITUTE(TRIM(G10),"г.",""),"г ",""))</f>
        <v>Самара</v>
      </c>
      <c r="L10" s="13" t="str">
        <f t="shared" ref="L10:L73" si="323">B10</f>
        <v>C0008</v>
      </c>
      <c r="M10" s="13" t="str">
        <f t="shared" ref="M10:M73" si="324">PROPER(TRIM(C10))</f>
        <v xml:space="preserve">Зайцева Ольга Игоревна</v>
      </c>
      <c r="N10" s="13">
        <f t="shared" ref="N10:N73" si="325">IF(ISNUMBER(FIND(".",C10)),"инициалы: проверить",IF(SUMPRODUCT(--ISNUMBER(FIND(MID("abcdefghijklmnopqrstuvwxyz",ROW(INDIRECT("1:26")),1),LOWER(C10))))&gt;0,"латиница: транслит","OK"))</f>
        <v>0</v>
      </c>
      <c r="O10" s="19">
        <f t="shared" ref="O10:O73" si="326">IF(ISNUMBER(FIND("-",D10)),DATE(VALUE(LEFT(D10,4)),VALUE(MID(D10,6,2)),VALUE(MID(D10,9,2))),DATE(VALUE(MID(D10,7,4)),VALUE(MID(D10,4,2)),VALUE(LEFT(D10,2))))</f>
        <v>32252</v>
      </c>
      <c r="P10" s="19">
        <f t="shared" ref="P10:P73" si="327">IF(ISNUMBER(FIND("-",H10)),DATE(VALUE(LEFT(H10,4)),VALUE(MID(H10,6,2)),VALUE(MID(H10,9,2))),DATE(VALUE(MID(H10,7,4)),VALUE(MID(H10,4,2)),VALUE(LEFT(H10,2))))</f>
        <v>44635</v>
      </c>
      <c r="Q10" s="13">
        <f t="shared" ref="Q10:Q73" ca="1" si="328">DATEDIF(O10,TODAY(),"Y")</f>
        <v>38</v>
      </c>
      <c r="R10" s="13" t="str">
        <f t="shared" ref="R10:R73" si="329">IF(OR(Q10&lt;18,Q10&gt;120),"Ошибка даты рождения","OK")</f>
        <v>OK</v>
      </c>
      <c r="S10" s="13" t="str">
        <f t="shared" ref="S10:S73" si="330">IF(LEN(I10)&gt;=10,"+7 ("&amp;MID(I10,LEN(I10)-9,3)&amp;") "&amp;MID(I10,LEN(I10)-6,3)&amp;"-"&amp;MID(I10,LEN(I10)-3,2)&amp;"-"&amp;RIGHT(I10,2),"Ошибка телефона")</f>
        <v xml:space="preserve">+7 (903) 678-90-12</v>
      </c>
      <c r="T10" s="13" t="str">
        <f t="shared" ref="T10:T73" si="331">J10</f>
        <v>zaitceva@yandex</v>
      </c>
      <c r="U10" s="18" t="str">
        <f t="shared" ref="U10:U73" si="332">IF(AND(ISNUMBER(FIND("@",J10)),ISNUMBER(FIND(".",MID(J10,FIND("@",J10),100)))),"OK","Ошибка Email")</f>
        <v xml:space="preserve">Ошибка Email</v>
      </c>
      <c r="V10" s="13" t="str">
        <f>IFERROR(VLOOKUP(K10,Справочники!$K$6:$L$13,2,0),K10)</f>
        <v>Самара</v>
      </c>
    </row>
    <row r="11" ht="15" customHeight="1">
      <c r="A11" s="10">
        <v>9</v>
      </c>
      <c r="B11" s="11" t="str">
        <f>RAW_Клиенты!A10</f>
        <v>C0009</v>
      </c>
      <c r="C11" s="11" t="str">
        <f>RAW_Клиенты!B10</f>
        <v xml:space="preserve">Морозов Дмитрий Алексеевич</v>
      </c>
      <c r="D11" s="11" t="str">
        <f>RAW_Клиенты!C10</f>
        <v>02.10.1993</v>
      </c>
      <c r="E11" s="11" t="str">
        <f>RAW_Клиенты!D10</f>
        <v xml:space="preserve">8 903 789 01 23</v>
      </c>
      <c r="F11" s="11" t="str">
        <f>RAW_Клиенты!E10</f>
        <v>morozov@gmail</v>
      </c>
      <c r="G11" s="11" t="str">
        <f>RAW_Клиенты!F10</f>
        <v>Омск</v>
      </c>
      <c r="H11" s="11" t="str">
        <f>RAW_Клиенты!G10</f>
        <v>15.03.2022</v>
      </c>
      <c r="I11" s="12" t="str">
        <f t="shared" si="320"/>
        <v>89037890123</v>
      </c>
      <c r="J11" s="12" t="str">
        <f t="shared" si="321"/>
        <v>morozov@gmail</v>
      </c>
      <c r="K11" s="12" t="str">
        <f t="shared" si="322"/>
        <v>Омск</v>
      </c>
      <c r="L11" s="13" t="str">
        <f t="shared" si="323"/>
        <v>C0009</v>
      </c>
      <c r="M11" s="13" t="str">
        <f t="shared" si="324"/>
        <v xml:space="preserve">Морозов Дмитрий Алексеевич</v>
      </c>
      <c r="N11" s="13">
        <f t="shared" ca="1" si="325"/>
        <v>0</v>
      </c>
      <c r="O11" s="19">
        <f t="shared" si="326"/>
        <v>34244</v>
      </c>
      <c r="P11" s="19">
        <f t="shared" si="327"/>
        <v>44635</v>
      </c>
      <c r="Q11" s="13">
        <f t="shared" ca="1" si="328"/>
        <v>32</v>
      </c>
      <c r="R11" s="13" t="str">
        <f t="shared" si="329"/>
        <v>OK</v>
      </c>
      <c r="S11" s="13" t="str">
        <f t="shared" si="330"/>
        <v xml:space="preserve">+7 (903) 789-01-23</v>
      </c>
      <c r="T11" s="13" t="str">
        <f t="shared" si="331"/>
        <v>morozov@gmail</v>
      </c>
      <c r="U11" s="18" t="str">
        <f t="shared" si="332"/>
        <v xml:space="preserve">Ошибка Email</v>
      </c>
      <c r="V11" s="13" t="str">
        <f>IFERROR(VLOOKUP(K11,Справочники!$K$6:$L$13,2,0),K11)</f>
        <v>Омск</v>
      </c>
    </row>
    <row r="12" ht="15" customHeight="1">
      <c r="A12" s="10">
        <v>10</v>
      </c>
      <c r="B12" s="11" t="str">
        <f>RAW_Клиенты!A11</f>
        <v>C0010</v>
      </c>
      <c r="C12" s="11" t="str">
        <f>RAW_Клиенты!B11</f>
        <v xml:space="preserve">Соколова Екатерина Павловна</v>
      </c>
      <c r="D12" s="11" t="str">
        <f>RAW_Клиенты!C11</f>
        <v>16.01.1976</v>
      </c>
      <c r="E12" s="11" t="str">
        <f>RAW_Клиенты!D11</f>
        <v>+79038901234</v>
      </c>
      <c r="F12" s="11" t="str">
        <f>RAW_Клиенты!E11</f>
        <v>sokolova@mail</v>
      </c>
      <c r="G12" s="11" t="str">
        <f>RAW_Клиенты!F11</f>
        <v>Ростов-на-Дону</v>
      </c>
      <c r="H12" s="11" t="str">
        <f>RAW_Клиенты!G11</f>
        <v>01.04.2022</v>
      </c>
      <c r="I12" s="12" t="str">
        <f t="shared" si="320"/>
        <v>79038901234</v>
      </c>
      <c r="J12" s="12" t="str">
        <f t="shared" si="321"/>
        <v>sokolova@mail</v>
      </c>
      <c r="K12" s="12" t="str">
        <f t="shared" si="322"/>
        <v>Ростов-на-Дону</v>
      </c>
      <c r="L12" s="13" t="str">
        <f t="shared" si="323"/>
        <v>C0010</v>
      </c>
      <c r="M12" s="13" t="str">
        <f t="shared" si="324"/>
        <v xml:space="preserve">Соколова Екатерина Павловна</v>
      </c>
      <c r="N12" s="13">
        <f t="shared" ca="1" si="325"/>
        <v>0</v>
      </c>
      <c r="O12" s="19">
        <f t="shared" si="326"/>
        <v>27775</v>
      </c>
      <c r="P12" s="19">
        <f t="shared" si="327"/>
        <v>44652</v>
      </c>
      <c r="Q12" s="13">
        <f t="shared" ca="1" si="328"/>
        <v>50</v>
      </c>
      <c r="R12" s="13" t="str">
        <f t="shared" si="329"/>
        <v>OK</v>
      </c>
      <c r="S12" s="13" t="str">
        <f t="shared" si="330"/>
        <v xml:space="preserve">+7 (903) 890-12-34</v>
      </c>
      <c r="T12" s="13" t="str">
        <f t="shared" si="331"/>
        <v>sokolova@mail</v>
      </c>
      <c r="U12" s="18" t="str">
        <f t="shared" si="332"/>
        <v xml:space="preserve">Ошибка Email</v>
      </c>
      <c r="V12" s="13" t="str">
        <f>IFERROR(VLOOKUP(K12,Справочники!$K$6:$L$13,2,0),K12)</f>
        <v>Ростов-на-Дону</v>
      </c>
    </row>
    <row r="13" ht="15" customHeight="1">
      <c r="A13" s="10">
        <v>11</v>
      </c>
      <c r="B13" s="11" t="str">
        <f>RAW_Клиенты!A12</f>
        <v>C0011</v>
      </c>
      <c r="C13" s="11" t="str">
        <f>RAW_Клиенты!B12</f>
        <v xml:space="preserve">Михайлов Сергей Иванович</v>
      </c>
      <c r="D13" s="11" t="str">
        <f>RAW_Клиенты!C12</f>
        <v>28.07.1984</v>
      </c>
      <c r="E13" s="11" t="str">
        <f>RAW_Клиенты!D12</f>
        <v>8-903-890-12-34</v>
      </c>
      <c r="F13" s="11" t="str">
        <f>RAW_Клиенты!E12</f>
        <v>mihailov@yandex</v>
      </c>
      <c r="G13" s="11" t="str">
        <f>RAW_Клиенты!F12</f>
        <v>Уфа</v>
      </c>
      <c r="H13" s="11" t="str">
        <f>RAW_Клиенты!G12</f>
        <v>2022-04-10</v>
      </c>
      <c r="I13" s="12" t="str">
        <f t="shared" si="320"/>
        <v>89038901234</v>
      </c>
      <c r="J13" s="12" t="str">
        <f t="shared" si="321"/>
        <v>mihailov@yandex</v>
      </c>
      <c r="K13" s="12" t="str">
        <f t="shared" si="322"/>
        <v>Уфа</v>
      </c>
      <c r="L13" s="13" t="str">
        <f t="shared" si="323"/>
        <v>C0011</v>
      </c>
      <c r="M13" s="13" t="str">
        <f t="shared" si="324"/>
        <v xml:space="preserve">Михайлов Сергей Иванович</v>
      </c>
      <c r="N13" s="13">
        <f t="shared" ca="1" si="325"/>
        <v>0</v>
      </c>
      <c r="O13" s="19">
        <f t="shared" si="326"/>
        <v>30891</v>
      </c>
      <c r="P13" s="19">
        <f t="shared" si="327"/>
        <v>44661</v>
      </c>
      <c r="Q13" s="13">
        <f t="shared" ca="1" si="328"/>
        <v>42</v>
      </c>
      <c r="R13" s="13" t="str">
        <f t="shared" si="329"/>
        <v>OK</v>
      </c>
      <c r="S13" s="13" t="str">
        <f t="shared" si="330"/>
        <v xml:space="preserve">+7 (903) 890-12-34</v>
      </c>
      <c r="T13" s="13" t="str">
        <f t="shared" si="331"/>
        <v>mihailov@yandex</v>
      </c>
      <c r="U13" s="18" t="str">
        <f t="shared" si="332"/>
        <v xml:space="preserve">Ошибка Email</v>
      </c>
      <c r="V13" s="13" t="str">
        <f>IFERROR(VLOOKUP(K13,Справочники!$K$6:$L$13,2,0),K13)</f>
        <v>Уфа</v>
      </c>
    </row>
    <row r="14" ht="15" customHeight="1">
      <c r="A14" s="10">
        <v>12</v>
      </c>
      <c r="B14" s="11" t="str">
        <f>RAW_Клиенты!A13</f>
        <v>C0012</v>
      </c>
      <c r="C14" s="11" t="str">
        <f>RAW_Клиенты!B13</f>
        <v xml:space="preserve">Федорова Татьяна Владимировна</v>
      </c>
      <c r="D14" s="11" t="str">
        <f>RAW_Клиенты!C13</f>
        <v>11.03.1991</v>
      </c>
      <c r="E14" s="11" t="str">
        <f>RAW_Клиенты!D13</f>
        <v xml:space="preserve">8 903 901 23 45</v>
      </c>
      <c r="F14" s="11" t="str">
        <f>RAW_Клиенты!E13</f>
        <v>fedorova@gmail</v>
      </c>
      <c r="G14" s="11" t="str">
        <f>RAW_Клиенты!F13</f>
        <v>Красноярск</v>
      </c>
      <c r="H14" s="11" t="str">
        <f>RAW_Клиенты!G13</f>
        <v>10.04.2022</v>
      </c>
      <c r="I14" s="12" t="str">
        <f t="shared" si="320"/>
        <v>89039012345</v>
      </c>
      <c r="J14" s="12" t="str">
        <f t="shared" si="321"/>
        <v>fedorova@gmail</v>
      </c>
      <c r="K14" s="12" t="str">
        <f t="shared" si="322"/>
        <v>Красноярск</v>
      </c>
      <c r="L14" s="13" t="str">
        <f t="shared" si="323"/>
        <v>C0012</v>
      </c>
      <c r="M14" s="13" t="str">
        <f t="shared" si="324"/>
        <v xml:space="preserve">Федорова Татьяна Владимировна</v>
      </c>
      <c r="N14" s="13">
        <f t="shared" ca="1" si="325"/>
        <v>0</v>
      </c>
      <c r="O14" s="19">
        <f t="shared" si="326"/>
        <v>33308</v>
      </c>
      <c r="P14" s="19">
        <f t="shared" si="327"/>
        <v>44661</v>
      </c>
      <c r="Q14" s="13">
        <f t="shared" ca="1" si="328"/>
        <v>35</v>
      </c>
      <c r="R14" s="13" t="str">
        <f t="shared" si="329"/>
        <v>OK</v>
      </c>
      <c r="S14" s="13" t="str">
        <f t="shared" si="330"/>
        <v xml:space="preserve">+7 (903) 901-23-45</v>
      </c>
      <c r="T14" s="13" t="str">
        <f t="shared" si="331"/>
        <v>fedorova@gmail</v>
      </c>
      <c r="U14" s="18" t="str">
        <f t="shared" si="332"/>
        <v xml:space="preserve">Ошибка Email</v>
      </c>
      <c r="V14" s="13" t="str">
        <f>IFERROR(VLOOKUP(K14,Справочники!$K$6:$L$13,2,0),K14)</f>
        <v>Красноярск</v>
      </c>
    </row>
    <row r="15" ht="15" customHeight="1">
      <c r="A15" s="10">
        <v>13</v>
      </c>
      <c r="B15" s="11" t="str">
        <f>RAW_Клиенты!A14</f>
        <v>C0013</v>
      </c>
      <c r="C15" s="11" t="str">
        <f>RAW_Клиенты!B14</f>
        <v xml:space="preserve">Егоров Павел Андреевич</v>
      </c>
      <c r="D15" s="11" t="str">
        <f>RAW_Клиенты!C14</f>
        <v>05.12.1973</v>
      </c>
      <c r="E15" s="11" t="str">
        <f>RAW_Клиенты!D14</f>
        <v>+79039012345</v>
      </c>
      <c r="F15" s="11" t="str">
        <f>RAW_Клиенты!E14</f>
        <v>egorov@mail</v>
      </c>
      <c r="G15" s="11" t="str">
        <f>RAW_Клиенты!F14</f>
        <v>Пермь</v>
      </c>
      <c r="H15" s="11" t="str">
        <f>RAW_Клиенты!G14</f>
        <v>01.05.2022</v>
      </c>
      <c r="I15" s="12" t="str">
        <f t="shared" si="320"/>
        <v>79039012345</v>
      </c>
      <c r="J15" s="12" t="str">
        <f t="shared" si="321"/>
        <v>egorov@mail</v>
      </c>
      <c r="K15" s="12" t="str">
        <f t="shared" si="322"/>
        <v>Пермь</v>
      </c>
      <c r="L15" s="13" t="str">
        <f t="shared" si="323"/>
        <v>C0013</v>
      </c>
      <c r="M15" s="13" t="str">
        <f t="shared" si="324"/>
        <v xml:space="preserve">Егоров Павел Андреевич</v>
      </c>
      <c r="N15" s="13">
        <f t="shared" ca="1" si="325"/>
        <v>0</v>
      </c>
      <c r="O15" s="19">
        <f t="shared" si="326"/>
        <v>27003</v>
      </c>
      <c r="P15" s="19">
        <f t="shared" si="327"/>
        <v>44682</v>
      </c>
      <c r="Q15" s="13">
        <f t="shared" ca="1" si="328"/>
        <v>52</v>
      </c>
      <c r="R15" s="13" t="str">
        <f t="shared" si="329"/>
        <v>OK</v>
      </c>
      <c r="S15" s="13" t="str">
        <f t="shared" si="330"/>
        <v xml:space="preserve">+7 (903) 901-23-45</v>
      </c>
      <c r="T15" s="13" t="str">
        <f t="shared" si="331"/>
        <v>egorov@mail</v>
      </c>
      <c r="U15" s="18" t="str">
        <f t="shared" si="332"/>
        <v xml:space="preserve">Ошибка Email</v>
      </c>
      <c r="V15" s="13" t="str">
        <f>IFERROR(VLOOKUP(K15,Справочники!$K$6:$L$13,2,0),K15)</f>
        <v>Пермь</v>
      </c>
    </row>
    <row r="16" ht="15" customHeight="1">
      <c r="A16" s="10">
        <v>14</v>
      </c>
      <c r="B16" s="11" t="str">
        <f>RAW_Клиенты!A15</f>
        <v>C0014</v>
      </c>
      <c r="C16" s="11" t="str">
        <f>RAW_Клиенты!B15</f>
        <v xml:space="preserve">Николаев Александр Сергеевич</v>
      </c>
      <c r="D16" s="11" t="str">
        <f>RAW_Клиенты!C15</f>
        <v>23.08.1986</v>
      </c>
      <c r="E16" s="11" t="str">
        <f>RAW_Клиенты!D15</f>
        <v>8-903-012-34-56</v>
      </c>
      <c r="F16" s="11" t="str">
        <f>RAW_Клиенты!E15</f>
        <v>nikolaev@yandex</v>
      </c>
      <c r="G16" s="11" t="str">
        <f>RAW_Клиенты!F15</f>
        <v>Волгоград</v>
      </c>
      <c r="H16" s="11" t="str">
        <f>RAW_Клиенты!G15</f>
        <v>2022-05-15</v>
      </c>
      <c r="I16" s="12" t="str">
        <f t="shared" si="320"/>
        <v>89030123456</v>
      </c>
      <c r="J16" s="12" t="str">
        <f t="shared" si="321"/>
        <v>nikolaev@yandex</v>
      </c>
      <c r="K16" s="12" t="str">
        <f t="shared" si="322"/>
        <v>Волгоград</v>
      </c>
      <c r="L16" s="13" t="str">
        <f t="shared" si="323"/>
        <v>C0014</v>
      </c>
      <c r="M16" s="13" t="str">
        <f t="shared" si="324"/>
        <v xml:space="preserve">Николаев Александр Сергеевич</v>
      </c>
      <c r="N16" s="13">
        <f t="shared" ca="1" si="325"/>
        <v>0</v>
      </c>
      <c r="O16" s="19">
        <f t="shared" si="326"/>
        <v>31647</v>
      </c>
      <c r="P16" s="19">
        <f t="shared" si="327"/>
        <v>44696</v>
      </c>
      <c r="Q16" s="13">
        <f t="shared" ca="1" si="328"/>
        <v>40</v>
      </c>
      <c r="R16" s="13" t="str">
        <f t="shared" si="329"/>
        <v>OK</v>
      </c>
      <c r="S16" s="13" t="str">
        <f t="shared" si="330"/>
        <v xml:space="preserve">+7 (903) 012-34-56</v>
      </c>
      <c r="T16" s="13" t="str">
        <f t="shared" si="331"/>
        <v>nikolaev@yandex</v>
      </c>
      <c r="U16" s="18" t="str">
        <f t="shared" si="332"/>
        <v xml:space="preserve">Ошибка Email</v>
      </c>
      <c r="V16" s="13" t="str">
        <f>IFERROR(VLOOKUP(K16,Справочники!$K$6:$L$13,2,0),K16)</f>
        <v>Волгоград</v>
      </c>
    </row>
    <row r="17" ht="15" customHeight="1">
      <c r="A17" s="10">
        <v>15</v>
      </c>
      <c r="B17" s="11" t="str">
        <f>RAW_Клиенты!A16</f>
        <v>C0015</v>
      </c>
      <c r="C17" s="11" t="str">
        <f>RAW_Клиенты!B16</f>
        <v xml:space="preserve">Григорьева Наталья Юрьевна</v>
      </c>
      <c r="D17" s="11" t="str">
        <f>RAW_Клиенты!C16</f>
        <v>14.05.1994</v>
      </c>
      <c r="E17" s="11" t="str">
        <f>RAW_Клиенты!D16</f>
        <v xml:space="preserve">8 903 123 45 67</v>
      </c>
      <c r="F17" s="11" t="str">
        <f>RAW_Клиенты!E16</f>
        <v>grigorieva@gmail</v>
      </c>
      <c r="G17" s="11" t="str">
        <f>RAW_Клиенты!F16</f>
        <v>Воронеж</v>
      </c>
      <c r="H17" s="11" t="str">
        <f>RAW_Клиенты!G16</f>
        <v>15.05.2022</v>
      </c>
      <c r="I17" s="12" t="str">
        <f t="shared" si="320"/>
        <v>89031234567</v>
      </c>
      <c r="J17" s="12" t="str">
        <f t="shared" si="321"/>
        <v>grigorieva@gmail</v>
      </c>
      <c r="K17" s="12" t="str">
        <f t="shared" si="322"/>
        <v>Воронеж</v>
      </c>
      <c r="L17" s="13" t="str">
        <f t="shared" si="323"/>
        <v>C0015</v>
      </c>
      <c r="M17" s="13" t="str">
        <f t="shared" si="324"/>
        <v xml:space="preserve">Григорьева Наталья Юрьевна</v>
      </c>
      <c r="N17" s="13">
        <f t="shared" ca="1" si="325"/>
        <v>0</v>
      </c>
      <c r="O17" s="19">
        <f t="shared" si="326"/>
        <v>34468</v>
      </c>
      <c r="P17" s="19">
        <f t="shared" si="327"/>
        <v>44696</v>
      </c>
      <c r="Q17" s="13">
        <f t="shared" ca="1" si="328"/>
        <v>32</v>
      </c>
      <c r="R17" s="13" t="str">
        <f t="shared" si="329"/>
        <v>OK</v>
      </c>
      <c r="S17" s="13" t="str">
        <f t="shared" si="330"/>
        <v xml:space="preserve">+7 (903) 123-45-67</v>
      </c>
      <c r="T17" s="13" t="str">
        <f t="shared" si="331"/>
        <v>grigorieva@gmail</v>
      </c>
      <c r="U17" s="18" t="str">
        <f t="shared" si="332"/>
        <v xml:space="preserve">Ошибка Email</v>
      </c>
      <c r="V17" s="13" t="str">
        <f>IFERROR(VLOOKUP(K17,Справочники!$K$6:$L$13,2,0),K17)</f>
        <v>Воронеж</v>
      </c>
    </row>
    <row r="18" ht="15" customHeight="1">
      <c r="A18" s="10">
        <v>16</v>
      </c>
      <c r="B18" s="11" t="str">
        <f>RAW_Клиенты!A17</f>
        <v>C0016</v>
      </c>
      <c r="C18" s="11" t="str">
        <f>RAW_Клиенты!B17</f>
        <v xml:space="preserve">Семенов Константин Денисович</v>
      </c>
      <c r="D18" s="11" t="str">
        <f>RAW_Клиенты!C17</f>
        <v>07.11.1979</v>
      </c>
      <c r="E18" s="11" t="str">
        <f>RAW_Клиенты!D17</f>
        <v>+79031234567</v>
      </c>
      <c r="F18" s="11" t="str">
        <f>RAW_Клиенты!E17</f>
        <v>semenov@mail</v>
      </c>
      <c r="G18" s="11" t="str">
        <f>RAW_Клиенты!F17</f>
        <v>Саратов</v>
      </c>
      <c r="H18" s="11" t="str">
        <f>RAW_Клиенты!G17</f>
        <v>01.06.2022</v>
      </c>
      <c r="I18" s="12" t="str">
        <f t="shared" si="320"/>
        <v>79031234567</v>
      </c>
      <c r="J18" s="12" t="str">
        <f t="shared" si="321"/>
        <v>semenov@mail</v>
      </c>
      <c r="K18" s="12" t="str">
        <f t="shared" si="322"/>
        <v>Саратов</v>
      </c>
      <c r="L18" s="13" t="str">
        <f t="shared" si="323"/>
        <v>C0016</v>
      </c>
      <c r="M18" s="13" t="str">
        <f t="shared" si="324"/>
        <v xml:space="preserve">Семенов Константин Денисович</v>
      </c>
      <c r="N18" s="13">
        <f t="shared" ca="1" si="325"/>
        <v>0</v>
      </c>
      <c r="O18" s="19">
        <f t="shared" si="326"/>
        <v>29166</v>
      </c>
      <c r="P18" s="19">
        <f t="shared" si="327"/>
        <v>44713</v>
      </c>
      <c r="Q18" s="13">
        <f t="shared" ca="1" si="328"/>
        <v>46</v>
      </c>
      <c r="R18" s="13" t="str">
        <f t="shared" si="329"/>
        <v>OK</v>
      </c>
      <c r="S18" s="13" t="str">
        <f t="shared" si="330"/>
        <v xml:space="preserve">+7 (903) 123-45-67</v>
      </c>
      <c r="T18" s="13" t="str">
        <f t="shared" si="331"/>
        <v>semenov@mail</v>
      </c>
      <c r="U18" s="18" t="str">
        <f t="shared" si="332"/>
        <v xml:space="preserve">Ошибка Email</v>
      </c>
      <c r="V18" s="13" t="str">
        <f>IFERROR(VLOOKUP(K18,Справочники!$K$6:$L$13,2,0),K18)</f>
        <v>Саратов</v>
      </c>
    </row>
    <row r="19" ht="15" customHeight="1">
      <c r="A19" s="10">
        <v>17</v>
      </c>
      <c r="B19" s="11" t="str">
        <f>RAW_Клиенты!A18</f>
        <v>C0017</v>
      </c>
      <c r="C19" s="11" t="str">
        <f>RAW_Клиенты!B18</f>
        <v xml:space="preserve">Игнатова Мария Петровна</v>
      </c>
      <c r="D19" s="11" t="str">
        <f>RAW_Клиенты!C18</f>
        <v>22.06.1987</v>
      </c>
      <c r="E19" s="11" t="str">
        <f>RAW_Клиенты!D18</f>
        <v>8-903-123-45-67</v>
      </c>
      <c r="F19" s="11" t="str">
        <f>RAW_Клиенты!E18</f>
        <v>ignatova@yandex</v>
      </c>
      <c r="G19" s="11" t="str">
        <f>RAW_Клиенты!F18</f>
        <v>Тольятти</v>
      </c>
      <c r="H19" s="11" t="str">
        <f>RAW_Клиенты!G18</f>
        <v>2022-06-10</v>
      </c>
      <c r="I19" s="12" t="str">
        <f t="shared" si="320"/>
        <v>89031234567</v>
      </c>
      <c r="J19" s="12" t="str">
        <f t="shared" si="321"/>
        <v>ignatova@yandex</v>
      </c>
      <c r="K19" s="12" t="str">
        <f t="shared" si="322"/>
        <v>Тольятти</v>
      </c>
      <c r="L19" s="13" t="str">
        <f t="shared" si="323"/>
        <v>C0017</v>
      </c>
      <c r="M19" s="13" t="str">
        <f t="shared" si="324"/>
        <v xml:space="preserve">Игнатова Мария Петровна</v>
      </c>
      <c r="N19" s="13">
        <f t="shared" ca="1" si="325"/>
        <v>0</v>
      </c>
      <c r="O19" s="19">
        <f t="shared" si="326"/>
        <v>31950</v>
      </c>
      <c r="P19" s="19">
        <f t="shared" si="327"/>
        <v>44722</v>
      </c>
      <c r="Q19" s="13">
        <f t="shared" ca="1" si="328"/>
        <v>39</v>
      </c>
      <c r="R19" s="13" t="str">
        <f t="shared" si="329"/>
        <v>OK</v>
      </c>
      <c r="S19" s="13" t="str">
        <f t="shared" si="330"/>
        <v xml:space="preserve">+7 (903) 123-45-67</v>
      </c>
      <c r="T19" s="13" t="str">
        <f t="shared" si="331"/>
        <v>ignatova@yandex</v>
      </c>
      <c r="U19" s="18" t="str">
        <f t="shared" si="332"/>
        <v xml:space="preserve">Ошибка Email</v>
      </c>
      <c r="V19" s="13" t="str">
        <f>IFERROR(VLOOKUP(K19,Справочники!$K$6:$L$13,2,0),K19)</f>
        <v>Тольятти</v>
      </c>
    </row>
    <row r="20" ht="15" customHeight="1">
      <c r="A20" s="10">
        <v>18</v>
      </c>
      <c r="B20" s="11" t="str">
        <f>RAW_Клиенты!A19</f>
        <v>C0018</v>
      </c>
      <c r="C20" s="11" t="str">
        <f>RAW_Клиенты!B19</f>
        <v xml:space="preserve">Поликарпов Василий Олегович</v>
      </c>
      <c r="D20" s="11" t="str">
        <f>RAW_Клиенты!C19</f>
        <v>30.09.1996</v>
      </c>
      <c r="E20" s="11" t="str">
        <f>RAW_Клиенты!D19</f>
        <v xml:space="preserve">8 903 234 56 78</v>
      </c>
      <c r="F20" s="11" t="str">
        <f>RAW_Клиенты!E19</f>
        <v>polikarpov@gmail</v>
      </c>
      <c r="G20" s="11" t="str">
        <f>RAW_Клиенты!F19</f>
        <v>Тюмень</v>
      </c>
      <c r="H20" s="11" t="str">
        <f>RAW_Клиенты!G19</f>
        <v>10.06.2022</v>
      </c>
      <c r="I20" s="12" t="str">
        <f t="shared" si="320"/>
        <v>89032345678</v>
      </c>
      <c r="J20" s="12" t="str">
        <f t="shared" si="321"/>
        <v>polikarpov@gmail</v>
      </c>
      <c r="K20" s="12" t="str">
        <f t="shared" si="322"/>
        <v>Тюмень</v>
      </c>
      <c r="L20" s="13" t="str">
        <f t="shared" si="323"/>
        <v>C0018</v>
      </c>
      <c r="M20" s="13" t="str">
        <f t="shared" si="324"/>
        <v xml:space="preserve">Поликарпов Василий Олегович</v>
      </c>
      <c r="N20" s="13">
        <f t="shared" ca="1" si="325"/>
        <v>0</v>
      </c>
      <c r="O20" s="19">
        <f t="shared" si="326"/>
        <v>35338</v>
      </c>
      <c r="P20" s="19">
        <f t="shared" si="327"/>
        <v>44722</v>
      </c>
      <c r="Q20" s="13">
        <f t="shared" ca="1" si="328"/>
        <v>29</v>
      </c>
      <c r="R20" s="13" t="str">
        <f t="shared" si="329"/>
        <v>OK</v>
      </c>
      <c r="S20" s="13" t="str">
        <f t="shared" si="330"/>
        <v xml:space="preserve">+7 (903) 234-56-78</v>
      </c>
      <c r="T20" s="13" t="str">
        <f t="shared" si="331"/>
        <v>polikarpov@gmail</v>
      </c>
      <c r="U20" s="18" t="str">
        <f t="shared" si="332"/>
        <v xml:space="preserve">Ошибка Email</v>
      </c>
      <c r="V20" s="13" t="str">
        <f>IFERROR(VLOOKUP(K20,Справочники!$K$6:$L$13,2,0),K20)</f>
        <v>Тюмень</v>
      </c>
    </row>
    <row r="21" ht="15" customHeight="1">
      <c r="A21" s="10">
        <v>19</v>
      </c>
      <c r="B21" s="11" t="str">
        <f>RAW_Клиенты!A20</f>
        <v>C0019</v>
      </c>
      <c r="C21" s="11" t="str">
        <f>RAW_Клиенты!B20</f>
        <v xml:space="preserve">Тимофеева Оксана Николаевна</v>
      </c>
      <c r="D21" s="11" t="str">
        <f>RAW_Клиенты!C20</f>
        <v>12.02.1975</v>
      </c>
      <c r="E21" s="11" t="str">
        <f>RAW_Клиенты!D20</f>
        <v>+79032345678</v>
      </c>
      <c r="F21" s="11" t="str">
        <f>RAW_Клиенты!E20</f>
        <v>timofeeva@mail</v>
      </c>
      <c r="G21" s="11" t="str">
        <f>RAW_Клиенты!F20</f>
        <v>Ижевск</v>
      </c>
      <c r="H21" s="11" t="str">
        <f>RAW_Клиенты!G20</f>
        <v>01.07.2022</v>
      </c>
      <c r="I21" s="12" t="str">
        <f t="shared" si="320"/>
        <v>79032345678</v>
      </c>
      <c r="J21" s="12" t="str">
        <f t="shared" si="321"/>
        <v>timofeeva@mail</v>
      </c>
      <c r="K21" s="12" t="str">
        <f t="shared" si="322"/>
        <v>Ижевск</v>
      </c>
      <c r="L21" s="13" t="str">
        <f t="shared" si="323"/>
        <v>C0019</v>
      </c>
      <c r="M21" s="13" t="str">
        <f t="shared" si="324"/>
        <v xml:space="preserve">Тимофеева Оксана Николаевна</v>
      </c>
      <c r="N21" s="13">
        <f t="shared" ca="1" si="325"/>
        <v>0</v>
      </c>
      <c r="O21" s="19">
        <f t="shared" si="326"/>
        <v>27437</v>
      </c>
      <c r="P21" s="19">
        <f t="shared" si="327"/>
        <v>44743</v>
      </c>
      <c r="Q21" s="13">
        <f t="shared" ca="1" si="328"/>
        <v>51</v>
      </c>
      <c r="R21" s="13" t="str">
        <f t="shared" si="329"/>
        <v>OK</v>
      </c>
      <c r="S21" s="13" t="str">
        <f t="shared" si="330"/>
        <v xml:space="preserve">+7 (903) 234-56-78</v>
      </c>
      <c r="T21" s="13" t="str">
        <f t="shared" si="331"/>
        <v>timofeeva@mail</v>
      </c>
      <c r="U21" s="18" t="str">
        <f t="shared" si="332"/>
        <v xml:space="preserve">Ошибка Email</v>
      </c>
      <c r="V21" s="13" t="str">
        <f>IFERROR(VLOOKUP(K21,Справочники!$K$6:$L$13,2,0),K21)</f>
        <v>Ижевск</v>
      </c>
    </row>
    <row r="22" ht="15" customHeight="1">
      <c r="A22" s="10">
        <v>20</v>
      </c>
      <c r="B22" s="11" t="str">
        <f>RAW_Клиенты!A21</f>
        <v>C0020</v>
      </c>
      <c r="C22" s="11" t="str">
        <f>RAW_Клиенты!B21</f>
        <v xml:space="preserve">Яковлев Артем Романович</v>
      </c>
      <c r="D22" s="11" t="str">
        <f>RAW_Клиенты!C21</f>
        <v>18.07.1983</v>
      </c>
      <c r="E22" s="11" t="str">
        <f>RAW_Клиенты!D21</f>
        <v>8-903-234-56-78</v>
      </c>
      <c r="F22" s="11" t="str">
        <f>RAW_Клиенты!E21</f>
        <v>yakovlev@yandex</v>
      </c>
      <c r="G22" s="11" t="str">
        <f>RAW_Клиенты!F21</f>
        <v>Барнаул</v>
      </c>
      <c r="H22" s="11" t="str">
        <f>RAW_Клиенты!G21</f>
        <v>2022-07-15</v>
      </c>
      <c r="I22" s="12" t="str">
        <f t="shared" si="320"/>
        <v>89032345678</v>
      </c>
      <c r="J22" s="12" t="str">
        <f t="shared" si="321"/>
        <v>yakovlev@yandex</v>
      </c>
      <c r="K22" s="12" t="str">
        <f t="shared" si="322"/>
        <v>Барнаул</v>
      </c>
      <c r="L22" s="13" t="str">
        <f t="shared" si="323"/>
        <v>C0020</v>
      </c>
      <c r="M22" s="13" t="str">
        <f t="shared" si="324"/>
        <v xml:space="preserve">Яковлев Артем Романович</v>
      </c>
      <c r="N22" s="13">
        <f t="shared" ca="1" si="325"/>
        <v>0</v>
      </c>
      <c r="O22" s="19">
        <f t="shared" si="326"/>
        <v>30515</v>
      </c>
      <c r="P22" s="19">
        <f t="shared" si="327"/>
        <v>44757</v>
      </c>
      <c r="Q22" s="13">
        <f t="shared" ca="1" si="328"/>
        <v>43</v>
      </c>
      <c r="R22" s="13" t="str">
        <f t="shared" si="329"/>
        <v>OK</v>
      </c>
      <c r="S22" s="13" t="str">
        <f t="shared" si="330"/>
        <v xml:space="preserve">+7 (903) 234-56-78</v>
      </c>
      <c r="T22" s="13" t="str">
        <f t="shared" si="331"/>
        <v>yakovlev@yandex</v>
      </c>
      <c r="U22" s="18" t="str">
        <f t="shared" si="332"/>
        <v xml:space="preserve">Ошибка Email</v>
      </c>
      <c r="V22" s="13" t="str">
        <f>IFERROR(VLOOKUP(K22,Справочники!$K$6:$L$13,2,0),K22)</f>
        <v>Барнаул</v>
      </c>
    </row>
    <row r="23" ht="15" customHeight="1">
      <c r="A23" s="10">
        <v>21</v>
      </c>
      <c r="B23" s="11" t="str">
        <f>RAW_Клиенты!A22</f>
        <v>C0021</v>
      </c>
      <c r="C23" s="11" t="str">
        <f>RAW_Клиенты!B22</f>
        <v xml:space="preserve">Медведева Кристина Сергеевна</v>
      </c>
      <c r="D23" s="11" t="str">
        <f>RAW_Клиенты!C22</f>
        <v>05.10.1990</v>
      </c>
      <c r="E23" s="11" t="str">
        <f>RAW_Клиенты!D22</f>
        <v xml:space="preserve">8 903 345 67 89</v>
      </c>
      <c r="F23" s="11" t="str">
        <f>RAW_Клиенты!E22</f>
        <v>medvedeva@gmail</v>
      </c>
      <c r="G23" s="11" t="str">
        <f>RAW_Клиенты!F22</f>
        <v>Ульяновск</v>
      </c>
      <c r="H23" s="11" t="str">
        <f>RAW_Клиенты!G22</f>
        <v>15.07.2022</v>
      </c>
      <c r="I23" s="12" t="str">
        <f t="shared" si="320"/>
        <v>89033456789</v>
      </c>
      <c r="J23" s="12" t="str">
        <f t="shared" si="321"/>
        <v>medvedeva@gmail</v>
      </c>
      <c r="K23" s="12" t="str">
        <f t="shared" si="322"/>
        <v>Ульяновск</v>
      </c>
      <c r="L23" s="13" t="str">
        <f t="shared" si="323"/>
        <v>C0021</v>
      </c>
      <c r="M23" s="13" t="str">
        <f t="shared" si="324"/>
        <v xml:space="preserve">Медведева Кристина Сергеевна</v>
      </c>
      <c r="N23" s="13">
        <f t="shared" ca="1" si="325"/>
        <v>0</v>
      </c>
      <c r="O23" s="19">
        <f t="shared" si="326"/>
        <v>33151</v>
      </c>
      <c r="P23" s="19">
        <f t="shared" si="327"/>
        <v>44757</v>
      </c>
      <c r="Q23" s="13">
        <f t="shared" ca="1" si="328"/>
        <v>35</v>
      </c>
      <c r="R23" s="13" t="str">
        <f t="shared" si="329"/>
        <v>OK</v>
      </c>
      <c r="S23" s="13" t="str">
        <f t="shared" si="330"/>
        <v xml:space="preserve">+7 (903) 345-67-89</v>
      </c>
      <c r="T23" s="13" t="str">
        <f t="shared" si="331"/>
        <v>medvedeva@gmail</v>
      </c>
      <c r="U23" s="18" t="str">
        <f t="shared" si="332"/>
        <v xml:space="preserve">Ошибка Email</v>
      </c>
      <c r="V23" s="13" t="str">
        <f>IFERROR(VLOOKUP(K23,Справочники!$K$6:$L$13,2,0),K23)</f>
        <v>Ульяновск</v>
      </c>
    </row>
    <row r="24" ht="15" customHeight="1">
      <c r="A24" s="10">
        <v>22</v>
      </c>
      <c r="B24" s="11" t="str">
        <f>RAW_Клиенты!A23</f>
        <v>C0022</v>
      </c>
      <c r="C24" s="11" t="str">
        <f>RAW_Клиенты!B23</f>
        <v xml:space="preserve">Беляев Григорий Алексеевич</v>
      </c>
      <c r="D24" s="11" t="str">
        <f>RAW_Клиенты!C23</f>
        <v>27.04.1972</v>
      </c>
      <c r="E24" s="11" t="str">
        <f>RAW_Клиенты!D23</f>
        <v>+79033456789</v>
      </c>
      <c r="F24" s="11" t="str">
        <f>RAW_Клиенты!E23</f>
        <v>belyaev@mail</v>
      </c>
      <c r="G24" s="11" t="str">
        <f>RAW_Клиенты!F23</f>
        <v>Иркутск</v>
      </c>
      <c r="H24" s="11" t="str">
        <f>RAW_Клиенты!G23</f>
        <v>01.08.2022</v>
      </c>
      <c r="I24" s="12" t="str">
        <f t="shared" si="320"/>
        <v>79033456789</v>
      </c>
      <c r="J24" s="12" t="str">
        <f t="shared" si="321"/>
        <v>belyaev@mail</v>
      </c>
      <c r="K24" s="12" t="str">
        <f t="shared" si="322"/>
        <v>Иркутск</v>
      </c>
      <c r="L24" s="13" t="str">
        <f t="shared" si="323"/>
        <v>C0022</v>
      </c>
      <c r="M24" s="13" t="str">
        <f t="shared" si="324"/>
        <v xml:space="preserve">Беляев Григорий Алексеевич</v>
      </c>
      <c r="N24" s="13">
        <f t="shared" ca="1" si="325"/>
        <v>0</v>
      </c>
      <c r="O24" s="19">
        <f t="shared" si="326"/>
        <v>26416</v>
      </c>
      <c r="P24" s="19">
        <f t="shared" si="327"/>
        <v>44774</v>
      </c>
      <c r="Q24" s="13">
        <f t="shared" ca="1" si="328"/>
        <v>54</v>
      </c>
      <c r="R24" s="13" t="str">
        <f t="shared" si="329"/>
        <v>OK</v>
      </c>
      <c r="S24" s="13" t="str">
        <f t="shared" si="330"/>
        <v xml:space="preserve">+7 (903) 345-67-89</v>
      </c>
      <c r="T24" s="13" t="str">
        <f t="shared" si="331"/>
        <v>belyaev@mail</v>
      </c>
      <c r="U24" s="18" t="str">
        <f t="shared" si="332"/>
        <v xml:space="preserve">Ошибка Email</v>
      </c>
      <c r="V24" s="13" t="str">
        <f>IFERROR(VLOOKUP(K24,Справочники!$K$6:$L$13,2,0),K24)</f>
        <v>Иркутск</v>
      </c>
    </row>
    <row r="25" ht="15" customHeight="1">
      <c r="A25" s="10">
        <v>23</v>
      </c>
      <c r="B25" s="11" t="str">
        <f>RAW_Клиенты!A24</f>
        <v>C0023</v>
      </c>
      <c r="C25" s="11" t="str">
        <f>RAW_Клиенты!B24</f>
        <v xml:space="preserve">Романова Елизавета Дмитриевна</v>
      </c>
      <c r="D25" s="11" t="str">
        <f>RAW_Клиенты!C24</f>
        <v>14.11.1984</v>
      </c>
      <c r="E25" s="11" t="str">
        <f>RAW_Клиенты!D24</f>
        <v>8-903-345-67-89</v>
      </c>
      <c r="F25" s="11" t="str">
        <f>RAW_Клиенты!E24</f>
        <v>romanova@yandex</v>
      </c>
      <c r="G25" s="11" t="str">
        <f>RAW_Клиенты!F24</f>
        <v>Хабаровск</v>
      </c>
      <c r="H25" s="11" t="str">
        <f>RAW_Клиенты!G24</f>
        <v>2022-08-10</v>
      </c>
      <c r="I25" s="12" t="str">
        <f t="shared" si="320"/>
        <v>89033456789</v>
      </c>
      <c r="J25" s="12" t="str">
        <f t="shared" si="321"/>
        <v>romanova@yandex</v>
      </c>
      <c r="K25" s="12" t="str">
        <f t="shared" si="322"/>
        <v>Хабаровск</v>
      </c>
      <c r="L25" s="13" t="str">
        <f t="shared" si="323"/>
        <v>C0023</v>
      </c>
      <c r="M25" s="13" t="str">
        <f t="shared" si="324"/>
        <v xml:space="preserve">Романова Елизавета Дмитриевна</v>
      </c>
      <c r="N25" s="13">
        <f t="shared" ca="1" si="325"/>
        <v>0</v>
      </c>
      <c r="O25" s="19">
        <f t="shared" si="326"/>
        <v>31000</v>
      </c>
      <c r="P25" s="19">
        <f t="shared" si="327"/>
        <v>44783</v>
      </c>
      <c r="Q25" s="13">
        <f t="shared" ca="1" si="328"/>
        <v>41</v>
      </c>
      <c r="R25" s="13" t="str">
        <f t="shared" si="329"/>
        <v>OK</v>
      </c>
      <c r="S25" s="13" t="str">
        <f t="shared" si="330"/>
        <v xml:space="preserve">+7 (903) 345-67-89</v>
      </c>
      <c r="T25" s="13" t="str">
        <f t="shared" si="331"/>
        <v>romanova@yandex</v>
      </c>
      <c r="U25" s="18" t="str">
        <f t="shared" si="332"/>
        <v xml:space="preserve">Ошибка Email</v>
      </c>
      <c r="V25" s="13" t="str">
        <f>IFERROR(VLOOKUP(K25,Справочники!$K$6:$L$13,2,0),K25)</f>
        <v>Хабаровск</v>
      </c>
    </row>
    <row r="26" ht="15" customHeight="1">
      <c r="A26" s="10">
        <v>24</v>
      </c>
      <c r="B26" s="11" t="str">
        <f>RAW_Клиенты!A25</f>
        <v>C0024</v>
      </c>
      <c r="C26" s="11" t="str">
        <f>RAW_Клиенты!B25</f>
        <v xml:space="preserve">Степанов Максим Владимирович</v>
      </c>
      <c r="D26" s="11" t="str">
        <f>RAW_Клиенты!C25</f>
        <v>20.03.1992</v>
      </c>
      <c r="E26" s="11" t="str">
        <f>RAW_Клиенты!D25</f>
        <v xml:space="preserve">8 903 456 78 90</v>
      </c>
      <c r="F26" s="11" t="str">
        <f>RAW_Клиенты!E25</f>
        <v>stepanov@gmail</v>
      </c>
      <c r="G26" s="11" t="str">
        <f>RAW_Клиенты!F25</f>
        <v>Ярославль</v>
      </c>
      <c r="H26" s="11" t="str">
        <f>RAW_Клиенты!G25</f>
        <v>10.08.2022</v>
      </c>
      <c r="I26" s="12" t="str">
        <f t="shared" si="320"/>
        <v>89034567890</v>
      </c>
      <c r="J26" s="12" t="str">
        <f t="shared" si="321"/>
        <v>stepanov@gmail</v>
      </c>
      <c r="K26" s="12" t="str">
        <f t="shared" si="322"/>
        <v>Ярославль</v>
      </c>
      <c r="L26" s="13" t="str">
        <f t="shared" si="323"/>
        <v>C0024</v>
      </c>
      <c r="M26" s="13" t="str">
        <f t="shared" si="324"/>
        <v xml:space="preserve">Степанов Максим Владимирович</v>
      </c>
      <c r="N26" s="13">
        <f t="shared" ca="1" si="325"/>
        <v>0</v>
      </c>
      <c r="O26" s="19">
        <f t="shared" si="326"/>
        <v>33683</v>
      </c>
      <c r="P26" s="19">
        <f t="shared" si="327"/>
        <v>44783</v>
      </c>
      <c r="Q26" s="13">
        <f t="shared" ca="1" si="328"/>
        <v>34</v>
      </c>
      <c r="R26" s="13" t="str">
        <f t="shared" si="329"/>
        <v>OK</v>
      </c>
      <c r="S26" s="13" t="str">
        <f t="shared" si="330"/>
        <v xml:space="preserve">+7 (903) 456-78-90</v>
      </c>
      <c r="T26" s="13" t="str">
        <f t="shared" si="331"/>
        <v>stepanov@gmail</v>
      </c>
      <c r="U26" s="18" t="str">
        <f t="shared" si="332"/>
        <v xml:space="preserve">Ошибка Email</v>
      </c>
      <c r="V26" s="13" t="str">
        <f>IFERROR(VLOOKUP(K26,Справочники!$K$6:$L$13,2,0),K26)</f>
        <v>Ярославль</v>
      </c>
    </row>
    <row r="27" ht="15" customHeight="1">
      <c r="A27" s="10">
        <v>25</v>
      </c>
      <c r="B27" s="11" t="str">
        <f>RAW_Клиенты!A26</f>
        <v>C0025</v>
      </c>
      <c r="C27" s="11" t="str">
        <f>RAW_Клиенты!B26</f>
        <v xml:space="preserve">Алексеева Татьяна Аркадьевна</v>
      </c>
      <c r="D27" s="11" t="str">
        <f>RAW_Клиенты!C26</f>
        <v>31.08.1976</v>
      </c>
      <c r="E27" s="11" t="str">
        <f>RAW_Клиенты!D26</f>
        <v>+79034567890</v>
      </c>
      <c r="F27" s="11" t="str">
        <f>RAW_Клиенты!E26</f>
        <v>alekseeva@mail</v>
      </c>
      <c r="G27" s="11" t="str">
        <f>RAW_Клиенты!F26</f>
        <v>Владивосток</v>
      </c>
      <c r="H27" s="11" t="str">
        <f>RAW_Клиенты!G26</f>
        <v>01.09.2022</v>
      </c>
      <c r="I27" s="12" t="str">
        <f t="shared" si="320"/>
        <v>79034567890</v>
      </c>
      <c r="J27" s="12" t="str">
        <f t="shared" si="321"/>
        <v>alekseeva@mail</v>
      </c>
      <c r="K27" s="12" t="str">
        <f t="shared" si="322"/>
        <v>Владивосток</v>
      </c>
      <c r="L27" s="13" t="str">
        <f t="shared" si="323"/>
        <v>C0025</v>
      </c>
      <c r="M27" s="13" t="str">
        <f t="shared" si="324"/>
        <v xml:space="preserve">Алексеева Татьяна Аркадьевна</v>
      </c>
      <c r="N27" s="13" t="str">
        <f t="shared" ca="1" si="325"/>
        <v>OK</v>
      </c>
      <c r="O27" s="19">
        <f t="shared" si="326"/>
        <v>28003</v>
      </c>
      <c r="P27" s="19">
        <f t="shared" si="327"/>
        <v>44805</v>
      </c>
      <c r="Q27" s="13">
        <f t="shared" ca="1" si="328"/>
        <v>50</v>
      </c>
      <c r="R27" s="13" t="str">
        <f t="shared" si="329"/>
        <v>OK</v>
      </c>
      <c r="S27" s="13" t="str">
        <f t="shared" si="330"/>
        <v xml:space="preserve">+7 (903) 456-78-90</v>
      </c>
      <c r="T27" s="13" t="str">
        <f t="shared" si="331"/>
        <v>alekseeva@mail</v>
      </c>
      <c r="U27" s="18" t="str">
        <f t="shared" si="332"/>
        <v xml:space="preserve">Ошибка Email</v>
      </c>
      <c r="V27" s="13" t="str">
        <f>IFERROR(VLOOKUP(K27,Справочники!$K$6:$L$13,2,0),K27)</f>
        <v>Владивосток</v>
      </c>
    </row>
    <row r="28" ht="15" customHeight="1">
      <c r="A28" s="10">
        <v>26</v>
      </c>
      <c r="B28" s="11" t="str">
        <f>RAW_Клиенты!A27</f>
        <v>C0026</v>
      </c>
      <c r="C28" s="11" t="str">
        <f>RAW_Клиенты!B27</f>
        <v xml:space="preserve">Лебедев Николай Павлович</v>
      </c>
      <c r="D28" s="11" t="str">
        <f>RAW_Клиенты!C27</f>
        <v>09.12.1981</v>
      </c>
      <c r="E28" s="11" t="str">
        <f>RAW_Клиенты!D27</f>
        <v>8-903-456-78-90</v>
      </c>
      <c r="F28" s="11" t="str">
        <f>RAW_Клиенты!E27</f>
        <v>lebedev@yandex</v>
      </c>
      <c r="G28" s="11" t="str">
        <f>RAW_Клиенты!F27</f>
        <v>Махачкала</v>
      </c>
      <c r="H28" s="11" t="str">
        <f>RAW_Клиенты!G27</f>
        <v>2022-09-15</v>
      </c>
      <c r="I28" s="12" t="str">
        <f t="shared" si="320"/>
        <v>89034567890</v>
      </c>
      <c r="J28" s="12" t="str">
        <f t="shared" si="321"/>
        <v>lebedev@yandex</v>
      </c>
      <c r="K28" s="12" t="str">
        <f t="shared" si="322"/>
        <v>Махачкала</v>
      </c>
      <c r="L28" s="13" t="str">
        <f t="shared" si="323"/>
        <v>C0026</v>
      </c>
      <c r="M28" s="13" t="str">
        <f t="shared" si="324"/>
        <v xml:space="preserve">Лебедев Николай Павлович</v>
      </c>
      <c r="N28" s="13" t="str">
        <f t="shared" ca="1" si="325"/>
        <v>OK</v>
      </c>
      <c r="O28" s="19">
        <f t="shared" si="326"/>
        <v>29929</v>
      </c>
      <c r="P28" s="19">
        <f t="shared" si="327"/>
        <v>44819</v>
      </c>
      <c r="Q28" s="13">
        <f t="shared" ca="1" si="328"/>
        <v>44</v>
      </c>
      <c r="R28" s="13" t="str">
        <f t="shared" si="329"/>
        <v>OK</v>
      </c>
      <c r="S28" s="13" t="str">
        <f t="shared" si="330"/>
        <v xml:space="preserve">+7 (903) 456-78-90</v>
      </c>
      <c r="T28" s="13" t="str">
        <f t="shared" si="331"/>
        <v>lebedev@yandex</v>
      </c>
      <c r="U28" s="18" t="str">
        <f t="shared" si="332"/>
        <v xml:space="preserve">Ошибка Email</v>
      </c>
      <c r="V28" s="13" t="str">
        <f>IFERROR(VLOOKUP(K28,Справочники!$K$6:$L$13,2,0),K28)</f>
        <v>Махачкала</v>
      </c>
    </row>
    <row r="29" ht="15" customHeight="1">
      <c r="A29" s="10">
        <v>27</v>
      </c>
      <c r="B29" s="11" t="str">
        <f>RAW_Клиенты!A28</f>
        <v>C0027</v>
      </c>
      <c r="C29" s="11" t="str">
        <f>RAW_Клиенты!B28</f>
        <v xml:space="preserve">Козлова Надежда Викторовна</v>
      </c>
      <c r="D29" s="11" t="str">
        <f>RAW_Клиенты!C28</f>
        <v>17.06.1989</v>
      </c>
      <c r="E29" s="11" t="str">
        <f>RAW_Клиенты!D28</f>
        <v xml:space="preserve">8 903 567 89 01</v>
      </c>
      <c r="F29" s="11" t="str">
        <f>RAW_Клиенты!E28</f>
        <v>kozlova@gmail</v>
      </c>
      <c r="G29" s="11" t="str">
        <f>RAW_Клиенты!F28</f>
        <v>Томск</v>
      </c>
      <c r="H29" s="11" t="str">
        <f>RAW_Клиенты!G28</f>
        <v>15.09.2022</v>
      </c>
      <c r="I29" s="12" t="str">
        <f t="shared" si="320"/>
        <v>89035678901</v>
      </c>
      <c r="J29" s="12" t="str">
        <f t="shared" si="321"/>
        <v>kozlova@gmail</v>
      </c>
      <c r="K29" s="12" t="str">
        <f t="shared" si="322"/>
        <v>Томск</v>
      </c>
      <c r="L29" s="13" t="str">
        <f t="shared" si="323"/>
        <v>C0027</v>
      </c>
      <c r="M29" s="13" t="str">
        <f t="shared" si="324"/>
        <v xml:space="preserve">Козлова Надежда Викторовна</v>
      </c>
      <c r="N29" s="13" t="str">
        <f t="shared" ca="1" si="325"/>
        <v>OK</v>
      </c>
      <c r="O29" s="19">
        <f t="shared" si="326"/>
        <v>32676</v>
      </c>
      <c r="P29" s="19">
        <f t="shared" si="327"/>
        <v>44819</v>
      </c>
      <c r="Q29" s="13">
        <f t="shared" ca="1" si="328"/>
        <v>37</v>
      </c>
      <c r="R29" s="13" t="str">
        <f t="shared" si="329"/>
        <v>OK</v>
      </c>
      <c r="S29" s="13" t="str">
        <f t="shared" si="330"/>
        <v xml:space="preserve">+7 (903) 567-89-01</v>
      </c>
      <c r="T29" s="13" t="str">
        <f t="shared" si="331"/>
        <v>kozlova@gmail</v>
      </c>
      <c r="U29" s="18" t="str">
        <f t="shared" si="332"/>
        <v xml:space="preserve">Ошибка Email</v>
      </c>
      <c r="V29" s="13" t="str">
        <f>IFERROR(VLOOKUP(K29,Справочники!$K$6:$L$13,2,0),K29)</f>
        <v>Томск</v>
      </c>
    </row>
    <row r="30" ht="15" customHeight="1">
      <c r="A30" s="10">
        <v>28</v>
      </c>
      <c r="B30" s="11" t="str">
        <f>RAW_Клиенты!A29</f>
        <v>C0028</v>
      </c>
      <c r="C30" s="11" t="str">
        <f>RAW_Клиенты!B29</f>
        <v xml:space="preserve">Орлов Юрий Александрович</v>
      </c>
      <c r="D30" s="11" t="str">
        <f>RAW_Клиенты!C29</f>
        <v>25.01.1977</v>
      </c>
      <c r="E30" s="11" t="str">
        <f>RAW_Клиенты!D29</f>
        <v>+79035678901</v>
      </c>
      <c r="F30" s="11" t="str">
        <f>RAW_Клиенты!E29</f>
        <v>orlov@mail</v>
      </c>
      <c r="G30" s="11" t="str">
        <f>RAW_Клиенты!F29</f>
        <v>Оренбург</v>
      </c>
      <c r="H30" s="11" t="str">
        <f>RAW_Клиенты!G29</f>
        <v>01.10.2022</v>
      </c>
      <c r="I30" s="12" t="str">
        <f t="shared" si="320"/>
        <v>79035678901</v>
      </c>
      <c r="J30" s="12" t="str">
        <f t="shared" si="321"/>
        <v>orlov@mail</v>
      </c>
      <c r="K30" s="12" t="str">
        <f t="shared" si="322"/>
        <v>Оренбург</v>
      </c>
      <c r="L30" s="13" t="str">
        <f t="shared" si="323"/>
        <v>C0028</v>
      </c>
      <c r="M30" s="13" t="str">
        <f t="shared" si="324"/>
        <v xml:space="preserve">Орлов Юрий Александрович</v>
      </c>
      <c r="N30" s="13" t="str">
        <f t="shared" ca="1" si="325"/>
        <v>OK</v>
      </c>
      <c r="O30" s="19">
        <f t="shared" si="326"/>
        <v>28150</v>
      </c>
      <c r="P30" s="19">
        <f t="shared" si="327"/>
        <v>44835</v>
      </c>
      <c r="Q30" s="13">
        <f t="shared" ca="1" si="328"/>
        <v>49</v>
      </c>
      <c r="R30" s="13" t="str">
        <f t="shared" si="329"/>
        <v>OK</v>
      </c>
      <c r="S30" s="13" t="str">
        <f t="shared" si="330"/>
        <v xml:space="preserve">+7 (903) 567-89-01</v>
      </c>
      <c r="T30" s="13" t="str">
        <f t="shared" si="331"/>
        <v>orlov@mail</v>
      </c>
      <c r="U30" s="18" t="str">
        <f t="shared" si="332"/>
        <v xml:space="preserve">Ошибка Email</v>
      </c>
      <c r="V30" s="13" t="str">
        <f>IFERROR(VLOOKUP(K30,Справочники!$K$6:$L$13,2,0),K30)</f>
        <v>Оренбург</v>
      </c>
    </row>
    <row r="31" ht="15" customHeight="1">
      <c r="A31" s="10">
        <v>29</v>
      </c>
      <c r="B31" s="11" t="str">
        <f>RAW_Клиенты!A30</f>
        <v>C0029</v>
      </c>
      <c r="C31" s="11" t="str">
        <f>RAW_Клиенты!B30</f>
        <v xml:space="preserve">Борисов Виталий Игоревич</v>
      </c>
      <c r="D31" s="11" t="str">
        <f>RAW_Клиенты!C30</f>
        <v>03.09.1991</v>
      </c>
      <c r="E31" s="11" t="str">
        <f>RAW_Клиенты!D30</f>
        <v>8-903-567-89-01</v>
      </c>
      <c r="F31" s="11" t="str">
        <f>RAW_Клиенты!E30</f>
        <v>borisov@yandex</v>
      </c>
      <c r="G31" s="11" t="str">
        <f>RAW_Клиенты!F30</f>
        <v>Кемерово</v>
      </c>
      <c r="H31" s="11" t="str">
        <f>RAW_Клиенты!G30</f>
        <v>2022-10-10</v>
      </c>
      <c r="I31" s="12" t="str">
        <f t="shared" si="320"/>
        <v>89035678901</v>
      </c>
      <c r="J31" s="12" t="str">
        <f t="shared" si="321"/>
        <v>borisov@yandex</v>
      </c>
      <c r="K31" s="12" t="str">
        <f t="shared" si="322"/>
        <v>Кемерово</v>
      </c>
      <c r="L31" s="13" t="str">
        <f t="shared" si="323"/>
        <v>C0029</v>
      </c>
      <c r="M31" s="13" t="str">
        <f t="shared" si="324"/>
        <v xml:space="preserve">Борисов Виталий Игоревич</v>
      </c>
      <c r="N31" s="13" t="str">
        <f t="shared" ca="1" si="325"/>
        <v>OK</v>
      </c>
      <c r="O31" s="19">
        <f t="shared" si="326"/>
        <v>33484</v>
      </c>
      <c r="P31" s="19">
        <f t="shared" si="327"/>
        <v>44844</v>
      </c>
      <c r="Q31" s="13">
        <f t="shared" ca="1" si="328"/>
        <v>35</v>
      </c>
      <c r="R31" s="13" t="str">
        <f t="shared" si="329"/>
        <v>OK</v>
      </c>
      <c r="S31" s="13" t="str">
        <f t="shared" si="330"/>
        <v xml:space="preserve">+7 (903) 567-89-01</v>
      </c>
      <c r="T31" s="13" t="str">
        <f t="shared" si="331"/>
        <v>borisov@yandex</v>
      </c>
      <c r="U31" s="18" t="str">
        <f t="shared" si="332"/>
        <v xml:space="preserve">Ошибка Email</v>
      </c>
      <c r="V31" s="13" t="str">
        <f>IFERROR(VLOOKUP(K31,Справочники!$K$6:$L$13,2,0),K31)</f>
        <v>Кемерово</v>
      </c>
    </row>
    <row r="32" ht="15" customHeight="1">
      <c r="A32" s="10">
        <v>30</v>
      </c>
      <c r="B32" s="11" t="str">
        <f>RAW_Клиенты!A31</f>
        <v>C0030</v>
      </c>
      <c r="C32" s="11" t="str">
        <f>RAW_Клиенты!B31</f>
        <v xml:space="preserve">Фомина Светлана Петровна</v>
      </c>
      <c r="D32" s="11" t="str">
        <f>RAW_Клиенты!C31</f>
        <v>19.07.1983</v>
      </c>
      <c r="E32" s="11" t="str">
        <f>RAW_Клиенты!D31</f>
        <v xml:space="preserve">8 903 678 90 12</v>
      </c>
      <c r="F32" s="11" t="str">
        <f>RAW_Клиенты!E31</f>
        <v>fomina@gmail</v>
      </c>
      <c r="G32" s="11" t="str">
        <f>RAW_Клиенты!F31</f>
        <v>Новокузнецк</v>
      </c>
      <c r="H32" s="11" t="str">
        <f>RAW_Клиенты!G31</f>
        <v>10.10.2022</v>
      </c>
      <c r="I32" s="12" t="str">
        <f t="shared" si="320"/>
        <v>89036789012</v>
      </c>
      <c r="J32" s="12" t="str">
        <f t="shared" si="321"/>
        <v>fomina@gmail</v>
      </c>
      <c r="K32" s="12" t="str">
        <f t="shared" si="322"/>
        <v>Новокузнецк</v>
      </c>
      <c r="L32" s="13" t="str">
        <f t="shared" si="323"/>
        <v>C0030</v>
      </c>
      <c r="M32" s="13" t="str">
        <f t="shared" si="324"/>
        <v xml:space="preserve">Фомина Светлана Петровна</v>
      </c>
      <c r="N32" s="13" t="str">
        <f t="shared" ca="1" si="325"/>
        <v>OK</v>
      </c>
      <c r="O32" s="19">
        <f t="shared" si="326"/>
        <v>30516</v>
      </c>
      <c r="P32" s="19">
        <f t="shared" si="327"/>
        <v>44844</v>
      </c>
      <c r="Q32" s="13">
        <f t="shared" ca="1" si="328"/>
        <v>43</v>
      </c>
      <c r="R32" s="13" t="str">
        <f t="shared" si="329"/>
        <v>OK</v>
      </c>
      <c r="S32" s="13" t="str">
        <f t="shared" si="330"/>
        <v xml:space="preserve">+7 (903) 678-90-12</v>
      </c>
      <c r="T32" s="13" t="str">
        <f t="shared" si="331"/>
        <v>fomina@gmail</v>
      </c>
      <c r="U32" s="18" t="str">
        <f t="shared" si="332"/>
        <v xml:space="preserve">Ошибка Email</v>
      </c>
      <c r="V32" s="13" t="str">
        <f>IFERROR(VLOOKUP(K32,Справочники!$K$6:$L$13,2,0),K32)</f>
        <v>Новокузнецк</v>
      </c>
    </row>
    <row r="33" ht="15" customHeight="1">
      <c r="A33" s="10">
        <v>31</v>
      </c>
      <c r="B33" s="11" t="str">
        <f>RAW_Клиенты!A32</f>
        <v>C0031</v>
      </c>
      <c r="C33" s="11" t="str">
        <f>RAW_Клиенты!B32</f>
        <v xml:space="preserve">Крылова Анжелика Сергеевна</v>
      </c>
      <c r="D33" s="11" t="str">
        <f>RAW_Клиенты!C32</f>
        <v>06.11.1974</v>
      </c>
      <c r="E33" s="11" t="str">
        <f>RAW_Клиенты!D32</f>
        <v>+79036789012</v>
      </c>
      <c r="F33" s="11" t="str">
        <f>RAW_Клиенты!E32</f>
        <v>krylova@mail</v>
      </c>
      <c r="G33" s="11" t="str">
        <f>RAW_Клиенты!F32</f>
        <v>Рязань</v>
      </c>
      <c r="H33" s="11" t="str">
        <f>RAW_Клиенты!G32</f>
        <v>01.11.2022</v>
      </c>
      <c r="I33" s="12" t="str">
        <f t="shared" si="320"/>
        <v>79036789012</v>
      </c>
      <c r="J33" s="12" t="str">
        <f t="shared" si="321"/>
        <v>krylova@mail</v>
      </c>
      <c r="K33" s="12" t="str">
        <f t="shared" si="322"/>
        <v>Рязань</v>
      </c>
      <c r="L33" s="13" t="str">
        <f t="shared" si="323"/>
        <v>C0031</v>
      </c>
      <c r="M33" s="13" t="str">
        <f t="shared" si="324"/>
        <v xml:space="preserve">Крылова Анжелика Сергеевна</v>
      </c>
      <c r="N33" s="13" t="str">
        <f t="shared" ca="1" si="325"/>
        <v>OK</v>
      </c>
      <c r="O33" s="19">
        <f t="shared" si="326"/>
        <v>27339</v>
      </c>
      <c r="P33" s="19">
        <f t="shared" si="327"/>
        <v>44866</v>
      </c>
      <c r="Q33" s="13">
        <f t="shared" ca="1" si="328"/>
        <v>51</v>
      </c>
      <c r="R33" s="13" t="str">
        <f t="shared" si="329"/>
        <v>OK</v>
      </c>
      <c r="S33" s="13" t="str">
        <f t="shared" si="330"/>
        <v xml:space="preserve">+7 (903) 678-90-12</v>
      </c>
      <c r="T33" s="13" t="str">
        <f t="shared" si="331"/>
        <v>krylova@mail</v>
      </c>
      <c r="U33" s="18" t="str">
        <f t="shared" si="332"/>
        <v xml:space="preserve">Ошибка Email</v>
      </c>
      <c r="V33" s="13" t="str">
        <f>IFERROR(VLOOKUP(K33,Справочники!$K$6:$L$13,2,0),K33)</f>
        <v>Рязань</v>
      </c>
    </row>
    <row r="34" ht="15" customHeight="1">
      <c r="A34" s="10">
        <v>32</v>
      </c>
      <c r="B34" s="11" t="str">
        <f>RAW_Клиенты!A33</f>
        <v>C0032</v>
      </c>
      <c r="C34" s="11" t="str">
        <f>RAW_Клиенты!B33</f>
        <v xml:space="preserve">Тихонов Владислав Андреевич</v>
      </c>
      <c r="D34" s="11" t="str">
        <f>RAW_Клиенты!C33</f>
        <v>15.04.1994</v>
      </c>
      <c r="E34" s="11" t="str">
        <f>RAW_Клиенты!D33</f>
        <v>8-903-678-90-12</v>
      </c>
      <c r="F34" s="11" t="str">
        <f>RAW_Клиенты!E33</f>
        <v>tihonov@yandex</v>
      </c>
      <c r="G34" s="11" t="str">
        <f>RAW_Клиенты!F33</f>
        <v>Астрахань</v>
      </c>
      <c r="H34" s="11" t="str">
        <f>RAW_Клиенты!G33</f>
        <v>2022-11-15</v>
      </c>
      <c r="I34" s="12" t="str">
        <f t="shared" si="320"/>
        <v>89036789012</v>
      </c>
      <c r="J34" s="12" t="str">
        <f t="shared" si="321"/>
        <v>tihonov@yandex</v>
      </c>
      <c r="K34" s="12" t="str">
        <f t="shared" si="322"/>
        <v>Астрахань</v>
      </c>
      <c r="L34" s="13" t="str">
        <f t="shared" si="323"/>
        <v>C0032</v>
      </c>
      <c r="M34" s="13" t="str">
        <f t="shared" si="324"/>
        <v xml:space="preserve">Тихонов Владислав Андреевич</v>
      </c>
      <c r="N34" s="13" t="str">
        <f t="shared" ca="1" si="325"/>
        <v>OK</v>
      </c>
      <c r="O34" s="19">
        <f t="shared" si="326"/>
        <v>34439</v>
      </c>
      <c r="P34" s="19">
        <f t="shared" si="327"/>
        <v>44880</v>
      </c>
      <c r="Q34" s="13">
        <f t="shared" ca="1" si="328"/>
        <v>32</v>
      </c>
      <c r="R34" s="13" t="str">
        <f t="shared" si="329"/>
        <v>OK</v>
      </c>
      <c r="S34" s="13" t="str">
        <f t="shared" si="330"/>
        <v xml:space="preserve">+7 (903) 678-90-12</v>
      </c>
      <c r="T34" s="13" t="str">
        <f t="shared" si="331"/>
        <v>tihonov@yandex</v>
      </c>
      <c r="U34" s="18" t="str">
        <f t="shared" si="332"/>
        <v xml:space="preserve">Ошибка Email</v>
      </c>
      <c r="V34" s="13" t="str">
        <f>IFERROR(VLOOKUP(K34,Справочники!$K$6:$L$13,2,0),K34)</f>
        <v>Астрахань</v>
      </c>
    </row>
    <row r="35" ht="15" customHeight="1">
      <c r="A35" s="10">
        <v>33</v>
      </c>
      <c r="B35" s="11" t="str">
        <f>RAW_Клиенты!A34</f>
        <v>C0033</v>
      </c>
      <c r="C35" s="11" t="str">
        <f>RAW_Клиенты!B34</f>
        <v xml:space="preserve">Никитина Дарья Владимировна</v>
      </c>
      <c r="D35" s="11" t="str">
        <f>RAW_Клиенты!C34</f>
        <v>28.09.1985</v>
      </c>
      <c r="E35" s="11" t="str">
        <f>RAW_Клиенты!D34</f>
        <v xml:space="preserve">8 903 789 01 23</v>
      </c>
      <c r="F35" s="11" t="str">
        <f>RAW_Клиенты!E34</f>
        <v>nikitina@gmail</v>
      </c>
      <c r="G35" s="11" t="str">
        <f>RAW_Клиенты!F34</f>
        <v xml:space="preserve">Набережные Челны</v>
      </c>
      <c r="H35" s="11" t="str">
        <f>RAW_Клиенты!G34</f>
        <v>15.11.2022</v>
      </c>
      <c r="I35" s="12" t="str">
        <f t="shared" si="320"/>
        <v>89037890123</v>
      </c>
      <c r="J35" s="12" t="str">
        <f t="shared" si="321"/>
        <v>nikitina@gmail</v>
      </c>
      <c r="K35" s="12" t="str">
        <f t="shared" si="322"/>
        <v xml:space="preserve">Набережные Челны</v>
      </c>
      <c r="L35" s="13" t="str">
        <f t="shared" si="323"/>
        <v>C0033</v>
      </c>
      <c r="M35" s="13" t="str">
        <f t="shared" si="324"/>
        <v xml:space="preserve">Никитина Дарья Владимировна</v>
      </c>
      <c r="N35" s="13" t="str">
        <f t="shared" ca="1" si="325"/>
        <v>OK</v>
      </c>
      <c r="O35" s="19">
        <f t="shared" si="326"/>
        <v>31318</v>
      </c>
      <c r="P35" s="19">
        <f t="shared" si="327"/>
        <v>44880</v>
      </c>
      <c r="Q35" s="13">
        <f t="shared" ca="1" si="328"/>
        <v>40</v>
      </c>
      <c r="R35" s="13" t="str">
        <f t="shared" si="329"/>
        <v>OK</v>
      </c>
      <c r="S35" s="13" t="str">
        <f t="shared" si="330"/>
        <v xml:space="preserve">+7 (903) 789-01-23</v>
      </c>
      <c r="T35" s="13" t="str">
        <f t="shared" si="331"/>
        <v>nikitina@gmail</v>
      </c>
      <c r="U35" s="18" t="str">
        <f t="shared" si="332"/>
        <v xml:space="preserve">Ошибка Email</v>
      </c>
      <c r="V35" s="13" t="str">
        <f>IFERROR(VLOOKUP(K35,Справочники!$K$6:$L$13,2,0),K35)</f>
        <v xml:space="preserve">Набережные Челны</v>
      </c>
    </row>
    <row r="36" ht="15" customHeight="1">
      <c r="A36" s="10">
        <v>34</v>
      </c>
      <c r="B36" s="11" t="str">
        <f>RAW_Клиенты!A35</f>
        <v>C0034</v>
      </c>
      <c r="C36" s="11" t="str">
        <f>RAW_Клиенты!B35</f>
        <v xml:space="preserve">Соболев Арсений Федорович</v>
      </c>
      <c r="D36" s="11" t="str">
        <f>RAW_Клиенты!C35</f>
        <v>11.02.1973</v>
      </c>
      <c r="E36" s="11" t="str">
        <f>RAW_Клиенты!D35</f>
        <v>+79037890123</v>
      </c>
      <c r="F36" s="11" t="str">
        <f>RAW_Клиенты!E35</f>
        <v>sobolev@mail</v>
      </c>
      <c r="G36" s="11" t="str">
        <f>RAW_Клиенты!F35</f>
        <v>Липецк</v>
      </c>
      <c r="H36" s="11" t="str">
        <f>RAW_Клиенты!G35</f>
        <v>01.12.2022</v>
      </c>
      <c r="I36" s="12" t="str">
        <f t="shared" si="320"/>
        <v>79037890123</v>
      </c>
      <c r="J36" s="12" t="str">
        <f t="shared" si="321"/>
        <v>sobolev@mail</v>
      </c>
      <c r="K36" s="12" t="str">
        <f t="shared" si="322"/>
        <v>Липецк</v>
      </c>
      <c r="L36" s="13" t="str">
        <f t="shared" si="323"/>
        <v>C0034</v>
      </c>
      <c r="M36" s="13" t="str">
        <f t="shared" si="324"/>
        <v xml:space="preserve">Соболев Арсений Федорович</v>
      </c>
      <c r="N36" s="13" t="str">
        <f t="shared" ca="1" si="325"/>
        <v>OK</v>
      </c>
      <c r="O36" s="19">
        <f t="shared" si="326"/>
        <v>26706</v>
      </c>
      <c r="P36" s="19">
        <f t="shared" si="327"/>
        <v>44896</v>
      </c>
      <c r="Q36" s="13">
        <f t="shared" ca="1" si="328"/>
        <v>53</v>
      </c>
      <c r="R36" s="13" t="str">
        <f t="shared" si="329"/>
        <v>OK</v>
      </c>
      <c r="S36" s="13" t="str">
        <f t="shared" si="330"/>
        <v xml:space="preserve">+7 (903) 789-01-23</v>
      </c>
      <c r="T36" s="13" t="str">
        <f t="shared" si="331"/>
        <v>sobolev@mail</v>
      </c>
      <c r="U36" s="18" t="str">
        <f t="shared" si="332"/>
        <v xml:space="preserve">Ошибка Email</v>
      </c>
      <c r="V36" s="13" t="str">
        <f>IFERROR(VLOOKUP(K36,Справочники!$K$6:$L$13,2,0),K36)</f>
        <v>Липецк</v>
      </c>
    </row>
    <row r="37" ht="15" customHeight="1">
      <c r="A37" s="10">
        <v>35</v>
      </c>
      <c r="B37" s="11" t="str">
        <f>RAW_Клиенты!A36</f>
        <v>C0035</v>
      </c>
      <c r="C37" s="11" t="str">
        <f>RAW_Клиенты!B36</f>
        <v xml:space="preserve">Данилова Ева Александровна</v>
      </c>
      <c r="D37" s="11" t="str">
        <f>RAW_Клиенты!C36</f>
        <v>23.12.1987</v>
      </c>
      <c r="E37" s="11" t="str">
        <f>RAW_Клиенты!D36</f>
        <v>8-903-789-01-23</v>
      </c>
      <c r="F37" s="11" t="str">
        <f>RAW_Клиенты!E36</f>
        <v>danilova@yandex</v>
      </c>
      <c r="G37" s="11" t="str">
        <f>RAW_Клиенты!F36</f>
        <v>Киров</v>
      </c>
      <c r="H37" s="11" t="str">
        <f>RAW_Клиенты!G36</f>
        <v>2022-12-10</v>
      </c>
      <c r="I37" s="12" t="str">
        <f t="shared" si="320"/>
        <v>89037890123</v>
      </c>
      <c r="J37" s="12" t="str">
        <f t="shared" si="321"/>
        <v>danilova@yandex</v>
      </c>
      <c r="K37" s="12" t="str">
        <f t="shared" si="322"/>
        <v>Киров</v>
      </c>
      <c r="L37" s="13" t="str">
        <f t="shared" si="323"/>
        <v>C0035</v>
      </c>
      <c r="M37" s="13" t="str">
        <f t="shared" si="324"/>
        <v xml:space="preserve">Данилова Ева Александровна</v>
      </c>
      <c r="N37" s="13" t="str">
        <f t="shared" ca="1" si="325"/>
        <v>OK</v>
      </c>
      <c r="O37" s="19">
        <f t="shared" si="326"/>
        <v>32134</v>
      </c>
      <c r="P37" s="19">
        <f t="shared" si="327"/>
        <v>44905</v>
      </c>
      <c r="Q37" s="13">
        <f t="shared" ca="1" si="328"/>
        <v>38</v>
      </c>
      <c r="R37" s="13" t="str">
        <f t="shared" si="329"/>
        <v>OK</v>
      </c>
      <c r="S37" s="13" t="str">
        <f t="shared" si="330"/>
        <v xml:space="preserve">+7 (903) 789-01-23</v>
      </c>
      <c r="T37" s="13" t="str">
        <f t="shared" si="331"/>
        <v>danilova@yandex</v>
      </c>
      <c r="U37" s="18" t="str">
        <f t="shared" si="332"/>
        <v xml:space="preserve">Ошибка Email</v>
      </c>
      <c r="V37" s="13" t="str">
        <f>IFERROR(VLOOKUP(K37,Справочники!$K$6:$L$13,2,0),K37)</f>
        <v>Киров</v>
      </c>
    </row>
    <row r="38" ht="15" customHeight="1">
      <c r="A38" s="10">
        <v>36</v>
      </c>
      <c r="B38" s="11" t="str">
        <f>RAW_Клиенты!A37</f>
        <v>C0036</v>
      </c>
      <c r="C38" s="11" t="str">
        <f>RAW_Клиенты!B37</f>
        <v xml:space="preserve">Гусев Олег Юрьевич</v>
      </c>
      <c r="D38" s="11" t="str">
        <f>RAW_Клиенты!C37</f>
        <v>18.05.1990</v>
      </c>
      <c r="E38" s="11" t="str">
        <f>RAW_Клиенты!D37</f>
        <v xml:space="preserve">8 903 890 12 34</v>
      </c>
      <c r="F38" s="11" t="str">
        <f>RAW_Клиенты!E37</f>
        <v>gusev@gmail</v>
      </c>
      <c r="G38" s="11" t="str">
        <f>RAW_Клиенты!F37</f>
        <v>Чебоксары</v>
      </c>
      <c r="H38" s="11" t="str">
        <f>RAW_Клиенты!G37</f>
        <v>10.12.2022</v>
      </c>
      <c r="I38" s="12" t="str">
        <f t="shared" si="320"/>
        <v>89038901234</v>
      </c>
      <c r="J38" s="12" t="str">
        <f t="shared" si="321"/>
        <v>gusev@gmail</v>
      </c>
      <c r="K38" s="12" t="str">
        <f t="shared" si="322"/>
        <v>Чебоксары</v>
      </c>
      <c r="L38" s="13" t="str">
        <f t="shared" si="323"/>
        <v>C0036</v>
      </c>
      <c r="M38" s="13" t="str">
        <f t="shared" si="324"/>
        <v xml:space="preserve">Гусев Олег Юрьевич</v>
      </c>
      <c r="N38" s="13" t="str">
        <f t="shared" ca="1" si="325"/>
        <v>OK</v>
      </c>
      <c r="O38" s="19">
        <f t="shared" si="326"/>
        <v>33011</v>
      </c>
      <c r="P38" s="19">
        <f t="shared" si="327"/>
        <v>44905</v>
      </c>
      <c r="Q38" s="13">
        <f t="shared" ca="1" si="328"/>
        <v>36</v>
      </c>
      <c r="R38" s="13" t="str">
        <f t="shared" si="329"/>
        <v>OK</v>
      </c>
      <c r="S38" s="13" t="str">
        <f t="shared" si="330"/>
        <v xml:space="preserve">+7 (903) 890-12-34</v>
      </c>
      <c r="T38" s="13" t="str">
        <f t="shared" si="331"/>
        <v>gusev@gmail</v>
      </c>
      <c r="U38" s="18" t="str">
        <f t="shared" si="332"/>
        <v xml:space="preserve">Ошибка Email</v>
      </c>
      <c r="V38" s="13" t="str">
        <f>IFERROR(VLOOKUP(K38,Справочники!$K$6:$L$13,2,0),K38)</f>
        <v>Чебоксары</v>
      </c>
    </row>
    <row r="39" ht="15" customHeight="1">
      <c r="A39" s="10">
        <v>37</v>
      </c>
      <c r="B39" s="11" t="str">
        <f>RAW_Клиенты!A38</f>
        <v>C0037</v>
      </c>
      <c r="C39" s="11" t="str">
        <f>RAW_Клиенты!B38</f>
        <v xml:space="preserve">Колесникова Жанна Игоревна</v>
      </c>
      <c r="D39" s="11" t="str">
        <f>RAW_Клиенты!C38</f>
        <v>07.08.1978</v>
      </c>
      <c r="E39" s="11" t="str">
        <f>RAW_Клиенты!D38</f>
        <v>+79038901234</v>
      </c>
      <c r="F39" s="11" t="str">
        <f>RAW_Клиенты!E38</f>
        <v>kolesnikova@mail</v>
      </c>
      <c r="G39" s="11" t="str">
        <f>RAW_Клиенты!F38</f>
        <v>Тверь</v>
      </c>
      <c r="H39" s="11" t="str">
        <f>RAW_Клиенты!G38</f>
        <v>01.01.2023</v>
      </c>
      <c r="I39" s="12" t="str">
        <f t="shared" si="320"/>
        <v>79038901234</v>
      </c>
      <c r="J39" s="12" t="str">
        <f t="shared" si="321"/>
        <v>kolesnikova@mail</v>
      </c>
      <c r="K39" s="12" t="str">
        <f t="shared" si="322"/>
        <v>Тверь</v>
      </c>
      <c r="L39" s="13" t="str">
        <f t="shared" si="323"/>
        <v>C0037</v>
      </c>
      <c r="M39" s="13" t="str">
        <f t="shared" si="324"/>
        <v xml:space="preserve">Колесникова Жанна Игоревна</v>
      </c>
      <c r="N39" s="13" t="str">
        <f t="shared" ca="1" si="325"/>
        <v>OK</v>
      </c>
      <c r="O39" s="19">
        <f t="shared" si="326"/>
        <v>28709</v>
      </c>
      <c r="P39" s="19">
        <f t="shared" si="327"/>
        <v>44927</v>
      </c>
      <c r="Q39" s="13">
        <f t="shared" ca="1" si="328"/>
        <v>48</v>
      </c>
      <c r="R39" s="13" t="str">
        <f t="shared" si="329"/>
        <v>OK</v>
      </c>
      <c r="S39" s="13" t="str">
        <f t="shared" si="330"/>
        <v xml:space="preserve">+7 (903) 890-12-34</v>
      </c>
      <c r="T39" s="13" t="str">
        <f t="shared" si="331"/>
        <v>kolesnikova@mail</v>
      </c>
      <c r="U39" s="18" t="str">
        <f t="shared" si="332"/>
        <v xml:space="preserve">Ошибка Email</v>
      </c>
      <c r="V39" s="13" t="str">
        <f>IFERROR(VLOOKUP(K39,Справочники!$K$6:$L$13,2,0),K39)</f>
        <v>Тверь</v>
      </c>
    </row>
    <row r="40" ht="15" customHeight="1">
      <c r="A40" s="10">
        <v>38</v>
      </c>
      <c r="B40" s="11" t="str">
        <f>RAW_Клиенты!A39</f>
        <v>C0038</v>
      </c>
      <c r="C40" s="11" t="str">
        <f>RAW_Клиенты!B39</f>
        <v xml:space="preserve">Куликов Илья Николаевич</v>
      </c>
      <c r="D40" s="11" t="str">
        <f>RAW_Клиенты!C39</f>
        <v>29.01.1982</v>
      </c>
      <c r="E40" s="11" t="str">
        <f>RAW_Клиенты!D39</f>
        <v>8-903-890-12-34</v>
      </c>
      <c r="F40" s="11" t="str">
        <f>RAW_Клиенты!E39</f>
        <v>kulikov@yandex</v>
      </c>
      <c r="G40" s="11" t="str">
        <f>RAW_Клиенты!F39</f>
        <v>Краснодар</v>
      </c>
      <c r="H40" s="11" t="str">
        <f>RAW_Клиенты!G39</f>
        <v>2023-01-15</v>
      </c>
      <c r="I40" s="12" t="str">
        <f t="shared" si="320"/>
        <v>89038901234</v>
      </c>
      <c r="J40" s="12" t="str">
        <f t="shared" si="321"/>
        <v>kulikov@yandex</v>
      </c>
      <c r="K40" s="12" t="str">
        <f t="shared" si="322"/>
        <v>Краснодар</v>
      </c>
      <c r="L40" s="13" t="str">
        <f t="shared" si="323"/>
        <v>C0038</v>
      </c>
      <c r="M40" s="13" t="str">
        <f t="shared" si="324"/>
        <v xml:space="preserve">Куликов Илья Николаевич</v>
      </c>
      <c r="N40" s="13" t="str">
        <f t="shared" ca="1" si="325"/>
        <v>OK</v>
      </c>
      <c r="O40" s="19">
        <f t="shared" si="326"/>
        <v>29980</v>
      </c>
      <c r="P40" s="19">
        <f t="shared" si="327"/>
        <v>44941</v>
      </c>
      <c r="Q40" s="13">
        <f t="shared" ca="1" si="328"/>
        <v>44</v>
      </c>
      <c r="R40" s="13" t="str">
        <f t="shared" si="329"/>
        <v>OK</v>
      </c>
      <c r="S40" s="13" t="str">
        <f t="shared" si="330"/>
        <v xml:space="preserve">+7 (903) 890-12-34</v>
      </c>
      <c r="T40" s="13" t="str">
        <f t="shared" si="331"/>
        <v>kulikov@yandex</v>
      </c>
      <c r="U40" s="18" t="str">
        <f t="shared" si="332"/>
        <v xml:space="preserve">Ошибка Email</v>
      </c>
      <c r="V40" s="13" t="str">
        <f>IFERROR(VLOOKUP(K40,Справочники!$K$6:$L$13,2,0),K40)</f>
        <v>Краснодар</v>
      </c>
    </row>
    <row r="41" ht="15" customHeight="1">
      <c r="A41" s="10">
        <v>39</v>
      </c>
      <c r="B41" s="11" t="str">
        <f>RAW_Клиенты!A40</f>
        <v>C0039</v>
      </c>
      <c r="C41" s="11" t="str">
        <f>RAW_Клиенты!B40</f>
        <v xml:space="preserve">Большакова Антонина Викторовна</v>
      </c>
      <c r="D41" s="11" t="str">
        <f>RAW_Клиенты!C40</f>
        <v>14.06.1993</v>
      </c>
      <c r="E41" s="11" t="str">
        <f>RAW_Клиенты!D40</f>
        <v xml:space="preserve">8 903 901 23 45</v>
      </c>
      <c r="F41" s="11" t="str">
        <f>RAW_Клиенты!E40</f>
        <v>bolshakova@gmail</v>
      </c>
      <c r="G41" s="11" t="str">
        <f>RAW_Клиенты!F40</f>
        <v>Стерлитамак</v>
      </c>
      <c r="H41" s="11" t="str">
        <f>RAW_Клиенты!G40</f>
        <v>15.01.2023</v>
      </c>
      <c r="I41" s="12" t="str">
        <f t="shared" si="320"/>
        <v>89039012345</v>
      </c>
      <c r="J41" s="12" t="str">
        <f t="shared" si="321"/>
        <v>bolshakova@gmail</v>
      </c>
      <c r="K41" s="12" t="str">
        <f t="shared" si="322"/>
        <v>Стерлитамак</v>
      </c>
      <c r="L41" s="13" t="str">
        <f t="shared" si="323"/>
        <v>C0039</v>
      </c>
      <c r="M41" s="13" t="str">
        <f t="shared" si="324"/>
        <v xml:space="preserve">Большакова Антонина Викторовна</v>
      </c>
      <c r="N41" s="13" t="str">
        <f t="shared" ca="1" si="325"/>
        <v>OK</v>
      </c>
      <c r="O41" s="19">
        <f t="shared" si="326"/>
        <v>34134</v>
      </c>
      <c r="P41" s="19">
        <f t="shared" si="327"/>
        <v>44941</v>
      </c>
      <c r="Q41" s="13">
        <f t="shared" ca="1" si="328"/>
        <v>33</v>
      </c>
      <c r="R41" s="13" t="str">
        <f t="shared" si="329"/>
        <v>OK</v>
      </c>
      <c r="S41" s="13" t="str">
        <f t="shared" si="330"/>
        <v xml:space="preserve">+7 (903) 901-23-45</v>
      </c>
      <c r="T41" s="13" t="str">
        <f t="shared" si="331"/>
        <v>bolshakova@gmail</v>
      </c>
      <c r="U41" s="18" t="str">
        <f t="shared" si="332"/>
        <v xml:space="preserve">Ошибка Email</v>
      </c>
      <c r="V41" s="13" t="str">
        <f>IFERROR(VLOOKUP(K41,Справочники!$K$6:$L$13,2,0),K41)</f>
        <v>Стерлитамак</v>
      </c>
    </row>
    <row r="42" ht="15" customHeight="1">
      <c r="A42" s="10">
        <v>40</v>
      </c>
      <c r="B42" s="11" t="str">
        <f>RAW_Клиенты!A41</f>
        <v>C0040</v>
      </c>
      <c r="C42" s="11" t="str">
        <f>RAW_Клиенты!B41</f>
        <v xml:space="preserve">Савельев Артур Евгеньевич</v>
      </c>
      <c r="D42" s="11" t="str">
        <f>RAW_Клиенты!C41</f>
        <v>02.10.1976</v>
      </c>
      <c r="E42" s="11" t="str">
        <f>RAW_Клиенты!D41</f>
        <v>+79039012345</v>
      </c>
      <c r="F42" s="11" t="str">
        <f>RAW_Клиенты!E41</f>
        <v>savelev@mail</v>
      </c>
      <c r="G42" s="11" t="str">
        <f>RAW_Клиенты!F41</f>
        <v>Пенза</v>
      </c>
      <c r="H42" s="11" t="str">
        <f>RAW_Клиенты!G41</f>
        <v>01.02.2023</v>
      </c>
      <c r="I42" s="12" t="str">
        <f t="shared" si="320"/>
        <v>79039012345</v>
      </c>
      <c r="J42" s="12" t="str">
        <f t="shared" si="321"/>
        <v>savelev@mail</v>
      </c>
      <c r="K42" s="12" t="str">
        <f t="shared" si="322"/>
        <v>Пенза</v>
      </c>
      <c r="L42" s="13" t="str">
        <f t="shared" si="323"/>
        <v>C0040</v>
      </c>
      <c r="M42" s="13" t="str">
        <f t="shared" si="324"/>
        <v xml:space="preserve">Савельев Артур Евгеньевич</v>
      </c>
      <c r="N42" s="13" t="str">
        <f t="shared" ca="1" si="325"/>
        <v>OK</v>
      </c>
      <c r="O42" s="19">
        <f t="shared" si="326"/>
        <v>28035</v>
      </c>
      <c r="P42" s="19">
        <f t="shared" si="327"/>
        <v>44958</v>
      </c>
      <c r="Q42" s="13">
        <f t="shared" ca="1" si="328"/>
        <v>49</v>
      </c>
      <c r="R42" s="13" t="str">
        <f t="shared" si="329"/>
        <v>OK</v>
      </c>
      <c r="S42" s="13" t="str">
        <f t="shared" si="330"/>
        <v xml:space="preserve">+7 (903) 901-23-45</v>
      </c>
      <c r="T42" s="13" t="str">
        <f t="shared" si="331"/>
        <v>savelev@mail</v>
      </c>
      <c r="U42" s="18" t="str">
        <f t="shared" si="332"/>
        <v xml:space="preserve">Ошибка Email</v>
      </c>
      <c r="V42" s="13" t="str">
        <f>IFERROR(VLOOKUP(K42,Справочники!$K$6:$L$13,2,0),K42)</f>
        <v>Пенза</v>
      </c>
    </row>
    <row r="43" ht="15" customHeight="1">
      <c r="A43" s="10">
        <v>41</v>
      </c>
      <c r="B43" s="11" t="str">
        <f>RAW_Клиенты!A42</f>
        <v>C0041</v>
      </c>
      <c r="C43" s="11" t="str">
        <f>RAW_Клиенты!B42</f>
        <v xml:space="preserve">Журавлева Полина Ильинична</v>
      </c>
      <c r="D43" s="11" t="str">
        <f>RAW_Клиенты!C42</f>
        <v>19.03.1986</v>
      </c>
      <c r="E43" s="11" t="str">
        <f>RAW_Клиенты!D42</f>
        <v>8-903-901-23-45</v>
      </c>
      <c r="F43" s="11" t="str">
        <f>RAW_Клиенты!E42</f>
        <v>zhuravleva@yandex</v>
      </c>
      <c r="G43" s="11" t="str">
        <f>RAW_Клиенты!F42</f>
        <v>Находка</v>
      </c>
      <c r="H43" s="11" t="str">
        <f>RAW_Клиенты!G42</f>
        <v>2023-02-10</v>
      </c>
      <c r="I43" s="12" t="str">
        <f t="shared" si="320"/>
        <v>89039012345</v>
      </c>
      <c r="J43" s="12" t="str">
        <f t="shared" si="321"/>
        <v>zhuravleva@yandex</v>
      </c>
      <c r="K43" s="12" t="str">
        <f t="shared" si="322"/>
        <v>Находка</v>
      </c>
      <c r="L43" s="13" t="str">
        <f t="shared" si="323"/>
        <v>C0041</v>
      </c>
      <c r="M43" s="13" t="str">
        <f t="shared" si="324"/>
        <v xml:space="preserve">Журавлева Полина Ильинична</v>
      </c>
      <c r="N43" s="13" t="str">
        <f t="shared" ca="1" si="325"/>
        <v>OK</v>
      </c>
      <c r="O43" s="19">
        <f t="shared" si="326"/>
        <v>31490</v>
      </c>
      <c r="P43" s="19">
        <f t="shared" si="327"/>
        <v>44967</v>
      </c>
      <c r="Q43" s="13">
        <f t="shared" ca="1" si="328"/>
        <v>40</v>
      </c>
      <c r="R43" s="13" t="str">
        <f t="shared" si="329"/>
        <v>OK</v>
      </c>
      <c r="S43" s="13" t="str">
        <f t="shared" si="330"/>
        <v xml:space="preserve">+7 (903) 901-23-45</v>
      </c>
      <c r="T43" s="13" t="str">
        <f t="shared" si="331"/>
        <v>zhuravleva@yandex</v>
      </c>
      <c r="U43" s="18" t="str">
        <f t="shared" si="332"/>
        <v xml:space="preserve">Ошибка Email</v>
      </c>
      <c r="V43" s="13" t="str">
        <f>IFERROR(VLOOKUP(K43,Справочники!$K$6:$L$13,2,0),K43)</f>
        <v>Находка</v>
      </c>
    </row>
    <row r="44" ht="15" customHeight="1">
      <c r="A44" s="10">
        <v>42</v>
      </c>
      <c r="B44" s="11" t="str">
        <f>RAW_Клиенты!A43</f>
        <v>C0042</v>
      </c>
      <c r="C44" s="11" t="str">
        <f>RAW_Клиенты!B43</f>
        <v xml:space="preserve">Еремин Сергей Владимирович</v>
      </c>
      <c r="D44" s="11" t="str">
        <f>RAW_Клиенты!C43</f>
        <v>31.07.1991</v>
      </c>
      <c r="E44" s="11" t="str">
        <f>RAW_Клиенты!D43</f>
        <v xml:space="preserve">8 903 012 34 56</v>
      </c>
      <c r="F44" s="11" t="str">
        <f>RAW_Клиенты!E43</f>
        <v>eremin@gmail</v>
      </c>
      <c r="G44" s="11" t="str">
        <f>RAW_Клиенты!F43</f>
        <v>Магнитогорск</v>
      </c>
      <c r="H44" s="11" t="str">
        <f>RAW_Клиенты!G43</f>
        <v>10.02.2023</v>
      </c>
      <c r="I44" s="12" t="str">
        <f t="shared" si="320"/>
        <v>89030123456</v>
      </c>
      <c r="J44" s="12" t="str">
        <f t="shared" si="321"/>
        <v>eremin@gmail</v>
      </c>
      <c r="K44" s="12" t="str">
        <f t="shared" si="322"/>
        <v>Магнитогорск</v>
      </c>
      <c r="L44" s="13" t="str">
        <f t="shared" si="323"/>
        <v>C0042</v>
      </c>
      <c r="M44" s="13" t="str">
        <f t="shared" si="324"/>
        <v xml:space="preserve">Еремин Сергей Владимирович</v>
      </c>
      <c r="N44" s="13" t="str">
        <f t="shared" ca="1" si="325"/>
        <v>OK</v>
      </c>
      <c r="O44" s="19">
        <f t="shared" si="326"/>
        <v>33450</v>
      </c>
      <c r="P44" s="19">
        <f t="shared" si="327"/>
        <v>44967</v>
      </c>
      <c r="Q44" s="13">
        <f t="shared" ca="1" si="328"/>
        <v>35</v>
      </c>
      <c r="R44" s="13" t="str">
        <f t="shared" si="329"/>
        <v>OK</v>
      </c>
      <c r="S44" s="13" t="str">
        <f t="shared" si="330"/>
        <v xml:space="preserve">+7 (903) 012-34-56</v>
      </c>
      <c r="T44" s="13" t="str">
        <f t="shared" si="331"/>
        <v>eremin@gmail</v>
      </c>
      <c r="U44" s="18" t="str">
        <f t="shared" si="332"/>
        <v xml:space="preserve">Ошибка Email</v>
      </c>
      <c r="V44" s="13" t="str">
        <f>IFERROR(VLOOKUP(K44,Справочники!$K$6:$L$13,2,0),K44)</f>
        <v>Магнитогорск</v>
      </c>
    </row>
    <row r="45" ht="15" customHeight="1">
      <c r="A45" s="10">
        <v>43</v>
      </c>
      <c r="B45" s="11" t="str">
        <f>RAW_Клиенты!A44</f>
        <v>C0043</v>
      </c>
      <c r="C45" s="11" t="str">
        <f>RAW_Клиенты!B44</f>
        <v xml:space="preserve">Сергеева Анна Михайловна</v>
      </c>
      <c r="D45" s="11" t="str">
        <f>RAW_Клиенты!C44</f>
        <v>12.11.1975</v>
      </c>
      <c r="E45" s="11" t="str">
        <f>RAW_Клиенты!D44</f>
        <v>+79030123456</v>
      </c>
      <c r="F45" s="11" t="str">
        <f>RAW_Клиенты!E44</f>
        <v>sergeeva@mail</v>
      </c>
      <c r="G45" s="11" t="str">
        <f>RAW_Клиенты!F44</f>
        <v>Курск</v>
      </c>
      <c r="H45" s="11" t="str">
        <f>RAW_Клиенты!G44</f>
        <v>01.03.2023</v>
      </c>
      <c r="I45" s="12" t="str">
        <f t="shared" si="320"/>
        <v>79030123456</v>
      </c>
      <c r="J45" s="12" t="str">
        <f t="shared" si="321"/>
        <v>sergeeva@mail</v>
      </c>
      <c r="K45" s="12" t="str">
        <f t="shared" si="322"/>
        <v>Курск</v>
      </c>
      <c r="L45" s="13" t="str">
        <f t="shared" si="323"/>
        <v>C0043</v>
      </c>
      <c r="M45" s="13" t="str">
        <f t="shared" si="324"/>
        <v xml:space="preserve">Сергеева Анна Михайловна</v>
      </c>
      <c r="N45" s="13" t="str">
        <f t="shared" ca="1" si="325"/>
        <v>OK</v>
      </c>
      <c r="O45" s="19">
        <f t="shared" si="326"/>
        <v>27710</v>
      </c>
      <c r="P45" s="19">
        <f t="shared" si="327"/>
        <v>44986</v>
      </c>
      <c r="Q45" s="13">
        <f t="shared" ca="1" si="328"/>
        <v>50</v>
      </c>
      <c r="R45" s="13" t="str">
        <f t="shared" si="329"/>
        <v>OK</v>
      </c>
      <c r="S45" s="13" t="str">
        <f t="shared" si="330"/>
        <v xml:space="preserve">+7 (903) 012-34-56</v>
      </c>
      <c r="T45" s="13" t="str">
        <f t="shared" si="331"/>
        <v>sergeeva@mail</v>
      </c>
      <c r="U45" s="18" t="str">
        <f t="shared" si="332"/>
        <v xml:space="preserve">Ошибка Email</v>
      </c>
      <c r="V45" s="13" t="str">
        <f>IFERROR(VLOOKUP(K45,Справочники!$K$6:$L$13,2,0),K45)</f>
        <v>Курск</v>
      </c>
    </row>
    <row r="46" ht="15" customHeight="1">
      <c r="A46" s="10">
        <v>44</v>
      </c>
      <c r="B46" s="11" t="str">
        <f>RAW_Клиенты!A45</f>
        <v>C0044</v>
      </c>
      <c r="C46" s="11" t="str">
        <f>RAW_Клиенты!B45</f>
        <v xml:space="preserve">Карпов Андрей Петрович</v>
      </c>
      <c r="D46" s="11" t="str">
        <f>RAW_Клиенты!C45</f>
        <v>05.04.1983</v>
      </c>
      <c r="E46" s="11" t="str">
        <f>RAW_Клиенты!D45</f>
        <v>8-903-012-34-56</v>
      </c>
      <c r="F46" s="11" t="str">
        <f>RAW_Клиенты!E45</f>
        <v>karpov@yandex</v>
      </c>
      <c r="G46" s="11" t="str">
        <f>RAW_Клиенты!F45</f>
        <v>Комсомольск-на-Амуре</v>
      </c>
      <c r="H46" s="11" t="str">
        <f>RAW_Клиенты!G45</f>
        <v>2023-03-15</v>
      </c>
      <c r="I46" s="12" t="str">
        <f t="shared" si="320"/>
        <v>89030123456</v>
      </c>
      <c r="J46" s="12" t="str">
        <f t="shared" si="321"/>
        <v>karpov@yandex</v>
      </c>
      <c r="K46" s="12" t="str">
        <f t="shared" si="322"/>
        <v>Комсомольск-на-Амуре</v>
      </c>
      <c r="L46" s="13" t="str">
        <f t="shared" si="323"/>
        <v>C0044</v>
      </c>
      <c r="M46" s="13" t="str">
        <f t="shared" si="324"/>
        <v xml:space="preserve">Карпов Андрей Петрович</v>
      </c>
      <c r="N46" s="13" t="str">
        <f t="shared" ca="1" si="325"/>
        <v>OK</v>
      </c>
      <c r="O46" s="19">
        <f t="shared" si="326"/>
        <v>30411</v>
      </c>
      <c r="P46" s="19">
        <f t="shared" si="327"/>
        <v>45000</v>
      </c>
      <c r="Q46" s="13">
        <f t="shared" ca="1" si="328"/>
        <v>43</v>
      </c>
      <c r="R46" s="13" t="str">
        <f t="shared" si="329"/>
        <v>OK</v>
      </c>
      <c r="S46" s="13" t="str">
        <f t="shared" si="330"/>
        <v xml:space="preserve">+7 (903) 012-34-56</v>
      </c>
      <c r="T46" s="13" t="str">
        <f t="shared" si="331"/>
        <v>karpov@yandex</v>
      </c>
      <c r="U46" s="18" t="str">
        <f t="shared" si="332"/>
        <v xml:space="preserve">Ошибка Email</v>
      </c>
      <c r="V46" s="13" t="str">
        <f>IFERROR(VLOOKUP(K46,Справочники!$K$6:$L$13,2,0),K46)</f>
        <v>Комсомольск-на-Амуре</v>
      </c>
    </row>
    <row r="47" ht="15" customHeight="1">
      <c r="A47" s="10">
        <v>45</v>
      </c>
      <c r="B47" s="11" t="str">
        <f>RAW_Клиенты!A46</f>
        <v>C0045</v>
      </c>
      <c r="C47" s="11" t="str">
        <f>RAW_Клиенты!B46</f>
        <v xml:space="preserve">Киселева Екатерина Евгеньевна</v>
      </c>
      <c r="D47" s="11" t="str">
        <f>RAW_Клиенты!C46</f>
        <v>22.09.1989</v>
      </c>
      <c r="E47" s="11" t="str">
        <f>RAW_Клиенты!D46</f>
        <v xml:space="preserve">8 903 123 45 67</v>
      </c>
      <c r="F47" s="11" t="str">
        <f>RAW_Клиенты!E46</f>
        <v>kiseleva@gmail</v>
      </c>
      <c r="G47" s="11" t="str">
        <f>RAW_Клиенты!F46</f>
        <v>Улан-Удэ</v>
      </c>
      <c r="H47" s="11" t="str">
        <f>RAW_Клиенты!G46</f>
        <v>15.03.2023</v>
      </c>
      <c r="I47" s="12" t="str">
        <f t="shared" si="320"/>
        <v>89031234567</v>
      </c>
      <c r="J47" s="12" t="str">
        <f t="shared" si="321"/>
        <v>kiseleva@gmail</v>
      </c>
      <c r="K47" s="12" t="str">
        <f t="shared" si="322"/>
        <v>Улан-Удэ</v>
      </c>
      <c r="L47" s="13" t="str">
        <f t="shared" si="323"/>
        <v>C0045</v>
      </c>
      <c r="M47" s="13" t="str">
        <f t="shared" si="324"/>
        <v xml:space="preserve">Киселева Екатерина Евгеньевна</v>
      </c>
      <c r="N47" s="13" t="str">
        <f t="shared" ca="1" si="325"/>
        <v>OK</v>
      </c>
      <c r="O47" s="19">
        <f t="shared" si="326"/>
        <v>32773</v>
      </c>
      <c r="P47" s="19">
        <f t="shared" si="327"/>
        <v>45000</v>
      </c>
      <c r="Q47" s="13">
        <f t="shared" ca="1" si="328"/>
        <v>37</v>
      </c>
      <c r="R47" s="13" t="str">
        <f t="shared" si="329"/>
        <v>OK</v>
      </c>
      <c r="S47" s="13" t="str">
        <f t="shared" si="330"/>
        <v xml:space="preserve">+7 (903) 123-45-67</v>
      </c>
      <c r="T47" s="13" t="str">
        <f t="shared" si="331"/>
        <v>kiseleva@gmail</v>
      </c>
      <c r="U47" s="18" t="str">
        <f t="shared" si="332"/>
        <v xml:space="preserve">Ошибка Email</v>
      </c>
      <c r="V47" s="13" t="str">
        <f>IFERROR(VLOOKUP(K47,Справочники!$K$6:$L$13,2,0),K47)</f>
        <v>Улан-Удэ</v>
      </c>
    </row>
    <row r="48" ht="15" customHeight="1">
      <c r="A48" s="10">
        <v>46</v>
      </c>
      <c r="B48" s="11" t="str">
        <f>RAW_Клиенты!A47</f>
        <v>C0046</v>
      </c>
      <c r="C48" s="11" t="str">
        <f>RAW_Клиенты!B47</f>
        <v xml:space="preserve">Власов Денис Алексеевич</v>
      </c>
      <c r="D48" s="11" t="str">
        <f>RAW_Клиенты!C47</f>
        <v>10.02.1979</v>
      </c>
      <c r="E48" s="11" t="str">
        <f>RAW_Клиенты!D47</f>
        <v>+79031234567</v>
      </c>
      <c r="F48" s="11" t="str">
        <f>RAW_Клиенты!E47</f>
        <v>vlasov@mail</v>
      </c>
      <c r="G48" s="11" t="str">
        <f>RAW_Клиенты!F47</f>
        <v>Якутск</v>
      </c>
      <c r="H48" s="11" t="str">
        <f>RAW_Клиенты!G47</f>
        <v>01.04.2023</v>
      </c>
      <c r="I48" s="12" t="str">
        <f t="shared" si="320"/>
        <v>79031234567</v>
      </c>
      <c r="J48" s="12" t="str">
        <f t="shared" si="321"/>
        <v>vlasov@mail</v>
      </c>
      <c r="K48" s="12" t="str">
        <f t="shared" si="322"/>
        <v>Якутск</v>
      </c>
      <c r="L48" s="13" t="str">
        <f t="shared" si="323"/>
        <v>C0046</v>
      </c>
      <c r="M48" s="13" t="str">
        <f t="shared" si="324"/>
        <v xml:space="preserve">Власов Денис Алексеевич</v>
      </c>
      <c r="N48" s="13" t="str">
        <f t="shared" ca="1" si="325"/>
        <v>OK</v>
      </c>
      <c r="O48" s="19">
        <f t="shared" si="326"/>
        <v>28896</v>
      </c>
      <c r="P48" s="19">
        <f t="shared" si="327"/>
        <v>45017</v>
      </c>
      <c r="Q48" s="13">
        <f t="shared" ca="1" si="328"/>
        <v>47</v>
      </c>
      <c r="R48" s="13" t="str">
        <f t="shared" si="329"/>
        <v>OK</v>
      </c>
      <c r="S48" s="13" t="str">
        <f t="shared" si="330"/>
        <v xml:space="preserve">+7 (903) 123-45-67</v>
      </c>
      <c r="T48" s="13" t="str">
        <f t="shared" si="331"/>
        <v>vlasov@mail</v>
      </c>
      <c r="U48" s="18" t="str">
        <f t="shared" si="332"/>
        <v xml:space="preserve">Ошибка Email</v>
      </c>
      <c r="V48" s="13" t="str">
        <f>IFERROR(VLOOKUP(K48,Справочники!$K$6:$L$13,2,0),K48)</f>
        <v>Якутск</v>
      </c>
    </row>
    <row r="49" ht="15" customHeight="1">
      <c r="A49" s="10">
        <v>47</v>
      </c>
      <c r="B49" s="11" t="str">
        <f>RAW_Клиенты!A48</f>
        <v>C0047</v>
      </c>
      <c r="C49" s="11" t="str">
        <f>RAW_Клиенты!B48</f>
        <v xml:space="preserve">Ларионова Елена Валентиновна</v>
      </c>
      <c r="D49" s="11" t="str">
        <f>RAW_Клиенты!C48</f>
        <v>27.06.1994</v>
      </c>
      <c r="E49" s="11" t="str">
        <f>RAW_Клиенты!D48</f>
        <v>8-903-123-45-67</v>
      </c>
      <c r="F49" s="11" t="str">
        <f>RAW_Клиенты!E48</f>
        <v>larionova@yandex</v>
      </c>
      <c r="G49" s="11" t="str">
        <f>RAW_Клиенты!F48</f>
        <v>Череповец</v>
      </c>
      <c r="H49" s="11" t="str">
        <f>RAW_Клиенты!G48</f>
        <v>2023-04-10</v>
      </c>
      <c r="I49" s="12" t="str">
        <f t="shared" si="320"/>
        <v>89031234567</v>
      </c>
      <c r="J49" s="12" t="str">
        <f t="shared" si="321"/>
        <v>larionova@yandex</v>
      </c>
      <c r="K49" s="12" t="str">
        <f t="shared" si="322"/>
        <v>Череповец</v>
      </c>
      <c r="L49" s="13" t="str">
        <f t="shared" si="323"/>
        <v>C0047</v>
      </c>
      <c r="M49" s="13" t="str">
        <f t="shared" si="324"/>
        <v xml:space="preserve">Ларионова Елена Валентиновна</v>
      </c>
      <c r="N49" s="13" t="str">
        <f t="shared" ca="1" si="325"/>
        <v>OK</v>
      </c>
      <c r="O49" s="19">
        <f t="shared" si="326"/>
        <v>34512</v>
      </c>
      <c r="P49" s="19">
        <f t="shared" si="327"/>
        <v>45026</v>
      </c>
      <c r="Q49" s="13">
        <f t="shared" ca="1" si="328"/>
        <v>32</v>
      </c>
      <c r="R49" s="13" t="str">
        <f t="shared" si="329"/>
        <v>OK</v>
      </c>
      <c r="S49" s="13" t="str">
        <f t="shared" si="330"/>
        <v xml:space="preserve">+7 (903) 123-45-67</v>
      </c>
      <c r="T49" s="13" t="str">
        <f t="shared" si="331"/>
        <v>larionova@yandex</v>
      </c>
      <c r="U49" s="18" t="str">
        <f t="shared" si="332"/>
        <v xml:space="preserve">Ошибка Email</v>
      </c>
      <c r="V49" s="13" t="str">
        <f>IFERROR(VLOOKUP(K49,Справочники!$K$6:$L$13,2,0),K49)</f>
        <v>Череповец</v>
      </c>
    </row>
    <row r="50" ht="15" customHeight="1">
      <c r="A50" s="10">
        <v>48</v>
      </c>
      <c r="B50" s="11" t="str">
        <f>RAW_Клиенты!A49</f>
        <v>C0048</v>
      </c>
      <c r="C50" s="11" t="str">
        <f>RAW_Клиенты!B49</f>
        <v xml:space="preserve">Савин Юрий Михайлович</v>
      </c>
      <c r="D50" s="11" t="str">
        <f>RAW_Клиенты!C49</f>
        <v>14.12.1970</v>
      </c>
      <c r="E50" s="11" t="str">
        <f>RAW_Клиенты!D49</f>
        <v xml:space="preserve">8 903 234 56 78</v>
      </c>
      <c r="F50" s="11" t="str">
        <f>RAW_Клиенты!E49</f>
        <v>savin@gmail</v>
      </c>
      <c r="G50" s="11" t="str">
        <f>RAW_Клиенты!F49</f>
        <v>Саранск</v>
      </c>
      <c r="H50" s="11" t="str">
        <f>RAW_Клиенты!G49</f>
        <v>10.04.2023</v>
      </c>
      <c r="I50" s="12" t="str">
        <f t="shared" si="320"/>
        <v>89032345678</v>
      </c>
      <c r="J50" s="12" t="str">
        <f t="shared" si="321"/>
        <v>savin@gmail</v>
      </c>
      <c r="K50" s="12" t="str">
        <f t="shared" si="322"/>
        <v>Саранск</v>
      </c>
      <c r="L50" s="13" t="str">
        <f t="shared" si="323"/>
        <v>C0048</v>
      </c>
      <c r="M50" s="13" t="str">
        <f t="shared" si="324"/>
        <v xml:space="preserve">Савин Юрий Михайлович</v>
      </c>
      <c r="N50" s="13" t="str">
        <f t="shared" ca="1" si="325"/>
        <v>OK</v>
      </c>
      <c r="O50" s="19">
        <f t="shared" si="326"/>
        <v>25916</v>
      </c>
      <c r="P50" s="19">
        <f t="shared" si="327"/>
        <v>45026</v>
      </c>
      <c r="Q50" s="13">
        <f t="shared" ca="1" si="328"/>
        <v>55</v>
      </c>
      <c r="R50" s="13" t="str">
        <f t="shared" si="329"/>
        <v>OK</v>
      </c>
      <c r="S50" s="13" t="str">
        <f t="shared" si="330"/>
        <v xml:space="preserve">+7 (903) 234-56-78</v>
      </c>
      <c r="T50" s="13" t="str">
        <f t="shared" si="331"/>
        <v>savin@gmail</v>
      </c>
      <c r="U50" s="18" t="str">
        <f t="shared" si="332"/>
        <v xml:space="preserve">Ошибка Email</v>
      </c>
      <c r="V50" s="13" t="str">
        <f>IFERROR(VLOOKUP(K50,Справочники!$K$6:$L$13,2,0),K50)</f>
        <v>Саранск</v>
      </c>
    </row>
    <row r="51" ht="15" customHeight="1">
      <c r="A51" s="10">
        <v>49</v>
      </c>
      <c r="B51" s="11" t="str">
        <f>RAW_Клиенты!A50</f>
        <v>C0049</v>
      </c>
      <c r="C51" s="11" t="str">
        <f>RAW_Клиенты!B50</f>
        <v xml:space="preserve">Лобанова Ксения Сергеевна</v>
      </c>
      <c r="D51" s="11" t="str">
        <f>RAW_Клиенты!C50</f>
        <v>16.08.1982</v>
      </c>
      <c r="E51" s="11" t="str">
        <f>RAW_Клиенты!D50</f>
        <v>+79032345678</v>
      </c>
      <c r="F51" s="11" t="str">
        <f>RAW_Клиенты!E50</f>
        <v>lobanova@mail</v>
      </c>
      <c r="G51" s="11" t="str">
        <f>RAW_Клиенты!F50</f>
        <v>Тула</v>
      </c>
      <c r="H51" s="11" t="str">
        <f>RAW_Клиенты!G50</f>
        <v>01.05.2023</v>
      </c>
      <c r="I51" s="12" t="str">
        <f t="shared" si="320"/>
        <v>79032345678</v>
      </c>
      <c r="J51" s="12" t="str">
        <f t="shared" si="321"/>
        <v>lobanova@mail</v>
      </c>
      <c r="K51" s="12" t="str">
        <f t="shared" si="322"/>
        <v>Тула</v>
      </c>
      <c r="L51" s="13" t="str">
        <f t="shared" si="323"/>
        <v>C0049</v>
      </c>
      <c r="M51" s="13" t="str">
        <f t="shared" si="324"/>
        <v xml:space="preserve">Лобанова Ксения Сергеевна</v>
      </c>
      <c r="N51" s="13" t="str">
        <f t="shared" ca="1" si="325"/>
        <v>OK</v>
      </c>
      <c r="O51" s="19">
        <f t="shared" si="326"/>
        <v>30179</v>
      </c>
      <c r="P51" s="19">
        <f t="shared" si="327"/>
        <v>45047</v>
      </c>
      <c r="Q51" s="13">
        <f t="shared" ca="1" si="328"/>
        <v>44</v>
      </c>
      <c r="R51" s="13" t="str">
        <f t="shared" si="329"/>
        <v>OK</v>
      </c>
      <c r="S51" s="13" t="str">
        <f t="shared" si="330"/>
        <v xml:space="preserve">+7 (903) 234-56-78</v>
      </c>
      <c r="T51" s="13" t="str">
        <f t="shared" si="331"/>
        <v>lobanova@mail</v>
      </c>
      <c r="U51" s="18" t="str">
        <f t="shared" si="332"/>
        <v xml:space="preserve">Ошибка Email</v>
      </c>
      <c r="V51" s="13" t="str">
        <f>IFERROR(VLOOKUP(K51,Справочники!$K$6:$L$13,2,0),K51)</f>
        <v>Тула</v>
      </c>
    </row>
    <row r="52" ht="15" customHeight="1">
      <c r="A52" s="10">
        <v>50</v>
      </c>
      <c r="B52" s="11" t="str">
        <f>RAW_Клиенты!A51</f>
        <v>C0050</v>
      </c>
      <c r="C52" s="11" t="str">
        <f>RAW_Клиенты!B51</f>
        <v xml:space="preserve">Макаров Игорь Дмитриевич</v>
      </c>
      <c r="D52" s="11" t="str">
        <f>RAW_Клиенты!C51</f>
        <v>23.01.1990</v>
      </c>
      <c r="E52" s="11" t="str">
        <f>RAW_Клиенты!D51</f>
        <v>8-903-234-56-78</v>
      </c>
      <c r="F52" s="11" t="str">
        <f>RAW_Клиенты!E51</f>
        <v>makarov@yandex</v>
      </c>
      <c r="G52" s="11" t="str">
        <f>RAW_Клиенты!F51</f>
        <v>Калуга</v>
      </c>
      <c r="H52" s="11" t="str">
        <f>RAW_Клиенты!G51</f>
        <v>2023-05-15</v>
      </c>
      <c r="I52" s="12" t="str">
        <f t="shared" si="320"/>
        <v>89032345678</v>
      </c>
      <c r="J52" s="12" t="str">
        <f t="shared" si="321"/>
        <v>makarov@yandex</v>
      </c>
      <c r="K52" s="12" t="str">
        <f t="shared" si="322"/>
        <v>Калуга</v>
      </c>
      <c r="L52" s="13" t="str">
        <f t="shared" si="323"/>
        <v>C0050</v>
      </c>
      <c r="M52" s="13" t="str">
        <f t="shared" si="324"/>
        <v xml:space="preserve">Макаров Игорь Дмитриевич</v>
      </c>
      <c r="N52" s="13" t="str">
        <f t="shared" ca="1" si="325"/>
        <v>OK</v>
      </c>
      <c r="O52" s="19">
        <f t="shared" si="326"/>
        <v>32896</v>
      </c>
      <c r="P52" s="19">
        <f t="shared" si="327"/>
        <v>45061</v>
      </c>
      <c r="Q52" s="13">
        <f t="shared" ca="1" si="328"/>
        <v>36</v>
      </c>
      <c r="R52" s="13" t="str">
        <f t="shared" si="329"/>
        <v>OK</v>
      </c>
      <c r="S52" s="13" t="str">
        <f t="shared" si="330"/>
        <v xml:space="preserve">+7 (903) 234-56-78</v>
      </c>
      <c r="T52" s="13" t="str">
        <f t="shared" si="331"/>
        <v>makarov@yandex</v>
      </c>
      <c r="U52" s="18" t="str">
        <f t="shared" si="332"/>
        <v xml:space="preserve">Ошибка Email</v>
      </c>
      <c r="V52" s="13" t="str">
        <f>IFERROR(VLOOKUP(K52,Справочники!$K$6:$L$13,2,0),K52)</f>
        <v>Калуга</v>
      </c>
    </row>
    <row r="53" ht="15" customHeight="1">
      <c r="A53" s="10">
        <v>51</v>
      </c>
      <c r="B53" s="11" t="str">
        <f>RAW_Клиенты!A52</f>
        <v>C0051</v>
      </c>
      <c r="C53" s="11" t="str">
        <f>RAW_Клиенты!B52</f>
        <v xml:space="preserve">Спиридонова Ольга Петровна</v>
      </c>
      <c r="D53" s="11" t="str">
        <f>RAW_Клиенты!C52</f>
        <v>05.11.1977</v>
      </c>
      <c r="E53" s="11" t="str">
        <f>RAW_Клиенты!D52</f>
        <v xml:space="preserve">8 903 345 67 89</v>
      </c>
      <c r="F53" s="11" t="str">
        <f>RAW_Клиенты!E52</f>
        <v>spiridonova@gmail</v>
      </c>
      <c r="G53" s="11" t="str">
        <f>RAW_Клиенты!F52</f>
        <v>Владикавказ</v>
      </c>
      <c r="H53" s="11" t="str">
        <f>RAW_Клиенты!G52</f>
        <v>15.05.2023</v>
      </c>
      <c r="I53" s="12" t="str">
        <f t="shared" si="320"/>
        <v>89033456789</v>
      </c>
      <c r="J53" s="12" t="str">
        <f t="shared" si="321"/>
        <v>spiridonova@gmail</v>
      </c>
      <c r="K53" s="12" t="str">
        <f t="shared" si="322"/>
        <v>Владикавказ</v>
      </c>
      <c r="L53" s="13" t="str">
        <f t="shared" si="323"/>
        <v>C0051</v>
      </c>
      <c r="M53" s="13" t="str">
        <f t="shared" si="324"/>
        <v xml:space="preserve">Спиридонова Ольга Петровна</v>
      </c>
      <c r="N53" s="13" t="str">
        <f t="shared" ca="1" si="325"/>
        <v>OK</v>
      </c>
      <c r="O53" s="19">
        <f t="shared" si="326"/>
        <v>28434</v>
      </c>
      <c r="P53" s="19">
        <f t="shared" si="327"/>
        <v>45061</v>
      </c>
      <c r="Q53" s="13">
        <f t="shared" ca="1" si="328"/>
        <v>48</v>
      </c>
      <c r="R53" s="13" t="str">
        <f t="shared" si="329"/>
        <v>OK</v>
      </c>
      <c r="S53" s="13" t="str">
        <f t="shared" si="330"/>
        <v xml:space="preserve">+7 (903) 345-67-89</v>
      </c>
      <c r="T53" s="13" t="str">
        <f t="shared" si="331"/>
        <v>spiridonova@gmail</v>
      </c>
      <c r="U53" s="18" t="str">
        <f t="shared" si="332"/>
        <v xml:space="preserve">Ошибка Email</v>
      </c>
      <c r="V53" s="13" t="str">
        <f>IFERROR(VLOOKUP(K53,Справочники!$K$6:$L$13,2,0),K53)</f>
        <v>Владикавказ</v>
      </c>
    </row>
    <row r="54" ht="15" customHeight="1">
      <c r="A54" s="10">
        <v>52</v>
      </c>
      <c r="B54" s="11" t="str">
        <f>RAW_Клиенты!A53</f>
        <v>C0052</v>
      </c>
      <c r="C54" s="11" t="str">
        <f>RAW_Клиенты!B53</f>
        <v xml:space="preserve">Абрамова Марина Александровна</v>
      </c>
      <c r="D54" s="11" t="str">
        <f>RAW_Клиенты!C53</f>
        <v>29.07.1985</v>
      </c>
      <c r="E54" s="11" t="str">
        <f>RAW_Клиенты!D53</f>
        <v>+79033456789</v>
      </c>
      <c r="F54" s="11" t="str">
        <f>RAW_Клиенты!E53</f>
        <v>abramova@mail</v>
      </c>
      <c r="G54" s="11" t="str">
        <f>RAW_Клиенты!F53</f>
        <v>Смоленск</v>
      </c>
      <c r="H54" s="11" t="str">
        <f>RAW_Клиенты!G53</f>
        <v>01.06.2023</v>
      </c>
      <c r="I54" s="12" t="str">
        <f t="shared" si="320"/>
        <v>79033456789</v>
      </c>
      <c r="J54" s="12" t="str">
        <f t="shared" si="321"/>
        <v>abramova@mail</v>
      </c>
      <c r="K54" s="12" t="str">
        <f t="shared" si="322"/>
        <v>Смоленск</v>
      </c>
      <c r="L54" s="13" t="str">
        <f t="shared" si="323"/>
        <v>C0052</v>
      </c>
      <c r="M54" s="13" t="str">
        <f t="shared" si="324"/>
        <v xml:space="preserve">Абрамова Марина Александровна</v>
      </c>
      <c r="N54" s="13" t="str">
        <f t="shared" ca="1" si="325"/>
        <v>OK</v>
      </c>
      <c r="O54" s="19">
        <f t="shared" si="326"/>
        <v>31257</v>
      </c>
      <c r="P54" s="19">
        <f t="shared" si="327"/>
        <v>45078</v>
      </c>
      <c r="Q54" s="13">
        <f t="shared" ca="1" si="328"/>
        <v>41</v>
      </c>
      <c r="R54" s="13" t="str">
        <f t="shared" si="329"/>
        <v>OK</v>
      </c>
      <c r="S54" s="13" t="str">
        <f t="shared" si="330"/>
        <v xml:space="preserve">+7 (903) 345-67-89</v>
      </c>
      <c r="T54" s="13" t="str">
        <f t="shared" si="331"/>
        <v>abramova@mail</v>
      </c>
      <c r="U54" s="18" t="str">
        <f t="shared" si="332"/>
        <v xml:space="preserve">Ошибка Email</v>
      </c>
      <c r="V54" s="13" t="str">
        <f>IFERROR(VLOOKUP(K54,Справочники!$K$6:$L$13,2,0),K54)</f>
        <v>Смоленск</v>
      </c>
    </row>
    <row r="55" ht="15" customHeight="1">
      <c r="A55" s="10">
        <v>53</v>
      </c>
      <c r="B55" s="11" t="str">
        <f>RAW_Клиенты!A54</f>
        <v>C0053</v>
      </c>
      <c r="C55" s="11" t="str">
        <f>RAW_Клиенты!B54</f>
        <v xml:space="preserve">Богданов Павел Николаевич</v>
      </c>
      <c r="D55" s="11" t="str">
        <f>RAW_Клиенты!C54</f>
        <v>18.03.1992</v>
      </c>
      <c r="E55" s="11" t="str">
        <f>RAW_Клиенты!D54</f>
        <v>8-903-345-67-89</v>
      </c>
      <c r="F55" s="11" t="str">
        <f>RAW_Клиенты!E54</f>
        <v>bogdanov@yandex</v>
      </c>
      <c r="G55" s="11" t="str">
        <f>RAW_Клиенты!F54</f>
        <v>Белгород</v>
      </c>
      <c r="H55" s="11" t="str">
        <f>RAW_Клиенты!G54</f>
        <v>2023-06-10</v>
      </c>
      <c r="I55" s="12" t="str">
        <f t="shared" si="320"/>
        <v>89033456789</v>
      </c>
      <c r="J55" s="12" t="str">
        <f t="shared" si="321"/>
        <v>bogdanov@yandex</v>
      </c>
      <c r="K55" s="12" t="str">
        <f t="shared" si="322"/>
        <v>Белгород</v>
      </c>
      <c r="L55" s="13" t="str">
        <f t="shared" si="323"/>
        <v>C0053</v>
      </c>
      <c r="M55" s="13" t="str">
        <f t="shared" si="324"/>
        <v xml:space="preserve">Богданов Павел Николаевич</v>
      </c>
      <c r="N55" s="13" t="str">
        <f t="shared" ca="1" si="325"/>
        <v>OK</v>
      </c>
      <c r="O55" s="19">
        <f t="shared" si="326"/>
        <v>33681</v>
      </c>
      <c r="P55" s="19">
        <f t="shared" si="327"/>
        <v>45087</v>
      </c>
      <c r="Q55" s="13">
        <f t="shared" ca="1" si="328"/>
        <v>34</v>
      </c>
      <c r="R55" s="13" t="str">
        <f t="shared" si="329"/>
        <v>OK</v>
      </c>
      <c r="S55" s="13" t="str">
        <f t="shared" si="330"/>
        <v xml:space="preserve">+7 (903) 345-67-89</v>
      </c>
      <c r="T55" s="13" t="str">
        <f t="shared" si="331"/>
        <v>bogdanov@yandex</v>
      </c>
      <c r="U55" s="18" t="str">
        <f t="shared" si="332"/>
        <v xml:space="preserve">Ошибка Email</v>
      </c>
      <c r="V55" s="13" t="str">
        <f>IFERROR(VLOOKUP(K55,Справочники!$K$6:$L$13,2,0),K55)</f>
        <v>Белгород</v>
      </c>
    </row>
    <row r="56" ht="15" customHeight="1">
      <c r="A56" s="10">
        <v>54</v>
      </c>
      <c r="B56" s="11" t="str">
        <f>RAW_Клиенты!A55</f>
        <v>C0054</v>
      </c>
      <c r="C56" s="11" t="str">
        <f>RAW_Клиенты!B55</f>
        <v xml:space="preserve">Комаров Иван Валерьевич</v>
      </c>
      <c r="D56" s="11" t="str">
        <f>RAW_Клиенты!C55</f>
        <v>06.10.1987</v>
      </c>
      <c r="E56" s="11" t="str">
        <f>RAW_Клиенты!D55</f>
        <v xml:space="preserve">8 903 456 78 90</v>
      </c>
      <c r="F56" s="11" t="str">
        <f>RAW_Клиенты!E55</f>
        <v>komarov@gmail</v>
      </c>
      <c r="G56" s="11" t="str">
        <f>RAW_Клиенты!F55</f>
        <v>Мурманск</v>
      </c>
      <c r="H56" s="11" t="str">
        <f>RAW_Клиенты!G55</f>
        <v>10.06.2023</v>
      </c>
      <c r="I56" s="12" t="str">
        <f t="shared" si="320"/>
        <v>89034567890</v>
      </c>
      <c r="J56" s="12" t="str">
        <f t="shared" si="321"/>
        <v>komarov@gmail</v>
      </c>
      <c r="K56" s="12" t="str">
        <f t="shared" si="322"/>
        <v>Мурманск</v>
      </c>
      <c r="L56" s="13" t="str">
        <f t="shared" si="323"/>
        <v>C0054</v>
      </c>
      <c r="M56" s="13" t="str">
        <f t="shared" si="324"/>
        <v xml:space="preserve">Комаров Иван Валерьевич</v>
      </c>
      <c r="N56" s="13" t="str">
        <f t="shared" ca="1" si="325"/>
        <v>OK</v>
      </c>
      <c r="O56" s="19">
        <f t="shared" si="326"/>
        <v>32056</v>
      </c>
      <c r="P56" s="19">
        <f t="shared" si="327"/>
        <v>45087</v>
      </c>
      <c r="Q56" s="13">
        <f t="shared" ca="1" si="328"/>
        <v>38</v>
      </c>
      <c r="R56" s="13" t="str">
        <f t="shared" si="329"/>
        <v>OK</v>
      </c>
      <c r="S56" s="13" t="str">
        <f t="shared" si="330"/>
        <v xml:space="preserve">+7 (903) 456-78-90</v>
      </c>
      <c r="T56" s="13" t="str">
        <f t="shared" si="331"/>
        <v>komarov@gmail</v>
      </c>
      <c r="U56" s="18" t="str">
        <f t="shared" si="332"/>
        <v xml:space="preserve">Ошибка Email</v>
      </c>
      <c r="V56" s="13" t="str">
        <f>IFERROR(VLOOKUP(K56,Справочники!$K$6:$L$13,2,0),K56)</f>
        <v>Мурманск</v>
      </c>
    </row>
    <row r="57" ht="15" customHeight="1">
      <c r="A57" s="10">
        <v>55</v>
      </c>
      <c r="B57" s="11" t="str">
        <f>RAW_Клиенты!A56</f>
        <v>C0055</v>
      </c>
      <c r="C57" s="11" t="str">
        <f>RAW_Клиенты!B56</f>
        <v xml:space="preserve">Анисимова Людмила Юрьевна</v>
      </c>
      <c r="D57" s="11" t="str">
        <f>RAW_Клиенты!C56</f>
        <v>12.05.1974</v>
      </c>
      <c r="E57" s="11" t="str">
        <f>RAW_Клиенты!D56</f>
        <v>+79034567890</v>
      </c>
      <c r="F57" s="11" t="str">
        <f>RAW_Клиенты!E56</f>
        <v>anisimova@mail</v>
      </c>
      <c r="G57" s="11" t="str">
        <f>RAW_Клиенты!F56</f>
        <v>Ставрополь</v>
      </c>
      <c r="H57" s="11" t="str">
        <f>RAW_Клиенты!G56</f>
        <v>01.07.2023</v>
      </c>
      <c r="I57" s="12" t="str">
        <f t="shared" si="320"/>
        <v>79034567890</v>
      </c>
      <c r="J57" s="12" t="str">
        <f t="shared" si="321"/>
        <v>anisimova@mail</v>
      </c>
      <c r="K57" s="12" t="str">
        <f t="shared" si="322"/>
        <v>Ставрополь</v>
      </c>
      <c r="L57" s="13" t="str">
        <f t="shared" si="323"/>
        <v>C0055</v>
      </c>
      <c r="M57" s="13" t="str">
        <f t="shared" si="324"/>
        <v xml:space="preserve">Анисимова Людмила Юрьевна</v>
      </c>
      <c r="N57" s="13" t="str">
        <f t="shared" ca="1" si="325"/>
        <v>OK</v>
      </c>
      <c r="O57" s="19">
        <f t="shared" si="326"/>
        <v>27161</v>
      </c>
      <c r="P57" s="19">
        <f t="shared" si="327"/>
        <v>45108</v>
      </c>
      <c r="Q57" s="13">
        <f t="shared" ca="1" si="328"/>
        <v>52</v>
      </c>
      <c r="R57" s="13" t="str">
        <f t="shared" si="329"/>
        <v>OK</v>
      </c>
      <c r="S57" s="13" t="str">
        <f t="shared" si="330"/>
        <v xml:space="preserve">+7 (903) 456-78-90</v>
      </c>
      <c r="T57" s="13" t="str">
        <f t="shared" si="331"/>
        <v>anisimova@mail</v>
      </c>
      <c r="U57" s="18" t="str">
        <f t="shared" si="332"/>
        <v xml:space="preserve">Ошибка Email</v>
      </c>
      <c r="V57" s="13" t="str">
        <f>IFERROR(VLOOKUP(K57,Справочники!$K$6:$L$13,2,0),K57)</f>
        <v>Ставрополь</v>
      </c>
    </row>
    <row r="58" ht="15" customHeight="1">
      <c r="A58" s="10">
        <v>56</v>
      </c>
      <c r="B58" s="11" t="str">
        <f>RAW_Клиенты!A57</f>
        <v>C0056</v>
      </c>
      <c r="C58" s="11" t="str">
        <f>RAW_Клиенты!B57</f>
        <v xml:space="preserve">Трифонов Алексей Игоревич</v>
      </c>
      <c r="D58" s="11" t="str">
        <f>RAW_Клиенты!C57</f>
        <v>30.12.1980</v>
      </c>
      <c r="E58" s="11" t="str">
        <f>RAW_Клиенты!D57</f>
        <v>8-903-456-78-90</v>
      </c>
      <c r="F58" s="11" t="str">
        <f>RAW_Клиенты!E57</f>
        <v>trifonov@yandex</v>
      </c>
      <c r="G58" s="11" t="str">
        <f>RAW_Клиенты!F57</f>
        <v>Севастополь</v>
      </c>
      <c r="H58" s="11" t="str">
        <f>RAW_Клиенты!G57</f>
        <v>2023-07-15</v>
      </c>
      <c r="I58" s="12" t="str">
        <f t="shared" si="320"/>
        <v>89034567890</v>
      </c>
      <c r="J58" s="12" t="str">
        <f t="shared" si="321"/>
        <v>trifonov@yandex</v>
      </c>
      <c r="K58" s="12" t="str">
        <f t="shared" si="322"/>
        <v>Севастополь</v>
      </c>
      <c r="L58" s="13" t="str">
        <f t="shared" si="323"/>
        <v>C0056</v>
      </c>
      <c r="M58" s="13" t="str">
        <f t="shared" si="324"/>
        <v xml:space="preserve">Трифонов Алексей Игоревич</v>
      </c>
      <c r="N58" s="13" t="str">
        <f t="shared" ca="1" si="325"/>
        <v>OK</v>
      </c>
      <c r="O58" s="19">
        <f t="shared" si="326"/>
        <v>29585</v>
      </c>
      <c r="P58" s="19">
        <f t="shared" si="327"/>
        <v>45122</v>
      </c>
      <c r="Q58" s="13">
        <f t="shared" ca="1" si="328"/>
        <v>45</v>
      </c>
      <c r="R58" s="13" t="str">
        <f t="shared" si="329"/>
        <v>OK</v>
      </c>
      <c r="S58" s="13" t="str">
        <f t="shared" si="330"/>
        <v xml:space="preserve">+7 (903) 456-78-90</v>
      </c>
      <c r="T58" s="13" t="str">
        <f t="shared" si="331"/>
        <v>trifonov@yandex</v>
      </c>
      <c r="U58" s="18" t="str">
        <f t="shared" si="332"/>
        <v xml:space="preserve">Ошибка Email</v>
      </c>
      <c r="V58" s="13" t="str">
        <f>IFERROR(VLOOKUP(K58,Справочники!$K$6:$L$13,2,0),K58)</f>
        <v>Севастополь</v>
      </c>
    </row>
    <row r="59" ht="15" customHeight="1">
      <c r="A59" s="10">
        <v>57</v>
      </c>
      <c r="B59" s="11" t="str">
        <f>RAW_Клиенты!A58</f>
        <v>C0057</v>
      </c>
      <c r="C59" s="11" t="str">
        <f>RAW_Клиенты!B58</f>
        <v xml:space="preserve">Овсянникова Раиса Петровна</v>
      </c>
      <c r="D59" s="11" t="str">
        <f>RAW_Клиенты!C58</f>
        <v>17.09.1986</v>
      </c>
      <c r="E59" s="11" t="str">
        <f>RAW_Клиенты!D58</f>
        <v xml:space="preserve">8 903 567 89 01</v>
      </c>
      <c r="F59" s="11" t="str">
        <f>RAW_Клиенты!E58</f>
        <v>ovsyannikova@gmail</v>
      </c>
      <c r="G59" s="11" t="str">
        <f>RAW_Клиенты!F58</f>
        <v>Сочи</v>
      </c>
      <c r="H59" s="11" t="str">
        <f>RAW_Клиенты!G58</f>
        <v>15.07.2023</v>
      </c>
      <c r="I59" s="12" t="str">
        <f t="shared" si="320"/>
        <v>89035678901</v>
      </c>
      <c r="J59" s="12" t="str">
        <f t="shared" si="321"/>
        <v>ovsyannikova@gmail</v>
      </c>
      <c r="K59" s="12" t="str">
        <f t="shared" si="322"/>
        <v>Сочи</v>
      </c>
      <c r="L59" s="13" t="str">
        <f t="shared" si="323"/>
        <v>C0057</v>
      </c>
      <c r="M59" s="13" t="str">
        <f t="shared" si="324"/>
        <v xml:space="preserve">Овсянникова Раиса Петровна</v>
      </c>
      <c r="N59" s="13" t="str">
        <f t="shared" ca="1" si="325"/>
        <v>OK</v>
      </c>
      <c r="O59" s="19">
        <f t="shared" si="326"/>
        <v>31672</v>
      </c>
      <c r="P59" s="19">
        <f t="shared" si="327"/>
        <v>45122</v>
      </c>
      <c r="Q59" s="13">
        <f t="shared" ca="1" si="328"/>
        <v>40</v>
      </c>
      <c r="R59" s="13" t="str">
        <f t="shared" si="329"/>
        <v>OK</v>
      </c>
      <c r="S59" s="13" t="str">
        <f t="shared" si="330"/>
        <v xml:space="preserve">+7 (903) 567-89-01</v>
      </c>
      <c r="T59" s="13" t="str">
        <f t="shared" si="331"/>
        <v>ovsyannikova@gmail</v>
      </c>
      <c r="U59" s="18" t="str">
        <f t="shared" si="332"/>
        <v xml:space="preserve">Ошибка Email</v>
      </c>
      <c r="V59" s="13" t="str">
        <f>IFERROR(VLOOKUP(K59,Справочники!$K$6:$L$13,2,0),K59)</f>
        <v>Сочи</v>
      </c>
    </row>
    <row r="60" ht="15" customHeight="1">
      <c r="A60" s="10">
        <v>58</v>
      </c>
      <c r="B60" s="11" t="str">
        <f>RAW_Клиенты!A59</f>
        <v>C0058</v>
      </c>
      <c r="C60" s="11" t="str">
        <f>RAW_Клиенты!B59</f>
        <v xml:space="preserve">Дементьева Тамара Васильевна</v>
      </c>
      <c r="D60" s="11" t="str">
        <f>RAW_Клиенты!C59</f>
        <v>25.02.1971</v>
      </c>
      <c r="E60" s="11" t="str">
        <f>RAW_Клиенты!D59</f>
        <v>+79035678901</v>
      </c>
      <c r="F60" s="11" t="str">
        <f>RAW_Клиенты!E59</f>
        <v>dementeva@mail</v>
      </c>
      <c r="G60" s="11" t="str">
        <f>RAW_Клиенты!F59</f>
        <v>Симферополь</v>
      </c>
      <c r="H60" s="11" t="str">
        <f>RAW_Клиенты!G59</f>
        <v>01.08.2023</v>
      </c>
      <c r="I60" s="12" t="str">
        <f t="shared" si="320"/>
        <v>79035678901</v>
      </c>
      <c r="J60" s="12" t="str">
        <f t="shared" si="321"/>
        <v>dementeva@mail</v>
      </c>
      <c r="K60" s="12" t="str">
        <f t="shared" si="322"/>
        <v>Симферополь</v>
      </c>
      <c r="L60" s="13" t="str">
        <f t="shared" si="323"/>
        <v>C0058</v>
      </c>
      <c r="M60" s="13" t="str">
        <f t="shared" si="324"/>
        <v xml:space="preserve">Дементьева Тамара Васильевна</v>
      </c>
      <c r="N60" s="13" t="str">
        <f t="shared" ca="1" si="325"/>
        <v>OK</v>
      </c>
      <c r="O60" s="19">
        <f t="shared" si="326"/>
        <v>25989</v>
      </c>
      <c r="P60" s="19">
        <f t="shared" si="327"/>
        <v>45139</v>
      </c>
      <c r="Q60" s="13">
        <f t="shared" ca="1" si="328"/>
        <v>55</v>
      </c>
      <c r="R60" s="13" t="str">
        <f t="shared" si="329"/>
        <v>OK</v>
      </c>
      <c r="S60" s="13" t="str">
        <f t="shared" si="330"/>
        <v xml:space="preserve">+7 (903) 567-89-01</v>
      </c>
      <c r="T60" s="13" t="str">
        <f t="shared" si="331"/>
        <v>dementeva@mail</v>
      </c>
      <c r="U60" s="18" t="str">
        <f t="shared" si="332"/>
        <v xml:space="preserve">Ошибка Email</v>
      </c>
      <c r="V60" s="13" t="str">
        <f>IFERROR(VLOOKUP(K60,Справочники!$K$6:$L$13,2,0),K60)</f>
        <v>Симферополь</v>
      </c>
    </row>
    <row r="61" ht="15" customHeight="1">
      <c r="A61" s="10">
        <v>59</v>
      </c>
      <c r="B61" s="11" t="str">
        <f>RAW_Клиенты!A60</f>
        <v>C0059</v>
      </c>
      <c r="C61" s="11" t="str">
        <f>RAW_Клиенты!B60</f>
        <v xml:space="preserve">Суханов Станислав Анатольевич</v>
      </c>
      <c r="D61" s="11" t="str">
        <f>RAW_Клиенты!C60</f>
        <v>08.11.1993</v>
      </c>
      <c r="E61" s="11" t="str">
        <f>RAW_Клиенты!D60</f>
        <v>8-903-567-89-01</v>
      </c>
      <c r="F61" s="11" t="str">
        <f>RAW_Клиенты!E60</f>
        <v>suhanov@yandex</v>
      </c>
      <c r="G61" s="11" t="str">
        <f>RAW_Клиенты!F60</f>
        <v>Брянск</v>
      </c>
      <c r="H61" s="11" t="str">
        <f>RAW_Клиенты!G60</f>
        <v>2023-08-10</v>
      </c>
      <c r="I61" s="12" t="str">
        <f t="shared" si="320"/>
        <v>89035678901</v>
      </c>
      <c r="J61" s="12" t="str">
        <f t="shared" si="321"/>
        <v>suhanov@yandex</v>
      </c>
      <c r="K61" s="12" t="str">
        <f t="shared" si="322"/>
        <v>Брянск</v>
      </c>
      <c r="L61" s="13" t="str">
        <f t="shared" si="323"/>
        <v>C0059</v>
      </c>
      <c r="M61" s="13" t="str">
        <f t="shared" si="324"/>
        <v xml:space="preserve">Суханов Станислав Анатольевич</v>
      </c>
      <c r="N61" s="13" t="str">
        <f t="shared" ca="1" si="325"/>
        <v>OK</v>
      </c>
      <c r="O61" s="19">
        <f t="shared" si="326"/>
        <v>34281</v>
      </c>
      <c r="P61" s="19">
        <f t="shared" si="327"/>
        <v>45148</v>
      </c>
      <c r="Q61" s="13">
        <f t="shared" ca="1" si="328"/>
        <v>32</v>
      </c>
      <c r="R61" s="13" t="str">
        <f t="shared" si="329"/>
        <v>OK</v>
      </c>
      <c r="S61" s="13" t="str">
        <f t="shared" si="330"/>
        <v xml:space="preserve">+7 (903) 567-89-01</v>
      </c>
      <c r="T61" s="13" t="str">
        <f t="shared" si="331"/>
        <v>suhanov@yandex</v>
      </c>
      <c r="U61" s="18" t="str">
        <f t="shared" si="332"/>
        <v xml:space="preserve">Ошибка Email</v>
      </c>
      <c r="V61" s="13" t="str">
        <f>IFERROR(VLOOKUP(K61,Справочники!$K$6:$L$13,2,0),K61)</f>
        <v>Брянск</v>
      </c>
    </row>
    <row r="62" ht="15" customHeight="1">
      <c r="A62" s="10">
        <v>60</v>
      </c>
      <c r="B62" s="11" t="str">
        <f>RAW_Клиенты!A61</f>
        <v>C0060</v>
      </c>
      <c r="C62" s="11" t="str">
        <f>RAW_Клиенты!B61</f>
        <v xml:space="preserve">Новикова Алла Станиславовна</v>
      </c>
      <c r="D62" s="11" t="str">
        <f>RAW_Клиенты!C61</f>
        <v>14.07.1984</v>
      </c>
      <c r="E62" s="11" t="str">
        <f>RAW_Клиенты!D61</f>
        <v xml:space="preserve">8 903 678 90 12</v>
      </c>
      <c r="F62" s="11" t="str">
        <f>RAW_Клиенты!E61</f>
        <v>novikova@gmail</v>
      </c>
      <c r="G62" s="11" t="str">
        <f>RAW_Клиенты!F61</f>
        <v>Абакан</v>
      </c>
      <c r="H62" s="11" t="str">
        <f>RAW_Клиенты!G61</f>
        <v>10.08.2023</v>
      </c>
      <c r="I62" s="12" t="str">
        <f t="shared" si="320"/>
        <v>89036789012</v>
      </c>
      <c r="J62" s="12" t="str">
        <f t="shared" si="321"/>
        <v>novikova@gmail</v>
      </c>
      <c r="K62" s="12" t="str">
        <f t="shared" si="322"/>
        <v>Абакан</v>
      </c>
      <c r="L62" s="13" t="str">
        <f t="shared" si="323"/>
        <v>C0060</v>
      </c>
      <c r="M62" s="13" t="str">
        <f t="shared" si="324"/>
        <v xml:space="preserve">Новикова Алла Станиславовна</v>
      </c>
      <c r="N62" s="13" t="str">
        <f t="shared" ca="1" si="325"/>
        <v>OK</v>
      </c>
      <c r="O62" s="19">
        <f t="shared" si="326"/>
        <v>30877</v>
      </c>
      <c r="P62" s="19">
        <f t="shared" si="327"/>
        <v>45148</v>
      </c>
      <c r="Q62" s="13">
        <f t="shared" ca="1" si="328"/>
        <v>42</v>
      </c>
      <c r="R62" s="13" t="str">
        <f t="shared" si="329"/>
        <v>OK</v>
      </c>
      <c r="S62" s="13" t="str">
        <f t="shared" si="330"/>
        <v xml:space="preserve">+7 (903) 678-90-12</v>
      </c>
      <c r="T62" s="13" t="str">
        <f t="shared" si="331"/>
        <v>novikova@gmail</v>
      </c>
      <c r="U62" s="18" t="str">
        <f t="shared" si="332"/>
        <v xml:space="preserve">Ошибка Email</v>
      </c>
      <c r="V62" s="13" t="str">
        <f>IFERROR(VLOOKUP(K62,Справочники!$K$6:$L$13,2,0),K62)</f>
        <v>Абакан</v>
      </c>
    </row>
    <row r="63" ht="15" customHeight="1">
      <c r="A63" s="10">
        <v>61</v>
      </c>
      <c r="B63" s="11" t="str">
        <f>RAW_Клиенты!A62</f>
        <v>C0061</v>
      </c>
      <c r="C63" s="11" t="str">
        <f>RAW_Клиенты!B62</f>
        <v xml:space="preserve">Калинин Герман Викторович</v>
      </c>
      <c r="D63" s="11" t="str">
        <f>RAW_Клиенты!C62</f>
        <v>27.03.1976</v>
      </c>
      <c r="E63" s="11" t="str">
        <f>RAW_Клиенты!D62</f>
        <v>+79036789012</v>
      </c>
      <c r="F63" s="11" t="str">
        <f>RAW_Клиенты!E62</f>
        <v>kalinin@mail</v>
      </c>
      <c r="G63" s="11" t="str">
        <f>RAW_Клиенты!F62</f>
        <v>Грозный</v>
      </c>
      <c r="H63" s="11" t="str">
        <f>RAW_Клиенты!G62</f>
        <v>01.09.2023</v>
      </c>
      <c r="I63" s="12" t="str">
        <f t="shared" si="320"/>
        <v>79036789012</v>
      </c>
      <c r="J63" s="12" t="str">
        <f t="shared" si="321"/>
        <v>kalinin@mail</v>
      </c>
      <c r="K63" s="12" t="str">
        <f t="shared" si="322"/>
        <v>Грозный</v>
      </c>
      <c r="L63" s="13" t="str">
        <f t="shared" si="323"/>
        <v>C0061</v>
      </c>
      <c r="M63" s="13" t="str">
        <f t="shared" si="324"/>
        <v xml:space="preserve">Калинин Герман Викторович</v>
      </c>
      <c r="N63" s="13" t="str">
        <f t="shared" ca="1" si="325"/>
        <v>OK</v>
      </c>
      <c r="O63" s="19">
        <f t="shared" si="326"/>
        <v>27846</v>
      </c>
      <c r="P63" s="19">
        <f t="shared" si="327"/>
        <v>45170</v>
      </c>
      <c r="Q63" s="13">
        <f t="shared" ca="1" si="328"/>
        <v>50</v>
      </c>
      <c r="R63" s="13" t="str">
        <f t="shared" si="329"/>
        <v>OK</v>
      </c>
      <c r="S63" s="13" t="str">
        <f t="shared" si="330"/>
        <v xml:space="preserve">+7 (903) 678-90-12</v>
      </c>
      <c r="T63" s="13" t="str">
        <f t="shared" si="331"/>
        <v>kalinin@mail</v>
      </c>
      <c r="U63" s="18" t="str">
        <f t="shared" si="332"/>
        <v xml:space="preserve">Ошибка Email</v>
      </c>
      <c r="V63" s="13" t="str">
        <f>IFERROR(VLOOKUP(K63,Справочники!$K$6:$L$13,2,0),K63)</f>
        <v>Грозный</v>
      </c>
    </row>
    <row r="64" ht="15" customHeight="1">
      <c r="A64" s="10">
        <v>62</v>
      </c>
      <c r="B64" s="11" t="str">
        <f>RAW_Клиенты!A63</f>
        <v>C0062</v>
      </c>
      <c r="C64" s="11" t="str">
        <f>RAW_Клиенты!B63</f>
        <v xml:space="preserve">Мартынова Лариса Олеговна</v>
      </c>
      <c r="D64" s="11" t="str">
        <f>RAW_Клиенты!C63</f>
        <v>10.12.1981</v>
      </c>
      <c r="E64" s="11" t="str">
        <f>RAW_Клиенты!D63</f>
        <v>8-903-678-90-12</v>
      </c>
      <c r="F64" s="11" t="str">
        <f>RAW_Клиенты!E63</f>
        <v>martynova@yandex</v>
      </c>
      <c r="G64" s="11" t="str">
        <f>RAW_Клиенты!F63</f>
        <v>Бийск</v>
      </c>
      <c r="H64" s="11" t="str">
        <f>RAW_Клиенты!G63</f>
        <v>2023-09-15</v>
      </c>
      <c r="I64" s="12" t="str">
        <f t="shared" si="320"/>
        <v>89036789012</v>
      </c>
      <c r="J64" s="12" t="str">
        <f t="shared" si="321"/>
        <v>martynova@yandex</v>
      </c>
      <c r="K64" s="12" t="str">
        <f t="shared" si="322"/>
        <v>Бийск</v>
      </c>
      <c r="L64" s="13" t="str">
        <f t="shared" si="323"/>
        <v>C0062</v>
      </c>
      <c r="M64" s="13" t="str">
        <f t="shared" si="324"/>
        <v xml:space="preserve">Мартынова Лариса Олеговна</v>
      </c>
      <c r="N64" s="13" t="str">
        <f t="shared" ca="1" si="325"/>
        <v>OK</v>
      </c>
      <c r="O64" s="19">
        <f t="shared" si="326"/>
        <v>29930</v>
      </c>
      <c r="P64" s="19">
        <f t="shared" si="327"/>
        <v>45184</v>
      </c>
      <c r="Q64" s="13">
        <f t="shared" ca="1" si="328"/>
        <v>44</v>
      </c>
      <c r="R64" s="13" t="str">
        <f t="shared" si="329"/>
        <v>OK</v>
      </c>
      <c r="S64" s="13" t="str">
        <f t="shared" si="330"/>
        <v xml:space="preserve">+7 (903) 678-90-12</v>
      </c>
      <c r="T64" s="13" t="str">
        <f t="shared" si="331"/>
        <v>martynova@yandex</v>
      </c>
      <c r="U64" s="18" t="str">
        <f t="shared" si="332"/>
        <v xml:space="preserve">Ошибка Email</v>
      </c>
      <c r="V64" s="13" t="str">
        <f>IFERROR(VLOOKUP(K64,Справочники!$K$6:$L$13,2,0),K64)</f>
        <v>Бийск</v>
      </c>
    </row>
    <row r="65" ht="15" customHeight="1">
      <c r="A65" s="10">
        <v>63</v>
      </c>
      <c r="B65" s="11" t="str">
        <f>RAW_Клиенты!A64</f>
        <v>C0063</v>
      </c>
      <c r="C65" s="11" t="str">
        <f>RAW_Клиенты!B64</f>
        <v xml:space="preserve">Одинцов Сергей Алексеевич</v>
      </c>
      <c r="D65" s="11" t="str">
        <f>RAW_Клиенты!C64</f>
        <v>22.10.1988</v>
      </c>
      <c r="E65" s="11" t="str">
        <f>RAW_Клиенты!D64</f>
        <v xml:space="preserve">8 903 789 01 23</v>
      </c>
      <c r="F65" s="11" t="str">
        <f>RAW_Клиенты!E64</f>
        <v>odintsov@gmail</v>
      </c>
      <c r="G65" s="11" t="str">
        <f>RAW_Клиенты!F64</f>
        <v>Йошкар-Ола</v>
      </c>
      <c r="H65" s="11" t="str">
        <f>RAW_Клиенты!G64</f>
        <v>15.09.2023</v>
      </c>
      <c r="I65" s="12" t="str">
        <f t="shared" si="320"/>
        <v>89037890123</v>
      </c>
      <c r="J65" s="12" t="str">
        <f t="shared" si="321"/>
        <v>odintsov@gmail</v>
      </c>
      <c r="K65" s="12" t="str">
        <f t="shared" si="322"/>
        <v>Йошкар-Ола</v>
      </c>
      <c r="L65" s="13" t="str">
        <f t="shared" si="323"/>
        <v>C0063</v>
      </c>
      <c r="M65" s="13" t="str">
        <f t="shared" si="324"/>
        <v xml:space="preserve">Одинцов Сергей Алексеевич</v>
      </c>
      <c r="N65" s="13" t="str">
        <f t="shared" ca="1" si="325"/>
        <v>OK</v>
      </c>
      <c r="O65" s="19">
        <f t="shared" si="326"/>
        <v>32438</v>
      </c>
      <c r="P65" s="19">
        <f t="shared" si="327"/>
        <v>45184</v>
      </c>
      <c r="Q65" s="13">
        <f t="shared" ca="1" si="328"/>
        <v>37</v>
      </c>
      <c r="R65" s="13" t="str">
        <f t="shared" si="329"/>
        <v>OK</v>
      </c>
      <c r="S65" s="13" t="str">
        <f t="shared" si="330"/>
        <v xml:space="preserve">+7 (903) 789-01-23</v>
      </c>
      <c r="T65" s="13" t="str">
        <f t="shared" si="331"/>
        <v>odintsov@gmail</v>
      </c>
      <c r="U65" s="18" t="str">
        <f t="shared" si="332"/>
        <v xml:space="preserve">Ошибка Email</v>
      </c>
      <c r="V65" s="13" t="str">
        <f>IFERROR(VLOOKUP(K65,Справочники!$K$6:$L$13,2,0),K65)</f>
        <v>Йошкар-Ола</v>
      </c>
    </row>
    <row r="66" ht="15" customHeight="1">
      <c r="A66" s="10">
        <v>64</v>
      </c>
      <c r="B66" s="11" t="str">
        <f>RAW_Клиенты!A65</f>
        <v>C0064</v>
      </c>
      <c r="C66" s="11" t="str">
        <f>RAW_Клиенты!B65</f>
        <v xml:space="preserve">Емельянова Татьяна Николаевна</v>
      </c>
      <c r="D66" s="11" t="str">
        <f>RAW_Клиенты!C65</f>
        <v>04.08.1972</v>
      </c>
      <c r="E66" s="11" t="str">
        <f>RAW_Клиенты!D65</f>
        <v>+79037890123</v>
      </c>
      <c r="F66" s="11" t="str">
        <f>RAW_Клиенты!E65</f>
        <v>emelyanova@mail</v>
      </c>
      <c r="G66" s="11" t="str">
        <f>RAW_Клиенты!F65</f>
        <v>Курган</v>
      </c>
      <c r="H66" s="11" t="str">
        <f>RAW_Клиенты!G65</f>
        <v>01.10.2023</v>
      </c>
      <c r="I66" s="12" t="str">
        <f t="shared" si="320"/>
        <v>79037890123</v>
      </c>
      <c r="J66" s="12" t="str">
        <f t="shared" si="321"/>
        <v>emelyanova@mail</v>
      </c>
      <c r="K66" s="12" t="str">
        <f t="shared" si="322"/>
        <v>Курган</v>
      </c>
      <c r="L66" s="13" t="str">
        <f t="shared" si="323"/>
        <v>C0064</v>
      </c>
      <c r="M66" s="13" t="str">
        <f t="shared" si="324"/>
        <v xml:space="preserve">Емельянова Татьяна Николаевна</v>
      </c>
      <c r="N66" s="13" t="str">
        <f t="shared" ca="1" si="325"/>
        <v>OK</v>
      </c>
      <c r="O66" s="19">
        <f t="shared" si="326"/>
        <v>26515</v>
      </c>
      <c r="P66" s="19">
        <f t="shared" si="327"/>
        <v>45200</v>
      </c>
      <c r="Q66" s="13">
        <f t="shared" ca="1" si="328"/>
        <v>54</v>
      </c>
      <c r="R66" s="13" t="str">
        <f t="shared" si="329"/>
        <v>OK</v>
      </c>
      <c r="S66" s="13" t="str">
        <f t="shared" si="330"/>
        <v xml:space="preserve">+7 (903) 789-01-23</v>
      </c>
      <c r="T66" s="13" t="str">
        <f t="shared" si="331"/>
        <v>emelyanova@mail</v>
      </c>
      <c r="U66" s="18" t="str">
        <f t="shared" si="332"/>
        <v xml:space="preserve">Ошибка Email</v>
      </c>
      <c r="V66" s="13" t="str">
        <f>IFERROR(VLOOKUP(K66,Справочники!$K$6:$L$13,2,0),K66)</f>
        <v>Курган</v>
      </c>
    </row>
    <row r="67" ht="15" customHeight="1">
      <c r="A67" s="10">
        <v>65</v>
      </c>
      <c r="B67" s="11" t="str">
        <f>RAW_Клиенты!A66</f>
        <v>C0065</v>
      </c>
      <c r="C67" s="11" t="str">
        <f>RAW_Клиенты!B66</f>
        <v xml:space="preserve">Павлов Антон Сергеевич</v>
      </c>
      <c r="D67" s="11" t="str">
        <f>RAW_Клиенты!C66</f>
        <v>19.11.1995</v>
      </c>
      <c r="E67" s="11" t="str">
        <f>RAW_Клиенты!D66</f>
        <v>8-903-789-01-23</v>
      </c>
      <c r="F67" s="11" t="str">
        <f>RAW_Клиенты!E66</f>
        <v>pavlov@yandex</v>
      </c>
      <c r="G67" s="11" t="str">
        <f>RAW_Клиенты!F66</f>
        <v>Архангельск</v>
      </c>
      <c r="H67" s="11" t="str">
        <f>RAW_Клиенты!G66</f>
        <v>2023-10-10</v>
      </c>
      <c r="I67" s="12" t="str">
        <f t="shared" si="320"/>
        <v>89037890123</v>
      </c>
      <c r="J67" s="12" t="str">
        <f t="shared" si="321"/>
        <v>pavlov@yandex</v>
      </c>
      <c r="K67" s="12" t="str">
        <f t="shared" si="322"/>
        <v>Архангельск</v>
      </c>
      <c r="L67" s="13" t="str">
        <f t="shared" si="323"/>
        <v>C0065</v>
      </c>
      <c r="M67" s="13" t="str">
        <f t="shared" si="324"/>
        <v xml:space="preserve">Павлов Антон Сергеевич</v>
      </c>
      <c r="N67" s="13" t="str">
        <f t="shared" ca="1" si="325"/>
        <v>OK</v>
      </c>
      <c r="O67" s="19">
        <f t="shared" si="326"/>
        <v>35022</v>
      </c>
      <c r="P67" s="19">
        <f t="shared" si="327"/>
        <v>45209</v>
      </c>
      <c r="Q67" s="13">
        <f t="shared" ca="1" si="328"/>
        <v>30</v>
      </c>
      <c r="R67" s="13" t="str">
        <f t="shared" si="329"/>
        <v>OK</v>
      </c>
      <c r="S67" s="13" t="str">
        <f t="shared" si="330"/>
        <v xml:space="preserve">+7 (903) 789-01-23</v>
      </c>
      <c r="T67" s="13" t="str">
        <f t="shared" si="331"/>
        <v>pavlov@yandex</v>
      </c>
      <c r="U67" s="18" t="str">
        <f t="shared" si="332"/>
        <v xml:space="preserve">Ошибка Email</v>
      </c>
      <c r="V67" s="13" t="str">
        <f>IFERROR(VLOOKUP(K67,Справочники!$K$6:$L$13,2,0),K67)</f>
        <v>Архангельск</v>
      </c>
    </row>
    <row r="68" ht="15" customHeight="1">
      <c r="A68" s="10">
        <v>66</v>
      </c>
      <c r="B68" s="11" t="str">
        <f>RAW_Клиенты!A67</f>
        <v>C0066</v>
      </c>
      <c r="C68" s="11" t="str">
        <f>RAW_Клиенты!B67</f>
        <v xml:space="preserve">Морозова Алина Викторовна</v>
      </c>
      <c r="D68" s="11" t="str">
        <f>RAW_Клиенты!C67</f>
        <v>23.06.1983</v>
      </c>
      <c r="E68" s="11" t="str">
        <f>RAW_Клиенты!D67</f>
        <v xml:space="preserve">8 903 890 12 34</v>
      </c>
      <c r="F68" s="11" t="str">
        <f>RAW_Клиенты!E67</f>
        <v>morozova@gmail</v>
      </c>
      <c r="G68" s="11" t="str">
        <f>RAW_Клиенты!F67</f>
        <v>Благовещенск</v>
      </c>
      <c r="H68" s="11" t="str">
        <f>RAW_Клиенты!G67</f>
        <v>10.10.2023</v>
      </c>
      <c r="I68" s="12" t="str">
        <f t="shared" si="320"/>
        <v>89038901234</v>
      </c>
      <c r="J68" s="12" t="str">
        <f t="shared" si="321"/>
        <v>morozova@gmail</v>
      </c>
      <c r="K68" s="12" t="str">
        <f t="shared" si="322"/>
        <v>Благовещенск</v>
      </c>
      <c r="L68" s="13" t="str">
        <f t="shared" si="323"/>
        <v>C0066</v>
      </c>
      <c r="M68" s="13" t="str">
        <f t="shared" si="324"/>
        <v xml:space="preserve">Морозова Алина Викторовна</v>
      </c>
      <c r="N68" s="13" t="str">
        <f t="shared" ca="1" si="325"/>
        <v>OK</v>
      </c>
      <c r="O68" s="19">
        <f t="shared" si="326"/>
        <v>30490</v>
      </c>
      <c r="P68" s="19">
        <f t="shared" si="327"/>
        <v>45209</v>
      </c>
      <c r="Q68" s="13">
        <f t="shared" ca="1" si="328"/>
        <v>43</v>
      </c>
      <c r="R68" s="13" t="str">
        <f t="shared" si="329"/>
        <v>OK</v>
      </c>
      <c r="S68" s="13" t="str">
        <f t="shared" si="330"/>
        <v xml:space="preserve">+7 (903) 890-12-34</v>
      </c>
      <c r="T68" s="13" t="str">
        <f t="shared" si="331"/>
        <v>morozova@gmail</v>
      </c>
      <c r="U68" s="18" t="str">
        <f t="shared" si="332"/>
        <v xml:space="preserve">Ошибка Email</v>
      </c>
      <c r="V68" s="13" t="str">
        <f>IFERROR(VLOOKUP(K68,Справочники!$K$6:$L$13,2,0),K68)</f>
        <v>Благовещенск</v>
      </c>
    </row>
    <row r="69" ht="15" customHeight="1">
      <c r="A69" s="10">
        <v>67</v>
      </c>
      <c r="B69" s="11" t="str">
        <f>RAW_Клиенты!A68</f>
        <v>C0067</v>
      </c>
      <c r="C69" s="11" t="str">
        <f>RAW_Клиенты!B68</f>
        <v xml:space="preserve">Кожевникова Инна Александровна</v>
      </c>
      <c r="D69" s="11" t="str">
        <f>RAW_Клиенты!C68</f>
        <v>16.01.1978</v>
      </c>
      <c r="E69" s="11" t="str">
        <f>RAW_Клиенты!D68</f>
        <v>+79038901234</v>
      </c>
      <c r="F69" s="11" t="str">
        <f>RAW_Клиенты!E68</f>
        <v>kozhevnikova@mail</v>
      </c>
      <c r="G69" s="11" t="str">
        <f>RAW_Клиенты!F68</f>
        <v>Майкоп</v>
      </c>
      <c r="H69" s="11" t="str">
        <f>RAW_Клиенты!G68</f>
        <v>01.11.2023</v>
      </c>
      <c r="I69" s="12" t="str">
        <f t="shared" si="320"/>
        <v>79038901234</v>
      </c>
      <c r="J69" s="12" t="str">
        <f t="shared" si="321"/>
        <v>kozhevnikova@mail</v>
      </c>
      <c r="K69" s="12" t="str">
        <f t="shared" si="322"/>
        <v>Майкоп</v>
      </c>
      <c r="L69" s="13" t="str">
        <f t="shared" si="323"/>
        <v>C0067</v>
      </c>
      <c r="M69" s="13" t="str">
        <f t="shared" si="324"/>
        <v xml:space="preserve">Кожевникова Инна Александровна</v>
      </c>
      <c r="N69" s="13" t="str">
        <f t="shared" ca="1" si="325"/>
        <v>OK</v>
      </c>
      <c r="O69" s="19">
        <f t="shared" si="326"/>
        <v>28506</v>
      </c>
      <c r="P69" s="19">
        <f t="shared" si="327"/>
        <v>45231</v>
      </c>
      <c r="Q69" s="13">
        <f t="shared" ca="1" si="328"/>
        <v>48</v>
      </c>
      <c r="R69" s="13" t="str">
        <f t="shared" si="329"/>
        <v>OK</v>
      </c>
      <c r="S69" s="13" t="str">
        <f t="shared" si="330"/>
        <v xml:space="preserve">+7 (903) 890-12-34</v>
      </c>
      <c r="T69" s="13" t="str">
        <f t="shared" si="331"/>
        <v>kozhevnikova@mail</v>
      </c>
      <c r="U69" s="18" t="str">
        <f t="shared" si="332"/>
        <v xml:space="preserve">Ошибка Email</v>
      </c>
      <c r="V69" s="13" t="str">
        <f>IFERROR(VLOOKUP(K69,Справочники!$K$6:$L$13,2,0),K69)</f>
        <v>Майкоп</v>
      </c>
    </row>
    <row r="70" ht="15" customHeight="1">
      <c r="A70" s="10">
        <v>68</v>
      </c>
      <c r="B70" s="11" t="str">
        <f>RAW_Клиенты!A69</f>
        <v>C0068</v>
      </c>
      <c r="C70" s="11" t="str">
        <f>RAW_Клиенты!B69</f>
        <v xml:space="preserve">Баранова Снежана Олеговна</v>
      </c>
      <c r="D70" s="11" t="str">
        <f>RAW_Клиенты!C69</f>
        <v>03.09.1990</v>
      </c>
      <c r="E70" s="11" t="str">
        <f>RAW_Клиенты!D69</f>
        <v>8-903-890-12-34</v>
      </c>
      <c r="F70" s="11" t="str">
        <f>RAW_Клиенты!E69</f>
        <v>baranova@yandex</v>
      </c>
      <c r="G70" s="11" t="str">
        <f>RAW_Клиенты!F69</f>
        <v>Уссурийск</v>
      </c>
      <c r="H70" s="11" t="str">
        <f>RAW_Клиенты!G69</f>
        <v>2023-11-15</v>
      </c>
      <c r="I70" s="12" t="str">
        <f t="shared" si="320"/>
        <v>89038901234</v>
      </c>
      <c r="J70" s="12" t="str">
        <f t="shared" si="321"/>
        <v>baranova@yandex</v>
      </c>
      <c r="K70" s="12" t="str">
        <f t="shared" si="322"/>
        <v>Уссурийск</v>
      </c>
      <c r="L70" s="13" t="str">
        <f t="shared" si="323"/>
        <v>C0068</v>
      </c>
      <c r="M70" s="13" t="str">
        <f t="shared" si="324"/>
        <v xml:space="preserve">Баранова Снежана Олеговна</v>
      </c>
      <c r="N70" s="13" t="str">
        <f t="shared" ca="1" si="325"/>
        <v>OK</v>
      </c>
      <c r="O70" s="19">
        <f t="shared" si="326"/>
        <v>33119</v>
      </c>
      <c r="P70" s="19">
        <f t="shared" si="327"/>
        <v>45245</v>
      </c>
      <c r="Q70" s="13">
        <f t="shared" ca="1" si="328"/>
        <v>36</v>
      </c>
      <c r="R70" s="13" t="str">
        <f t="shared" si="329"/>
        <v>OK</v>
      </c>
      <c r="S70" s="13" t="str">
        <f t="shared" si="330"/>
        <v xml:space="preserve">+7 (903) 890-12-34</v>
      </c>
      <c r="T70" s="13" t="str">
        <f t="shared" si="331"/>
        <v>baranova@yandex</v>
      </c>
      <c r="U70" s="18" t="str">
        <f t="shared" si="332"/>
        <v xml:space="preserve">Ошибка Email</v>
      </c>
      <c r="V70" s="13" t="str">
        <f>IFERROR(VLOOKUP(K70,Справочники!$K$6:$L$13,2,0),K70)</f>
        <v>Уссурийск</v>
      </c>
    </row>
    <row r="71" ht="15" customHeight="1">
      <c r="A71" s="10">
        <v>69</v>
      </c>
      <c r="B71" s="11" t="str">
        <f>RAW_Клиенты!A70</f>
        <v>C0069</v>
      </c>
      <c r="C71" s="11" t="str">
        <f>RAW_Клиенты!B70</f>
        <v xml:space="preserve">Казакова Надежда Андреевна</v>
      </c>
      <c r="D71" s="11" t="str">
        <f>RAW_Клиенты!C70</f>
        <v>28.04.1985</v>
      </c>
      <c r="E71" s="11" t="str">
        <f>RAW_Клиенты!D70</f>
        <v xml:space="preserve">8 903 901 23 45</v>
      </c>
      <c r="F71" s="11" t="str">
        <f>RAW_Клиенты!E70</f>
        <v>kazakova@gmail</v>
      </c>
      <c r="G71" s="11" t="str">
        <f>RAW_Клиенты!F70</f>
        <v>Миасс</v>
      </c>
      <c r="H71" s="11" t="str">
        <f>RAW_Клиенты!G70</f>
        <v>15.11.2023</v>
      </c>
      <c r="I71" s="12" t="str">
        <f t="shared" si="320"/>
        <v>89039012345</v>
      </c>
      <c r="J71" s="12" t="str">
        <f t="shared" si="321"/>
        <v>kazakova@gmail</v>
      </c>
      <c r="K71" s="12" t="str">
        <f t="shared" si="322"/>
        <v>Миасс</v>
      </c>
      <c r="L71" s="13" t="str">
        <f t="shared" si="323"/>
        <v>C0069</v>
      </c>
      <c r="M71" s="13" t="str">
        <f t="shared" si="324"/>
        <v xml:space="preserve">Казакова Надежда Андреевна</v>
      </c>
      <c r="N71" s="13" t="str">
        <f t="shared" ca="1" si="325"/>
        <v>OK</v>
      </c>
      <c r="O71" s="19">
        <f t="shared" si="326"/>
        <v>31165</v>
      </c>
      <c r="P71" s="19">
        <f t="shared" si="327"/>
        <v>45245</v>
      </c>
      <c r="Q71" s="13">
        <f t="shared" ca="1" si="328"/>
        <v>41</v>
      </c>
      <c r="R71" s="13" t="str">
        <f t="shared" si="329"/>
        <v>OK</v>
      </c>
      <c r="S71" s="13" t="str">
        <f t="shared" si="330"/>
        <v xml:space="preserve">+7 (903) 901-23-45</v>
      </c>
      <c r="T71" s="13" t="str">
        <f t="shared" si="331"/>
        <v>kazakova@gmail</v>
      </c>
      <c r="U71" s="18" t="str">
        <f t="shared" si="332"/>
        <v xml:space="preserve">Ошибка Email</v>
      </c>
      <c r="V71" s="13" t="str">
        <f>IFERROR(VLOOKUP(K71,Справочники!$K$6:$L$13,2,0),K71)</f>
        <v>Миасс</v>
      </c>
    </row>
    <row r="72" ht="15" customHeight="1">
      <c r="A72" s="10">
        <v>70</v>
      </c>
      <c r="B72" s="11" t="str">
        <f>RAW_Клиенты!A71</f>
        <v>C0070</v>
      </c>
      <c r="C72" s="11" t="str">
        <f>RAW_Клиенты!B71</f>
        <v xml:space="preserve">Кравцов Павел Сергеевич</v>
      </c>
      <c r="D72" s="11" t="str">
        <f>RAW_Клиенты!C71</f>
        <v>14.12.1974</v>
      </c>
      <c r="E72" s="11" t="str">
        <f>RAW_Клиенты!D71</f>
        <v>+79039012345</v>
      </c>
      <c r="F72" s="11" t="str">
        <f>RAW_Клиенты!E71</f>
        <v>kravtsov@mail</v>
      </c>
      <c r="G72" s="11" t="str">
        <f>RAW_Клиенты!F71</f>
        <v>Кызыл</v>
      </c>
      <c r="H72" s="11" t="str">
        <f>RAW_Клиенты!G71</f>
        <v>01.12.2023</v>
      </c>
      <c r="I72" s="12" t="str">
        <f t="shared" si="320"/>
        <v>79039012345</v>
      </c>
      <c r="J72" s="12" t="str">
        <f t="shared" si="321"/>
        <v>kravtsov@mail</v>
      </c>
      <c r="K72" s="12" t="str">
        <f t="shared" si="322"/>
        <v>Кызыл</v>
      </c>
      <c r="L72" s="13" t="str">
        <f t="shared" si="323"/>
        <v>C0070</v>
      </c>
      <c r="M72" s="13" t="str">
        <f t="shared" si="324"/>
        <v xml:space="preserve">Кравцов Павел Сергеевич</v>
      </c>
      <c r="N72" s="13" t="str">
        <f t="shared" ca="1" si="325"/>
        <v>OK</v>
      </c>
      <c r="O72" s="19">
        <f t="shared" si="326"/>
        <v>27377</v>
      </c>
      <c r="P72" s="19">
        <f t="shared" si="327"/>
        <v>45261</v>
      </c>
      <c r="Q72" s="13">
        <f t="shared" ca="1" si="328"/>
        <v>51</v>
      </c>
      <c r="R72" s="13" t="str">
        <f t="shared" si="329"/>
        <v>OK</v>
      </c>
      <c r="S72" s="13" t="str">
        <f t="shared" si="330"/>
        <v xml:space="preserve">+7 (903) 901-23-45</v>
      </c>
      <c r="T72" s="13" t="str">
        <f t="shared" si="331"/>
        <v>kravtsov@mail</v>
      </c>
      <c r="U72" s="18" t="str">
        <f t="shared" si="332"/>
        <v xml:space="preserve">Ошибка Email</v>
      </c>
      <c r="V72" s="13" t="str">
        <f>IFERROR(VLOOKUP(K72,Справочники!$K$6:$L$13,2,0),K72)</f>
        <v>Кызыл</v>
      </c>
    </row>
    <row r="73" ht="15" customHeight="1">
      <c r="A73" s="10">
        <v>71</v>
      </c>
      <c r="B73" s="11" t="str">
        <f>RAW_Клиенты!A72</f>
        <v>C0071</v>
      </c>
      <c r="C73" s="11" t="str">
        <f>RAW_Клиенты!B72</f>
        <v xml:space="preserve">Васина Виктория Михайловна</v>
      </c>
      <c r="D73" s="11" t="str">
        <f>RAW_Клиенты!C72</f>
        <v>21.07.1992</v>
      </c>
      <c r="E73" s="11" t="str">
        <f>RAW_Клиенты!D72</f>
        <v>8-903-901-23-45</v>
      </c>
      <c r="F73" s="11" t="str">
        <f>RAW_Клиенты!E72</f>
        <v>vasina@yandex</v>
      </c>
      <c r="G73" s="11" t="str">
        <f>RAW_Клиенты!F72</f>
        <v>Калининград</v>
      </c>
      <c r="H73" s="11" t="str">
        <f>RAW_Клиенты!G72</f>
        <v>2023-12-10</v>
      </c>
      <c r="I73" s="12" t="str">
        <f t="shared" si="320"/>
        <v>89039012345</v>
      </c>
      <c r="J73" s="12" t="str">
        <f t="shared" si="321"/>
        <v>vasina@yandex</v>
      </c>
      <c r="K73" s="12" t="str">
        <f t="shared" si="322"/>
        <v>Калининград</v>
      </c>
      <c r="L73" s="13" t="str">
        <f t="shared" si="323"/>
        <v>C0071</v>
      </c>
      <c r="M73" s="13" t="str">
        <f t="shared" si="324"/>
        <v xml:space="preserve">Васина Виктория Михайловна</v>
      </c>
      <c r="N73" s="13" t="str">
        <f t="shared" ca="1" si="325"/>
        <v>OK</v>
      </c>
      <c r="O73" s="19">
        <f t="shared" si="326"/>
        <v>33806</v>
      </c>
      <c r="P73" s="19">
        <f t="shared" si="327"/>
        <v>45270</v>
      </c>
      <c r="Q73" s="13">
        <f t="shared" ca="1" si="328"/>
        <v>34</v>
      </c>
      <c r="R73" s="13" t="str">
        <f t="shared" si="329"/>
        <v>OK</v>
      </c>
      <c r="S73" s="13" t="str">
        <f t="shared" si="330"/>
        <v xml:space="preserve">+7 (903) 901-23-45</v>
      </c>
      <c r="T73" s="13" t="str">
        <f t="shared" si="331"/>
        <v>vasina@yandex</v>
      </c>
      <c r="U73" s="18" t="str">
        <f t="shared" si="332"/>
        <v xml:space="preserve">Ошибка Email</v>
      </c>
      <c r="V73" s="13" t="str">
        <f>IFERROR(VLOOKUP(K73,Справочники!$K$6:$L$13,2,0),K73)</f>
        <v>Калининград</v>
      </c>
    </row>
    <row r="74" ht="15" customHeight="1">
      <c r="A74" s="10">
        <v>72</v>
      </c>
      <c r="B74" s="11" t="str">
        <f>RAW_Клиенты!A73</f>
        <v>C0072</v>
      </c>
      <c r="C74" s="11" t="str">
        <f>RAW_Клиенты!B73</f>
        <v xml:space="preserve">Петухов Анатолий Игоревич</v>
      </c>
      <c r="D74" s="11" t="str">
        <f>RAW_Клиенты!C73</f>
        <v>10.05.1981</v>
      </c>
      <c r="E74" s="11" t="str">
        <f>RAW_Клиенты!D73</f>
        <v xml:space="preserve">8 903 012 34 56</v>
      </c>
      <c r="F74" s="11" t="str">
        <f>RAW_Клиенты!E73</f>
        <v>petuhov@gmail</v>
      </c>
      <c r="G74" s="11" t="str">
        <f>RAW_Клиенты!F73</f>
        <v>Петрозаводск</v>
      </c>
      <c r="H74" s="11" t="str">
        <f>RAW_Клиенты!G73</f>
        <v>10.12.2023</v>
      </c>
      <c r="I74" s="12" t="str">
        <f t="shared" ref="I74:I99" si="333">SUBSTITUTE(SUBSTITUTE(SUBSTITUTE(SUBSTITUTE(SUBSTITUTE(SUBSTITUTE(E74," ",""),"-",""),"+",""),"(",""),")",""),CHAR(160),"")</f>
        <v>89030123456</v>
      </c>
      <c r="J74" s="12" t="str">
        <f t="shared" ref="J74:J99" si="334">SUBSTITUTE(SUBSTITUTE(TRIM(F74)," ",""),CHAR(160),"")</f>
        <v>petuhov@gmail</v>
      </c>
      <c r="K74" s="12" t="str">
        <f t="shared" ref="K74:K99" si="335">TRIM(SUBSTITUTE(SUBSTITUTE(TRIM(G74),"г.",""),"г ",""))</f>
        <v>Петрозаводск</v>
      </c>
      <c r="L74" s="13" t="str">
        <f t="shared" ref="L74:L99" si="336">B74</f>
        <v>C0072</v>
      </c>
      <c r="M74" s="13" t="str">
        <f t="shared" ref="M74:M99" si="337">PROPER(TRIM(C74))</f>
        <v xml:space="preserve">Петухов Анатолий Игоревич</v>
      </c>
      <c r="N74" s="13" t="str">
        <f t="shared" ref="N74:N99" ca="1" si="338">IF(ISNUMBER(FIND(".",C74)),"инициалы: проверить",IF(SUMPRODUCT(--ISNUMBER(FIND(MID("abcdefghijklmnopqrstuvwxyz",ROW(INDIRECT("1:26")),1),LOWER(C74))))&gt;0,"латиница: транслит","OK"))</f>
        <v>OK</v>
      </c>
      <c r="O74" s="19">
        <f t="shared" ref="O74:O99" si="339">IF(ISNUMBER(FIND("-",D74)),DATE(VALUE(LEFT(D74,4)),VALUE(MID(D74,6,2)),VALUE(MID(D74,9,2))),DATE(VALUE(MID(D74,7,4)),VALUE(MID(D74,4,2)),VALUE(LEFT(D74,2))))</f>
        <v>29716</v>
      </c>
      <c r="P74" s="19">
        <f t="shared" ref="P74:P99" si="340">IF(ISNUMBER(FIND("-",H74)),DATE(VALUE(LEFT(H74,4)),VALUE(MID(H74,6,2)),VALUE(MID(H74,9,2))),DATE(VALUE(MID(H74,7,4)),VALUE(MID(H74,4,2)),VALUE(LEFT(H74,2))))</f>
        <v>45270</v>
      </c>
      <c r="Q74" s="13">
        <f t="shared" ref="Q74:Q99" ca="1" si="341">DATEDIF(O74,TODAY(),"Y")</f>
        <v>45</v>
      </c>
      <c r="R74" s="13" t="str">
        <f t="shared" ref="R74:R99" si="342">IF(OR(Q74&lt;18,Q74&gt;120),"Ошибка даты рождения","OK")</f>
        <v>OK</v>
      </c>
      <c r="S74" s="13" t="str">
        <f t="shared" ref="S74:S99" si="343">IF(LEN(I74)&gt;=10,"+7 ("&amp;MID(I74,LEN(I74)-9,3)&amp;") "&amp;MID(I74,LEN(I74)-6,3)&amp;"-"&amp;MID(I74,LEN(I74)-3,2)&amp;"-"&amp;RIGHT(I74,2),"Ошибка телефона")</f>
        <v xml:space="preserve">+7 (903) 012-34-56</v>
      </c>
      <c r="T74" s="13" t="str">
        <f t="shared" ref="T74:T99" si="344">J74</f>
        <v>petuhov@gmail</v>
      </c>
      <c r="U74" s="18" t="str">
        <f t="shared" ref="U74:U99" si="345">IF(AND(ISNUMBER(FIND("@",J74)),ISNUMBER(FIND(".",MID(J74,FIND("@",J74),100)))),"OK","Ошибка Email")</f>
        <v xml:space="preserve">Ошибка Email</v>
      </c>
      <c r="V74" s="13" t="str">
        <f>IFERROR(VLOOKUP(K74,Справочники!$K$6:$L$13,2,0),K74)</f>
        <v>Петрозаводск</v>
      </c>
    </row>
    <row r="75" ht="15" customHeight="1">
      <c r="A75" s="10">
        <v>73</v>
      </c>
      <c r="B75" s="11" t="str">
        <f>RAW_Клиенты!A74</f>
        <v>C0073</v>
      </c>
      <c r="C75" s="11" t="str">
        <f>RAW_Клиенты!B74</f>
        <v xml:space="preserve">Гаврилова Светлана Алексеевна</v>
      </c>
      <c r="D75" s="11" t="str">
        <f>RAW_Клиенты!C74</f>
        <v>29.11.1976</v>
      </c>
      <c r="E75" s="11" t="str">
        <f>RAW_Клиенты!D74</f>
        <v>+79030123456</v>
      </c>
      <c r="F75" s="11" t="str">
        <f>RAW_Клиенты!E74</f>
        <v>gavrilova@mail</v>
      </c>
      <c r="G75" s="11" t="str">
        <f>RAW_Клиенты!F74</f>
        <v>Рубцовск</v>
      </c>
      <c r="H75" s="11" t="str">
        <f>RAW_Клиенты!G74</f>
        <v>01.01.2024</v>
      </c>
      <c r="I75" s="12" t="str">
        <f t="shared" si="333"/>
        <v>79030123456</v>
      </c>
      <c r="J75" s="12" t="str">
        <f t="shared" si="334"/>
        <v>gavrilova@mail</v>
      </c>
      <c r="K75" s="12" t="str">
        <f t="shared" si="335"/>
        <v>Рубцовск</v>
      </c>
      <c r="L75" s="13" t="str">
        <f t="shared" si="336"/>
        <v>C0073</v>
      </c>
      <c r="M75" s="13" t="str">
        <f t="shared" si="337"/>
        <v xml:space="preserve">Гаврилова Светлана Алексеевна</v>
      </c>
      <c r="N75" s="13" t="str">
        <f t="shared" ca="1" si="338"/>
        <v>OK</v>
      </c>
      <c r="O75" s="19">
        <f t="shared" si="339"/>
        <v>28093</v>
      </c>
      <c r="P75" s="19">
        <f t="shared" si="340"/>
        <v>45292</v>
      </c>
      <c r="Q75" s="13">
        <f t="shared" ca="1" si="341"/>
        <v>49</v>
      </c>
      <c r="R75" s="13" t="str">
        <f t="shared" si="342"/>
        <v>OK</v>
      </c>
      <c r="S75" s="13" t="str">
        <f t="shared" si="343"/>
        <v xml:space="preserve">+7 (903) 012-34-56</v>
      </c>
      <c r="T75" s="13" t="str">
        <f t="shared" si="344"/>
        <v>gavrilova@mail</v>
      </c>
      <c r="U75" s="18" t="str">
        <f t="shared" si="345"/>
        <v xml:space="preserve">Ошибка Email</v>
      </c>
      <c r="V75" s="13" t="str">
        <f>IFERROR(VLOOKUP(K75,Справочники!$K$6:$L$13,2,0),K75)</f>
        <v>Рубцовск</v>
      </c>
    </row>
    <row r="76" ht="15" customHeight="1">
      <c r="A76" s="10">
        <v>74</v>
      </c>
      <c r="B76" s="11" t="str">
        <f>RAW_Клиенты!A75</f>
        <v>C0074</v>
      </c>
      <c r="C76" s="11" t="str">
        <f>RAW_Клиенты!B75</f>
        <v xml:space="preserve">Харламов Федор Владимирович</v>
      </c>
      <c r="D76" s="11" t="str">
        <f>RAW_Клиенты!C75</f>
        <v>12.08.1988</v>
      </c>
      <c r="E76" s="11" t="str">
        <f>RAW_Клиенты!D75</f>
        <v>8-903-012-34-56</v>
      </c>
      <c r="F76" s="11" t="str">
        <f>RAW_Клиенты!E75</f>
        <v>harlamov@yandex</v>
      </c>
      <c r="G76" s="11" t="str">
        <f>RAW_Клиенты!F75</f>
        <v>Элиста</v>
      </c>
      <c r="H76" s="11" t="str">
        <f>RAW_Клиенты!G75</f>
        <v>2024-01-15</v>
      </c>
      <c r="I76" s="12" t="str">
        <f t="shared" si="333"/>
        <v>89030123456</v>
      </c>
      <c r="J76" s="12" t="str">
        <f t="shared" si="334"/>
        <v>harlamov@yandex</v>
      </c>
      <c r="K76" s="12" t="str">
        <f t="shared" si="335"/>
        <v>Элиста</v>
      </c>
      <c r="L76" s="13" t="str">
        <f t="shared" si="336"/>
        <v>C0074</v>
      </c>
      <c r="M76" s="13" t="str">
        <f t="shared" si="337"/>
        <v xml:space="preserve">Харламов Федор Владимирович</v>
      </c>
      <c r="N76" s="13" t="str">
        <f t="shared" ca="1" si="338"/>
        <v>OK</v>
      </c>
      <c r="O76" s="19">
        <f t="shared" si="339"/>
        <v>32367</v>
      </c>
      <c r="P76" s="19">
        <f t="shared" si="340"/>
        <v>45306</v>
      </c>
      <c r="Q76" s="13">
        <f t="shared" ca="1" si="341"/>
        <v>38</v>
      </c>
      <c r="R76" s="13" t="str">
        <f t="shared" si="342"/>
        <v>OK</v>
      </c>
      <c r="S76" s="13" t="str">
        <f t="shared" si="343"/>
        <v xml:space="preserve">+7 (903) 012-34-56</v>
      </c>
      <c r="T76" s="13" t="str">
        <f t="shared" si="344"/>
        <v>harlamov@yandex</v>
      </c>
      <c r="U76" s="18" t="str">
        <f t="shared" si="345"/>
        <v xml:space="preserve">Ошибка Email</v>
      </c>
      <c r="V76" s="13" t="str">
        <f>IFERROR(VLOOKUP(K76,Справочники!$K$6:$L$13,2,0),K76)</f>
        <v>Элиста</v>
      </c>
    </row>
    <row r="77" ht="15" customHeight="1">
      <c r="A77" s="10">
        <v>75</v>
      </c>
      <c r="B77" s="11" t="str">
        <f>RAW_Клиенты!A76</f>
        <v>C0075</v>
      </c>
      <c r="C77" s="11" t="str">
        <f>RAW_Клиенты!B76</f>
        <v xml:space="preserve">Юдина Майя Евгеньевна</v>
      </c>
      <c r="D77" s="11" t="str">
        <f>RAW_Клиенты!C76</f>
        <v>07.03.1993</v>
      </c>
      <c r="E77" s="11" t="str">
        <f>RAW_Клиенты!D76</f>
        <v xml:space="preserve">8 903 123 45 67</v>
      </c>
      <c r="F77" s="11" t="str">
        <f>RAW_Клиенты!E76</f>
        <v>yudina@gmail</v>
      </c>
      <c r="G77" s="11" t="str">
        <f>RAW_Клиенты!F76</f>
        <v>Орск</v>
      </c>
      <c r="H77" s="11" t="str">
        <f>RAW_Клиенты!G76</f>
        <v>15.01.2024</v>
      </c>
      <c r="I77" s="12" t="str">
        <f t="shared" si="333"/>
        <v>89031234567</v>
      </c>
      <c r="J77" s="12" t="str">
        <f t="shared" si="334"/>
        <v>yudina@gmail</v>
      </c>
      <c r="K77" s="12" t="str">
        <f t="shared" si="335"/>
        <v>Орск</v>
      </c>
      <c r="L77" s="13" t="str">
        <f t="shared" si="336"/>
        <v>C0075</v>
      </c>
      <c r="M77" s="13" t="str">
        <f t="shared" si="337"/>
        <v xml:space="preserve">Юдина Майя Евгеньевна</v>
      </c>
      <c r="N77" s="13" t="str">
        <f t="shared" ca="1" si="338"/>
        <v>OK</v>
      </c>
      <c r="O77" s="19">
        <f t="shared" si="339"/>
        <v>34035</v>
      </c>
      <c r="P77" s="19">
        <f t="shared" si="340"/>
        <v>45306</v>
      </c>
      <c r="Q77" s="13">
        <f t="shared" ca="1" si="341"/>
        <v>33</v>
      </c>
      <c r="R77" s="13" t="str">
        <f t="shared" si="342"/>
        <v>OK</v>
      </c>
      <c r="S77" s="13" t="str">
        <f t="shared" si="343"/>
        <v xml:space="preserve">+7 (903) 123-45-67</v>
      </c>
      <c r="T77" s="13" t="str">
        <f t="shared" si="344"/>
        <v>yudina@gmail</v>
      </c>
      <c r="U77" s="18" t="str">
        <f t="shared" si="345"/>
        <v xml:space="preserve">Ошибка Email</v>
      </c>
      <c r="V77" s="13" t="str">
        <f>IFERROR(VLOOKUP(K77,Справочники!$K$6:$L$13,2,0),K77)</f>
        <v>Орск</v>
      </c>
    </row>
    <row r="78" ht="15" customHeight="1">
      <c r="A78" s="10">
        <v>76</v>
      </c>
      <c r="B78" s="11" t="str">
        <f>RAW_Клиенты!A77</f>
        <v>C0076</v>
      </c>
      <c r="C78" s="11" t="str">
        <f>RAW_Клиенты!B77</f>
        <v xml:space="preserve">Прохоров Вадим Александрович</v>
      </c>
      <c r="D78" s="11" t="str">
        <f>RAW_Клиенты!C77</f>
        <v>25.09.1979</v>
      </c>
      <c r="E78" s="11" t="str">
        <f>RAW_Клиенты!D77</f>
        <v>+79031234567</v>
      </c>
      <c r="F78" s="11" t="str">
        <f>RAW_Клиенты!E77</f>
        <v>prohorov@mail</v>
      </c>
      <c r="G78" s="11" t="str">
        <f>RAW_Клиенты!F77</f>
        <v>Нижневартовск</v>
      </c>
      <c r="H78" s="11" t="str">
        <f>RAW_Клиенты!G77</f>
        <v>01.02.2024</v>
      </c>
      <c r="I78" s="12" t="str">
        <f t="shared" si="333"/>
        <v>79031234567</v>
      </c>
      <c r="J78" s="12" t="str">
        <f t="shared" si="334"/>
        <v>prohorov@mail</v>
      </c>
      <c r="K78" s="12" t="str">
        <f t="shared" si="335"/>
        <v>Нижневартовск</v>
      </c>
      <c r="L78" s="13" t="str">
        <f t="shared" si="336"/>
        <v>C0076</v>
      </c>
      <c r="M78" s="13" t="str">
        <f t="shared" si="337"/>
        <v xml:space="preserve">Прохоров Вадим Александрович</v>
      </c>
      <c r="N78" s="13" t="str">
        <f t="shared" ca="1" si="338"/>
        <v>OK</v>
      </c>
      <c r="O78" s="19">
        <f t="shared" si="339"/>
        <v>29123</v>
      </c>
      <c r="P78" s="19">
        <f t="shared" si="340"/>
        <v>45323</v>
      </c>
      <c r="Q78" s="13">
        <f t="shared" ca="1" si="341"/>
        <v>46</v>
      </c>
      <c r="R78" s="13" t="str">
        <f t="shared" si="342"/>
        <v>OK</v>
      </c>
      <c r="S78" s="13" t="str">
        <f t="shared" si="343"/>
        <v xml:space="preserve">+7 (903) 123-45-67</v>
      </c>
      <c r="T78" s="13" t="str">
        <f t="shared" si="344"/>
        <v>prohorov@mail</v>
      </c>
      <c r="U78" s="18" t="str">
        <f t="shared" si="345"/>
        <v xml:space="preserve">Ошибка Email</v>
      </c>
      <c r="V78" s="13" t="str">
        <f>IFERROR(VLOOKUP(K78,Справочники!$K$6:$L$13,2,0),K78)</f>
        <v>Нижневартовск</v>
      </c>
    </row>
    <row r="79" ht="15" customHeight="1">
      <c r="A79" s="10">
        <v>77</v>
      </c>
      <c r="B79" s="11" t="str">
        <f>RAW_Клиенты!A78</f>
        <v>C0077</v>
      </c>
      <c r="C79" s="11" t="str">
        <f>RAW_Клиенты!B78</f>
        <v xml:space="preserve">Краснова Жанна Петровна</v>
      </c>
      <c r="D79" s="11" t="str">
        <f>RAW_Клиенты!C78</f>
        <v>18.12.1986</v>
      </c>
      <c r="E79" s="11" t="str">
        <f>RAW_Клиенты!D78</f>
        <v>8-903-123-45-67</v>
      </c>
      <c r="F79" s="11" t="str">
        <f>RAW_Клиенты!E78</f>
        <v>krasnova@yandex</v>
      </c>
      <c r="G79" s="11" t="str">
        <f>RAW_Клиенты!F78</f>
        <v>Новороссийск</v>
      </c>
      <c r="H79" s="11" t="str">
        <f>RAW_Клиенты!G78</f>
        <v>2024-02-10</v>
      </c>
      <c r="I79" s="12" t="str">
        <f t="shared" si="333"/>
        <v>89031234567</v>
      </c>
      <c r="J79" s="12" t="str">
        <f t="shared" si="334"/>
        <v>krasnova@yandex</v>
      </c>
      <c r="K79" s="12" t="str">
        <f t="shared" si="335"/>
        <v>Новороссийск</v>
      </c>
      <c r="L79" s="13" t="str">
        <f t="shared" si="336"/>
        <v>C0077</v>
      </c>
      <c r="M79" s="13" t="str">
        <f t="shared" si="337"/>
        <v xml:space="preserve">Краснова Жанна Петровна</v>
      </c>
      <c r="N79" s="13" t="str">
        <f t="shared" ca="1" si="338"/>
        <v>OK</v>
      </c>
      <c r="O79" s="19">
        <f t="shared" si="339"/>
        <v>31764</v>
      </c>
      <c r="P79" s="19">
        <f t="shared" si="340"/>
        <v>45332</v>
      </c>
      <c r="Q79" s="13">
        <f t="shared" ca="1" si="341"/>
        <v>39</v>
      </c>
      <c r="R79" s="13" t="str">
        <f t="shared" si="342"/>
        <v>OK</v>
      </c>
      <c r="S79" s="13" t="str">
        <f t="shared" si="343"/>
        <v xml:space="preserve">+7 (903) 123-45-67</v>
      </c>
      <c r="T79" s="13" t="str">
        <f t="shared" si="344"/>
        <v>krasnova@yandex</v>
      </c>
      <c r="U79" s="18" t="str">
        <f t="shared" si="345"/>
        <v xml:space="preserve">Ошибка Email</v>
      </c>
      <c r="V79" s="13" t="str">
        <f>IFERROR(VLOOKUP(K79,Справочники!$K$6:$L$13,2,0),K79)</f>
        <v>Новороссийск</v>
      </c>
    </row>
    <row r="80" ht="15" customHeight="1">
      <c r="A80" s="10">
        <v>78</v>
      </c>
      <c r="B80" s="11" t="str">
        <f>RAW_Клиенты!A79</f>
        <v>C0078</v>
      </c>
      <c r="C80" s="11" t="str">
        <f>RAW_Клиенты!B79</f>
        <v xml:space="preserve">Савельева Таисия Сергеевна</v>
      </c>
      <c r="D80" s="11" t="str">
        <f>RAW_Клиенты!C79</f>
        <v>02.06.1994</v>
      </c>
      <c r="E80" s="11" t="str">
        <f>RAW_Клиенты!D79</f>
        <v xml:space="preserve">8 903 234 56 78</v>
      </c>
      <c r="F80" s="11" t="str">
        <f>RAW_Клиенты!E79</f>
        <v>saveleva@gmail</v>
      </c>
      <c r="G80" s="11" t="str">
        <f>RAW_Клиенты!F79</f>
        <v>Химки</v>
      </c>
      <c r="H80" s="11" t="str">
        <f>RAW_Клиенты!G79</f>
        <v>10.02.2024</v>
      </c>
      <c r="I80" s="12" t="str">
        <f t="shared" si="333"/>
        <v>89032345678</v>
      </c>
      <c r="J80" s="12" t="str">
        <f t="shared" si="334"/>
        <v>saveleva@gmail</v>
      </c>
      <c r="K80" s="12" t="str">
        <f t="shared" si="335"/>
        <v>Химки</v>
      </c>
      <c r="L80" s="13" t="str">
        <f t="shared" si="336"/>
        <v>C0078</v>
      </c>
      <c r="M80" s="13" t="str">
        <f t="shared" si="337"/>
        <v xml:space="preserve">Савельева Таисия Сергеевна</v>
      </c>
      <c r="N80" s="13" t="str">
        <f t="shared" ca="1" si="338"/>
        <v>OK</v>
      </c>
      <c r="O80" s="19">
        <f t="shared" si="339"/>
        <v>34487</v>
      </c>
      <c r="P80" s="19">
        <f t="shared" si="340"/>
        <v>45332</v>
      </c>
      <c r="Q80" s="13">
        <f t="shared" ca="1" si="341"/>
        <v>32</v>
      </c>
      <c r="R80" s="13" t="str">
        <f t="shared" si="342"/>
        <v>OK</v>
      </c>
      <c r="S80" s="13" t="str">
        <f t="shared" si="343"/>
        <v xml:space="preserve">+7 (903) 234-56-78</v>
      </c>
      <c r="T80" s="13" t="str">
        <f t="shared" si="344"/>
        <v>saveleva@gmail</v>
      </c>
      <c r="U80" s="18" t="str">
        <f t="shared" si="345"/>
        <v xml:space="preserve">Ошибка Email</v>
      </c>
      <c r="V80" s="13" t="str">
        <f>IFERROR(VLOOKUP(K80,Справочники!$K$6:$L$13,2,0),K80)</f>
        <v>Химки</v>
      </c>
    </row>
    <row r="81" ht="15" customHeight="1">
      <c r="A81" s="10">
        <v>79</v>
      </c>
      <c r="B81" s="11" t="str">
        <f>RAW_Клиенты!A80</f>
        <v>C0079</v>
      </c>
      <c r="C81" s="11" t="str">
        <f>RAW_Клиенты!B80</f>
        <v xml:space="preserve">Шестаков Никита Игоревич</v>
      </c>
      <c r="D81" s="11" t="str">
        <f>RAW_Клиенты!C80</f>
        <v>31.01.1975</v>
      </c>
      <c r="E81" s="11" t="str">
        <f>RAW_Клиенты!D80</f>
        <v>+79032345678</v>
      </c>
      <c r="F81" s="11" t="str">
        <f>RAW_Клиенты!E80</f>
        <v>shestakov@mail</v>
      </c>
      <c r="G81" s="11" t="str">
        <f>RAW_Клиенты!F80</f>
        <v>Подольск</v>
      </c>
      <c r="H81" s="11" t="str">
        <f>RAW_Клиенты!G80</f>
        <v>01.03.2024</v>
      </c>
      <c r="I81" s="12" t="str">
        <f t="shared" si="333"/>
        <v>79032345678</v>
      </c>
      <c r="J81" s="12" t="str">
        <f t="shared" si="334"/>
        <v>shestakov@mail</v>
      </c>
      <c r="K81" s="12" t="str">
        <f t="shared" si="335"/>
        <v>Подольск</v>
      </c>
      <c r="L81" s="13" t="str">
        <f t="shared" si="336"/>
        <v>C0079</v>
      </c>
      <c r="M81" s="13" t="str">
        <f t="shared" si="337"/>
        <v xml:space="preserve">Шестаков Никита Игоревич</v>
      </c>
      <c r="N81" s="13" t="str">
        <f t="shared" ca="1" si="338"/>
        <v>OK</v>
      </c>
      <c r="O81" s="19">
        <f t="shared" si="339"/>
        <v>27425</v>
      </c>
      <c r="P81" s="19">
        <f t="shared" si="340"/>
        <v>45352</v>
      </c>
      <c r="Q81" s="13">
        <f t="shared" ca="1" si="341"/>
        <v>51</v>
      </c>
      <c r="R81" s="13" t="str">
        <f t="shared" si="342"/>
        <v>OK</v>
      </c>
      <c r="S81" s="13" t="str">
        <f t="shared" si="343"/>
        <v xml:space="preserve">+7 (903) 234-56-78</v>
      </c>
      <c r="T81" s="13" t="str">
        <f t="shared" si="344"/>
        <v>shestakov@mail</v>
      </c>
      <c r="U81" s="18" t="str">
        <f t="shared" si="345"/>
        <v xml:space="preserve">Ошибка Email</v>
      </c>
      <c r="V81" s="13" t="str">
        <f>IFERROR(VLOOKUP(K81,Справочники!$K$6:$L$13,2,0),K81)</f>
        <v>Подольск</v>
      </c>
    </row>
    <row r="82" ht="15" customHeight="1">
      <c r="A82" s="10">
        <v>80</v>
      </c>
      <c r="B82" s="11" t="str">
        <f>RAW_Клиенты!A81</f>
        <v>C0080</v>
      </c>
      <c r="C82" s="11" t="str">
        <f>RAW_Клиенты!B81</f>
        <v xml:space="preserve">Виноградов Данил Олегович</v>
      </c>
      <c r="D82" s="11" t="str">
        <f>RAW_Клиенты!C81</f>
        <v>13.10.1982</v>
      </c>
      <c r="E82" s="11" t="str">
        <f>RAW_Клиенты!D81</f>
        <v>8-903-234-56-78</v>
      </c>
      <c r="F82" s="11" t="str">
        <f>RAW_Клиенты!E81</f>
        <v>vinogradov@yandex</v>
      </c>
      <c r="G82" s="11" t="str">
        <f>RAW_Клиенты!F81</f>
        <v>Балашиха</v>
      </c>
      <c r="H82" s="11" t="str">
        <f>RAW_Клиенты!G81</f>
        <v>2024-03-15</v>
      </c>
      <c r="I82" s="12" t="str">
        <f t="shared" si="333"/>
        <v>89032345678</v>
      </c>
      <c r="J82" s="12" t="str">
        <f t="shared" si="334"/>
        <v>vinogradov@yandex</v>
      </c>
      <c r="K82" s="12" t="str">
        <f t="shared" si="335"/>
        <v>Балашиха</v>
      </c>
      <c r="L82" s="13" t="str">
        <f t="shared" si="336"/>
        <v>C0080</v>
      </c>
      <c r="M82" s="13" t="str">
        <f t="shared" si="337"/>
        <v xml:space="preserve">Виноградов Данил Олегович</v>
      </c>
      <c r="N82" s="13" t="str">
        <f t="shared" ca="1" si="338"/>
        <v>OK</v>
      </c>
      <c r="O82" s="19">
        <f t="shared" si="339"/>
        <v>30237</v>
      </c>
      <c r="P82" s="19">
        <f t="shared" si="340"/>
        <v>45366</v>
      </c>
      <c r="Q82" s="13">
        <f t="shared" ca="1" si="341"/>
        <v>43</v>
      </c>
      <c r="R82" s="13" t="str">
        <f t="shared" si="342"/>
        <v>OK</v>
      </c>
      <c r="S82" s="13" t="str">
        <f t="shared" si="343"/>
        <v xml:space="preserve">+7 (903) 234-56-78</v>
      </c>
      <c r="T82" s="13" t="str">
        <f t="shared" si="344"/>
        <v>vinogradov@yandex</v>
      </c>
      <c r="U82" s="18" t="str">
        <f t="shared" si="345"/>
        <v xml:space="preserve">Ошибка Email</v>
      </c>
      <c r="V82" s="13" t="str">
        <f>IFERROR(VLOOKUP(K82,Справочники!$K$6:$L$13,2,0),K82)</f>
        <v>Балашиха</v>
      </c>
    </row>
    <row r="83" ht="15" customHeight="1">
      <c r="A83" s="10">
        <v>81</v>
      </c>
      <c r="B83" s="11" t="str">
        <f>RAW_Клиенты!A82</f>
        <v>C0081</v>
      </c>
      <c r="C83" s="11" t="str">
        <f>RAW_Клиенты!B82</f>
        <v xml:space="preserve">Александрова Милана Викторовна</v>
      </c>
      <c r="D83" s="11" t="str">
        <f>RAW_Клиенты!C82</f>
        <v>24.08.1991</v>
      </c>
      <c r="E83" s="11" t="str">
        <f>RAW_Клиенты!D82</f>
        <v xml:space="preserve">8 903 345 67 89</v>
      </c>
      <c r="F83" s="11" t="str">
        <f>RAW_Клиенты!E82</f>
        <v>aleksandrova@gmail</v>
      </c>
      <c r="G83" s="11" t="str">
        <f>RAW_Клиенты!F82</f>
        <v>Сургут</v>
      </c>
      <c r="H83" s="11" t="str">
        <f>RAW_Клиенты!G82</f>
        <v>15.03.2024</v>
      </c>
      <c r="I83" s="12" t="str">
        <f t="shared" si="333"/>
        <v>89033456789</v>
      </c>
      <c r="J83" s="12" t="str">
        <f t="shared" si="334"/>
        <v>aleksandrova@gmail</v>
      </c>
      <c r="K83" s="12" t="str">
        <f t="shared" si="335"/>
        <v>Сургут</v>
      </c>
      <c r="L83" s="13" t="str">
        <f t="shared" si="336"/>
        <v>C0081</v>
      </c>
      <c r="M83" s="13" t="str">
        <f t="shared" si="337"/>
        <v xml:space="preserve">Александрова Милана Викторовна</v>
      </c>
      <c r="N83" s="13" t="str">
        <f t="shared" ca="1" si="338"/>
        <v>OK</v>
      </c>
      <c r="O83" s="19">
        <f t="shared" si="339"/>
        <v>33474</v>
      </c>
      <c r="P83" s="19">
        <f t="shared" si="340"/>
        <v>45366</v>
      </c>
      <c r="Q83" s="13">
        <f t="shared" ca="1" si="341"/>
        <v>35</v>
      </c>
      <c r="R83" s="13" t="str">
        <f t="shared" si="342"/>
        <v>OK</v>
      </c>
      <c r="S83" s="13" t="str">
        <f t="shared" si="343"/>
        <v xml:space="preserve">+7 (903) 345-67-89</v>
      </c>
      <c r="T83" s="13" t="str">
        <f t="shared" si="344"/>
        <v>aleksandrova@gmail</v>
      </c>
      <c r="U83" s="18" t="str">
        <f t="shared" si="345"/>
        <v xml:space="preserve">Ошибка Email</v>
      </c>
      <c r="V83" s="13" t="str">
        <f>IFERROR(VLOOKUP(K83,Справочники!$K$6:$L$13,2,0),K83)</f>
        <v>Сургут</v>
      </c>
    </row>
    <row r="84" ht="15" customHeight="1">
      <c r="A84" s="10">
        <v>82</v>
      </c>
      <c r="B84" s="11" t="str">
        <f>RAW_Клиенты!A83</f>
        <v>C0082</v>
      </c>
      <c r="C84" s="11" t="str">
        <f>RAW_Клиенты!B83</f>
        <v xml:space="preserve">Борисенко Артём Денисович</v>
      </c>
      <c r="D84" s="11" t="str">
        <f>RAW_Клиенты!C83</f>
        <v>06.04.1977</v>
      </c>
      <c r="E84" s="11" t="str">
        <f>RAW_Клиенты!D83</f>
        <v>+79033456789</v>
      </c>
      <c r="F84" s="11" t="str">
        <f>RAW_Клиенты!E83</f>
        <v>borisenko@mail</v>
      </c>
      <c r="G84" s="11" t="str">
        <f>RAW_Клиенты!F83</f>
        <v>Армавир</v>
      </c>
      <c r="H84" s="11" t="str">
        <f>RAW_Клиенты!G83</f>
        <v>01.04.2024</v>
      </c>
      <c r="I84" s="12" t="str">
        <f t="shared" si="333"/>
        <v>79033456789</v>
      </c>
      <c r="J84" s="12" t="str">
        <f t="shared" si="334"/>
        <v>borisenko@mail</v>
      </c>
      <c r="K84" s="12" t="str">
        <f t="shared" si="335"/>
        <v>Армавир</v>
      </c>
      <c r="L84" s="13" t="str">
        <f t="shared" si="336"/>
        <v>C0082</v>
      </c>
      <c r="M84" s="13" t="str">
        <f t="shared" si="337"/>
        <v xml:space="preserve">Борисенко Артём Денисович</v>
      </c>
      <c r="N84" s="13" t="str">
        <f t="shared" ca="1" si="338"/>
        <v>OK</v>
      </c>
      <c r="O84" s="19">
        <f t="shared" si="339"/>
        <v>28221</v>
      </c>
      <c r="P84" s="19">
        <f t="shared" si="340"/>
        <v>45383</v>
      </c>
      <c r="Q84" s="13">
        <f t="shared" ca="1" si="341"/>
        <v>49</v>
      </c>
      <c r="R84" s="13" t="str">
        <f t="shared" si="342"/>
        <v>OK</v>
      </c>
      <c r="S84" s="13" t="str">
        <f t="shared" si="343"/>
        <v xml:space="preserve">+7 (903) 345-67-89</v>
      </c>
      <c r="T84" s="13" t="str">
        <f t="shared" si="344"/>
        <v>borisenko@mail</v>
      </c>
      <c r="U84" s="18" t="str">
        <f t="shared" si="345"/>
        <v xml:space="preserve">Ошибка Email</v>
      </c>
      <c r="V84" s="13" t="str">
        <f>IFERROR(VLOOKUP(K84,Справочники!$K$6:$L$13,2,0),K84)</f>
        <v>Армавир</v>
      </c>
    </row>
    <row r="85" ht="15" customHeight="1">
      <c r="A85" s="10">
        <v>83</v>
      </c>
      <c r="B85" s="11" t="str">
        <f>RAW_Клиенты!A84</f>
        <v>C0083</v>
      </c>
      <c r="C85" s="11" t="str">
        <f>RAW_Клиенты!B84</f>
        <v xml:space="preserve">Некрасова Екатерина Николаевна</v>
      </c>
      <c r="D85" s="11" t="str">
        <f>RAW_Клиенты!C84</f>
        <v>17.12.1984</v>
      </c>
      <c r="E85" s="11" t="str">
        <f>RAW_Клиенты!D84</f>
        <v>8-903-345-67-89</v>
      </c>
      <c r="F85" s="11" t="str">
        <f>RAW_Клиенты!E84</f>
        <v>nekrasova@yandex</v>
      </c>
      <c r="G85" s="11" t="str">
        <f>RAW_Клиенты!F84</f>
        <v>Волжский</v>
      </c>
      <c r="H85" s="11" t="str">
        <f>RAW_Клиенты!G84</f>
        <v>2024-04-10</v>
      </c>
      <c r="I85" s="12" t="str">
        <f t="shared" si="333"/>
        <v>89033456789</v>
      </c>
      <c r="J85" s="12" t="str">
        <f t="shared" si="334"/>
        <v>nekrasova@yandex</v>
      </c>
      <c r="K85" s="12" t="str">
        <f t="shared" si="335"/>
        <v>Волжский</v>
      </c>
      <c r="L85" s="13" t="str">
        <f t="shared" si="336"/>
        <v>C0083</v>
      </c>
      <c r="M85" s="13" t="str">
        <f t="shared" si="337"/>
        <v xml:space="preserve">Некрасова Екатерина Николаевна</v>
      </c>
      <c r="N85" s="13" t="str">
        <f t="shared" ca="1" si="338"/>
        <v>OK</v>
      </c>
      <c r="O85" s="19">
        <f t="shared" si="339"/>
        <v>31033</v>
      </c>
      <c r="P85" s="19">
        <f t="shared" si="340"/>
        <v>45392</v>
      </c>
      <c r="Q85" s="13">
        <f t="shared" ca="1" si="341"/>
        <v>41</v>
      </c>
      <c r="R85" s="13" t="str">
        <f t="shared" si="342"/>
        <v>OK</v>
      </c>
      <c r="S85" s="13" t="str">
        <f t="shared" si="343"/>
        <v xml:space="preserve">+7 (903) 345-67-89</v>
      </c>
      <c r="T85" s="13" t="str">
        <f t="shared" si="344"/>
        <v>nekrasova@yandex</v>
      </c>
      <c r="U85" s="18" t="str">
        <f t="shared" si="345"/>
        <v xml:space="preserve">Ошибка Email</v>
      </c>
      <c r="V85" s="13" t="str">
        <f>IFERROR(VLOOKUP(K85,Справочники!$K$6:$L$13,2,0),K85)</f>
        <v>Волжский</v>
      </c>
    </row>
    <row r="86" ht="15" customHeight="1">
      <c r="A86" s="10">
        <v>84</v>
      </c>
      <c r="B86" s="11" t="str">
        <f>RAW_Клиенты!A85</f>
        <v>C0084</v>
      </c>
      <c r="C86" s="11" t="str">
        <f>RAW_Клиенты!B85</f>
        <v xml:space="preserve">Агапов Борис Евгеньевич</v>
      </c>
      <c r="D86" s="11" t="str">
        <f>RAW_Клиенты!C85</f>
        <v>30.07.1989</v>
      </c>
      <c r="E86" s="11" t="str">
        <f>RAW_Клиенты!D85</f>
        <v xml:space="preserve">8 903 456 78 90</v>
      </c>
      <c r="F86" s="11" t="str">
        <f>RAW_Клиенты!E85</f>
        <v>agapov@gmail</v>
      </c>
      <c r="G86" s="11" t="str">
        <f>RAW_Клиенты!F85</f>
        <v>Шахты</v>
      </c>
      <c r="H86" s="11" t="str">
        <f>RAW_Клиенты!G85</f>
        <v>10.04.2024</v>
      </c>
      <c r="I86" s="12" t="str">
        <f t="shared" si="333"/>
        <v>89034567890</v>
      </c>
      <c r="J86" s="12" t="str">
        <f t="shared" si="334"/>
        <v>agapov@gmail</v>
      </c>
      <c r="K86" s="12" t="str">
        <f t="shared" si="335"/>
        <v>Шахты</v>
      </c>
      <c r="L86" s="13" t="str">
        <f t="shared" si="336"/>
        <v>C0084</v>
      </c>
      <c r="M86" s="13" t="str">
        <f t="shared" si="337"/>
        <v xml:space="preserve">Агапов Борис Евгеньевич</v>
      </c>
      <c r="N86" s="13" t="str">
        <f t="shared" ca="1" si="338"/>
        <v>OK</v>
      </c>
      <c r="O86" s="19">
        <f t="shared" si="339"/>
        <v>32719</v>
      </c>
      <c r="P86" s="19">
        <f t="shared" si="340"/>
        <v>45392</v>
      </c>
      <c r="Q86" s="13">
        <f t="shared" ca="1" si="341"/>
        <v>37</v>
      </c>
      <c r="R86" s="13" t="str">
        <f t="shared" si="342"/>
        <v>OK</v>
      </c>
      <c r="S86" s="13" t="str">
        <f t="shared" si="343"/>
        <v xml:space="preserve">+7 (903) 456-78-90</v>
      </c>
      <c r="T86" s="13" t="str">
        <f t="shared" si="344"/>
        <v>agapov@gmail</v>
      </c>
      <c r="U86" s="18" t="str">
        <f t="shared" si="345"/>
        <v xml:space="preserve">Ошибка Email</v>
      </c>
      <c r="V86" s="13" t="str">
        <f>IFERROR(VLOOKUP(K86,Справочники!$K$6:$L$13,2,0),K86)</f>
        <v>Шахты</v>
      </c>
    </row>
    <row r="87" ht="15" customHeight="1">
      <c r="A87" s="10">
        <v>85</v>
      </c>
      <c r="B87" s="11" t="str">
        <f>RAW_Клиенты!A86</f>
        <v>C0085</v>
      </c>
      <c r="C87" s="11" t="str">
        <f>RAW_Клиенты!B86</f>
        <v xml:space="preserve">Фролова Дарья Павловна</v>
      </c>
      <c r="D87" s="11" t="str">
        <f>RAW_Клиенты!C86</f>
        <v>09.03.1973</v>
      </c>
      <c r="E87" s="11" t="str">
        <f>RAW_Клиенты!D86</f>
        <v>+79034567890</v>
      </c>
      <c r="F87" s="11" t="str">
        <f>RAW_Клиенты!E86</f>
        <v>frolova@mail</v>
      </c>
      <c r="G87" s="11" t="str">
        <f>RAW_Клиенты!F86</f>
        <v>Златоуст</v>
      </c>
      <c r="H87" s="11" t="str">
        <f>RAW_Клиенты!G86</f>
        <v>01.05.2024</v>
      </c>
      <c r="I87" s="12" t="str">
        <f t="shared" si="333"/>
        <v>79034567890</v>
      </c>
      <c r="J87" s="12" t="str">
        <f t="shared" si="334"/>
        <v>frolova@mail</v>
      </c>
      <c r="K87" s="12" t="str">
        <f t="shared" si="335"/>
        <v>Златоуст</v>
      </c>
      <c r="L87" s="13" t="str">
        <f t="shared" si="336"/>
        <v>C0085</v>
      </c>
      <c r="M87" s="13" t="str">
        <f t="shared" si="337"/>
        <v xml:space="preserve">Фролова Дарья Павловна</v>
      </c>
      <c r="N87" s="13" t="str">
        <f t="shared" ca="1" si="338"/>
        <v>OK</v>
      </c>
      <c r="O87" s="19">
        <f t="shared" si="339"/>
        <v>26732</v>
      </c>
      <c r="P87" s="19">
        <f t="shared" si="340"/>
        <v>45413</v>
      </c>
      <c r="Q87" s="13">
        <f t="shared" ca="1" si="341"/>
        <v>53</v>
      </c>
      <c r="R87" s="13" t="str">
        <f t="shared" si="342"/>
        <v>OK</v>
      </c>
      <c r="S87" s="13" t="str">
        <f t="shared" si="343"/>
        <v xml:space="preserve">+7 (903) 456-78-90</v>
      </c>
      <c r="T87" s="13" t="str">
        <f t="shared" si="344"/>
        <v>frolova@mail</v>
      </c>
      <c r="U87" s="18" t="str">
        <f t="shared" si="345"/>
        <v xml:space="preserve">Ошибка Email</v>
      </c>
      <c r="V87" s="13" t="str">
        <f>IFERROR(VLOOKUP(K87,Справочники!$K$6:$L$13,2,0),K87)</f>
        <v>Златоуст</v>
      </c>
    </row>
    <row r="88" ht="15" customHeight="1">
      <c r="A88" s="10">
        <v>86</v>
      </c>
      <c r="B88" s="11" t="str">
        <f>RAW_Клиенты!A87</f>
        <v>C0086</v>
      </c>
      <c r="C88" s="11" t="str">
        <f>RAW_Клиенты!B87</f>
        <v xml:space="preserve">Мишина Татьяна Андреевна</v>
      </c>
      <c r="D88" s="11" t="str">
        <f>RAW_Клиенты!C87</f>
        <v>21.10.1980</v>
      </c>
      <c r="E88" s="11" t="str">
        <f>RAW_Клиенты!D87</f>
        <v>8-903-456-78-90</v>
      </c>
      <c r="F88" s="11" t="str">
        <f>RAW_Клиенты!E87</f>
        <v>mishina@yandex</v>
      </c>
      <c r="G88" s="11" t="str">
        <f>RAW_Клиенты!F87</f>
        <v>Ангарск</v>
      </c>
      <c r="H88" s="11" t="str">
        <f>RAW_Клиенты!G87</f>
        <v>2024-05-15</v>
      </c>
      <c r="I88" s="12" t="str">
        <f t="shared" si="333"/>
        <v>89034567890</v>
      </c>
      <c r="J88" s="12" t="str">
        <f t="shared" si="334"/>
        <v>mishina@yandex</v>
      </c>
      <c r="K88" s="12" t="str">
        <f t="shared" si="335"/>
        <v>Ангарск</v>
      </c>
      <c r="L88" s="13" t="str">
        <f t="shared" si="336"/>
        <v>C0086</v>
      </c>
      <c r="M88" s="13" t="str">
        <f t="shared" si="337"/>
        <v xml:space="preserve">Мишина Татьяна Андреевна</v>
      </c>
      <c r="N88" s="13" t="str">
        <f t="shared" ca="1" si="338"/>
        <v>OK</v>
      </c>
      <c r="O88" s="19">
        <f t="shared" si="339"/>
        <v>29515</v>
      </c>
      <c r="P88" s="19">
        <f t="shared" si="340"/>
        <v>45427</v>
      </c>
      <c r="Q88" s="13">
        <f t="shared" ca="1" si="341"/>
        <v>45</v>
      </c>
      <c r="R88" s="13" t="str">
        <f t="shared" si="342"/>
        <v>OK</v>
      </c>
      <c r="S88" s="13" t="str">
        <f t="shared" si="343"/>
        <v xml:space="preserve">+7 (903) 456-78-90</v>
      </c>
      <c r="T88" s="13" t="str">
        <f t="shared" si="344"/>
        <v>mishina@yandex</v>
      </c>
      <c r="U88" s="18" t="str">
        <f t="shared" si="345"/>
        <v xml:space="preserve">Ошибка Email</v>
      </c>
      <c r="V88" s="13" t="str">
        <f>IFERROR(VLOOKUP(K88,Справочники!$K$6:$L$13,2,0),K88)</f>
        <v>Ангарск</v>
      </c>
    </row>
    <row r="89" ht="15" customHeight="1">
      <c r="A89" s="10">
        <v>87</v>
      </c>
      <c r="B89" s="11" t="str">
        <f>RAW_Клиенты!A88</f>
        <v>C0087</v>
      </c>
      <c r="C89" s="11" t="str">
        <f>RAW_Клиенты!B88</f>
        <v xml:space="preserve">Ильин Евгений Сергеевич</v>
      </c>
      <c r="D89" s="11" t="str">
        <f>RAW_Клиенты!C88</f>
        <v>04.06.1995</v>
      </c>
      <c r="E89" s="11" t="str">
        <f>RAW_Клиенты!D88</f>
        <v xml:space="preserve">8 903 567 89 01</v>
      </c>
      <c r="F89" s="11" t="str">
        <f>RAW_Клиенты!E88</f>
        <v>ilin@gmail</v>
      </c>
      <c r="G89" s="11" t="str">
        <f>RAW_Клиенты!F88</f>
        <v>Озёрск</v>
      </c>
      <c r="H89" s="11" t="str">
        <f>RAW_Клиенты!G88</f>
        <v>15.05.2024</v>
      </c>
      <c r="I89" s="12" t="str">
        <f t="shared" si="333"/>
        <v>89035678901</v>
      </c>
      <c r="J89" s="12" t="str">
        <f t="shared" si="334"/>
        <v>ilin@gmail</v>
      </c>
      <c r="K89" s="12" t="str">
        <f t="shared" si="335"/>
        <v>Озёрск</v>
      </c>
      <c r="L89" s="13" t="str">
        <f t="shared" si="336"/>
        <v>C0087</v>
      </c>
      <c r="M89" s="13" t="str">
        <f t="shared" si="337"/>
        <v xml:space="preserve">Ильин Евгений Сергеевич</v>
      </c>
      <c r="N89" s="13" t="str">
        <f t="shared" ca="1" si="338"/>
        <v>OK</v>
      </c>
      <c r="O89" s="19">
        <f t="shared" si="339"/>
        <v>34854</v>
      </c>
      <c r="P89" s="19">
        <f t="shared" si="340"/>
        <v>45427</v>
      </c>
      <c r="Q89" s="13">
        <f t="shared" ca="1" si="341"/>
        <v>31</v>
      </c>
      <c r="R89" s="13" t="str">
        <f t="shared" si="342"/>
        <v>OK</v>
      </c>
      <c r="S89" s="13" t="str">
        <f t="shared" si="343"/>
        <v xml:space="preserve">+7 (903) 567-89-01</v>
      </c>
      <c r="T89" s="13" t="str">
        <f t="shared" si="344"/>
        <v>ilin@gmail</v>
      </c>
      <c r="U89" s="18" t="str">
        <f t="shared" si="345"/>
        <v xml:space="preserve">Ошибка Email</v>
      </c>
      <c r="V89" s="13" t="str">
        <f>IFERROR(VLOOKUP(K89,Справочники!$K$6:$L$13,2,0),K89)</f>
        <v>Озёрск</v>
      </c>
    </row>
    <row r="90" ht="15" customHeight="1">
      <c r="A90" s="10">
        <v>88</v>
      </c>
      <c r="B90" s="11" t="str">
        <f>RAW_Клиенты!A89</f>
        <v>C0088</v>
      </c>
      <c r="C90" s="11" t="str">
        <f>RAW_Клиенты!B89</f>
        <v xml:space="preserve">Горбунова Виктория Дмитриевна</v>
      </c>
      <c r="D90" s="11" t="str">
        <f>RAW_Клиенты!C89</f>
        <v>27.11.1970</v>
      </c>
      <c r="E90" s="11" t="str">
        <f>RAW_Клиенты!D89</f>
        <v>+79035678901</v>
      </c>
      <c r="F90" s="11" t="str">
        <f>RAW_Клиенты!E89</f>
        <v>gorbunova@mail</v>
      </c>
      <c r="G90" s="11" t="str">
        <f>RAW_Клиенты!F89</f>
        <v>Орел</v>
      </c>
      <c r="H90" s="11" t="str">
        <f>RAW_Клиенты!G89</f>
        <v>01.06.2024</v>
      </c>
      <c r="I90" s="12" t="str">
        <f t="shared" si="333"/>
        <v>79035678901</v>
      </c>
      <c r="J90" s="12" t="str">
        <f t="shared" si="334"/>
        <v>gorbunova@mail</v>
      </c>
      <c r="K90" s="12" t="str">
        <f t="shared" si="335"/>
        <v>Орел</v>
      </c>
      <c r="L90" s="13" t="str">
        <f t="shared" si="336"/>
        <v>C0088</v>
      </c>
      <c r="M90" s="13" t="str">
        <f t="shared" si="337"/>
        <v xml:space="preserve">Горбунова Виктория Дмитриевна</v>
      </c>
      <c r="N90" s="13" t="str">
        <f t="shared" ca="1" si="338"/>
        <v>OK</v>
      </c>
      <c r="O90" s="19">
        <f t="shared" si="339"/>
        <v>25899</v>
      </c>
      <c r="P90" s="19">
        <f t="shared" si="340"/>
        <v>45444</v>
      </c>
      <c r="Q90" s="13">
        <f t="shared" ca="1" si="341"/>
        <v>55</v>
      </c>
      <c r="R90" s="13" t="str">
        <f t="shared" si="342"/>
        <v>OK</v>
      </c>
      <c r="S90" s="13" t="str">
        <f t="shared" si="343"/>
        <v xml:space="preserve">+7 (903) 567-89-01</v>
      </c>
      <c r="T90" s="13" t="str">
        <f t="shared" si="344"/>
        <v>gorbunova@mail</v>
      </c>
      <c r="U90" s="18" t="str">
        <f t="shared" si="345"/>
        <v xml:space="preserve">Ошибка Email</v>
      </c>
      <c r="V90" s="13" t="str">
        <f>IFERROR(VLOOKUP(K90,Справочники!$K$6:$L$13,2,0),K90)</f>
        <v>Орел</v>
      </c>
    </row>
    <row r="91" ht="15" customHeight="1">
      <c r="A91" s="10">
        <v>89</v>
      </c>
      <c r="B91" s="11" t="str">
        <f>RAW_Клиенты!A90</f>
        <v>C0089</v>
      </c>
      <c r="C91" s="11" t="str">
        <f>RAW_Клиенты!B90</f>
        <v xml:space="preserve">Ширяев Валерий Петрович</v>
      </c>
      <c r="D91" s="11" t="str">
        <f>RAW_Клиенты!C90</f>
        <v>15.02.1983</v>
      </c>
      <c r="E91" s="11" t="str">
        <f>RAW_Клиенты!D90</f>
        <v>8-903-567-89-01</v>
      </c>
      <c r="F91" s="11" t="str">
        <f>RAW_Клиенты!E90</f>
        <v>shiryaev@yandex</v>
      </c>
      <c r="G91" s="11" t="str">
        <f>RAW_Клиенты!F90</f>
        <v>Магнитогорск</v>
      </c>
      <c r="H91" s="11" t="str">
        <f>RAW_Клиенты!G90</f>
        <v>2024-06-10</v>
      </c>
      <c r="I91" s="12" t="str">
        <f t="shared" si="333"/>
        <v>89035678901</v>
      </c>
      <c r="J91" s="12" t="str">
        <f t="shared" si="334"/>
        <v>shiryaev@yandex</v>
      </c>
      <c r="K91" s="12" t="str">
        <f t="shared" si="335"/>
        <v>Магнитогорск</v>
      </c>
      <c r="L91" s="13" t="str">
        <f t="shared" si="336"/>
        <v>C0089</v>
      </c>
      <c r="M91" s="13" t="str">
        <f t="shared" si="337"/>
        <v xml:space="preserve">Ширяев Валерий Петрович</v>
      </c>
      <c r="N91" s="13" t="str">
        <f t="shared" ca="1" si="338"/>
        <v>OK</v>
      </c>
      <c r="O91" s="19">
        <f t="shared" si="339"/>
        <v>30362</v>
      </c>
      <c r="P91" s="19">
        <f t="shared" si="340"/>
        <v>45453</v>
      </c>
      <c r="Q91" s="13">
        <f t="shared" ca="1" si="341"/>
        <v>43</v>
      </c>
      <c r="R91" s="13" t="str">
        <f t="shared" si="342"/>
        <v>OK</v>
      </c>
      <c r="S91" s="13" t="str">
        <f t="shared" si="343"/>
        <v xml:space="preserve">+7 (903) 567-89-01</v>
      </c>
      <c r="T91" s="13" t="str">
        <f t="shared" si="344"/>
        <v>shiryaev@yandex</v>
      </c>
      <c r="U91" s="18" t="str">
        <f t="shared" si="345"/>
        <v xml:space="preserve">Ошибка Email</v>
      </c>
      <c r="V91" s="13" t="str">
        <f>IFERROR(VLOOKUP(K91,Справочники!$K$6:$L$13,2,0),K91)</f>
        <v>Магнитогорск</v>
      </c>
    </row>
    <row r="92" ht="15" customHeight="1">
      <c r="A92" s="10">
        <v>90</v>
      </c>
      <c r="B92" s="11" t="str">
        <f>RAW_Клиенты!A91</f>
        <v>C0090</v>
      </c>
      <c r="C92" s="11" t="str">
        <f>RAW_Клиенты!B91</f>
        <v xml:space="preserve">Пчелинцева Наталья Владимировна</v>
      </c>
      <c r="D92" s="11" t="str">
        <f>RAW_Клиенты!C91</f>
        <v>08.09.1987</v>
      </c>
      <c r="E92" s="11" t="str">
        <f>RAW_Клиенты!D91</f>
        <v xml:space="preserve">8 903 678 90 12</v>
      </c>
      <c r="F92" s="11" t="str">
        <f>RAW_Клиенты!E91</f>
        <v>pchelintseva@gmail</v>
      </c>
      <c r="G92" s="11" t="str">
        <f>RAW_Клиенты!F91</f>
        <v>Якутск</v>
      </c>
      <c r="H92" s="11" t="str">
        <f>RAW_Клиенты!G91</f>
        <v>10.06.2024</v>
      </c>
      <c r="I92" s="12" t="str">
        <f t="shared" si="333"/>
        <v>89036789012</v>
      </c>
      <c r="J92" s="12" t="str">
        <f t="shared" si="334"/>
        <v>pchelintseva@gmail</v>
      </c>
      <c r="K92" s="12" t="str">
        <f t="shared" si="335"/>
        <v>Якутск</v>
      </c>
      <c r="L92" s="13" t="str">
        <f t="shared" si="336"/>
        <v>C0090</v>
      </c>
      <c r="M92" s="13" t="str">
        <f t="shared" si="337"/>
        <v xml:space="preserve">Пчелинцева Наталья Владимировна</v>
      </c>
      <c r="N92" s="13" t="str">
        <f t="shared" ca="1" si="338"/>
        <v>OK</v>
      </c>
      <c r="O92" s="19">
        <f t="shared" si="339"/>
        <v>32028</v>
      </c>
      <c r="P92" s="19">
        <f t="shared" si="340"/>
        <v>45453</v>
      </c>
      <c r="Q92" s="13">
        <f t="shared" ca="1" si="341"/>
        <v>39</v>
      </c>
      <c r="R92" s="13" t="str">
        <f t="shared" si="342"/>
        <v>OK</v>
      </c>
      <c r="S92" s="13" t="str">
        <f t="shared" si="343"/>
        <v xml:space="preserve">+7 (903) 678-90-12</v>
      </c>
      <c r="T92" s="13" t="str">
        <f t="shared" si="344"/>
        <v>pchelintseva@gmail</v>
      </c>
      <c r="U92" s="18" t="str">
        <f t="shared" si="345"/>
        <v xml:space="preserve">Ошибка Email</v>
      </c>
      <c r="V92" s="13" t="str">
        <f>IFERROR(VLOOKUP(K92,Справочники!$K$6:$L$13,2,0),K92)</f>
        <v>Якутск</v>
      </c>
    </row>
    <row r="93" ht="15" customHeight="1">
      <c r="A93" s="10">
        <v>91</v>
      </c>
      <c r="B93" s="11" t="str">
        <f>RAW_Клиенты!A92</f>
        <v>C0091</v>
      </c>
      <c r="C93" s="11" t="str">
        <f>RAW_Клиенты!B92</f>
        <v xml:space="preserve">Столяров Алексей Валентинович</v>
      </c>
      <c r="D93" s="11" t="str">
        <f>RAW_Клиенты!C92</f>
        <v>19.05.1976</v>
      </c>
      <c r="E93" s="11" t="str">
        <f>RAW_Клиенты!D92</f>
        <v>+79036789012</v>
      </c>
      <c r="F93" s="11" t="str">
        <f>RAW_Клиенты!E92</f>
        <v>stolyarov@mail</v>
      </c>
      <c r="G93" s="11" t="str">
        <f>RAW_Клиенты!F92</f>
        <v>Чебоксары</v>
      </c>
      <c r="H93" s="11" t="str">
        <f>RAW_Клиенты!G92</f>
        <v>01.07.2024</v>
      </c>
      <c r="I93" s="12" t="str">
        <f t="shared" si="333"/>
        <v>79036789012</v>
      </c>
      <c r="J93" s="12" t="str">
        <f t="shared" si="334"/>
        <v>stolyarov@mail</v>
      </c>
      <c r="K93" s="12" t="str">
        <f t="shared" si="335"/>
        <v>Чебоксары</v>
      </c>
      <c r="L93" s="13" t="str">
        <f t="shared" si="336"/>
        <v>C0091</v>
      </c>
      <c r="M93" s="13" t="str">
        <f t="shared" si="337"/>
        <v xml:space="preserve">Столяров Алексей Валентинович</v>
      </c>
      <c r="N93" s="13" t="str">
        <f t="shared" ca="1" si="338"/>
        <v>OK</v>
      </c>
      <c r="O93" s="19">
        <f t="shared" si="339"/>
        <v>27899</v>
      </c>
      <c r="P93" s="19">
        <f t="shared" si="340"/>
        <v>45474</v>
      </c>
      <c r="Q93" s="13">
        <f t="shared" ca="1" si="341"/>
        <v>50</v>
      </c>
      <c r="R93" s="13" t="str">
        <f t="shared" si="342"/>
        <v>OK</v>
      </c>
      <c r="S93" s="13" t="str">
        <f t="shared" si="343"/>
        <v xml:space="preserve">+7 (903) 678-90-12</v>
      </c>
      <c r="T93" s="13" t="str">
        <f t="shared" si="344"/>
        <v>stolyarov@mail</v>
      </c>
      <c r="U93" s="18" t="str">
        <f t="shared" si="345"/>
        <v xml:space="preserve">Ошибка Email</v>
      </c>
      <c r="V93" s="13" t="str">
        <f>IFERROR(VLOOKUP(K93,Справочники!$K$6:$L$13,2,0),K93)</f>
        <v>Чебоксары</v>
      </c>
    </row>
    <row r="94" ht="15" customHeight="1">
      <c r="A94" s="10">
        <v>92</v>
      </c>
      <c r="B94" s="11" t="str">
        <f>RAW_Клиенты!A93</f>
        <v>C0092</v>
      </c>
      <c r="C94" s="11" t="str">
        <f>RAW_Клиенты!B93</f>
        <v xml:space="preserve">Королева Анжела Алексеевна</v>
      </c>
      <c r="D94" s="11" t="str">
        <f>RAW_Клиенты!C93</f>
        <v>01.12.1992</v>
      </c>
      <c r="E94" s="11" t="str">
        <f>RAW_Клиенты!D93</f>
        <v>8-903-678-90-12</v>
      </c>
      <c r="F94" s="11" t="str">
        <f>RAW_Клиенты!E93</f>
        <v>koroleva@yandex</v>
      </c>
      <c r="G94" s="11" t="str">
        <f>RAW_Клиенты!F93</f>
        <v>Мурманск</v>
      </c>
      <c r="H94" s="11" t="str">
        <f>RAW_Клиенты!G93</f>
        <v>2024-07-15</v>
      </c>
      <c r="I94" s="12" t="str">
        <f t="shared" si="333"/>
        <v>89036789012</v>
      </c>
      <c r="J94" s="12" t="str">
        <f t="shared" si="334"/>
        <v>koroleva@yandex</v>
      </c>
      <c r="K94" s="12" t="str">
        <f t="shared" si="335"/>
        <v>Мурманск</v>
      </c>
      <c r="L94" s="13" t="str">
        <f t="shared" si="336"/>
        <v>C0092</v>
      </c>
      <c r="M94" s="13" t="str">
        <f t="shared" si="337"/>
        <v xml:space="preserve">Королева Анжела Алексеевна</v>
      </c>
      <c r="N94" s="13" t="str">
        <f t="shared" ca="1" si="338"/>
        <v>OK</v>
      </c>
      <c r="O94" s="19">
        <f t="shared" si="339"/>
        <v>33939</v>
      </c>
      <c r="P94" s="19">
        <f t="shared" si="340"/>
        <v>45488</v>
      </c>
      <c r="Q94" s="13">
        <f t="shared" ca="1" si="341"/>
        <v>33</v>
      </c>
      <c r="R94" s="13" t="str">
        <f t="shared" si="342"/>
        <v>OK</v>
      </c>
      <c r="S94" s="13" t="str">
        <f t="shared" si="343"/>
        <v xml:space="preserve">+7 (903) 678-90-12</v>
      </c>
      <c r="T94" s="13" t="str">
        <f t="shared" si="344"/>
        <v>koroleva@yandex</v>
      </c>
      <c r="U94" s="18" t="str">
        <f t="shared" si="345"/>
        <v xml:space="preserve">Ошибка Email</v>
      </c>
      <c r="V94" s="13" t="str">
        <f>IFERROR(VLOOKUP(K94,Справочники!$K$6:$L$13,2,0),K94)</f>
        <v>Мурманск</v>
      </c>
    </row>
    <row r="95" ht="15" customHeight="1">
      <c r="A95" s="10">
        <v>93</v>
      </c>
      <c r="B95" s="11" t="str">
        <f>RAW_Клиенты!A94</f>
        <v>C0093</v>
      </c>
      <c r="C95" s="11" t="str">
        <f>RAW_Клиенты!B94</f>
        <v xml:space="preserve">Мальцева Алла Борисовна</v>
      </c>
      <c r="D95" s="11" t="str">
        <f>RAW_Клиенты!C94</f>
        <v>24.08.1981</v>
      </c>
      <c r="E95" s="11" t="str">
        <f>RAW_Клиенты!D94</f>
        <v xml:space="preserve">8 903 789 01 23</v>
      </c>
      <c r="F95" s="11" t="str">
        <f>RAW_Клиенты!E94</f>
        <v>maltseva@gmail</v>
      </c>
      <c r="G95" s="11" t="str">
        <f>RAW_Клиенты!F94</f>
        <v>Смоленск</v>
      </c>
      <c r="H95" s="11" t="str">
        <f>RAW_Клиенты!G94</f>
        <v>15.07.2024</v>
      </c>
      <c r="I95" s="12" t="str">
        <f t="shared" si="333"/>
        <v>89037890123</v>
      </c>
      <c r="J95" s="12" t="str">
        <f t="shared" si="334"/>
        <v>maltseva@gmail</v>
      </c>
      <c r="K95" s="12" t="str">
        <f t="shared" si="335"/>
        <v>Смоленск</v>
      </c>
      <c r="L95" s="13" t="str">
        <f t="shared" si="336"/>
        <v>C0093</v>
      </c>
      <c r="M95" s="13" t="str">
        <f t="shared" si="337"/>
        <v xml:space="preserve">Мальцева Алла Борисовна</v>
      </c>
      <c r="N95" s="13" t="str">
        <f t="shared" ca="1" si="338"/>
        <v>OK</v>
      </c>
      <c r="O95" s="19">
        <f t="shared" si="339"/>
        <v>29822</v>
      </c>
      <c r="P95" s="19">
        <f t="shared" si="340"/>
        <v>45488</v>
      </c>
      <c r="Q95" s="13">
        <f t="shared" ca="1" si="341"/>
        <v>45</v>
      </c>
      <c r="R95" s="13" t="str">
        <f t="shared" si="342"/>
        <v>OK</v>
      </c>
      <c r="S95" s="13" t="str">
        <f t="shared" si="343"/>
        <v xml:space="preserve">+7 (903) 789-01-23</v>
      </c>
      <c r="T95" s="13" t="str">
        <f t="shared" si="344"/>
        <v>maltseva@gmail</v>
      </c>
      <c r="U95" s="18" t="str">
        <f t="shared" si="345"/>
        <v xml:space="preserve">Ошибка Email</v>
      </c>
      <c r="V95" s="13" t="str">
        <f>IFERROR(VLOOKUP(K95,Справочники!$K$6:$L$13,2,0),K95)</f>
        <v>Смоленск</v>
      </c>
    </row>
    <row r="96" ht="15" customHeight="1">
      <c r="A96" s="10">
        <v>94</v>
      </c>
      <c r="B96" s="11" t="str">
        <f>RAW_Клиенты!A95</f>
        <v>C0094</v>
      </c>
      <c r="C96" s="11" t="str">
        <f>RAW_Клиенты!B95</f>
        <v xml:space="preserve">Тарасова Ирина Павловна</v>
      </c>
      <c r="D96" s="11" t="str">
        <f>RAW_Клиенты!C95</f>
        <v>11.10.1974</v>
      </c>
      <c r="E96" s="11" t="str">
        <f>RAW_Клиенты!D95</f>
        <v>+79037890123</v>
      </c>
      <c r="F96" s="11" t="str">
        <f>RAW_Клиенты!E95</f>
        <v>tarasova@mail</v>
      </c>
      <c r="G96" s="11" t="str">
        <f>RAW_Клиенты!F95</f>
        <v>Тула</v>
      </c>
      <c r="H96" s="11" t="str">
        <f>RAW_Клиенты!G95</f>
        <v>01.08.2024</v>
      </c>
      <c r="I96" s="12" t="str">
        <f t="shared" si="333"/>
        <v>79037890123</v>
      </c>
      <c r="J96" s="12" t="str">
        <f t="shared" si="334"/>
        <v>tarasova@mail</v>
      </c>
      <c r="K96" s="12" t="str">
        <f t="shared" si="335"/>
        <v>Тула</v>
      </c>
      <c r="L96" s="13" t="str">
        <f t="shared" si="336"/>
        <v>C0094</v>
      </c>
      <c r="M96" s="13" t="str">
        <f t="shared" si="337"/>
        <v xml:space="preserve">Тарасова Ирина Павловна</v>
      </c>
      <c r="N96" s="13" t="str">
        <f t="shared" ca="1" si="338"/>
        <v>OK</v>
      </c>
      <c r="O96" s="19">
        <f t="shared" si="339"/>
        <v>27313</v>
      </c>
      <c r="P96" s="19">
        <f t="shared" si="340"/>
        <v>45505</v>
      </c>
      <c r="Q96" s="13">
        <f t="shared" ca="1" si="341"/>
        <v>51</v>
      </c>
      <c r="R96" s="13" t="str">
        <f t="shared" si="342"/>
        <v>OK</v>
      </c>
      <c r="S96" s="13" t="str">
        <f t="shared" si="343"/>
        <v xml:space="preserve">+7 (903) 789-01-23</v>
      </c>
      <c r="T96" s="13" t="str">
        <f t="shared" si="344"/>
        <v>tarasova@mail</v>
      </c>
      <c r="U96" s="18" t="str">
        <f t="shared" si="345"/>
        <v xml:space="preserve">Ошибка Email</v>
      </c>
      <c r="V96" s="13" t="str">
        <f>IFERROR(VLOOKUP(K96,Справочники!$K$6:$L$13,2,0),K96)</f>
        <v>Тула</v>
      </c>
    </row>
    <row r="97" ht="15" customHeight="1">
      <c r="A97" s="10">
        <v>95</v>
      </c>
      <c r="B97" s="11" t="str">
        <f>RAW_Клиенты!A96</f>
        <v>C0095</v>
      </c>
      <c r="C97" s="11" t="str">
        <f>RAW_Клиенты!B96</f>
        <v xml:space="preserve">Беспалов Глеб Анатольевич</v>
      </c>
      <c r="D97" s="11" t="str">
        <f>RAW_Клиенты!C96</f>
        <v>26.06.1988</v>
      </c>
      <c r="E97" s="11" t="str">
        <f>RAW_Клиенты!D96</f>
        <v>8-903-789-01-23</v>
      </c>
      <c r="F97" s="11" t="str">
        <f>RAW_Клиенты!E96</f>
        <v>bespalov@yandex</v>
      </c>
      <c r="G97" s="11" t="str">
        <f>RAW_Клиенты!F96</f>
        <v>Калуга</v>
      </c>
      <c r="H97" s="11" t="str">
        <f>RAW_Клиенты!G96</f>
        <v>2024-08-10</v>
      </c>
      <c r="I97" s="12" t="str">
        <f t="shared" si="333"/>
        <v>89037890123</v>
      </c>
      <c r="J97" s="12" t="str">
        <f t="shared" si="334"/>
        <v>bespalov@yandex</v>
      </c>
      <c r="K97" s="12" t="str">
        <f t="shared" si="335"/>
        <v>Калуга</v>
      </c>
      <c r="L97" s="13" t="str">
        <f t="shared" si="336"/>
        <v>C0095</v>
      </c>
      <c r="M97" s="13" t="str">
        <f t="shared" si="337"/>
        <v xml:space="preserve">Беспалов Глеб Анатольевич</v>
      </c>
      <c r="N97" s="13" t="str">
        <f t="shared" ca="1" si="338"/>
        <v>OK</v>
      </c>
      <c r="O97" s="19">
        <f t="shared" si="339"/>
        <v>32320</v>
      </c>
      <c r="P97" s="19">
        <f t="shared" si="340"/>
        <v>45514</v>
      </c>
      <c r="Q97" s="13">
        <f t="shared" ca="1" si="341"/>
        <v>38</v>
      </c>
      <c r="R97" s="13" t="str">
        <f t="shared" si="342"/>
        <v>OK</v>
      </c>
      <c r="S97" s="13" t="str">
        <f t="shared" si="343"/>
        <v xml:space="preserve">+7 (903) 789-01-23</v>
      </c>
      <c r="T97" s="13" t="str">
        <f t="shared" si="344"/>
        <v>bespalov@yandex</v>
      </c>
      <c r="U97" s="18" t="str">
        <f t="shared" si="345"/>
        <v xml:space="preserve">Ошибка Email</v>
      </c>
      <c r="V97" s="13" t="str">
        <f>IFERROR(VLOOKUP(K97,Справочники!$K$6:$L$13,2,0),K97)</f>
        <v>Калуга</v>
      </c>
    </row>
    <row r="98" ht="15" customHeight="1">
      <c r="A98" s="10">
        <v>96</v>
      </c>
      <c r="B98" s="11" t="str">
        <f>RAW_Клиенты!A97</f>
        <v>C0096</v>
      </c>
      <c r="C98" s="11" t="str">
        <f>RAW_Клиенты!B97</f>
        <v xml:space="preserve">Соколовская Ольга Михайловна</v>
      </c>
      <c r="D98" s="11" t="str">
        <f>RAW_Клиенты!C97</f>
        <v>03.03.1979</v>
      </c>
      <c r="E98" s="11" t="str">
        <f>RAW_Клиенты!D97</f>
        <v xml:space="preserve">8 903 890 12 34</v>
      </c>
      <c r="F98" s="11" t="str">
        <f>RAW_Клиенты!E97</f>
        <v>sokolovskaya@gmail</v>
      </c>
      <c r="G98" s="11" t="str">
        <f>RAW_Клиенты!F97</f>
        <v>Владивосток</v>
      </c>
      <c r="H98" s="11" t="str">
        <f>RAW_Клиенты!G97</f>
        <v>10.08.2024</v>
      </c>
      <c r="I98" s="12" t="str">
        <f t="shared" si="333"/>
        <v>89038901234</v>
      </c>
      <c r="J98" s="12" t="str">
        <f t="shared" si="334"/>
        <v>sokolovskaya@gmail</v>
      </c>
      <c r="K98" s="12" t="str">
        <f t="shared" si="335"/>
        <v>Владивосток</v>
      </c>
      <c r="L98" s="13" t="str">
        <f t="shared" si="336"/>
        <v>C0096</v>
      </c>
      <c r="M98" s="13" t="str">
        <f t="shared" si="337"/>
        <v xml:space="preserve">Соколовская Ольга Михайловна</v>
      </c>
      <c r="N98" s="13" t="str">
        <f t="shared" ca="1" si="338"/>
        <v>OK</v>
      </c>
      <c r="O98" s="19">
        <f t="shared" si="339"/>
        <v>28917</v>
      </c>
      <c r="P98" s="19">
        <f t="shared" si="340"/>
        <v>45514</v>
      </c>
      <c r="Q98" s="13">
        <f t="shared" ca="1" si="341"/>
        <v>47</v>
      </c>
      <c r="R98" s="13" t="str">
        <f t="shared" si="342"/>
        <v>OK</v>
      </c>
      <c r="S98" s="13" t="str">
        <f t="shared" si="343"/>
        <v xml:space="preserve">+7 (903) 890-12-34</v>
      </c>
      <c r="T98" s="13" t="str">
        <f t="shared" si="344"/>
        <v>sokolovskaya@gmail</v>
      </c>
      <c r="U98" s="18" t="str">
        <f t="shared" si="345"/>
        <v xml:space="preserve">Ошибка Email</v>
      </c>
      <c r="V98" s="13" t="str">
        <f>IFERROR(VLOOKUP(K98,Справочники!$K$6:$L$13,2,0),K98)</f>
        <v>Владивосток</v>
      </c>
    </row>
    <row r="99" ht="15" customHeight="1">
      <c r="A99" s="10">
        <v>97</v>
      </c>
      <c r="B99" s="11" t="str">
        <f>RAW_Клиенты!A98</f>
        <v>C0097</v>
      </c>
      <c r="C99" s="11" t="str">
        <f>RAW_Клиенты!B98</f>
        <v xml:space="preserve">Ермаков Павел Владимирович</v>
      </c>
      <c r="D99" s="11" t="str">
        <f>RAW_Клиенты!C98</f>
        <v>14.12.1985</v>
      </c>
      <c r="E99" s="11" t="str">
        <f>RAW_Клиенты!D98</f>
        <v>+79038901234</v>
      </c>
      <c r="F99" s="11" t="str">
        <f>RAW_Клиенты!E98</f>
        <v>ermakov@mail</v>
      </c>
      <c r="G99" s="11" t="str">
        <f>RAW_Клиенты!F98</f>
        <v>Пермь</v>
      </c>
      <c r="H99" s="11" t="str">
        <f>RAW_Клиенты!G98</f>
        <v>01.09.2024</v>
      </c>
      <c r="I99" s="12" t="str">
        <f t="shared" si="333"/>
        <v>79038901234</v>
      </c>
      <c r="J99" s="12" t="str">
        <f t="shared" si="334"/>
        <v>ermakov@mail</v>
      </c>
      <c r="K99" s="12" t="str">
        <f t="shared" si="335"/>
        <v>Пермь</v>
      </c>
      <c r="L99" s="13" t="str">
        <f t="shared" si="336"/>
        <v>C0097</v>
      </c>
      <c r="M99" s="13" t="str">
        <f t="shared" si="337"/>
        <v xml:space="preserve">Ермаков Павел Владимирович</v>
      </c>
      <c r="N99" s="13" t="str">
        <f t="shared" ca="1" si="338"/>
        <v>OK</v>
      </c>
      <c r="O99" s="19">
        <f t="shared" si="339"/>
        <v>31395</v>
      </c>
      <c r="P99" s="19">
        <f t="shared" si="340"/>
        <v>45536</v>
      </c>
      <c r="Q99" s="13">
        <f t="shared" ca="1" si="341"/>
        <v>40</v>
      </c>
      <c r="R99" s="13" t="str">
        <f t="shared" si="342"/>
        <v>OK</v>
      </c>
      <c r="S99" s="13" t="str">
        <f t="shared" si="343"/>
        <v xml:space="preserve">+7 (903) 890-12-34</v>
      </c>
      <c r="T99" s="13" t="str">
        <f t="shared" si="344"/>
        <v>ermakov@mail</v>
      </c>
      <c r="U99" s="18" t="str">
        <f t="shared" si="345"/>
        <v xml:space="preserve">Ошибка Email</v>
      </c>
      <c r="V99" s="13" t="str">
        <f>IFERROR(VLOOKUP(K99,Справочники!$K$6:$L$13,2,0),K99)</f>
        <v>Пермь</v>
      </c>
    </row>
    <row r="100" ht="15" customHeight="1">
      <c r="A100" s="10">
        <v>98</v>
      </c>
      <c r="B100" s="11" t="str">
        <f>RAW_Клиенты!A99</f>
        <v>C0098</v>
      </c>
      <c r="C100" s="11" t="str">
        <f>RAW_Клиенты!B99</f>
        <v xml:space="preserve">Герасимова Анна Юрьевна</v>
      </c>
      <c r="D100" s="11" t="str">
        <f>RAW_Клиенты!C99</f>
        <v>22.07.1993</v>
      </c>
      <c r="E100" s="11" t="str">
        <f>RAW_Клиенты!D99</f>
        <v>8-903-890-12-34</v>
      </c>
      <c r="F100" s="11" t="str">
        <f>RAW_Клиенты!E99</f>
        <v>gerasimova@yandex</v>
      </c>
      <c r="G100" s="11" t="str">
        <f>RAW_Клиенты!F99</f>
        <v>Краснодар</v>
      </c>
      <c r="H100" s="11" t="str">
        <f>RAW_Клиенты!G99</f>
        <v>2024-09-15</v>
      </c>
      <c r="I100" s="12" t="str">
        <f t="shared" ref="I100:I163" si="346">SUBSTITUTE(SUBSTITUTE(SUBSTITUTE(SUBSTITUTE(SUBSTITUTE(SUBSTITUTE(E100," ",""),"-",""),"+",""),"(",""),")",""),CHAR(160),"")</f>
        <v>89038901234</v>
      </c>
      <c r="J100" s="12" t="str">
        <f t="shared" ref="J100:J163" si="347">SUBSTITUTE(SUBSTITUTE(TRIM(F100)," ",""),CHAR(160),"")</f>
        <v>gerasimova@yandex</v>
      </c>
      <c r="K100" s="12" t="str">
        <f t="shared" ref="K100:K163" si="348">TRIM(SUBSTITUTE(SUBSTITUTE(TRIM(G100),"г.",""),"г ",""))</f>
        <v>Краснодар</v>
      </c>
      <c r="L100" s="13" t="str">
        <f t="shared" ref="L100:L163" si="349">B100</f>
        <v>C0098</v>
      </c>
      <c r="M100" s="13" t="str">
        <f t="shared" ref="M100:M163" si="350">PROPER(TRIM(C100))</f>
        <v xml:space="preserve">Герасимова Анна Юрьевна</v>
      </c>
      <c r="N100" s="13" t="str">
        <f t="shared" ref="N100:N163" si="351">IF(ISNUMBER(FIND(".",C100)),"инициалы: проверить",IF(SUMPRODUCT(--ISNUMBER(FIND(MID("abcdefghijklmnopqrstuvwxyz",ROW(INDIRECT("1:26")),1),LOWER(C100))))&gt;0,"латиница: транслит","OK"))</f>
        <v>OK</v>
      </c>
      <c r="O100" s="19">
        <f t="shared" ref="O100:O163" si="352">IF(ISNUMBER(FIND("-",D100)),DATE(VALUE(LEFT(D100,4)),VALUE(MID(D100,6,2)),VALUE(MID(D100,9,2))),DATE(VALUE(MID(D100,7,4)),VALUE(MID(D100,4,2)),VALUE(LEFT(D100,2))))</f>
        <v>34172</v>
      </c>
      <c r="P100" s="19">
        <f t="shared" ref="P100:P163" si="353">IF(ISNUMBER(FIND("-",H100)),DATE(VALUE(LEFT(H100,4)),VALUE(MID(H100,6,2)),VALUE(MID(H100,9,2))),DATE(VALUE(MID(H100,7,4)),VALUE(MID(H100,4,2)),VALUE(LEFT(H100,2))))</f>
        <v>45550</v>
      </c>
      <c r="Q100" s="13">
        <f t="shared" ref="Q100:Q163" ca="1" si="354">DATEDIF(O100,TODAY(),"Y")</f>
        <v>33</v>
      </c>
      <c r="R100" s="13" t="str">
        <f t="shared" ref="R100:R163" si="355">IF(OR(Q100&lt;18,Q100&gt;120),"Ошибка даты рождения","OK")</f>
        <v>OK</v>
      </c>
      <c r="S100" s="13" t="str">
        <f t="shared" ref="S100:S163" si="356">IF(LEN(I100)&gt;=10,"+7 ("&amp;MID(I100,LEN(I100)-9,3)&amp;") "&amp;MID(I100,LEN(I100)-6,3)&amp;"-"&amp;MID(I100,LEN(I100)-3,2)&amp;"-"&amp;RIGHT(I100,2),"Ошибка телефона")</f>
        <v xml:space="preserve">+7 (903) 890-12-34</v>
      </c>
      <c r="T100" s="13" t="str">
        <f t="shared" ref="T100:T163" si="357">J100</f>
        <v>gerasimova@yandex</v>
      </c>
      <c r="U100" s="18" t="str">
        <f t="shared" ref="U100:U163" si="358">IF(AND(ISNUMBER(FIND("@",J100)),ISNUMBER(FIND(".",MID(J100,FIND("@",J100),100)))),"OK","Ошибка Email")</f>
        <v xml:space="preserve">Ошибка Email</v>
      </c>
      <c r="V100" s="13" t="str">
        <f>IFERROR(VLOOKUP(K100,Справочники!$K$6:$L$13,2,0),K100)</f>
        <v>Краснодар</v>
      </c>
    </row>
    <row r="101" ht="15" customHeight="1">
      <c r="A101" s="10">
        <v>99</v>
      </c>
      <c r="B101" s="11" t="str">
        <f>RAW_Клиенты!A100</f>
        <v>C0099</v>
      </c>
      <c r="C101" s="11" t="str">
        <f>RAW_Клиенты!B100</f>
        <v xml:space="preserve">Кузьмина Ева Евгеньевна</v>
      </c>
      <c r="D101" s="11" t="str">
        <f>RAW_Клиенты!C100</f>
        <v>09.01.1977</v>
      </c>
      <c r="E101" s="11" t="str">
        <f>RAW_Клиенты!D100</f>
        <v xml:space="preserve">8 903 901 23 45</v>
      </c>
      <c r="F101" s="11" t="str">
        <f>RAW_Клиенты!E100</f>
        <v>kuzmina@gmail</v>
      </c>
      <c r="G101" s="11" t="str">
        <f>RAW_Клиенты!F100</f>
        <v>Саратов</v>
      </c>
      <c r="H101" s="11" t="str">
        <f>RAW_Клиенты!G100</f>
        <v>15.09.2024</v>
      </c>
      <c r="I101" s="12" t="str">
        <f t="shared" si="346"/>
        <v>89039012345</v>
      </c>
      <c r="J101" s="12" t="str">
        <f t="shared" si="347"/>
        <v>kuzmina@gmail</v>
      </c>
      <c r="K101" s="12" t="str">
        <f t="shared" si="348"/>
        <v>Саратов</v>
      </c>
      <c r="L101" s="13" t="str">
        <f t="shared" si="349"/>
        <v>C0099</v>
      </c>
      <c r="M101" s="13" t="str">
        <f t="shared" si="350"/>
        <v xml:space="preserve">Кузьмина Ева Евгеньевна</v>
      </c>
      <c r="N101" s="13" t="str">
        <f t="shared" si="351"/>
        <v>OK</v>
      </c>
      <c r="O101" s="19">
        <f t="shared" si="352"/>
        <v>28134</v>
      </c>
      <c r="P101" s="19">
        <f t="shared" si="353"/>
        <v>45550</v>
      </c>
      <c r="Q101" s="13">
        <f t="shared" ca="1" si="354"/>
        <v>49</v>
      </c>
      <c r="R101" s="13" t="str">
        <f t="shared" si="355"/>
        <v>OK</v>
      </c>
      <c r="S101" s="13" t="str">
        <f t="shared" si="356"/>
        <v xml:space="preserve">+7 (903) 901-23-45</v>
      </c>
      <c r="T101" s="13" t="str">
        <f t="shared" si="357"/>
        <v>kuzmina@gmail</v>
      </c>
      <c r="U101" s="18" t="str">
        <f t="shared" si="358"/>
        <v xml:space="preserve">Ошибка Email</v>
      </c>
      <c r="V101" s="13" t="str">
        <f>IFERROR(VLOOKUP(K101,Справочники!$K$6:$L$13,2,0),K101)</f>
        <v>Саратов</v>
      </c>
    </row>
    <row r="102" ht="15" customHeight="1">
      <c r="A102" s="10">
        <v>100</v>
      </c>
      <c r="B102" s="11" t="str">
        <f>RAW_Клиенты!A101</f>
        <v>C0100</v>
      </c>
      <c r="C102" s="11" t="str">
        <f>RAW_Клиенты!B101</f>
        <v xml:space="preserve">Литвинов Станислав Андреевич</v>
      </c>
      <c r="D102" s="11" t="str">
        <f>RAW_Клиенты!C101</f>
        <v>17.09.1984</v>
      </c>
      <c r="E102" s="11" t="str">
        <f>RAW_Клиенты!D101</f>
        <v>+79039012345</v>
      </c>
      <c r="F102" s="11" t="str">
        <f>RAW_Клиенты!E101</f>
        <v>litvinov@mail</v>
      </c>
      <c r="G102" s="11" t="str">
        <f>RAW_Клиенты!F101</f>
        <v>Тольятти</v>
      </c>
      <c r="H102" s="11" t="str">
        <f>RAW_Клиенты!G101</f>
        <v>01.10.2024</v>
      </c>
      <c r="I102" s="12" t="str">
        <f t="shared" si="346"/>
        <v>79039012345</v>
      </c>
      <c r="J102" s="12" t="str">
        <f t="shared" si="347"/>
        <v>litvinov@mail</v>
      </c>
      <c r="K102" s="12" t="str">
        <f t="shared" si="348"/>
        <v>Тольятти</v>
      </c>
      <c r="L102" s="13" t="str">
        <f t="shared" si="349"/>
        <v>C0100</v>
      </c>
      <c r="M102" s="13" t="str">
        <f t="shared" si="350"/>
        <v xml:space="preserve">Литвинов Станислав Андреевич</v>
      </c>
      <c r="N102" s="13" t="str">
        <f t="shared" si="351"/>
        <v>OK</v>
      </c>
      <c r="O102" s="19">
        <f t="shared" si="352"/>
        <v>30942</v>
      </c>
      <c r="P102" s="19">
        <f t="shared" si="353"/>
        <v>45566</v>
      </c>
      <c r="Q102" s="13">
        <f t="shared" ca="1" si="354"/>
        <v>42</v>
      </c>
      <c r="R102" s="13" t="str">
        <f t="shared" si="355"/>
        <v>OK</v>
      </c>
      <c r="S102" s="13" t="str">
        <f t="shared" si="356"/>
        <v xml:space="preserve">+7 (903) 901-23-45</v>
      </c>
      <c r="T102" s="13" t="str">
        <f t="shared" si="357"/>
        <v>litvinov@mail</v>
      </c>
      <c r="U102" s="18" t="str">
        <f t="shared" si="358"/>
        <v xml:space="preserve">Ошибка Email</v>
      </c>
      <c r="V102" s="13" t="str">
        <f>IFERROR(VLOOKUP(K102,Справочники!$K$6:$L$13,2,0),K102)</f>
        <v>Тольятти</v>
      </c>
    </row>
    <row r="103" ht="15" customHeight="1">
      <c r="A103" s="10">
        <v>101</v>
      </c>
      <c r="B103" s="11" t="str">
        <f>RAW_Клиенты!A102</f>
        <v>C0101</v>
      </c>
      <c r="C103" s="11" t="str">
        <f>RAW_Клиенты!B102</f>
        <v xml:space="preserve">Архипова Диана Валерьевна</v>
      </c>
      <c r="D103" s="11" t="str">
        <f>RAW_Клиенты!C102</f>
        <v>28.04.1991</v>
      </c>
      <c r="E103" s="11" t="str">
        <f>RAW_Клиенты!D102</f>
        <v>8-903-901-23-45</v>
      </c>
      <c r="F103" s="11" t="str">
        <f>RAW_Клиенты!E102</f>
        <v>arhipova@yandex</v>
      </c>
      <c r="G103" s="11" t="str">
        <f>RAW_Клиенты!F102</f>
        <v>Ульяновск</v>
      </c>
      <c r="H103" s="11" t="str">
        <f>RAW_Клиенты!G102</f>
        <v>2024-10-10</v>
      </c>
      <c r="I103" s="12" t="str">
        <f t="shared" si="346"/>
        <v>89039012345</v>
      </c>
      <c r="J103" s="12" t="str">
        <f t="shared" si="347"/>
        <v>arhipova@yandex</v>
      </c>
      <c r="K103" s="12" t="str">
        <f t="shared" si="348"/>
        <v>Ульяновск</v>
      </c>
      <c r="L103" s="13" t="str">
        <f t="shared" si="349"/>
        <v>C0101</v>
      </c>
      <c r="M103" s="13" t="str">
        <f t="shared" si="350"/>
        <v xml:space="preserve">Архипова Диана Валерьевна</v>
      </c>
      <c r="N103" s="13" t="str">
        <f t="shared" si="351"/>
        <v>OK</v>
      </c>
      <c r="O103" s="19">
        <f t="shared" si="352"/>
        <v>33356</v>
      </c>
      <c r="P103" s="19">
        <f t="shared" si="353"/>
        <v>45575</v>
      </c>
      <c r="Q103" s="13">
        <f t="shared" ca="1" si="354"/>
        <v>35</v>
      </c>
      <c r="R103" s="13" t="str">
        <f t="shared" si="355"/>
        <v>OK</v>
      </c>
      <c r="S103" s="13" t="str">
        <f t="shared" si="356"/>
        <v xml:space="preserve">+7 (903) 901-23-45</v>
      </c>
      <c r="T103" s="13" t="str">
        <f t="shared" si="357"/>
        <v>arhipova@yandex</v>
      </c>
      <c r="U103" s="18" t="str">
        <f t="shared" si="358"/>
        <v xml:space="preserve">Ошибка Email</v>
      </c>
      <c r="V103" s="13" t="str">
        <f>IFERROR(VLOOKUP(K103,Справочники!$K$6:$L$13,2,0),K103)</f>
        <v>Ульяновск</v>
      </c>
    </row>
    <row r="104" ht="15" customHeight="1">
      <c r="A104" s="10">
        <v>102</v>
      </c>
      <c r="B104" s="11" t="str">
        <f>RAW_Клиенты!A103</f>
        <v>C0102</v>
      </c>
      <c r="C104" s="11" t="str">
        <f>RAW_Клиенты!B103</f>
        <v xml:space="preserve">Кузьмин Андрей Сергеевич</v>
      </c>
      <c r="D104" s="11" t="str">
        <f>RAW_Клиенты!C103</f>
        <v>03.11.1972</v>
      </c>
      <c r="E104" s="11" t="str">
        <f>RAW_Клиенты!D103</f>
        <v xml:space="preserve">8 903 012 34 56</v>
      </c>
      <c r="F104" s="11" t="str">
        <f>RAW_Клиенты!E103</f>
        <v>kuzmin@gmail</v>
      </c>
      <c r="G104" s="11" t="str">
        <f>RAW_Клиенты!F103</f>
        <v>Хабаровск</v>
      </c>
      <c r="H104" s="11" t="str">
        <f>RAW_Клиенты!G103</f>
        <v>10.10.2024</v>
      </c>
      <c r="I104" s="12" t="str">
        <f t="shared" si="346"/>
        <v>89030123456</v>
      </c>
      <c r="J104" s="12" t="str">
        <f t="shared" si="347"/>
        <v>kuzmin@gmail</v>
      </c>
      <c r="K104" s="12" t="str">
        <f t="shared" si="348"/>
        <v>Хабаровск</v>
      </c>
      <c r="L104" s="13" t="str">
        <f t="shared" si="349"/>
        <v>C0102</v>
      </c>
      <c r="M104" s="13" t="str">
        <f t="shared" si="350"/>
        <v xml:space="preserve">Кузьмин Андрей Сергеевич</v>
      </c>
      <c r="N104" s="13" t="str">
        <f t="shared" si="351"/>
        <v>OK</v>
      </c>
      <c r="O104" s="19">
        <f t="shared" si="352"/>
        <v>26606</v>
      </c>
      <c r="P104" s="19">
        <f t="shared" si="353"/>
        <v>45575</v>
      </c>
      <c r="Q104" s="13">
        <f t="shared" ca="1" si="354"/>
        <v>53</v>
      </c>
      <c r="R104" s="13" t="str">
        <f t="shared" si="355"/>
        <v>OK</v>
      </c>
      <c r="S104" s="13" t="str">
        <f t="shared" si="356"/>
        <v xml:space="preserve">+7 (903) 012-34-56</v>
      </c>
      <c r="T104" s="13" t="str">
        <f t="shared" si="357"/>
        <v>kuzmin@gmail</v>
      </c>
      <c r="U104" s="18" t="str">
        <f t="shared" si="358"/>
        <v xml:space="preserve">Ошибка Email</v>
      </c>
      <c r="V104" s="13" t="str">
        <f>IFERROR(VLOOKUP(K104,Справочники!$K$6:$L$13,2,0),K104)</f>
        <v>Хабаровск</v>
      </c>
    </row>
    <row r="105" ht="15" customHeight="1">
      <c r="A105" s="10">
        <v>103</v>
      </c>
      <c r="B105" s="11" t="str">
        <f>RAW_Клиенты!A104</f>
        <v>C0103</v>
      </c>
      <c r="C105" s="11" t="str">
        <f>RAW_Клиенты!B104</f>
        <v xml:space="preserve">Афанасьева Виктория Денисовна</v>
      </c>
      <c r="D105" s="11" t="str">
        <f>RAW_Клиенты!C104</f>
        <v>16.06.1986</v>
      </c>
      <c r="E105" s="11" t="str">
        <f>RAW_Клиенты!D104</f>
        <v>+79030123456</v>
      </c>
      <c r="F105" s="11" t="str">
        <f>RAW_Клиенты!E104</f>
        <v>afanasieva@mail</v>
      </c>
      <c r="G105" s="11" t="str">
        <f>RAW_Клиенты!F104</f>
        <v>Челябинск</v>
      </c>
      <c r="H105" s="11" t="str">
        <f>RAW_Клиенты!G104</f>
        <v>01.11.2024</v>
      </c>
      <c r="I105" s="12" t="str">
        <f t="shared" si="346"/>
        <v>79030123456</v>
      </c>
      <c r="J105" s="12" t="str">
        <f t="shared" si="347"/>
        <v>afanasieva@mail</v>
      </c>
      <c r="K105" s="12" t="str">
        <f t="shared" si="348"/>
        <v>Челябинск</v>
      </c>
      <c r="L105" s="13" t="str">
        <f t="shared" si="349"/>
        <v>C0103</v>
      </c>
      <c r="M105" s="13" t="str">
        <f t="shared" si="350"/>
        <v xml:space="preserve">Афанасьева Виктория Денисовна</v>
      </c>
      <c r="N105" s="13" t="str">
        <f t="shared" si="351"/>
        <v>OK</v>
      </c>
      <c r="O105" s="19">
        <f t="shared" si="352"/>
        <v>31579</v>
      </c>
      <c r="P105" s="19">
        <f t="shared" si="353"/>
        <v>45597</v>
      </c>
      <c r="Q105" s="13">
        <f t="shared" ca="1" si="354"/>
        <v>40</v>
      </c>
      <c r="R105" s="13" t="str">
        <f t="shared" si="355"/>
        <v>OK</v>
      </c>
      <c r="S105" s="13" t="str">
        <f t="shared" si="356"/>
        <v xml:space="preserve">+7 (903) 012-34-56</v>
      </c>
      <c r="T105" s="13" t="str">
        <f t="shared" si="357"/>
        <v>afanasieva@mail</v>
      </c>
      <c r="U105" s="18" t="str">
        <f t="shared" si="358"/>
        <v xml:space="preserve">Ошибка Email</v>
      </c>
      <c r="V105" s="13" t="str">
        <f>IFERROR(VLOOKUP(K105,Справочники!$K$6:$L$13,2,0),K105)</f>
        <v>Челябинск</v>
      </c>
    </row>
    <row r="106" ht="15" customHeight="1">
      <c r="A106" s="10">
        <v>104</v>
      </c>
      <c r="B106" s="11" t="str">
        <f>RAW_Клиенты!A105</f>
        <v>C0104</v>
      </c>
      <c r="C106" s="11" t="str">
        <f>RAW_Клиенты!B105</f>
        <v xml:space="preserve">Денисов Константин Викторович</v>
      </c>
      <c r="D106" s="11" t="str">
        <f>RAW_Клиенты!C105</f>
        <v>29.01.1994</v>
      </c>
      <c r="E106" s="11" t="str">
        <f>RAW_Клиенты!D105</f>
        <v>8-903-012-34-56</v>
      </c>
      <c r="F106" s="11" t="str">
        <f>RAW_Клиенты!E105</f>
        <v>denisov@yandex</v>
      </c>
      <c r="G106" s="11" t="str">
        <f>RAW_Клиенты!F105</f>
        <v>Омск</v>
      </c>
      <c r="H106" s="11" t="str">
        <f>RAW_Клиенты!G105</f>
        <v>2024-11-15</v>
      </c>
      <c r="I106" s="12" t="str">
        <f t="shared" si="346"/>
        <v>89030123456</v>
      </c>
      <c r="J106" s="12" t="str">
        <f t="shared" si="347"/>
        <v>denisov@yandex</v>
      </c>
      <c r="K106" s="12" t="str">
        <f t="shared" si="348"/>
        <v>Омск</v>
      </c>
      <c r="L106" s="13" t="str">
        <f t="shared" si="349"/>
        <v>C0104</v>
      </c>
      <c r="M106" s="13" t="str">
        <f t="shared" si="350"/>
        <v xml:space="preserve">Денисов Константин Викторович</v>
      </c>
      <c r="N106" s="13" t="str">
        <f t="shared" si="351"/>
        <v>OK</v>
      </c>
      <c r="O106" s="19">
        <f t="shared" si="352"/>
        <v>34363</v>
      </c>
      <c r="P106" s="19">
        <f t="shared" si="353"/>
        <v>45611</v>
      </c>
      <c r="Q106" s="13">
        <f t="shared" ca="1" si="354"/>
        <v>32</v>
      </c>
      <c r="R106" s="13" t="str">
        <f t="shared" si="355"/>
        <v>OK</v>
      </c>
      <c r="S106" s="13" t="str">
        <f t="shared" si="356"/>
        <v xml:space="preserve">+7 (903) 012-34-56</v>
      </c>
      <c r="T106" s="13" t="str">
        <f t="shared" si="357"/>
        <v>denisov@yandex</v>
      </c>
      <c r="U106" s="18" t="str">
        <f t="shared" si="358"/>
        <v xml:space="preserve">Ошибка Email</v>
      </c>
      <c r="V106" s="13" t="str">
        <f>IFERROR(VLOOKUP(K106,Справочники!$K$6:$L$13,2,0),K106)</f>
        <v>Омск</v>
      </c>
    </row>
    <row r="107" ht="15" customHeight="1">
      <c r="A107" s="10">
        <v>105</v>
      </c>
      <c r="B107" s="11" t="str">
        <f>RAW_Клиенты!A106</f>
        <v>C0105</v>
      </c>
      <c r="C107" s="11" t="str">
        <f>RAW_Клиенты!B106</f>
        <v xml:space="preserve">Серова Наталья Анатольевна</v>
      </c>
      <c r="D107" s="11" t="str">
        <f>RAW_Клиенты!C106</f>
        <v>12.08.1978</v>
      </c>
      <c r="E107" s="11" t="str">
        <f>RAW_Клиенты!D106</f>
        <v xml:space="preserve">8 903 123 45 67</v>
      </c>
      <c r="F107" s="11" t="str">
        <f>RAW_Клиенты!E106</f>
        <v>serova@gmail</v>
      </c>
      <c r="G107" s="11" t="str">
        <f>RAW_Клиенты!F106</f>
        <v>Ростов-на-Дону</v>
      </c>
      <c r="H107" s="11" t="str">
        <f>RAW_Клиенты!G106</f>
        <v>15.11.2024</v>
      </c>
      <c r="I107" s="12" t="str">
        <f t="shared" si="346"/>
        <v>89031234567</v>
      </c>
      <c r="J107" s="12" t="str">
        <f t="shared" si="347"/>
        <v>serova@gmail</v>
      </c>
      <c r="K107" s="12" t="str">
        <f t="shared" si="348"/>
        <v>Ростов-на-Дону</v>
      </c>
      <c r="L107" s="13" t="str">
        <f t="shared" si="349"/>
        <v>C0105</v>
      </c>
      <c r="M107" s="13" t="str">
        <f t="shared" si="350"/>
        <v xml:space="preserve">Серова Наталья Анатольевна</v>
      </c>
      <c r="N107" s="13" t="str">
        <f t="shared" si="351"/>
        <v>OK</v>
      </c>
      <c r="O107" s="19">
        <f t="shared" si="352"/>
        <v>28714</v>
      </c>
      <c r="P107" s="19">
        <f t="shared" si="353"/>
        <v>45611</v>
      </c>
      <c r="Q107" s="13">
        <f t="shared" ca="1" si="354"/>
        <v>48</v>
      </c>
      <c r="R107" s="13" t="str">
        <f t="shared" si="355"/>
        <v>OK</v>
      </c>
      <c r="S107" s="13" t="str">
        <f t="shared" si="356"/>
        <v xml:space="preserve">+7 (903) 123-45-67</v>
      </c>
      <c r="T107" s="13" t="str">
        <f t="shared" si="357"/>
        <v>serova@gmail</v>
      </c>
      <c r="U107" s="18" t="str">
        <f t="shared" si="358"/>
        <v xml:space="preserve">Ошибка Email</v>
      </c>
      <c r="V107" s="13" t="str">
        <f>IFERROR(VLOOKUP(K107,Справочники!$K$6:$L$13,2,0),K107)</f>
        <v>Ростов-на-Дону</v>
      </c>
    </row>
    <row r="108" ht="15" customHeight="1">
      <c r="A108" s="10">
        <v>106</v>
      </c>
      <c r="B108" s="11" t="str">
        <f>RAW_Клиенты!A107</f>
        <v>C0106</v>
      </c>
      <c r="C108" s="11" t="str">
        <f>RAW_Клиенты!B107</f>
        <v xml:space="preserve">Голубев Максим Иванович</v>
      </c>
      <c r="D108" s="11" t="str">
        <f>RAW_Клиенты!C107</f>
        <v>07.12.1983</v>
      </c>
      <c r="E108" s="11" t="str">
        <f>RAW_Клиенты!D107</f>
        <v>+79031234567</v>
      </c>
      <c r="F108" s="11" t="str">
        <f>RAW_Клиенты!E107</f>
        <v>golubev@mail</v>
      </c>
      <c r="G108" s="11" t="str">
        <f>RAW_Клиенты!F107</f>
        <v>Уфа</v>
      </c>
      <c r="H108" s="11" t="str">
        <f>RAW_Клиенты!G107</f>
        <v>01.12.2024</v>
      </c>
      <c r="I108" s="12" t="str">
        <f t="shared" si="346"/>
        <v>79031234567</v>
      </c>
      <c r="J108" s="12" t="str">
        <f t="shared" si="347"/>
        <v>golubev@mail</v>
      </c>
      <c r="K108" s="12" t="str">
        <f t="shared" si="348"/>
        <v>Уфа</v>
      </c>
      <c r="L108" s="13" t="str">
        <f t="shared" si="349"/>
        <v>C0106</v>
      </c>
      <c r="M108" s="13" t="str">
        <f t="shared" si="350"/>
        <v xml:space="preserve">Голубев Максим Иванович</v>
      </c>
      <c r="N108" s="13" t="str">
        <f t="shared" si="351"/>
        <v>OK</v>
      </c>
      <c r="O108" s="19">
        <f t="shared" si="352"/>
        <v>30657</v>
      </c>
      <c r="P108" s="19">
        <f t="shared" si="353"/>
        <v>45627</v>
      </c>
      <c r="Q108" s="13">
        <f t="shared" ca="1" si="354"/>
        <v>42</v>
      </c>
      <c r="R108" s="13" t="str">
        <f t="shared" si="355"/>
        <v>OK</v>
      </c>
      <c r="S108" s="13" t="str">
        <f t="shared" si="356"/>
        <v xml:space="preserve">+7 (903) 123-45-67</v>
      </c>
      <c r="T108" s="13" t="str">
        <f t="shared" si="357"/>
        <v>golubev@mail</v>
      </c>
      <c r="U108" s="18" t="str">
        <f t="shared" si="358"/>
        <v xml:space="preserve">Ошибка Email</v>
      </c>
      <c r="V108" s="13" t="str">
        <f>IFERROR(VLOOKUP(K108,Справочники!$K$6:$L$13,2,0),K108)</f>
        <v>Уфа</v>
      </c>
    </row>
    <row r="109" ht="15" customHeight="1">
      <c r="A109" s="10">
        <v>107</v>
      </c>
      <c r="B109" s="11" t="str">
        <f>RAW_Клиенты!A108</f>
        <v>C0107</v>
      </c>
      <c r="C109" s="11" t="str">
        <f>RAW_Клиенты!B108</f>
        <v xml:space="preserve">Панова Карина Александровна</v>
      </c>
      <c r="D109" s="11" t="str">
        <f>RAW_Клиенты!C108</f>
        <v>20.03.1990</v>
      </c>
      <c r="E109" s="11" t="str">
        <f>RAW_Клиенты!D108</f>
        <v>8-903-123-45-67</v>
      </c>
      <c r="F109" s="11" t="str">
        <f>RAW_Клиенты!E108</f>
        <v>panova@yandex</v>
      </c>
      <c r="G109" s="11" t="str">
        <f>RAW_Клиенты!F108</f>
        <v>Красноярск</v>
      </c>
      <c r="H109" s="11" t="str">
        <f>RAW_Клиенты!G108</f>
        <v>2024-12-10</v>
      </c>
      <c r="I109" s="12" t="str">
        <f t="shared" si="346"/>
        <v>89031234567</v>
      </c>
      <c r="J109" s="12" t="str">
        <f t="shared" si="347"/>
        <v>panova@yandex</v>
      </c>
      <c r="K109" s="12" t="str">
        <f t="shared" si="348"/>
        <v>Красноярск</v>
      </c>
      <c r="L109" s="13" t="str">
        <f t="shared" si="349"/>
        <v>C0107</v>
      </c>
      <c r="M109" s="13" t="str">
        <f t="shared" si="350"/>
        <v xml:space="preserve">Панова Карина Александровна</v>
      </c>
      <c r="N109" s="13" t="str">
        <f t="shared" si="351"/>
        <v>OK</v>
      </c>
      <c r="O109" s="19">
        <f t="shared" si="352"/>
        <v>32952</v>
      </c>
      <c r="P109" s="19">
        <f t="shared" si="353"/>
        <v>45636</v>
      </c>
      <c r="Q109" s="13">
        <f t="shared" ca="1" si="354"/>
        <v>36</v>
      </c>
      <c r="R109" s="13" t="str">
        <f t="shared" si="355"/>
        <v>OK</v>
      </c>
      <c r="S109" s="13" t="str">
        <f t="shared" si="356"/>
        <v xml:space="preserve">+7 (903) 123-45-67</v>
      </c>
      <c r="T109" s="13" t="str">
        <f t="shared" si="357"/>
        <v>panova@yandex</v>
      </c>
      <c r="U109" s="18" t="str">
        <f t="shared" si="358"/>
        <v xml:space="preserve">Ошибка Email</v>
      </c>
      <c r="V109" s="13" t="str">
        <f>IFERROR(VLOOKUP(K109,Справочники!$K$6:$L$13,2,0),K109)</f>
        <v>Красноярск</v>
      </c>
    </row>
    <row r="110" ht="15" customHeight="1">
      <c r="A110" s="10">
        <v>108</v>
      </c>
      <c r="B110" s="11" t="str">
        <f>RAW_Клиенты!A109</f>
        <v>C0108</v>
      </c>
      <c r="C110" s="11" t="str">
        <f>RAW_Клиенты!B109</f>
        <v xml:space="preserve">Шевченко Тимофей Олегович</v>
      </c>
      <c r="D110" s="11" t="str">
        <f>RAW_Клиенты!C109</f>
        <v>25.10.1975</v>
      </c>
      <c r="E110" s="11" t="str">
        <f>RAW_Клиенты!D109</f>
        <v xml:space="preserve">8 903 234 56 78</v>
      </c>
      <c r="F110" s="11" t="str">
        <f>RAW_Клиенты!E109</f>
        <v>shevchenko@gmail</v>
      </c>
      <c r="G110" s="11" t="str">
        <f>RAW_Клиенты!F109</f>
        <v>Волгоград</v>
      </c>
      <c r="H110" s="11" t="str">
        <f>RAW_Клиенты!G109</f>
        <v>10.12.2024</v>
      </c>
      <c r="I110" s="12" t="str">
        <f t="shared" si="346"/>
        <v>89032345678</v>
      </c>
      <c r="J110" s="12" t="str">
        <f t="shared" si="347"/>
        <v>shevchenko@gmail</v>
      </c>
      <c r="K110" s="12" t="str">
        <f t="shared" si="348"/>
        <v>Волгоград</v>
      </c>
      <c r="L110" s="13" t="str">
        <f t="shared" si="349"/>
        <v>C0108</v>
      </c>
      <c r="M110" s="13" t="str">
        <f t="shared" si="350"/>
        <v xml:space="preserve">Шевченко Тимофей Олегович</v>
      </c>
      <c r="N110" s="13" t="str">
        <f t="shared" si="351"/>
        <v>OK</v>
      </c>
      <c r="O110" s="19">
        <f t="shared" si="352"/>
        <v>27692</v>
      </c>
      <c r="P110" s="19">
        <f t="shared" si="353"/>
        <v>45636</v>
      </c>
      <c r="Q110" s="13">
        <f t="shared" ca="1" si="354"/>
        <v>50</v>
      </c>
      <c r="R110" s="13" t="str">
        <f t="shared" si="355"/>
        <v>OK</v>
      </c>
      <c r="S110" s="13" t="str">
        <f t="shared" si="356"/>
        <v xml:space="preserve">+7 (903) 234-56-78</v>
      </c>
      <c r="T110" s="13" t="str">
        <f t="shared" si="357"/>
        <v>shevchenko@gmail</v>
      </c>
      <c r="U110" s="18" t="str">
        <f t="shared" si="358"/>
        <v xml:space="preserve">Ошибка Email</v>
      </c>
      <c r="V110" s="13" t="str">
        <f>IFERROR(VLOOKUP(K110,Справочники!$K$6:$L$13,2,0),K110)</f>
        <v>Волгоград</v>
      </c>
    </row>
    <row r="111" ht="15" customHeight="1">
      <c r="A111" s="10">
        <v>109</v>
      </c>
      <c r="B111" s="11" t="str">
        <f>RAW_Клиенты!A110</f>
        <v>C0109</v>
      </c>
      <c r="C111" s="11" t="str">
        <f>RAW_Клиенты!B110</f>
        <v xml:space="preserve">Титова Ника Павловна</v>
      </c>
      <c r="D111" s="11" t="str">
        <f>RAW_Клиенты!C110</f>
        <v>04.09.1982</v>
      </c>
      <c r="E111" s="11" t="str">
        <f>RAW_Клиенты!D110</f>
        <v>+79032345678</v>
      </c>
      <c r="F111" s="11" t="str">
        <f>RAW_Клиенты!E110</f>
        <v>titova@mail</v>
      </c>
      <c r="G111" s="11" t="str">
        <f>RAW_Клиенты!F110</f>
        <v>Воронеж</v>
      </c>
      <c r="H111" s="11" t="str">
        <f>RAW_Клиенты!G110</f>
        <v>01.01.2025</v>
      </c>
      <c r="I111" s="12" t="str">
        <f t="shared" si="346"/>
        <v>79032345678</v>
      </c>
      <c r="J111" s="12" t="str">
        <f t="shared" si="347"/>
        <v>titova@mail</v>
      </c>
      <c r="K111" s="12" t="str">
        <f t="shared" si="348"/>
        <v>Воронеж</v>
      </c>
      <c r="L111" s="13" t="str">
        <f t="shared" si="349"/>
        <v>C0109</v>
      </c>
      <c r="M111" s="13" t="str">
        <f t="shared" si="350"/>
        <v xml:space="preserve">Титова Ника Павловна</v>
      </c>
      <c r="N111" s="13" t="str">
        <f t="shared" si="351"/>
        <v>OK</v>
      </c>
      <c r="O111" s="19">
        <f t="shared" si="352"/>
        <v>30198</v>
      </c>
      <c r="P111" s="19">
        <f t="shared" si="353"/>
        <v>45658</v>
      </c>
      <c r="Q111" s="13">
        <f t="shared" ca="1" si="354"/>
        <v>44</v>
      </c>
      <c r="R111" s="13" t="str">
        <f t="shared" si="355"/>
        <v>OK</v>
      </c>
      <c r="S111" s="13" t="str">
        <f t="shared" si="356"/>
        <v xml:space="preserve">+7 (903) 234-56-78</v>
      </c>
      <c r="T111" s="13" t="str">
        <f t="shared" si="357"/>
        <v>titova@mail</v>
      </c>
      <c r="U111" s="18" t="str">
        <f t="shared" si="358"/>
        <v xml:space="preserve">Ошибка Email</v>
      </c>
      <c r="V111" s="13" t="str">
        <f>IFERROR(VLOOKUP(K111,Справочники!$K$6:$L$13,2,0),K111)</f>
        <v>Воронеж</v>
      </c>
    </row>
    <row r="112" ht="15" customHeight="1">
      <c r="A112" s="10">
        <v>110</v>
      </c>
      <c r="B112" s="11" t="str">
        <f>RAW_Клиенты!A111</f>
        <v>C0110</v>
      </c>
      <c r="C112" s="11" t="str">
        <f>RAW_Клиенты!B111</f>
        <v xml:space="preserve">Федотов Илья Степанович</v>
      </c>
      <c r="D112" s="11" t="str">
        <f>RAW_Клиенты!C111</f>
        <v>18.06.1995</v>
      </c>
      <c r="E112" s="11" t="str">
        <f>RAW_Клиенты!D111</f>
        <v>8-903-234-56-78</v>
      </c>
      <c r="F112" s="11" t="str">
        <f>RAW_Клиенты!E111</f>
        <v>fedotov@yandex</v>
      </c>
      <c r="G112" s="11" t="str">
        <f>RAW_Клиенты!F111</f>
        <v xml:space="preserve">Нижний Новгород</v>
      </c>
      <c r="H112" s="11" t="str">
        <f>RAW_Клиенты!G111</f>
        <v>2025-01-15</v>
      </c>
      <c r="I112" s="12" t="str">
        <f t="shared" si="346"/>
        <v>89032345678</v>
      </c>
      <c r="J112" s="12" t="str">
        <f t="shared" si="347"/>
        <v>fedotov@yandex</v>
      </c>
      <c r="K112" s="12" t="str">
        <f t="shared" si="348"/>
        <v xml:space="preserve">Нижний Новгород</v>
      </c>
      <c r="L112" s="13" t="str">
        <f t="shared" si="349"/>
        <v>C0110</v>
      </c>
      <c r="M112" s="13" t="str">
        <f t="shared" si="350"/>
        <v xml:space="preserve">Федотов Илья Степанович</v>
      </c>
      <c r="N112" s="13" t="str">
        <f t="shared" si="351"/>
        <v>OK</v>
      </c>
      <c r="O112" s="19">
        <f t="shared" si="352"/>
        <v>34868</v>
      </c>
      <c r="P112" s="19">
        <f t="shared" si="353"/>
        <v>45672</v>
      </c>
      <c r="Q112" s="13">
        <f t="shared" ca="1" si="354"/>
        <v>31</v>
      </c>
      <c r="R112" s="13" t="str">
        <f t="shared" si="355"/>
        <v>OK</v>
      </c>
      <c r="S112" s="13" t="str">
        <f t="shared" si="356"/>
        <v xml:space="preserve">+7 (903) 234-56-78</v>
      </c>
      <c r="T112" s="13" t="str">
        <f t="shared" si="357"/>
        <v>fedotov@yandex</v>
      </c>
      <c r="U112" s="18" t="str">
        <f t="shared" si="358"/>
        <v xml:space="preserve">Ошибка Email</v>
      </c>
      <c r="V112" s="13" t="str">
        <f>IFERROR(VLOOKUP(K112,Справочники!$K$6:$L$13,2,0),K112)</f>
        <v xml:space="preserve">Нижний Новгород</v>
      </c>
    </row>
    <row r="113" ht="15" customHeight="1">
      <c r="A113" s="10">
        <v>111</v>
      </c>
      <c r="B113" s="11" t="str">
        <f>RAW_Клиенты!A112</f>
        <v>C0111</v>
      </c>
      <c r="C113" s="11" t="str">
        <f>RAW_Клиенты!B112</f>
        <v xml:space="preserve">Захарова Елизавета Максимовна</v>
      </c>
      <c r="D113" s="11" t="str">
        <f>RAW_Клиенты!C112</f>
        <v>27.02.1971</v>
      </c>
      <c r="E113" s="11" t="str">
        <f>RAW_Клиенты!D112</f>
        <v xml:space="preserve">8 903 345 67 89</v>
      </c>
      <c r="F113" s="11" t="str">
        <f>RAW_Клиенты!E112</f>
        <v>zaharova@gmail</v>
      </c>
      <c r="G113" s="11" t="str">
        <f>RAW_Клиенты!F112</f>
        <v>Новосибирск</v>
      </c>
      <c r="H113" s="11" t="str">
        <f>RAW_Клиенты!G112</f>
        <v>15.01.2025</v>
      </c>
      <c r="I113" s="12" t="str">
        <f t="shared" si="346"/>
        <v>89033456789</v>
      </c>
      <c r="J113" s="12" t="str">
        <f t="shared" si="347"/>
        <v>zaharova@gmail</v>
      </c>
      <c r="K113" s="12" t="str">
        <f t="shared" si="348"/>
        <v>Новосибирск</v>
      </c>
      <c r="L113" s="13" t="str">
        <f t="shared" si="349"/>
        <v>C0111</v>
      </c>
      <c r="M113" s="13" t="str">
        <f t="shared" si="350"/>
        <v xml:space="preserve">Захарова Елизавета Максимовна</v>
      </c>
      <c r="N113" s="13" t="str">
        <f t="shared" si="351"/>
        <v>OK</v>
      </c>
      <c r="O113" s="19">
        <f t="shared" si="352"/>
        <v>25991</v>
      </c>
      <c r="P113" s="19">
        <f t="shared" si="353"/>
        <v>45672</v>
      </c>
      <c r="Q113" s="13">
        <f t="shared" ca="1" si="354"/>
        <v>55</v>
      </c>
      <c r="R113" s="13" t="str">
        <f t="shared" si="355"/>
        <v>OK</v>
      </c>
      <c r="S113" s="13" t="str">
        <f t="shared" si="356"/>
        <v xml:space="preserve">+7 (903) 345-67-89</v>
      </c>
      <c r="T113" s="13" t="str">
        <f t="shared" si="357"/>
        <v>zaharova@gmail</v>
      </c>
      <c r="U113" s="18" t="str">
        <f t="shared" si="358"/>
        <v xml:space="preserve">Ошибка Email</v>
      </c>
      <c r="V113" s="13" t="str">
        <f>IFERROR(VLOOKUP(K113,Справочники!$K$6:$L$13,2,0),K113)</f>
        <v>Новосибирск</v>
      </c>
    </row>
    <row r="114" ht="15" customHeight="1">
      <c r="A114" s="10">
        <v>112</v>
      </c>
      <c r="B114" s="11" t="str">
        <f>RAW_Клиенты!A113</f>
        <v>C0112</v>
      </c>
      <c r="C114" s="11" t="str">
        <f>RAW_Клиенты!B113</f>
        <v xml:space="preserve">Беляева Мария Сергеевна</v>
      </c>
      <c r="D114" s="11" t="str">
        <f>RAW_Клиенты!C113</f>
        <v>09.11.1984</v>
      </c>
      <c r="E114" s="11" t="str">
        <f>RAW_Клиенты!D113</f>
        <v>+79033456789</v>
      </c>
      <c r="F114" s="11" t="str">
        <f>RAW_Клиенты!E113</f>
        <v>belyaeva@mail</v>
      </c>
      <c r="G114" s="11" t="str">
        <f>RAW_Клиенты!F113</f>
        <v>Екатеринбург</v>
      </c>
      <c r="H114" s="11" t="str">
        <f>RAW_Клиенты!G113</f>
        <v>01.02.2025</v>
      </c>
      <c r="I114" s="12" t="str">
        <f t="shared" si="346"/>
        <v>79033456789</v>
      </c>
      <c r="J114" s="12" t="str">
        <f t="shared" si="347"/>
        <v>belyaeva@mail</v>
      </c>
      <c r="K114" s="12" t="str">
        <f t="shared" si="348"/>
        <v>Екатеринбург</v>
      </c>
      <c r="L114" s="13" t="str">
        <f t="shared" si="349"/>
        <v>C0112</v>
      </c>
      <c r="M114" s="13" t="str">
        <f t="shared" si="350"/>
        <v xml:space="preserve">Беляева Мария Сергеевна</v>
      </c>
      <c r="N114" s="13" t="str">
        <f t="shared" si="351"/>
        <v>OK</v>
      </c>
      <c r="O114" s="19">
        <f t="shared" si="352"/>
        <v>30995</v>
      </c>
      <c r="P114" s="19">
        <f t="shared" si="353"/>
        <v>45689</v>
      </c>
      <c r="Q114" s="13">
        <f t="shared" ca="1" si="354"/>
        <v>41</v>
      </c>
      <c r="R114" s="13" t="str">
        <f t="shared" si="355"/>
        <v>OK</v>
      </c>
      <c r="S114" s="13" t="str">
        <f t="shared" si="356"/>
        <v xml:space="preserve">+7 (903) 345-67-89</v>
      </c>
      <c r="T114" s="13" t="str">
        <f t="shared" si="357"/>
        <v>belyaeva@mail</v>
      </c>
      <c r="U114" s="18" t="str">
        <f t="shared" si="358"/>
        <v xml:space="preserve">Ошибка Email</v>
      </c>
      <c r="V114" s="13" t="str">
        <f>IFERROR(VLOOKUP(K114,Справочники!$K$6:$L$13,2,0),K114)</f>
        <v>Екатеринбург</v>
      </c>
    </row>
    <row r="115" ht="15" customHeight="1">
      <c r="A115" s="10">
        <v>113</v>
      </c>
      <c r="B115" s="11" t="str">
        <f>RAW_Клиенты!A114</f>
        <v>C0113</v>
      </c>
      <c r="C115" s="11" t="str">
        <f>RAW_Клиенты!B114</f>
        <v xml:space="preserve">Новиков Петр Дмитриевич</v>
      </c>
      <c r="D115" s="11" t="str">
        <f>RAW_Клиенты!C114</f>
        <v>15.07.1992</v>
      </c>
      <c r="E115" s="11" t="str">
        <f>RAW_Клиенты!D114</f>
        <v>8-903-345-67-89</v>
      </c>
      <c r="F115" s="11" t="str">
        <f>RAW_Клиенты!E114</f>
        <v>novikov@yandex</v>
      </c>
      <c r="G115" s="11" t="str">
        <f>RAW_Клиенты!F114</f>
        <v>Казань</v>
      </c>
      <c r="H115" s="11" t="str">
        <f>RAW_Клиенты!G114</f>
        <v>2025-02-10</v>
      </c>
      <c r="I115" s="12" t="str">
        <f t="shared" si="346"/>
        <v>89033456789</v>
      </c>
      <c r="J115" s="12" t="str">
        <f t="shared" si="347"/>
        <v>novikov@yandex</v>
      </c>
      <c r="K115" s="12" t="str">
        <f t="shared" si="348"/>
        <v>Казань</v>
      </c>
      <c r="L115" s="13" t="str">
        <f t="shared" si="349"/>
        <v>C0113</v>
      </c>
      <c r="M115" s="13" t="str">
        <f t="shared" si="350"/>
        <v xml:space="preserve">Новиков Петр Дмитриевич</v>
      </c>
      <c r="N115" s="13" t="str">
        <f t="shared" si="351"/>
        <v>OK</v>
      </c>
      <c r="O115" s="19">
        <f t="shared" si="352"/>
        <v>33800</v>
      </c>
      <c r="P115" s="19">
        <f t="shared" si="353"/>
        <v>45698</v>
      </c>
      <c r="Q115" s="13">
        <f t="shared" ca="1" si="354"/>
        <v>34</v>
      </c>
      <c r="R115" s="13" t="str">
        <f t="shared" si="355"/>
        <v>OK</v>
      </c>
      <c r="S115" s="13" t="str">
        <f t="shared" si="356"/>
        <v xml:space="preserve">+7 (903) 345-67-89</v>
      </c>
      <c r="T115" s="13" t="str">
        <f t="shared" si="357"/>
        <v>novikov@yandex</v>
      </c>
      <c r="U115" s="18" t="str">
        <f t="shared" si="358"/>
        <v xml:space="preserve">Ошибка Email</v>
      </c>
      <c r="V115" s="13" t="str">
        <f>IFERROR(VLOOKUP(K115,Справочники!$K$6:$L$13,2,0),K115)</f>
        <v>Казань</v>
      </c>
    </row>
    <row r="116" ht="15" customHeight="1">
      <c r="A116" s="10">
        <v>114</v>
      </c>
      <c r="B116" s="11" t="str">
        <f>RAW_Клиенты!A115</f>
        <v>C0114</v>
      </c>
      <c r="C116" s="11" t="str">
        <f>RAW_Клиенты!B115</f>
        <v xml:space="preserve">Осипова Ксения Игоревна</v>
      </c>
      <c r="D116" s="11" t="str">
        <f>RAW_Клиенты!C115</f>
        <v>30.04.1977</v>
      </c>
      <c r="E116" s="11" t="str">
        <f>RAW_Клиенты!D115</f>
        <v xml:space="preserve">8 903 456 78 90</v>
      </c>
      <c r="F116" s="11" t="str">
        <f>RAW_Клиенты!E115</f>
        <v>osipova@gmail</v>
      </c>
      <c r="G116" s="11" t="str">
        <f>RAW_Клиенты!F115</f>
        <v>Самара</v>
      </c>
      <c r="H116" s="11" t="str">
        <f>RAW_Клиенты!G115</f>
        <v>10.02.2025</v>
      </c>
      <c r="I116" s="12" t="str">
        <f t="shared" si="346"/>
        <v>89034567890</v>
      </c>
      <c r="J116" s="12" t="str">
        <f t="shared" si="347"/>
        <v>osipova@gmail</v>
      </c>
      <c r="K116" s="12" t="str">
        <f t="shared" si="348"/>
        <v>Самара</v>
      </c>
      <c r="L116" s="13" t="str">
        <f t="shared" si="349"/>
        <v>C0114</v>
      </c>
      <c r="M116" s="13" t="str">
        <f t="shared" si="350"/>
        <v xml:space="preserve">Осипова Ксения Игоревна</v>
      </c>
      <c r="N116" s="13" t="str">
        <f t="shared" si="351"/>
        <v>OK</v>
      </c>
      <c r="O116" s="19">
        <f t="shared" si="352"/>
        <v>28245</v>
      </c>
      <c r="P116" s="19">
        <f t="shared" si="353"/>
        <v>45698</v>
      </c>
      <c r="Q116" s="13">
        <f t="shared" ca="1" si="354"/>
        <v>49</v>
      </c>
      <c r="R116" s="13" t="str">
        <f t="shared" si="355"/>
        <v>OK</v>
      </c>
      <c r="S116" s="13" t="str">
        <f t="shared" si="356"/>
        <v xml:space="preserve">+7 (903) 456-78-90</v>
      </c>
      <c r="T116" s="13" t="str">
        <f t="shared" si="357"/>
        <v>osipova@gmail</v>
      </c>
      <c r="U116" s="18" t="str">
        <f t="shared" si="358"/>
        <v xml:space="preserve">Ошибка Email</v>
      </c>
      <c r="V116" s="13" t="str">
        <f>IFERROR(VLOOKUP(K116,Справочники!$K$6:$L$13,2,0),K116)</f>
        <v>Самара</v>
      </c>
    </row>
    <row r="117" ht="15" customHeight="1">
      <c r="A117" s="10">
        <v>115</v>
      </c>
      <c r="B117" s="11" t="str">
        <f>RAW_Клиенты!A116</f>
        <v>C0115</v>
      </c>
      <c r="C117" s="11" t="str">
        <f>RAW_Клиенты!B116</f>
        <v xml:space="preserve">Климов Алексей Сергеевич</v>
      </c>
      <c r="D117" s="11" t="str">
        <f>RAW_Клиенты!C116</f>
        <v>23.12.1989</v>
      </c>
      <c r="E117" s="11" t="str">
        <f>RAW_Клиенты!D116</f>
        <v>+79034567890</v>
      </c>
      <c r="F117" s="11" t="str">
        <f>RAW_Клиенты!E116</f>
        <v>klimov@mail</v>
      </c>
      <c r="G117" s="11" t="str">
        <f>RAW_Клиенты!F116</f>
        <v>Челябинск</v>
      </c>
      <c r="H117" s="11" t="str">
        <f>RAW_Клиенты!G116</f>
        <v>01.03.2025</v>
      </c>
      <c r="I117" s="12" t="str">
        <f t="shared" si="346"/>
        <v>79034567890</v>
      </c>
      <c r="J117" s="12" t="str">
        <f t="shared" si="347"/>
        <v>klimov@mail</v>
      </c>
      <c r="K117" s="12" t="str">
        <f t="shared" si="348"/>
        <v>Челябинск</v>
      </c>
      <c r="L117" s="13" t="str">
        <f t="shared" si="349"/>
        <v>C0115</v>
      </c>
      <c r="M117" s="13" t="str">
        <f t="shared" si="350"/>
        <v xml:space="preserve">Климов Алексей Сергеевич</v>
      </c>
      <c r="N117" s="13" t="str">
        <f t="shared" si="351"/>
        <v>OK</v>
      </c>
      <c r="O117" s="19">
        <f t="shared" si="352"/>
        <v>32865</v>
      </c>
      <c r="P117" s="19">
        <f t="shared" si="353"/>
        <v>45717</v>
      </c>
      <c r="Q117" s="13">
        <f t="shared" ca="1" si="354"/>
        <v>36</v>
      </c>
      <c r="R117" s="13" t="str">
        <f t="shared" si="355"/>
        <v>OK</v>
      </c>
      <c r="S117" s="13" t="str">
        <f t="shared" si="356"/>
        <v xml:space="preserve">+7 (903) 456-78-90</v>
      </c>
      <c r="T117" s="13" t="str">
        <f t="shared" si="357"/>
        <v>klimov@mail</v>
      </c>
      <c r="U117" s="18" t="str">
        <f t="shared" si="358"/>
        <v xml:space="preserve">Ошибка Email</v>
      </c>
      <c r="V117" s="13" t="str">
        <f>IFERROR(VLOOKUP(K117,Справочники!$K$6:$L$13,2,0),K117)</f>
        <v>Челябинск</v>
      </c>
    </row>
    <row r="118" ht="15" customHeight="1">
      <c r="A118" s="10">
        <v>116</v>
      </c>
      <c r="B118" s="11" t="str">
        <f>RAW_Клиенты!A117</f>
        <v>C0116</v>
      </c>
      <c r="C118" s="11" t="str">
        <f>RAW_Клиенты!B117</f>
        <v xml:space="preserve">Шмидт Елена Викторовна</v>
      </c>
      <c r="D118" s="11" t="str">
        <f>RAW_Клиенты!C117</f>
        <v>06.08.1974</v>
      </c>
      <c r="E118" s="11" t="str">
        <f>RAW_Клиенты!D117</f>
        <v>8-903-456-78-90</v>
      </c>
      <c r="F118" s="11" t="str">
        <f>RAW_Клиенты!E117</f>
        <v>shmidt@yandex</v>
      </c>
      <c r="G118" s="11" t="str">
        <f>RAW_Клиенты!F117</f>
        <v>Омск</v>
      </c>
      <c r="H118" s="11" t="str">
        <f>RAW_Клиенты!G117</f>
        <v>2025-03-15</v>
      </c>
      <c r="I118" s="12" t="str">
        <f t="shared" si="346"/>
        <v>89034567890</v>
      </c>
      <c r="J118" s="12" t="str">
        <f t="shared" si="347"/>
        <v>shmidt@yandex</v>
      </c>
      <c r="K118" s="12" t="str">
        <f t="shared" si="348"/>
        <v>Омск</v>
      </c>
      <c r="L118" s="13" t="str">
        <f t="shared" si="349"/>
        <v>C0116</v>
      </c>
      <c r="M118" s="13" t="str">
        <f t="shared" si="350"/>
        <v xml:space="preserve">Шмидт Елена Викторовна</v>
      </c>
      <c r="N118" s="13" t="str">
        <f t="shared" si="351"/>
        <v>OK</v>
      </c>
      <c r="O118" s="19">
        <f t="shared" si="352"/>
        <v>27247</v>
      </c>
      <c r="P118" s="19">
        <f t="shared" si="353"/>
        <v>45731</v>
      </c>
      <c r="Q118" s="13">
        <f t="shared" ca="1" si="354"/>
        <v>52</v>
      </c>
      <c r="R118" s="13" t="str">
        <f t="shared" si="355"/>
        <v>OK</v>
      </c>
      <c r="S118" s="13" t="str">
        <f t="shared" si="356"/>
        <v xml:space="preserve">+7 (903) 456-78-90</v>
      </c>
      <c r="T118" s="13" t="str">
        <f t="shared" si="357"/>
        <v>shmidt@yandex</v>
      </c>
      <c r="U118" s="18" t="str">
        <f t="shared" si="358"/>
        <v xml:space="preserve">Ошибка Email</v>
      </c>
      <c r="V118" s="13" t="str">
        <f>IFERROR(VLOOKUP(K118,Справочники!$K$6:$L$13,2,0),K118)</f>
        <v>Омск</v>
      </c>
    </row>
    <row r="119" ht="15" customHeight="1">
      <c r="A119" s="10">
        <v>117</v>
      </c>
      <c r="B119" s="11" t="str">
        <f>RAW_Клиенты!A118</f>
        <v>C0117</v>
      </c>
      <c r="C119" s="11" t="str">
        <f>RAW_Клиенты!B118</f>
        <v xml:space="preserve">Золотарева Людмила Петровна</v>
      </c>
      <c r="D119" s="11" t="str">
        <f>RAW_Клиенты!C118</f>
        <v>19.01.1986</v>
      </c>
      <c r="E119" s="11" t="str">
        <f>RAW_Клиенты!D118</f>
        <v xml:space="preserve">8 903 567 89 01</v>
      </c>
      <c r="F119" s="11" t="str">
        <f>RAW_Клиенты!E118</f>
        <v>zolotareva@gmail</v>
      </c>
      <c r="G119" s="11" t="str">
        <f>RAW_Клиенты!F118</f>
        <v>Ростов-на-Дону</v>
      </c>
      <c r="H119" s="11" t="str">
        <f>RAW_Клиенты!G118</f>
        <v>15.03.2025</v>
      </c>
      <c r="I119" s="12" t="str">
        <f t="shared" si="346"/>
        <v>89035678901</v>
      </c>
      <c r="J119" s="12" t="str">
        <f t="shared" si="347"/>
        <v>zolotareva@gmail</v>
      </c>
      <c r="K119" s="12" t="str">
        <f t="shared" si="348"/>
        <v>Ростов-на-Дону</v>
      </c>
      <c r="L119" s="13" t="str">
        <f t="shared" si="349"/>
        <v>C0117</v>
      </c>
      <c r="M119" s="13" t="str">
        <f t="shared" si="350"/>
        <v xml:space="preserve">Золотарева Людмила Петровна</v>
      </c>
      <c r="N119" s="13" t="str">
        <f t="shared" si="351"/>
        <v>OK</v>
      </c>
      <c r="O119" s="19">
        <f t="shared" si="352"/>
        <v>31431</v>
      </c>
      <c r="P119" s="19">
        <f t="shared" si="353"/>
        <v>45731</v>
      </c>
      <c r="Q119" s="13">
        <f t="shared" ca="1" si="354"/>
        <v>40</v>
      </c>
      <c r="R119" s="13" t="str">
        <f t="shared" si="355"/>
        <v>OK</v>
      </c>
      <c r="S119" s="13" t="str">
        <f t="shared" si="356"/>
        <v xml:space="preserve">+7 (903) 567-89-01</v>
      </c>
      <c r="T119" s="13" t="str">
        <f t="shared" si="357"/>
        <v>zolotareva@gmail</v>
      </c>
      <c r="U119" s="18" t="str">
        <f t="shared" si="358"/>
        <v xml:space="preserve">Ошибка Email</v>
      </c>
      <c r="V119" s="13" t="str">
        <f>IFERROR(VLOOKUP(K119,Справочники!$K$6:$L$13,2,0),K119)</f>
        <v>Ростов-на-Дону</v>
      </c>
    </row>
    <row r="120" ht="15" customHeight="1">
      <c r="A120" s="10">
        <v>118</v>
      </c>
      <c r="B120" s="11" t="str">
        <f>RAW_Клиенты!A119</f>
        <v>C0118</v>
      </c>
      <c r="C120" s="11" t="str">
        <f>RAW_Клиенты!B119</f>
        <v xml:space="preserve">Субботин Владислав Романович</v>
      </c>
      <c r="D120" s="11" t="str">
        <f>RAW_Клиенты!C119</f>
        <v>02.10.1993</v>
      </c>
      <c r="E120" s="11" t="str">
        <f>RAW_Клиенты!D119</f>
        <v>+79035678901</v>
      </c>
      <c r="F120" s="11" t="str">
        <f>RAW_Клиенты!E119</f>
        <v>subbotin@mail</v>
      </c>
      <c r="G120" s="11" t="str">
        <f>RAW_Клиенты!F119</f>
        <v>Уфа</v>
      </c>
      <c r="H120" s="11" t="str">
        <f>RAW_Клиенты!G119</f>
        <v>01.04.2025</v>
      </c>
      <c r="I120" s="12" t="str">
        <f t="shared" si="346"/>
        <v>79035678901</v>
      </c>
      <c r="J120" s="12" t="str">
        <f t="shared" si="347"/>
        <v>subbotin@mail</v>
      </c>
      <c r="K120" s="12" t="str">
        <f t="shared" si="348"/>
        <v>Уфа</v>
      </c>
      <c r="L120" s="13" t="str">
        <f t="shared" si="349"/>
        <v>C0118</v>
      </c>
      <c r="M120" s="13" t="str">
        <f t="shared" si="350"/>
        <v xml:space="preserve">Субботин Владислав Романович</v>
      </c>
      <c r="N120" s="13" t="str">
        <f t="shared" si="351"/>
        <v>OK</v>
      </c>
      <c r="O120" s="19">
        <f t="shared" si="352"/>
        <v>34244</v>
      </c>
      <c r="P120" s="19">
        <f t="shared" si="353"/>
        <v>45748</v>
      </c>
      <c r="Q120" s="13">
        <f t="shared" ca="1" si="354"/>
        <v>32</v>
      </c>
      <c r="R120" s="13" t="str">
        <f t="shared" si="355"/>
        <v>OK</v>
      </c>
      <c r="S120" s="13" t="str">
        <f t="shared" si="356"/>
        <v xml:space="preserve">+7 (903) 567-89-01</v>
      </c>
      <c r="T120" s="13" t="str">
        <f t="shared" si="357"/>
        <v>subbotin@mail</v>
      </c>
      <c r="U120" s="18" t="str">
        <f t="shared" si="358"/>
        <v xml:space="preserve">Ошибка Email</v>
      </c>
      <c r="V120" s="13" t="str">
        <f>IFERROR(VLOOKUP(K120,Справочники!$K$6:$L$13,2,0),K120)</f>
        <v>Уфа</v>
      </c>
    </row>
    <row r="121" ht="15" customHeight="1">
      <c r="A121" s="10">
        <v>119</v>
      </c>
      <c r="B121" s="11" t="str">
        <f>RAW_Клиенты!A120</f>
        <v>C0119</v>
      </c>
      <c r="C121" s="11" t="str">
        <f>RAW_Клиенты!B120</f>
        <v xml:space="preserve">Карасев Арсений Николаевич</v>
      </c>
      <c r="D121" s="11" t="str">
        <f>RAW_Клиенты!C120</f>
        <v>14.05.1981</v>
      </c>
      <c r="E121" s="11" t="str">
        <f>RAW_Клиенты!D120</f>
        <v>8-903-567-89-01</v>
      </c>
      <c r="F121" s="11" t="str">
        <f>RAW_Клиенты!E120</f>
        <v>karasev@yandex</v>
      </c>
      <c r="G121" s="11" t="str">
        <f>RAW_Клиенты!F120</f>
        <v>Красноярск</v>
      </c>
      <c r="H121" s="11" t="str">
        <f>RAW_Клиенты!G120</f>
        <v>2025-04-10</v>
      </c>
      <c r="I121" s="12" t="str">
        <f t="shared" si="346"/>
        <v>89035678901</v>
      </c>
      <c r="J121" s="12" t="str">
        <f t="shared" si="347"/>
        <v>karasev@yandex</v>
      </c>
      <c r="K121" s="12" t="str">
        <f t="shared" si="348"/>
        <v>Красноярск</v>
      </c>
      <c r="L121" s="13" t="str">
        <f t="shared" si="349"/>
        <v>C0119</v>
      </c>
      <c r="M121" s="13" t="str">
        <f t="shared" si="350"/>
        <v xml:space="preserve">Карасев Арсений Николаевич</v>
      </c>
      <c r="N121" s="13" t="str">
        <f t="shared" si="351"/>
        <v>OK</v>
      </c>
      <c r="O121" s="19">
        <f t="shared" si="352"/>
        <v>29720</v>
      </c>
      <c r="P121" s="19">
        <f t="shared" si="353"/>
        <v>45757</v>
      </c>
      <c r="Q121" s="13">
        <f t="shared" ca="1" si="354"/>
        <v>45</v>
      </c>
      <c r="R121" s="13" t="str">
        <f t="shared" si="355"/>
        <v>OK</v>
      </c>
      <c r="S121" s="13" t="str">
        <f t="shared" si="356"/>
        <v xml:space="preserve">+7 (903) 567-89-01</v>
      </c>
      <c r="T121" s="13" t="str">
        <f t="shared" si="357"/>
        <v>karasev@yandex</v>
      </c>
      <c r="U121" s="18" t="str">
        <f t="shared" si="358"/>
        <v xml:space="preserve">Ошибка Email</v>
      </c>
      <c r="V121" s="13" t="str">
        <f>IFERROR(VLOOKUP(K121,Справочники!$K$6:$L$13,2,0),K121)</f>
        <v>Красноярск</v>
      </c>
    </row>
    <row r="122" ht="15" customHeight="1">
      <c r="A122" s="10">
        <v>120</v>
      </c>
      <c r="B122" s="11" t="str">
        <f>RAW_Клиенты!A121</f>
        <v>C0120</v>
      </c>
      <c r="C122" s="11" t="str">
        <f>RAW_Клиенты!B121</f>
        <v xml:space="preserve">Шаповалова Валерия Андреевна</v>
      </c>
      <c r="D122" s="11" t="str">
        <f>RAW_Клиенты!C121</f>
        <v>08.12.1970</v>
      </c>
      <c r="E122" s="11" t="str">
        <f>RAW_Клиенты!D121</f>
        <v xml:space="preserve">8 903 678 90 12</v>
      </c>
      <c r="F122" s="11" t="str">
        <f>RAW_Клиенты!E121</f>
        <v>shapovalova@gmail</v>
      </c>
      <c r="G122" s="11" t="str">
        <f>RAW_Клиенты!F121</f>
        <v>Волгоград</v>
      </c>
      <c r="H122" s="11" t="str">
        <f>RAW_Клиенты!G121</f>
        <v>10.04.2025</v>
      </c>
      <c r="I122" s="12" t="str">
        <f t="shared" si="346"/>
        <v>89036789012</v>
      </c>
      <c r="J122" s="12" t="str">
        <f t="shared" si="347"/>
        <v>shapovalova@gmail</v>
      </c>
      <c r="K122" s="12" t="str">
        <f t="shared" si="348"/>
        <v>Волгоград</v>
      </c>
      <c r="L122" s="13" t="str">
        <f t="shared" si="349"/>
        <v>C0120</v>
      </c>
      <c r="M122" s="13" t="str">
        <f t="shared" si="350"/>
        <v xml:space="preserve">Шаповалова Валерия Андреевна</v>
      </c>
      <c r="N122" s="13" t="str">
        <f t="shared" si="351"/>
        <v>OK</v>
      </c>
      <c r="O122" s="19">
        <f t="shared" si="352"/>
        <v>25910</v>
      </c>
      <c r="P122" s="19">
        <f t="shared" si="353"/>
        <v>45757</v>
      </c>
      <c r="Q122" s="13">
        <f t="shared" ca="1" si="354"/>
        <v>55</v>
      </c>
      <c r="R122" s="13" t="str">
        <f t="shared" si="355"/>
        <v>OK</v>
      </c>
      <c r="S122" s="13" t="str">
        <f t="shared" si="356"/>
        <v xml:space="preserve">+7 (903) 678-90-12</v>
      </c>
      <c r="T122" s="13" t="str">
        <f t="shared" si="357"/>
        <v>shapovalova@gmail</v>
      </c>
      <c r="U122" s="18" t="str">
        <f t="shared" si="358"/>
        <v xml:space="preserve">Ошибка Email</v>
      </c>
      <c r="V122" s="13" t="str">
        <f>IFERROR(VLOOKUP(K122,Справочники!$K$6:$L$13,2,0),K122)</f>
        <v>Волгоград</v>
      </c>
    </row>
    <row r="123" ht="15" customHeight="1">
      <c r="A123" s="10">
        <v>121</v>
      </c>
      <c r="B123" s="11" t="str">
        <f>RAW_Клиенты!A122</f>
        <v>C0121</v>
      </c>
      <c r="C123" s="11" t="str">
        <f>RAW_Клиенты!B122</f>
        <v xml:space="preserve">Васильев Иван Петрович</v>
      </c>
      <c r="D123" s="11" t="str">
        <f>RAW_Клиенты!C122</f>
        <v>21.03.1988</v>
      </c>
      <c r="E123" s="11" t="str">
        <f>RAW_Клиенты!D122</f>
        <v>+79036789012</v>
      </c>
      <c r="F123" s="11" t="str">
        <f>RAW_Клиенты!E122</f>
        <v>vasilev@mail</v>
      </c>
      <c r="G123" s="11" t="str">
        <f>RAW_Клиенты!F122</f>
        <v>Воронеж</v>
      </c>
      <c r="H123" s="11" t="str">
        <f>RAW_Клиенты!G122</f>
        <v>01.05.2025</v>
      </c>
      <c r="I123" s="12" t="str">
        <f t="shared" si="346"/>
        <v>79036789012</v>
      </c>
      <c r="J123" s="12" t="str">
        <f t="shared" si="347"/>
        <v>vasilev@mail</v>
      </c>
      <c r="K123" s="12" t="str">
        <f t="shared" si="348"/>
        <v>Воронеж</v>
      </c>
      <c r="L123" s="13" t="str">
        <f t="shared" si="349"/>
        <v>C0121</v>
      </c>
      <c r="M123" s="13" t="str">
        <f t="shared" si="350"/>
        <v xml:space="preserve">Васильев Иван Петрович</v>
      </c>
      <c r="N123" s="13" t="str">
        <f t="shared" si="351"/>
        <v>OK</v>
      </c>
      <c r="O123" s="19">
        <f t="shared" si="352"/>
        <v>32223</v>
      </c>
      <c r="P123" s="19">
        <f t="shared" si="353"/>
        <v>45778</v>
      </c>
      <c r="Q123" s="13">
        <f t="shared" ca="1" si="354"/>
        <v>38</v>
      </c>
      <c r="R123" s="13" t="str">
        <f t="shared" si="355"/>
        <v>OK</v>
      </c>
      <c r="S123" s="13" t="str">
        <f t="shared" si="356"/>
        <v xml:space="preserve">+7 (903) 678-90-12</v>
      </c>
      <c r="T123" s="13" t="str">
        <f t="shared" si="357"/>
        <v>vasilev@mail</v>
      </c>
      <c r="U123" s="18" t="str">
        <f t="shared" si="358"/>
        <v xml:space="preserve">Ошибка Email</v>
      </c>
      <c r="V123" s="13" t="str">
        <f>IFERROR(VLOOKUP(K123,Справочники!$K$6:$L$13,2,0),K123)</f>
        <v>Воронеж</v>
      </c>
    </row>
    <row r="124" ht="15" customHeight="1">
      <c r="A124" s="10">
        <v>122</v>
      </c>
      <c r="B124" s="11" t="str">
        <f>RAW_Клиенты!A123</f>
        <v>C0122</v>
      </c>
      <c r="C124" s="11" t="str">
        <f>RAW_Клиенты!B123</f>
        <v xml:space="preserve">Ковалев Сергей Владимирович</v>
      </c>
      <c r="D124" s="11" t="str">
        <f>RAW_Клиенты!C123</f>
        <v>17.09.1983</v>
      </c>
      <c r="E124" s="11" t="str">
        <f>RAW_Клиенты!D123</f>
        <v>8-903-678-90-12</v>
      </c>
      <c r="F124" s="11" t="str">
        <f>RAW_Клиенты!E123</f>
        <v>kovalev@yandex</v>
      </c>
      <c r="G124" s="11" t="str">
        <f>RAW_Клиенты!F123</f>
        <v>Саратов</v>
      </c>
      <c r="H124" s="11" t="str">
        <f>RAW_Клиенты!G123</f>
        <v>2025-05-15</v>
      </c>
      <c r="I124" s="12" t="str">
        <f t="shared" si="346"/>
        <v>89036789012</v>
      </c>
      <c r="J124" s="12" t="str">
        <f t="shared" si="347"/>
        <v>kovalev@yandex</v>
      </c>
      <c r="K124" s="12" t="str">
        <f t="shared" si="348"/>
        <v>Саратов</v>
      </c>
      <c r="L124" s="13" t="str">
        <f t="shared" si="349"/>
        <v>C0122</v>
      </c>
      <c r="M124" s="13" t="str">
        <f t="shared" si="350"/>
        <v xml:space="preserve">Ковалев Сергей Владимирович</v>
      </c>
      <c r="N124" s="13" t="str">
        <f t="shared" si="351"/>
        <v>OK</v>
      </c>
      <c r="O124" s="19">
        <f t="shared" si="352"/>
        <v>30576</v>
      </c>
      <c r="P124" s="19">
        <f t="shared" si="353"/>
        <v>45792</v>
      </c>
      <c r="Q124" s="13">
        <f t="shared" ca="1" si="354"/>
        <v>43</v>
      </c>
      <c r="R124" s="13" t="str">
        <f t="shared" si="355"/>
        <v>OK</v>
      </c>
      <c r="S124" s="13" t="str">
        <f t="shared" si="356"/>
        <v xml:space="preserve">+7 (903) 678-90-12</v>
      </c>
      <c r="T124" s="13" t="str">
        <f t="shared" si="357"/>
        <v>kovalev@yandex</v>
      </c>
      <c r="U124" s="18" t="str">
        <f t="shared" si="358"/>
        <v xml:space="preserve">Ошибка Email</v>
      </c>
      <c r="V124" s="13" t="str">
        <f>IFERROR(VLOOKUP(K124,Справочники!$K$6:$L$13,2,0),K124)</f>
        <v>Саратов</v>
      </c>
    </row>
    <row r="125" ht="15" customHeight="1">
      <c r="A125" s="10">
        <v>123</v>
      </c>
      <c r="B125" s="11" t="str">
        <f>RAW_Клиенты!A124</f>
        <v>C0123</v>
      </c>
      <c r="C125" s="11" t="str">
        <f>RAW_Клиенты!B124</f>
        <v xml:space="preserve">Мельникова Ольга Евгеньевна</v>
      </c>
      <c r="D125" s="11" t="str">
        <f>RAW_Клиенты!C124</f>
        <v>11.07.1991</v>
      </c>
      <c r="E125" s="11" t="str">
        <f>RAW_Клиенты!D124</f>
        <v xml:space="preserve">8 903 789 01 23</v>
      </c>
      <c r="F125" s="11" t="str">
        <f>RAW_Клиенты!E124</f>
        <v>melnikova@gmail</v>
      </c>
      <c r="G125" s="11" t="str">
        <f>RAW_Клиенты!F124</f>
        <v>Тольятти</v>
      </c>
      <c r="H125" s="11" t="str">
        <f>RAW_Клиенты!G124</f>
        <v>15.05.2025</v>
      </c>
      <c r="I125" s="12" t="str">
        <f t="shared" si="346"/>
        <v>89037890123</v>
      </c>
      <c r="J125" s="12" t="str">
        <f t="shared" si="347"/>
        <v>melnikova@gmail</v>
      </c>
      <c r="K125" s="12" t="str">
        <f t="shared" si="348"/>
        <v>Тольятти</v>
      </c>
      <c r="L125" s="13" t="str">
        <f t="shared" si="349"/>
        <v>C0123</v>
      </c>
      <c r="M125" s="13" t="str">
        <f t="shared" si="350"/>
        <v xml:space="preserve">Мельникова Ольга Евгеньевна</v>
      </c>
      <c r="N125" s="13" t="str">
        <f t="shared" si="351"/>
        <v>OK</v>
      </c>
      <c r="O125" s="19">
        <f t="shared" si="352"/>
        <v>33430</v>
      </c>
      <c r="P125" s="19">
        <f t="shared" si="353"/>
        <v>45792</v>
      </c>
      <c r="Q125" s="13">
        <f t="shared" ca="1" si="354"/>
        <v>35</v>
      </c>
      <c r="R125" s="13" t="str">
        <f t="shared" si="355"/>
        <v>OK</v>
      </c>
      <c r="S125" s="13" t="str">
        <f t="shared" si="356"/>
        <v xml:space="preserve">+7 (903) 789-01-23</v>
      </c>
      <c r="T125" s="13" t="str">
        <f t="shared" si="357"/>
        <v>melnikova@gmail</v>
      </c>
      <c r="U125" s="18" t="str">
        <f t="shared" si="358"/>
        <v xml:space="preserve">Ошибка Email</v>
      </c>
      <c r="V125" s="13" t="str">
        <f>IFERROR(VLOOKUP(K125,Справочники!$K$6:$L$13,2,0),K125)</f>
        <v>Тольятти</v>
      </c>
    </row>
    <row r="126" ht="15" customHeight="1">
      <c r="A126" s="10">
        <v>124</v>
      </c>
      <c r="B126" s="11" t="str">
        <f>RAW_Клиенты!A125</f>
        <v>C0124</v>
      </c>
      <c r="C126" s="11" t="str">
        <f>RAW_Клиенты!B125</f>
        <v xml:space="preserve">Поляков Илья Анатольевич</v>
      </c>
      <c r="D126" s="11" t="str">
        <f>RAW_Клиенты!C125</f>
        <v>28.11.1976</v>
      </c>
      <c r="E126" s="11" t="str">
        <f>RAW_Клиенты!D125</f>
        <v>+79037890123</v>
      </c>
      <c r="F126" s="11" t="str">
        <f>RAW_Клиенты!E125</f>
        <v>polyakov@mail</v>
      </c>
      <c r="G126" s="11" t="str">
        <f>RAW_Клиенты!F125</f>
        <v>Тюмень</v>
      </c>
      <c r="H126" s="11" t="str">
        <f>RAW_Клиенты!G125</f>
        <v>01.06.2025</v>
      </c>
      <c r="I126" s="12" t="str">
        <f t="shared" si="346"/>
        <v>79037890123</v>
      </c>
      <c r="J126" s="12" t="str">
        <f t="shared" si="347"/>
        <v>polyakov@mail</v>
      </c>
      <c r="K126" s="12" t="str">
        <f t="shared" si="348"/>
        <v>Тюмень</v>
      </c>
      <c r="L126" s="13" t="str">
        <f t="shared" si="349"/>
        <v>C0124</v>
      </c>
      <c r="M126" s="13" t="str">
        <f t="shared" si="350"/>
        <v xml:space="preserve">Поляков Илья Анатольевич</v>
      </c>
      <c r="N126" s="13" t="str">
        <f t="shared" si="351"/>
        <v>OK</v>
      </c>
      <c r="O126" s="19">
        <f t="shared" si="352"/>
        <v>28092</v>
      </c>
      <c r="P126" s="19">
        <f t="shared" si="353"/>
        <v>45809</v>
      </c>
      <c r="Q126" s="13">
        <f t="shared" ca="1" si="354"/>
        <v>49</v>
      </c>
      <c r="R126" s="13" t="str">
        <f t="shared" si="355"/>
        <v>OK</v>
      </c>
      <c r="S126" s="13" t="str">
        <f t="shared" si="356"/>
        <v xml:space="preserve">+7 (903) 789-01-23</v>
      </c>
      <c r="T126" s="13" t="str">
        <f t="shared" si="357"/>
        <v>polyakov@mail</v>
      </c>
      <c r="U126" s="18" t="str">
        <f t="shared" si="358"/>
        <v xml:space="preserve">Ошибка Email</v>
      </c>
      <c r="V126" s="13" t="str">
        <f>IFERROR(VLOOKUP(K126,Справочники!$K$6:$L$13,2,0),K126)</f>
        <v>Тюмень</v>
      </c>
    </row>
    <row r="127" ht="15" customHeight="1">
      <c r="A127" s="10">
        <v>125</v>
      </c>
      <c r="B127" s="11" t="str">
        <f>RAW_Клиенты!A126</f>
        <v>C0125</v>
      </c>
      <c r="C127" s="11" t="str">
        <f>RAW_Клиенты!B126</f>
        <v xml:space="preserve">Куликова Екатерина Игоревна</v>
      </c>
      <c r="D127" s="11" t="str">
        <f>RAW_Клиенты!C126</f>
        <v>04.06.1985</v>
      </c>
      <c r="E127" s="11" t="str">
        <f>RAW_Клиенты!D126</f>
        <v>8-903-789-01-23</v>
      </c>
      <c r="F127" s="11" t="str">
        <f>RAW_Клиенты!E126</f>
        <v>kulikova@yandex</v>
      </c>
      <c r="G127" s="11" t="str">
        <f>RAW_Клиенты!F126</f>
        <v>Ижевск</v>
      </c>
      <c r="H127" s="11" t="str">
        <f>RAW_Клиенты!G126</f>
        <v>2025-06-10</v>
      </c>
      <c r="I127" s="12" t="str">
        <f t="shared" si="346"/>
        <v>89037890123</v>
      </c>
      <c r="J127" s="12" t="str">
        <f t="shared" si="347"/>
        <v>kulikova@yandex</v>
      </c>
      <c r="K127" s="12" t="str">
        <f t="shared" si="348"/>
        <v>Ижевск</v>
      </c>
      <c r="L127" s="13" t="str">
        <f t="shared" si="349"/>
        <v>C0125</v>
      </c>
      <c r="M127" s="13" t="str">
        <f t="shared" si="350"/>
        <v xml:space="preserve">Куликова Екатерина Игоревна</v>
      </c>
      <c r="N127" s="13" t="str">
        <f t="shared" si="351"/>
        <v>OK</v>
      </c>
      <c r="O127" s="19">
        <f t="shared" si="352"/>
        <v>31202</v>
      </c>
      <c r="P127" s="19">
        <f t="shared" si="353"/>
        <v>45818</v>
      </c>
      <c r="Q127" s="13">
        <f t="shared" ca="1" si="354"/>
        <v>41</v>
      </c>
      <c r="R127" s="13" t="str">
        <f t="shared" si="355"/>
        <v>OK</v>
      </c>
      <c r="S127" s="13" t="str">
        <f t="shared" si="356"/>
        <v xml:space="preserve">+7 (903) 789-01-23</v>
      </c>
      <c r="T127" s="13" t="str">
        <f t="shared" si="357"/>
        <v>kulikova@yandex</v>
      </c>
      <c r="U127" s="18" t="str">
        <f t="shared" si="358"/>
        <v xml:space="preserve">Ошибка Email</v>
      </c>
      <c r="V127" s="13" t="str">
        <f>IFERROR(VLOOKUP(K127,Справочники!$K$6:$L$13,2,0),K127)</f>
        <v>Ижевск</v>
      </c>
    </row>
    <row r="128" ht="15" customHeight="1">
      <c r="A128" s="10">
        <v>126</v>
      </c>
      <c r="B128" s="11" t="str">
        <f>RAW_Клиенты!A127</f>
        <v>C0126</v>
      </c>
      <c r="C128" s="11" t="str">
        <f>RAW_Клиенты!B127</f>
        <v xml:space="preserve">Самойлов Денис Олегович</v>
      </c>
      <c r="D128" s="11" t="str">
        <f>RAW_Клиенты!C127</f>
        <v>22.02.1994</v>
      </c>
      <c r="E128" s="11" t="str">
        <f>RAW_Клиенты!D127</f>
        <v xml:space="preserve">8 903 890 12 34</v>
      </c>
      <c r="F128" s="11" t="str">
        <f>RAW_Клиенты!E127</f>
        <v>samoylov@gmail</v>
      </c>
      <c r="G128" s="11" t="str">
        <f>RAW_Клиенты!F127</f>
        <v>Барнаул</v>
      </c>
      <c r="H128" s="11" t="str">
        <f>RAW_Клиенты!G127</f>
        <v>10.06.2025</v>
      </c>
      <c r="I128" s="12" t="str">
        <f t="shared" si="346"/>
        <v>89038901234</v>
      </c>
      <c r="J128" s="12" t="str">
        <f t="shared" si="347"/>
        <v>samoylov@gmail</v>
      </c>
      <c r="K128" s="12" t="str">
        <f t="shared" si="348"/>
        <v>Барнаул</v>
      </c>
      <c r="L128" s="13" t="str">
        <f t="shared" si="349"/>
        <v>C0126</v>
      </c>
      <c r="M128" s="13" t="str">
        <f t="shared" si="350"/>
        <v xml:space="preserve">Самойлов Денис Олегович</v>
      </c>
      <c r="N128" s="13" t="str">
        <f t="shared" si="351"/>
        <v>OK</v>
      </c>
      <c r="O128" s="19">
        <f t="shared" si="352"/>
        <v>34387</v>
      </c>
      <c r="P128" s="19">
        <f t="shared" si="353"/>
        <v>45818</v>
      </c>
      <c r="Q128" s="13">
        <f t="shared" ca="1" si="354"/>
        <v>32</v>
      </c>
      <c r="R128" s="13" t="str">
        <f t="shared" si="355"/>
        <v>OK</v>
      </c>
      <c r="S128" s="13" t="str">
        <f t="shared" si="356"/>
        <v xml:space="preserve">+7 (903) 890-12-34</v>
      </c>
      <c r="T128" s="13" t="str">
        <f t="shared" si="357"/>
        <v>samoylov@gmail</v>
      </c>
      <c r="U128" s="18" t="str">
        <f t="shared" si="358"/>
        <v xml:space="preserve">Ошибка Email</v>
      </c>
      <c r="V128" s="13" t="str">
        <f>IFERROR(VLOOKUP(K128,Справочники!$K$6:$L$13,2,0),K128)</f>
        <v>Барнаул</v>
      </c>
    </row>
    <row r="129" ht="15" customHeight="1">
      <c r="A129" s="10">
        <v>127</v>
      </c>
      <c r="B129" s="11" t="str">
        <f>RAW_Клиенты!A128</f>
        <v>C0127</v>
      </c>
      <c r="C129" s="11" t="str">
        <f>RAW_Клиенты!B128</f>
        <v xml:space="preserve">Гущина Анастасия Павловна</v>
      </c>
      <c r="D129" s="11" t="str">
        <f>RAW_Клиенты!C128</f>
        <v>09.10.1978</v>
      </c>
      <c r="E129" s="11" t="str">
        <f>RAW_Клиенты!D128</f>
        <v>+79038901234</v>
      </c>
      <c r="F129" s="11" t="str">
        <f>RAW_Клиенты!E128</f>
        <v>guschina@mail</v>
      </c>
      <c r="G129" s="11" t="str">
        <f>RAW_Клиенты!F128</f>
        <v>Ульяновск</v>
      </c>
      <c r="H129" s="11" t="str">
        <f>RAW_Клиенты!G128</f>
        <v>01.07.2025</v>
      </c>
      <c r="I129" s="12" t="str">
        <f t="shared" si="346"/>
        <v>79038901234</v>
      </c>
      <c r="J129" s="12" t="str">
        <f t="shared" si="347"/>
        <v>guschina@mail</v>
      </c>
      <c r="K129" s="12" t="str">
        <f t="shared" si="348"/>
        <v>Ульяновск</v>
      </c>
      <c r="L129" s="13" t="str">
        <f t="shared" si="349"/>
        <v>C0127</v>
      </c>
      <c r="M129" s="13" t="str">
        <f t="shared" si="350"/>
        <v xml:space="preserve">Гущина Анастасия Павловна</v>
      </c>
      <c r="N129" s="13" t="str">
        <f t="shared" si="351"/>
        <v>OK</v>
      </c>
      <c r="O129" s="19">
        <f t="shared" si="352"/>
        <v>28772</v>
      </c>
      <c r="P129" s="19">
        <f t="shared" si="353"/>
        <v>45839</v>
      </c>
      <c r="Q129" s="13">
        <f t="shared" ca="1" si="354"/>
        <v>47</v>
      </c>
      <c r="R129" s="13" t="str">
        <f t="shared" si="355"/>
        <v>OK</v>
      </c>
      <c r="S129" s="13" t="str">
        <f t="shared" si="356"/>
        <v xml:space="preserve">+7 (903) 890-12-34</v>
      </c>
      <c r="T129" s="13" t="str">
        <f t="shared" si="357"/>
        <v>guschina@mail</v>
      </c>
      <c r="U129" s="18" t="str">
        <f t="shared" si="358"/>
        <v xml:space="preserve">Ошибка Email</v>
      </c>
      <c r="V129" s="13" t="str">
        <f>IFERROR(VLOOKUP(K129,Справочники!$K$6:$L$13,2,0),K129)</f>
        <v>Ульяновск</v>
      </c>
    </row>
    <row r="130" ht="15" customHeight="1">
      <c r="A130" s="10">
        <v>128</v>
      </c>
      <c r="B130" s="11" t="str">
        <f>RAW_Клиенты!A129</f>
        <v>C0128</v>
      </c>
      <c r="C130" s="11" t="str">
        <f>RAW_Клиенты!B129</f>
        <v xml:space="preserve">Кочетков Алексей Владиславович</v>
      </c>
      <c r="D130" s="11" t="str">
        <f>RAW_Клиенты!C129</f>
        <v>15.08.1982</v>
      </c>
      <c r="E130" s="11" t="str">
        <f>RAW_Клиенты!D129</f>
        <v>8-903-890-12-34</v>
      </c>
      <c r="F130" s="11" t="str">
        <f>RAW_Клиенты!E129</f>
        <v>kochetkov@yandex</v>
      </c>
      <c r="G130" s="11" t="str">
        <f>RAW_Клиенты!F129</f>
        <v>Иркутск</v>
      </c>
      <c r="H130" s="11" t="str">
        <f>RAW_Клиенты!G129</f>
        <v>2025-07-15</v>
      </c>
      <c r="I130" s="12" t="str">
        <f t="shared" si="346"/>
        <v>89038901234</v>
      </c>
      <c r="J130" s="12" t="str">
        <f t="shared" si="347"/>
        <v>kochetkov@yandex</v>
      </c>
      <c r="K130" s="12" t="str">
        <f t="shared" si="348"/>
        <v>Иркутск</v>
      </c>
      <c r="L130" s="13" t="str">
        <f t="shared" si="349"/>
        <v>C0128</v>
      </c>
      <c r="M130" s="13" t="str">
        <f t="shared" si="350"/>
        <v xml:space="preserve">Кочетков Алексей Владиславович</v>
      </c>
      <c r="N130" s="13" t="str">
        <f t="shared" si="351"/>
        <v>OK</v>
      </c>
      <c r="O130" s="19">
        <f t="shared" si="352"/>
        <v>30178</v>
      </c>
      <c r="P130" s="19">
        <f t="shared" si="353"/>
        <v>45853</v>
      </c>
      <c r="Q130" s="13">
        <f t="shared" ca="1" si="354"/>
        <v>44</v>
      </c>
      <c r="R130" s="13" t="str">
        <f t="shared" si="355"/>
        <v>OK</v>
      </c>
      <c r="S130" s="13" t="str">
        <f t="shared" si="356"/>
        <v xml:space="preserve">+7 (903) 890-12-34</v>
      </c>
      <c r="T130" s="13" t="str">
        <f t="shared" si="357"/>
        <v>kochetkov@yandex</v>
      </c>
      <c r="U130" s="18" t="str">
        <f t="shared" si="358"/>
        <v xml:space="preserve">Ошибка Email</v>
      </c>
      <c r="V130" s="13" t="str">
        <f>IFERROR(VLOOKUP(K130,Справочники!$K$6:$L$13,2,0),K130)</f>
        <v>Иркутск</v>
      </c>
    </row>
    <row r="131" ht="15" customHeight="1">
      <c r="A131" s="10">
        <v>129</v>
      </c>
      <c r="B131" s="11" t="str">
        <f>RAW_Клиенты!A130</f>
        <v>C0129</v>
      </c>
      <c r="C131" s="11" t="str">
        <f>RAW_Клиенты!B130</f>
        <v xml:space="preserve">Ерофеева Татьяна Дмитриевна</v>
      </c>
      <c r="D131" s="11" t="str">
        <f>RAW_Клиенты!C130</f>
        <v>03.05.1992</v>
      </c>
      <c r="E131" s="11" t="str">
        <f>RAW_Клиенты!D130</f>
        <v xml:space="preserve">8 903 901 23 45</v>
      </c>
      <c r="F131" s="11" t="str">
        <f>RAW_Клиенты!E130</f>
        <v>erofeeva@gmail</v>
      </c>
      <c r="G131" s="11" t="str">
        <f>RAW_Клиенты!F130</f>
        <v>Хабаровск</v>
      </c>
      <c r="H131" s="11" t="str">
        <f>RAW_Клиенты!G130</f>
        <v>15.07.2025</v>
      </c>
      <c r="I131" s="12" t="str">
        <f t="shared" si="346"/>
        <v>89039012345</v>
      </c>
      <c r="J131" s="12" t="str">
        <f t="shared" si="347"/>
        <v>erofeeva@gmail</v>
      </c>
      <c r="K131" s="12" t="str">
        <f t="shared" si="348"/>
        <v>Хабаровск</v>
      </c>
      <c r="L131" s="13" t="str">
        <f t="shared" si="349"/>
        <v>C0129</v>
      </c>
      <c r="M131" s="13" t="str">
        <f t="shared" si="350"/>
        <v xml:space="preserve">Ерофеева Татьяна Дмитриевна</v>
      </c>
      <c r="N131" s="13" t="str">
        <f t="shared" si="351"/>
        <v>OK</v>
      </c>
      <c r="O131" s="19">
        <f t="shared" si="352"/>
        <v>33727</v>
      </c>
      <c r="P131" s="19">
        <f t="shared" si="353"/>
        <v>45853</v>
      </c>
      <c r="Q131" s="13">
        <f t="shared" ca="1" si="354"/>
        <v>34</v>
      </c>
      <c r="R131" s="13" t="str">
        <f t="shared" si="355"/>
        <v>OK</v>
      </c>
      <c r="S131" s="13" t="str">
        <f t="shared" si="356"/>
        <v xml:space="preserve">+7 (903) 901-23-45</v>
      </c>
      <c r="T131" s="13" t="str">
        <f t="shared" si="357"/>
        <v>erofeeva@gmail</v>
      </c>
      <c r="U131" s="18" t="str">
        <f t="shared" si="358"/>
        <v xml:space="preserve">Ошибка Email</v>
      </c>
      <c r="V131" s="13" t="str">
        <f>IFERROR(VLOOKUP(K131,Справочники!$K$6:$L$13,2,0),K131)</f>
        <v>Хабаровск</v>
      </c>
    </row>
    <row r="132" ht="15" customHeight="1">
      <c r="A132" s="10">
        <v>130</v>
      </c>
      <c r="B132" s="11" t="str">
        <f>RAW_Клиенты!A131</f>
        <v>C0130</v>
      </c>
      <c r="C132" s="11" t="str">
        <f>RAW_Клиенты!B131</f>
        <v xml:space="preserve">Антонов Максим Юрьевич</v>
      </c>
      <c r="D132" s="11" t="str">
        <f>RAW_Клиенты!C131</f>
        <v>26.12.1973</v>
      </c>
      <c r="E132" s="11" t="str">
        <f>RAW_Клиенты!D131</f>
        <v>+79039012345</v>
      </c>
      <c r="F132" s="11" t="str">
        <f>RAW_Клиенты!E131</f>
        <v>antonov@mail</v>
      </c>
      <c r="G132" s="11" t="str">
        <f>RAW_Клиенты!F131</f>
        <v>Ярославль</v>
      </c>
      <c r="H132" s="11" t="str">
        <f>RAW_Клиенты!G131</f>
        <v>01.08.2025</v>
      </c>
      <c r="I132" s="12" t="str">
        <f t="shared" si="346"/>
        <v>79039012345</v>
      </c>
      <c r="J132" s="12" t="str">
        <f t="shared" si="347"/>
        <v>antonov@mail</v>
      </c>
      <c r="K132" s="12" t="str">
        <f t="shared" si="348"/>
        <v>Ярославль</v>
      </c>
      <c r="L132" s="13" t="str">
        <f t="shared" si="349"/>
        <v>C0130</v>
      </c>
      <c r="M132" s="13" t="str">
        <f t="shared" si="350"/>
        <v xml:space="preserve">Антонов Максим Юрьевич</v>
      </c>
      <c r="N132" s="13" t="str">
        <f t="shared" si="351"/>
        <v>OK</v>
      </c>
      <c r="O132" s="19">
        <f t="shared" si="352"/>
        <v>27024</v>
      </c>
      <c r="P132" s="19">
        <f t="shared" si="353"/>
        <v>45870</v>
      </c>
      <c r="Q132" s="13">
        <f t="shared" ca="1" si="354"/>
        <v>52</v>
      </c>
      <c r="R132" s="13" t="str">
        <f t="shared" si="355"/>
        <v>OK</v>
      </c>
      <c r="S132" s="13" t="str">
        <f t="shared" si="356"/>
        <v xml:space="preserve">+7 (903) 901-23-45</v>
      </c>
      <c r="T132" s="13" t="str">
        <f t="shared" si="357"/>
        <v>antonov@mail</v>
      </c>
      <c r="U132" s="18" t="str">
        <f t="shared" si="358"/>
        <v xml:space="preserve">Ошибка Email</v>
      </c>
      <c r="V132" s="13" t="str">
        <f>IFERROR(VLOOKUP(K132,Справочники!$K$6:$L$13,2,0),K132)</f>
        <v>Ярославль</v>
      </c>
    </row>
    <row r="133" ht="15" customHeight="1">
      <c r="A133" s="10">
        <v>131</v>
      </c>
      <c r="B133" s="11" t="str">
        <f>RAW_Клиенты!A132</f>
        <v>C0131</v>
      </c>
      <c r="C133" s="11" t="str">
        <f>RAW_Клиенты!B132</f>
        <v xml:space="preserve">Миронова Лариса Андреевна</v>
      </c>
      <c r="D133" s="11" t="str">
        <f>RAW_Клиенты!C132</f>
        <v>19.07.1987</v>
      </c>
      <c r="E133" s="11" t="str">
        <f>RAW_Клиенты!D132</f>
        <v>8-903-901-23-45</v>
      </c>
      <c r="F133" s="11" t="str">
        <f>RAW_Клиенты!E132</f>
        <v>mironova@yandex</v>
      </c>
      <c r="G133" s="11" t="str">
        <f>RAW_Клиенты!F132</f>
        <v>Владивосток</v>
      </c>
      <c r="H133" s="11" t="str">
        <f>RAW_Клиенты!G132</f>
        <v>2025-08-10</v>
      </c>
      <c r="I133" s="12" t="str">
        <f t="shared" si="346"/>
        <v>89039012345</v>
      </c>
      <c r="J133" s="12" t="str">
        <f t="shared" si="347"/>
        <v>mironova@yandex</v>
      </c>
      <c r="K133" s="12" t="str">
        <f t="shared" si="348"/>
        <v>Владивосток</v>
      </c>
      <c r="L133" s="13" t="str">
        <f t="shared" si="349"/>
        <v>C0131</v>
      </c>
      <c r="M133" s="13" t="str">
        <f t="shared" si="350"/>
        <v xml:space="preserve">Миронова Лариса Андреевна</v>
      </c>
      <c r="N133" s="13" t="str">
        <f t="shared" si="351"/>
        <v>OK</v>
      </c>
      <c r="O133" s="19">
        <f t="shared" si="352"/>
        <v>31977</v>
      </c>
      <c r="P133" s="19">
        <f t="shared" si="353"/>
        <v>45879</v>
      </c>
      <c r="Q133" s="13">
        <f t="shared" ca="1" si="354"/>
        <v>39</v>
      </c>
      <c r="R133" s="13" t="str">
        <f t="shared" si="355"/>
        <v>OK</v>
      </c>
      <c r="S133" s="13" t="str">
        <f t="shared" si="356"/>
        <v xml:space="preserve">+7 (903) 901-23-45</v>
      </c>
      <c r="T133" s="13" t="str">
        <f t="shared" si="357"/>
        <v>mironova@yandex</v>
      </c>
      <c r="U133" s="18" t="str">
        <f t="shared" si="358"/>
        <v xml:space="preserve">Ошибка Email</v>
      </c>
      <c r="V133" s="13" t="str">
        <f>IFERROR(VLOOKUP(K133,Справочники!$K$6:$L$13,2,0),K133)</f>
        <v>Владивосток</v>
      </c>
    </row>
    <row r="134" ht="15" customHeight="1">
      <c r="A134" s="10">
        <v>132</v>
      </c>
      <c r="B134" s="11" t="str">
        <f>RAW_Клиенты!A133</f>
        <v>C0132</v>
      </c>
      <c r="C134" s="11" t="str">
        <f>RAW_Клиенты!B133</f>
        <v xml:space="preserve">Климова Оксана Борисовна</v>
      </c>
      <c r="D134" s="11" t="str">
        <f>RAW_Клиенты!C133</f>
        <v>31.03.1980</v>
      </c>
      <c r="E134" s="11" t="str">
        <f>RAW_Клиенты!D133</f>
        <v xml:space="preserve">8 903 012 34 56</v>
      </c>
      <c r="F134" s="11" t="str">
        <f>RAW_Клиенты!E133</f>
        <v>klimova@gmail</v>
      </c>
      <c r="G134" s="11" t="str">
        <f>RAW_Клиенты!F133</f>
        <v>Махачкала</v>
      </c>
      <c r="H134" s="11" t="str">
        <f>RAW_Клиенты!G133</f>
        <v>10.08.2025</v>
      </c>
      <c r="I134" s="12" t="str">
        <f t="shared" si="346"/>
        <v>89030123456</v>
      </c>
      <c r="J134" s="12" t="str">
        <f t="shared" si="347"/>
        <v>klimova@gmail</v>
      </c>
      <c r="K134" s="12" t="str">
        <f t="shared" si="348"/>
        <v>Махачкала</v>
      </c>
      <c r="L134" s="13" t="str">
        <f t="shared" si="349"/>
        <v>C0132</v>
      </c>
      <c r="M134" s="13" t="str">
        <f t="shared" si="350"/>
        <v xml:space="preserve">Климова Оксана Борисовна</v>
      </c>
      <c r="N134" s="13" t="str">
        <f t="shared" si="351"/>
        <v>OK</v>
      </c>
      <c r="O134" s="19">
        <f t="shared" si="352"/>
        <v>29311</v>
      </c>
      <c r="P134" s="19">
        <f t="shared" si="353"/>
        <v>45879</v>
      </c>
      <c r="Q134" s="13">
        <f t="shared" ca="1" si="354"/>
        <v>46</v>
      </c>
      <c r="R134" s="13" t="str">
        <f t="shared" si="355"/>
        <v>OK</v>
      </c>
      <c r="S134" s="13" t="str">
        <f t="shared" si="356"/>
        <v xml:space="preserve">+7 (903) 012-34-56</v>
      </c>
      <c r="T134" s="13" t="str">
        <f t="shared" si="357"/>
        <v>klimova@gmail</v>
      </c>
      <c r="U134" s="18" t="str">
        <f t="shared" si="358"/>
        <v xml:space="preserve">Ошибка Email</v>
      </c>
      <c r="V134" s="13" t="str">
        <f>IFERROR(VLOOKUP(K134,Справочники!$K$6:$L$13,2,0),K134)</f>
        <v>Махачкала</v>
      </c>
    </row>
    <row r="135" ht="15" customHeight="1">
      <c r="A135" s="10">
        <v>133</v>
      </c>
      <c r="B135" s="11" t="str">
        <f>RAW_Клиенты!A134</f>
        <v>C0133</v>
      </c>
      <c r="C135" s="11" t="str">
        <f>RAW_Клиенты!B134</f>
        <v xml:space="preserve">Сидоренко Артем Николаевич</v>
      </c>
      <c r="D135" s="11" t="str">
        <f>RAW_Клиенты!C134</f>
        <v>12.11.1975</v>
      </c>
      <c r="E135" s="11" t="str">
        <f>RAW_Клиенты!D134</f>
        <v>+79030123456</v>
      </c>
      <c r="F135" s="11" t="str">
        <f>RAW_Клиенты!E134</f>
        <v>sidorenko@mail</v>
      </c>
      <c r="G135" s="11" t="str">
        <f>RAW_Клиенты!F134</f>
        <v>Томск</v>
      </c>
      <c r="H135" s="11" t="str">
        <f>RAW_Клиенты!G134</f>
        <v>01.09.2025</v>
      </c>
      <c r="I135" s="12" t="str">
        <f t="shared" si="346"/>
        <v>79030123456</v>
      </c>
      <c r="J135" s="12" t="str">
        <f t="shared" si="347"/>
        <v>sidorenko@mail</v>
      </c>
      <c r="K135" s="12" t="str">
        <f t="shared" si="348"/>
        <v>Томск</v>
      </c>
      <c r="L135" s="13" t="str">
        <f t="shared" si="349"/>
        <v>C0133</v>
      </c>
      <c r="M135" s="13" t="str">
        <f t="shared" si="350"/>
        <v xml:space="preserve">Сидоренко Артем Николаевич</v>
      </c>
      <c r="N135" s="13" t="str">
        <f t="shared" si="351"/>
        <v>OK</v>
      </c>
      <c r="O135" s="19">
        <f t="shared" si="352"/>
        <v>27710</v>
      </c>
      <c r="P135" s="19">
        <f t="shared" si="353"/>
        <v>45901</v>
      </c>
      <c r="Q135" s="13">
        <f t="shared" ca="1" si="354"/>
        <v>50</v>
      </c>
      <c r="R135" s="13" t="str">
        <f t="shared" si="355"/>
        <v>OK</v>
      </c>
      <c r="S135" s="13" t="str">
        <f t="shared" si="356"/>
        <v xml:space="preserve">+7 (903) 012-34-56</v>
      </c>
      <c r="T135" s="13" t="str">
        <f t="shared" si="357"/>
        <v>sidorenko@mail</v>
      </c>
      <c r="U135" s="18" t="str">
        <f t="shared" si="358"/>
        <v xml:space="preserve">Ошибка Email</v>
      </c>
      <c r="V135" s="13" t="str">
        <f>IFERROR(VLOOKUP(K135,Справочники!$K$6:$L$13,2,0),K135)</f>
        <v>Томск</v>
      </c>
    </row>
    <row r="136" ht="15" customHeight="1">
      <c r="A136" s="10">
        <v>134</v>
      </c>
      <c r="B136" s="11" t="str">
        <f>RAW_Клиенты!A135</f>
        <v>C0134</v>
      </c>
      <c r="C136" s="11" t="str">
        <f>RAW_Клиенты!B135</f>
        <v xml:space="preserve">Горбачев Глеб Ильич</v>
      </c>
      <c r="D136" s="11" t="str">
        <f>RAW_Клиенты!C135</f>
        <v>28.06.1995</v>
      </c>
      <c r="E136" s="11" t="str">
        <f>RAW_Клиенты!D135</f>
        <v>8-903-012-34-56</v>
      </c>
      <c r="F136" s="11" t="str">
        <f>RAW_Клиенты!E135</f>
        <v>gorbachev@yandex</v>
      </c>
      <c r="G136" s="11" t="str">
        <f>RAW_Клиенты!F135</f>
        <v>Оренбург</v>
      </c>
      <c r="H136" s="11" t="str">
        <f>RAW_Клиенты!G135</f>
        <v>2025-09-15</v>
      </c>
      <c r="I136" s="12" t="str">
        <f t="shared" si="346"/>
        <v>89030123456</v>
      </c>
      <c r="J136" s="12" t="str">
        <f t="shared" si="347"/>
        <v>gorbachev@yandex</v>
      </c>
      <c r="K136" s="12" t="str">
        <f t="shared" si="348"/>
        <v>Оренбург</v>
      </c>
      <c r="L136" s="13" t="str">
        <f t="shared" si="349"/>
        <v>C0134</v>
      </c>
      <c r="M136" s="13" t="str">
        <f t="shared" si="350"/>
        <v xml:space="preserve">Горбачев Глеб Ильич</v>
      </c>
      <c r="N136" s="13" t="str">
        <f t="shared" si="351"/>
        <v>OK</v>
      </c>
      <c r="O136" s="19">
        <f t="shared" si="352"/>
        <v>34878</v>
      </c>
      <c r="P136" s="19">
        <f t="shared" si="353"/>
        <v>45915</v>
      </c>
      <c r="Q136" s="13">
        <f t="shared" ca="1" si="354"/>
        <v>31</v>
      </c>
      <c r="R136" s="13" t="str">
        <f t="shared" si="355"/>
        <v>OK</v>
      </c>
      <c r="S136" s="13" t="str">
        <f t="shared" si="356"/>
        <v xml:space="preserve">+7 (903) 012-34-56</v>
      </c>
      <c r="T136" s="13" t="str">
        <f t="shared" si="357"/>
        <v>gorbachev@yandex</v>
      </c>
      <c r="U136" s="18" t="str">
        <f t="shared" si="358"/>
        <v xml:space="preserve">Ошибка Email</v>
      </c>
      <c r="V136" s="13" t="str">
        <f>IFERROR(VLOOKUP(K136,Справочники!$K$6:$L$13,2,0),K136)</f>
        <v>Оренбург</v>
      </c>
    </row>
    <row r="137" ht="15" customHeight="1">
      <c r="A137" s="10">
        <v>135</v>
      </c>
      <c r="B137" s="11" t="str">
        <f>RAW_Клиенты!A136</f>
        <v>C0135</v>
      </c>
      <c r="C137" s="11" t="str">
        <f>RAW_Клиенты!B136</f>
        <v xml:space="preserve">Михайлова Елена Станиславовна</v>
      </c>
      <c r="D137" s="11" t="str">
        <f>RAW_Клиенты!C136</f>
        <v>01.09.1984</v>
      </c>
      <c r="E137" s="11" t="str">
        <f>RAW_Клиенты!D136</f>
        <v xml:space="preserve">8 903 123 45 67</v>
      </c>
      <c r="F137" s="11" t="str">
        <f>RAW_Клиенты!E136</f>
        <v>mihailova@gmail</v>
      </c>
      <c r="G137" s="11" t="str">
        <f>RAW_Клиенты!F136</f>
        <v>Кемерово</v>
      </c>
      <c r="H137" s="11" t="str">
        <f>RAW_Клиенты!G136</f>
        <v>15.09.2025</v>
      </c>
      <c r="I137" s="12" t="str">
        <f t="shared" si="346"/>
        <v>89031234567</v>
      </c>
      <c r="J137" s="12" t="str">
        <f t="shared" si="347"/>
        <v>mihailova@gmail</v>
      </c>
      <c r="K137" s="12" t="str">
        <f t="shared" si="348"/>
        <v>Кемерово</v>
      </c>
      <c r="L137" s="13" t="str">
        <f t="shared" si="349"/>
        <v>C0135</v>
      </c>
      <c r="M137" s="13" t="str">
        <f t="shared" si="350"/>
        <v xml:space="preserve">Михайлова Елена Станиславовна</v>
      </c>
      <c r="N137" s="13" t="str">
        <f t="shared" si="351"/>
        <v>OK</v>
      </c>
      <c r="O137" s="19">
        <f t="shared" si="352"/>
        <v>30926</v>
      </c>
      <c r="P137" s="19">
        <f t="shared" si="353"/>
        <v>45915</v>
      </c>
      <c r="Q137" s="13">
        <f t="shared" ca="1" si="354"/>
        <v>42</v>
      </c>
      <c r="R137" s="13" t="str">
        <f t="shared" si="355"/>
        <v>OK</v>
      </c>
      <c r="S137" s="13" t="str">
        <f t="shared" si="356"/>
        <v xml:space="preserve">+7 (903) 123-45-67</v>
      </c>
      <c r="T137" s="13" t="str">
        <f t="shared" si="357"/>
        <v>mihailova@gmail</v>
      </c>
      <c r="U137" s="18" t="str">
        <f t="shared" si="358"/>
        <v xml:space="preserve">Ошибка Email</v>
      </c>
      <c r="V137" s="13" t="str">
        <f>IFERROR(VLOOKUP(K137,Справочники!$K$6:$L$13,2,0),K137)</f>
        <v>Кемерово</v>
      </c>
    </row>
    <row r="138" ht="15" customHeight="1">
      <c r="A138" s="10">
        <v>136</v>
      </c>
      <c r="B138" s="11" t="str">
        <f>RAW_Клиенты!A137</f>
        <v>C0136</v>
      </c>
      <c r="C138" s="11" t="str">
        <f>RAW_Клиенты!B137</f>
        <v xml:space="preserve">Сорокин Антон Викторович</v>
      </c>
      <c r="D138" s="11" t="str">
        <f>RAW_Клиенты!C137</f>
        <v>23.04.1979</v>
      </c>
      <c r="E138" s="11" t="str">
        <f>RAW_Клиенты!D137</f>
        <v>+79031234567</v>
      </c>
      <c r="F138" s="11" t="str">
        <f>RAW_Клиенты!E137</f>
        <v>sorokin@mail</v>
      </c>
      <c r="G138" s="11" t="str">
        <f>RAW_Клиенты!F137</f>
        <v>Новокузнецк</v>
      </c>
      <c r="H138" s="11" t="str">
        <f>RAW_Клиенты!G137</f>
        <v>01.10.2025</v>
      </c>
      <c r="I138" s="12" t="str">
        <f t="shared" si="346"/>
        <v>79031234567</v>
      </c>
      <c r="J138" s="12" t="str">
        <f t="shared" si="347"/>
        <v>sorokin@mail</v>
      </c>
      <c r="K138" s="12" t="str">
        <f t="shared" si="348"/>
        <v>Новокузнецк</v>
      </c>
      <c r="L138" s="13" t="str">
        <f t="shared" si="349"/>
        <v>C0136</v>
      </c>
      <c r="M138" s="13" t="str">
        <f t="shared" si="350"/>
        <v xml:space="preserve">Сорокин Антон Викторович</v>
      </c>
      <c r="N138" s="13" t="str">
        <f t="shared" si="351"/>
        <v>OK</v>
      </c>
      <c r="O138" s="19">
        <f t="shared" si="352"/>
        <v>28968</v>
      </c>
      <c r="P138" s="19">
        <f t="shared" si="353"/>
        <v>45931</v>
      </c>
      <c r="Q138" s="13">
        <f t="shared" ca="1" si="354"/>
        <v>47</v>
      </c>
      <c r="R138" s="13" t="str">
        <f t="shared" si="355"/>
        <v>OK</v>
      </c>
      <c r="S138" s="13" t="str">
        <f t="shared" si="356"/>
        <v xml:space="preserve">+7 (903) 123-45-67</v>
      </c>
      <c r="T138" s="13" t="str">
        <f t="shared" si="357"/>
        <v>sorokin@mail</v>
      </c>
      <c r="U138" s="18" t="str">
        <f t="shared" si="358"/>
        <v xml:space="preserve">Ошибка Email</v>
      </c>
      <c r="V138" s="13" t="str">
        <f>IFERROR(VLOOKUP(K138,Справочники!$K$6:$L$13,2,0),K138)</f>
        <v>Новокузнецк</v>
      </c>
    </row>
    <row r="139" ht="15" customHeight="1">
      <c r="A139" s="10">
        <v>137</v>
      </c>
      <c r="B139" s="11" t="str">
        <f>RAW_Клиенты!A138</f>
        <v>C0137</v>
      </c>
      <c r="C139" s="11" t="str">
        <f>RAW_Клиенты!B138</f>
        <v xml:space="preserve">Филиппов Юрий Игоревич</v>
      </c>
      <c r="D139" s="11" t="str">
        <f>RAW_Клиенты!C138</f>
        <v>16.12.1986</v>
      </c>
      <c r="E139" s="11" t="str">
        <f>RAW_Клиенты!D138</f>
        <v>8-903-123-45-67</v>
      </c>
      <c r="F139" s="11" t="str">
        <f>RAW_Клиенты!E138</f>
        <v>filipov@yandex</v>
      </c>
      <c r="G139" s="11" t="str">
        <f>RAW_Клиенты!F138</f>
        <v>Рязань</v>
      </c>
      <c r="H139" s="11" t="str">
        <f>RAW_Клиенты!G138</f>
        <v>2025-10-10</v>
      </c>
      <c r="I139" s="12" t="str">
        <f t="shared" si="346"/>
        <v>89031234567</v>
      </c>
      <c r="J139" s="12" t="str">
        <f t="shared" si="347"/>
        <v>filipov@yandex</v>
      </c>
      <c r="K139" s="12" t="str">
        <f t="shared" si="348"/>
        <v>Рязань</v>
      </c>
      <c r="L139" s="13" t="str">
        <f t="shared" si="349"/>
        <v>C0137</v>
      </c>
      <c r="M139" s="13" t="str">
        <f t="shared" si="350"/>
        <v xml:space="preserve">Филиппов Юрий Игоревич</v>
      </c>
      <c r="N139" s="13" t="str">
        <f t="shared" si="351"/>
        <v>OK</v>
      </c>
      <c r="O139" s="19">
        <f t="shared" si="352"/>
        <v>31762</v>
      </c>
      <c r="P139" s="19">
        <f t="shared" si="353"/>
        <v>45940</v>
      </c>
      <c r="Q139" s="13">
        <f t="shared" ca="1" si="354"/>
        <v>39</v>
      </c>
      <c r="R139" s="13" t="str">
        <f t="shared" si="355"/>
        <v>OK</v>
      </c>
      <c r="S139" s="13" t="str">
        <f t="shared" si="356"/>
        <v xml:space="preserve">+7 (903) 123-45-67</v>
      </c>
      <c r="T139" s="13" t="str">
        <f t="shared" si="357"/>
        <v>filipov@yandex</v>
      </c>
      <c r="U139" s="18" t="str">
        <f t="shared" si="358"/>
        <v xml:space="preserve">Ошибка Email</v>
      </c>
      <c r="V139" s="13" t="str">
        <f>IFERROR(VLOOKUP(K139,Справочники!$K$6:$L$13,2,0),K139)</f>
        <v>Рязань</v>
      </c>
    </row>
    <row r="140" ht="15" customHeight="1">
      <c r="A140" s="10">
        <v>138</v>
      </c>
      <c r="B140" s="11" t="str">
        <f>RAW_Клиенты!A139</f>
        <v>C0138</v>
      </c>
      <c r="C140" s="11" t="str">
        <f>RAW_Клиенты!B139</f>
        <v xml:space="preserve">Буркова Надежда Валерьевна</v>
      </c>
      <c r="D140" s="11" t="str">
        <f>RAW_Клиенты!C139</f>
        <v>08.10.1993</v>
      </c>
      <c r="E140" s="11" t="str">
        <f>RAW_Клиенты!D139</f>
        <v xml:space="preserve">8 903 234 56 78</v>
      </c>
      <c r="F140" s="11" t="str">
        <f>RAW_Клиенты!E139</f>
        <v>burkova@gmail</v>
      </c>
      <c r="G140" s="11" t="str">
        <f>RAW_Клиенты!F139</f>
        <v>Астрахань</v>
      </c>
      <c r="H140" s="11" t="str">
        <f>RAW_Клиенты!G139</f>
        <v>10.10.2025</v>
      </c>
      <c r="I140" s="12" t="str">
        <f t="shared" si="346"/>
        <v>89032345678</v>
      </c>
      <c r="J140" s="12" t="str">
        <f t="shared" si="347"/>
        <v>burkova@gmail</v>
      </c>
      <c r="K140" s="12" t="str">
        <f t="shared" si="348"/>
        <v>Астрахань</v>
      </c>
      <c r="L140" s="13" t="str">
        <f t="shared" si="349"/>
        <v>C0138</v>
      </c>
      <c r="M140" s="13" t="str">
        <f t="shared" si="350"/>
        <v xml:space="preserve">Буркова Надежда Валерьевна</v>
      </c>
      <c r="N140" s="13" t="str">
        <f t="shared" si="351"/>
        <v>OK</v>
      </c>
      <c r="O140" s="19">
        <f t="shared" si="352"/>
        <v>34250</v>
      </c>
      <c r="P140" s="19">
        <f t="shared" si="353"/>
        <v>45940</v>
      </c>
      <c r="Q140" s="13">
        <f t="shared" ca="1" si="354"/>
        <v>32</v>
      </c>
      <c r="R140" s="13" t="str">
        <f t="shared" si="355"/>
        <v>OK</v>
      </c>
      <c r="S140" s="13" t="str">
        <f t="shared" si="356"/>
        <v xml:space="preserve">+7 (903) 234-56-78</v>
      </c>
      <c r="T140" s="13" t="str">
        <f t="shared" si="357"/>
        <v>burkova@gmail</v>
      </c>
      <c r="U140" s="18" t="str">
        <f t="shared" si="358"/>
        <v xml:space="preserve">Ошибка Email</v>
      </c>
      <c r="V140" s="13" t="str">
        <f>IFERROR(VLOOKUP(K140,Справочники!$K$6:$L$13,2,0),K140)</f>
        <v>Астрахань</v>
      </c>
    </row>
    <row r="141" ht="15" customHeight="1">
      <c r="A141" s="10">
        <v>139</v>
      </c>
      <c r="B141" s="11" t="str">
        <f>RAW_Клиенты!A140</f>
        <v>C0139</v>
      </c>
      <c r="C141" s="11" t="str">
        <f>RAW_Клиенты!B140</f>
        <v xml:space="preserve">Маркова Галина Петровна</v>
      </c>
      <c r="D141" s="11" t="str">
        <f>RAW_Клиенты!C140</f>
        <v>27.05.1970</v>
      </c>
      <c r="E141" s="11" t="str">
        <f>RAW_Клиенты!D140</f>
        <v>+79032345678</v>
      </c>
      <c r="F141" s="11" t="str">
        <f>RAW_Клиенты!E140</f>
        <v>markova@mail</v>
      </c>
      <c r="G141" s="11" t="str">
        <f>RAW_Клиенты!F140</f>
        <v xml:space="preserve">Набережные Челны</v>
      </c>
      <c r="H141" s="11" t="str">
        <f>RAW_Клиенты!G140</f>
        <v>01.11.2025</v>
      </c>
      <c r="I141" s="12" t="str">
        <f t="shared" si="346"/>
        <v>79032345678</v>
      </c>
      <c r="J141" s="12" t="str">
        <f t="shared" si="347"/>
        <v>markova@mail</v>
      </c>
      <c r="K141" s="12" t="str">
        <f t="shared" si="348"/>
        <v xml:space="preserve">Набережные Челны</v>
      </c>
      <c r="L141" s="13" t="str">
        <f t="shared" si="349"/>
        <v>C0139</v>
      </c>
      <c r="M141" s="13" t="str">
        <f t="shared" si="350"/>
        <v xml:space="preserve">Маркова Галина Петровна</v>
      </c>
      <c r="N141" s="13" t="str">
        <f t="shared" si="351"/>
        <v>OK</v>
      </c>
      <c r="O141" s="19">
        <f t="shared" si="352"/>
        <v>25715</v>
      </c>
      <c r="P141" s="19">
        <f t="shared" si="353"/>
        <v>45962</v>
      </c>
      <c r="Q141" s="13">
        <f t="shared" ca="1" si="354"/>
        <v>56</v>
      </c>
      <c r="R141" s="13" t="str">
        <f t="shared" si="355"/>
        <v>OK</v>
      </c>
      <c r="S141" s="13" t="str">
        <f t="shared" si="356"/>
        <v xml:space="preserve">+7 (903) 234-56-78</v>
      </c>
      <c r="T141" s="13" t="str">
        <f t="shared" si="357"/>
        <v>markova@mail</v>
      </c>
      <c r="U141" s="18" t="str">
        <f t="shared" si="358"/>
        <v xml:space="preserve">Ошибка Email</v>
      </c>
      <c r="V141" s="13" t="str">
        <f>IFERROR(VLOOKUP(K141,Справочники!$K$6:$L$13,2,0),K141)</f>
        <v xml:space="preserve">Набережные Челны</v>
      </c>
    </row>
    <row r="142" ht="15" customHeight="1">
      <c r="A142" s="10">
        <v>140</v>
      </c>
      <c r="B142" s="11" t="str">
        <f>RAW_Клиенты!A141</f>
        <v>C0140</v>
      </c>
      <c r="C142" s="11" t="str">
        <f>RAW_Клиенты!B141</f>
        <v xml:space="preserve">Дмитриев Степан Олегович</v>
      </c>
      <c r="D142" s="11" t="str">
        <f>RAW_Клиенты!C141</f>
        <v>14.03.1988</v>
      </c>
      <c r="E142" s="11" t="str">
        <f>RAW_Клиенты!D141</f>
        <v>8-903-234-56-78</v>
      </c>
      <c r="F142" s="11" t="str">
        <f>RAW_Клиенты!E141</f>
        <v>dmitriev@yandex</v>
      </c>
      <c r="G142" s="11" t="str">
        <f>RAW_Клиенты!F141</f>
        <v>Липецк</v>
      </c>
      <c r="H142" s="11" t="str">
        <f>RAW_Клиенты!G141</f>
        <v>2025-11-15</v>
      </c>
      <c r="I142" s="12" t="str">
        <f t="shared" si="346"/>
        <v>89032345678</v>
      </c>
      <c r="J142" s="12" t="str">
        <f t="shared" si="347"/>
        <v>dmitriev@yandex</v>
      </c>
      <c r="K142" s="12" t="str">
        <f t="shared" si="348"/>
        <v>Липецк</v>
      </c>
      <c r="L142" s="13" t="str">
        <f t="shared" si="349"/>
        <v>C0140</v>
      </c>
      <c r="M142" s="13" t="str">
        <f t="shared" si="350"/>
        <v xml:space="preserve">Дмитриев Степан Олегович</v>
      </c>
      <c r="N142" s="13" t="str">
        <f t="shared" si="351"/>
        <v>OK</v>
      </c>
      <c r="O142" s="19">
        <f t="shared" si="352"/>
        <v>32216</v>
      </c>
      <c r="P142" s="19">
        <f t="shared" si="353"/>
        <v>45976</v>
      </c>
      <c r="Q142" s="13">
        <f t="shared" ca="1" si="354"/>
        <v>38</v>
      </c>
      <c r="R142" s="13" t="str">
        <f t="shared" si="355"/>
        <v>OK</v>
      </c>
      <c r="S142" s="13" t="str">
        <f t="shared" si="356"/>
        <v xml:space="preserve">+7 (903) 234-56-78</v>
      </c>
      <c r="T142" s="13" t="str">
        <f t="shared" si="357"/>
        <v>dmitriev@yandex</v>
      </c>
      <c r="U142" s="18" t="str">
        <f t="shared" si="358"/>
        <v xml:space="preserve">Ошибка Email</v>
      </c>
      <c r="V142" s="13" t="str">
        <f>IFERROR(VLOOKUP(K142,Справочники!$K$6:$L$13,2,0),K142)</f>
        <v>Липецк</v>
      </c>
    </row>
    <row r="143" ht="15" customHeight="1">
      <c r="A143" s="10">
        <v>141</v>
      </c>
      <c r="B143" s="11" t="str">
        <f>RAW_Клиенты!A142</f>
        <v>C0141</v>
      </c>
      <c r="C143" s="11" t="str">
        <f>RAW_Клиенты!B142</f>
        <v xml:space="preserve">Гришин Владислав Денисович</v>
      </c>
      <c r="D143" s="11" t="str">
        <f>RAW_Клиенты!C142</f>
        <v>20.09.1981</v>
      </c>
      <c r="E143" s="11" t="str">
        <f>RAW_Клиенты!D142</f>
        <v xml:space="preserve">8 903 345 67 89</v>
      </c>
      <c r="F143" s="11" t="str">
        <f>RAW_Клиенты!E142</f>
        <v>grishin@gmail</v>
      </c>
      <c r="G143" s="11" t="str">
        <f>RAW_Клиенты!F142</f>
        <v>Киров</v>
      </c>
      <c r="H143" s="11" t="str">
        <f>RAW_Клиенты!G142</f>
        <v>15.11.2025</v>
      </c>
      <c r="I143" s="12" t="str">
        <f t="shared" si="346"/>
        <v>89033456789</v>
      </c>
      <c r="J143" s="12" t="str">
        <f t="shared" si="347"/>
        <v>grishin@gmail</v>
      </c>
      <c r="K143" s="12" t="str">
        <f t="shared" si="348"/>
        <v>Киров</v>
      </c>
      <c r="L143" s="13" t="str">
        <f t="shared" si="349"/>
        <v>C0141</v>
      </c>
      <c r="M143" s="13" t="str">
        <f t="shared" si="350"/>
        <v xml:space="preserve">Гришин Владислав Денисович</v>
      </c>
      <c r="N143" s="13" t="str">
        <f t="shared" si="351"/>
        <v>OK</v>
      </c>
      <c r="O143" s="19">
        <f t="shared" si="352"/>
        <v>29849</v>
      </c>
      <c r="P143" s="19">
        <f t="shared" si="353"/>
        <v>45976</v>
      </c>
      <c r="Q143" s="13">
        <f t="shared" ca="1" si="354"/>
        <v>45</v>
      </c>
      <c r="R143" s="13" t="str">
        <f t="shared" si="355"/>
        <v>OK</v>
      </c>
      <c r="S143" s="13" t="str">
        <f t="shared" si="356"/>
        <v xml:space="preserve">+7 (903) 345-67-89</v>
      </c>
      <c r="T143" s="13" t="str">
        <f t="shared" si="357"/>
        <v>grishin@gmail</v>
      </c>
      <c r="U143" s="18" t="str">
        <f t="shared" si="358"/>
        <v xml:space="preserve">Ошибка Email</v>
      </c>
      <c r="V143" s="13" t="str">
        <f>IFERROR(VLOOKUP(K143,Справочники!$K$6:$L$13,2,0),K143)</f>
        <v>Киров</v>
      </c>
    </row>
    <row r="144" ht="15" customHeight="1">
      <c r="A144" s="10">
        <v>142</v>
      </c>
      <c r="B144" s="11" t="str">
        <f>RAW_Клиенты!A143</f>
        <v>C0142</v>
      </c>
      <c r="C144" s="11" t="str">
        <f>RAW_Клиенты!B143</f>
        <v xml:space="preserve">Симонова Татьяна Владимировна</v>
      </c>
      <c r="D144" s="11" t="str">
        <f>RAW_Клиенты!C143</f>
        <v>11.07.1974</v>
      </c>
      <c r="E144" s="11" t="str">
        <f>RAW_Клиенты!D143</f>
        <v>+79033456789</v>
      </c>
      <c r="F144" s="11" t="str">
        <f>RAW_Клиенты!E143</f>
        <v>simonova@mail</v>
      </c>
      <c r="G144" s="11" t="str">
        <f>RAW_Клиенты!F143</f>
        <v>Чебоксары</v>
      </c>
      <c r="H144" s="11" t="str">
        <f>RAW_Клиенты!G143</f>
        <v>01.12.2025</v>
      </c>
      <c r="I144" s="12" t="str">
        <f t="shared" si="346"/>
        <v>79033456789</v>
      </c>
      <c r="J144" s="12" t="str">
        <f t="shared" si="347"/>
        <v>simonova@mail</v>
      </c>
      <c r="K144" s="12" t="str">
        <f t="shared" si="348"/>
        <v>Чебоксары</v>
      </c>
      <c r="L144" s="13" t="str">
        <f t="shared" si="349"/>
        <v>C0142</v>
      </c>
      <c r="M144" s="13" t="str">
        <f t="shared" si="350"/>
        <v xml:space="preserve">Симонова Татьяна Владимировна</v>
      </c>
      <c r="N144" s="13" t="str">
        <f t="shared" si="351"/>
        <v>OK</v>
      </c>
      <c r="O144" s="19">
        <f t="shared" si="352"/>
        <v>27221</v>
      </c>
      <c r="P144" s="19">
        <f t="shared" si="353"/>
        <v>45992</v>
      </c>
      <c r="Q144" s="13">
        <f t="shared" ca="1" si="354"/>
        <v>52</v>
      </c>
      <c r="R144" s="13" t="str">
        <f t="shared" si="355"/>
        <v>OK</v>
      </c>
      <c r="S144" s="13" t="str">
        <f t="shared" si="356"/>
        <v xml:space="preserve">+7 (903) 345-67-89</v>
      </c>
      <c r="T144" s="13" t="str">
        <f t="shared" si="357"/>
        <v>simonova@mail</v>
      </c>
      <c r="U144" s="18" t="str">
        <f t="shared" si="358"/>
        <v xml:space="preserve">Ошибка Email</v>
      </c>
      <c r="V144" s="13" t="str">
        <f>IFERROR(VLOOKUP(K144,Справочники!$K$6:$L$13,2,0),K144)</f>
        <v>Чебоксары</v>
      </c>
    </row>
    <row r="145" ht="15" customHeight="1">
      <c r="A145" s="10">
        <v>143</v>
      </c>
      <c r="B145" s="11" t="str">
        <f>RAW_Клиенты!A144</f>
        <v>C0143</v>
      </c>
      <c r="C145" s="11" t="str">
        <f>RAW_Клиенты!B144</f>
        <v xml:space="preserve">Назаров Антон Иванович</v>
      </c>
      <c r="D145" s="11" t="str">
        <f>RAW_Клиенты!C144</f>
        <v>05.02.1992</v>
      </c>
      <c r="E145" s="11" t="str">
        <f>RAW_Клиенты!D144</f>
        <v>8-903-345-67-89</v>
      </c>
      <c r="F145" s="11" t="str">
        <f>RAW_Клиенты!E144</f>
        <v>nazarov@yandex</v>
      </c>
      <c r="G145" s="11" t="str">
        <f>RAW_Клиенты!F144</f>
        <v>Тверь</v>
      </c>
      <c r="H145" s="11" t="str">
        <f>RAW_Клиенты!G144</f>
        <v>2025-12-10</v>
      </c>
      <c r="I145" s="12" t="str">
        <f t="shared" si="346"/>
        <v>89033456789</v>
      </c>
      <c r="J145" s="12" t="str">
        <f t="shared" si="347"/>
        <v>nazarov@yandex</v>
      </c>
      <c r="K145" s="12" t="str">
        <f t="shared" si="348"/>
        <v>Тверь</v>
      </c>
      <c r="L145" s="13" t="str">
        <f t="shared" si="349"/>
        <v>C0143</v>
      </c>
      <c r="M145" s="13" t="str">
        <f t="shared" si="350"/>
        <v xml:space="preserve">Назаров Антон Иванович</v>
      </c>
      <c r="N145" s="13" t="str">
        <f t="shared" si="351"/>
        <v>OK</v>
      </c>
      <c r="O145" s="19">
        <f t="shared" si="352"/>
        <v>33639</v>
      </c>
      <c r="P145" s="19">
        <f t="shared" si="353"/>
        <v>46001</v>
      </c>
      <c r="Q145" s="13">
        <f t="shared" ca="1" si="354"/>
        <v>34</v>
      </c>
      <c r="R145" s="13" t="str">
        <f t="shared" si="355"/>
        <v>OK</v>
      </c>
      <c r="S145" s="13" t="str">
        <f t="shared" si="356"/>
        <v xml:space="preserve">+7 (903) 345-67-89</v>
      </c>
      <c r="T145" s="13" t="str">
        <f t="shared" si="357"/>
        <v>nazarov@yandex</v>
      </c>
      <c r="U145" s="18" t="str">
        <f t="shared" si="358"/>
        <v xml:space="preserve">Ошибка Email</v>
      </c>
      <c r="V145" s="13" t="str">
        <f>IFERROR(VLOOKUP(K145,Справочники!$K$6:$L$13,2,0),K145)</f>
        <v>Тверь</v>
      </c>
    </row>
    <row r="146" ht="15" customHeight="1">
      <c r="A146" s="10">
        <v>144</v>
      </c>
      <c r="B146" s="11" t="str">
        <f>RAW_Клиенты!A145</f>
        <v>C0144</v>
      </c>
      <c r="C146" s="11" t="str">
        <f>RAW_Клиенты!B145</f>
        <v xml:space="preserve">Коновалова Людмила Юрьевна</v>
      </c>
      <c r="D146" s="11" t="str">
        <f>RAW_Клиенты!C145</f>
        <v>19.11.1985</v>
      </c>
      <c r="E146" s="11" t="str">
        <f>RAW_Клиенты!D145</f>
        <v xml:space="preserve">8 903 456 78 90</v>
      </c>
      <c r="F146" s="11" t="str">
        <f>RAW_Клиенты!E145</f>
        <v>konovalova@gmail</v>
      </c>
      <c r="G146" s="11" t="str">
        <f>RAW_Клиенты!F145</f>
        <v>Краснодар</v>
      </c>
      <c r="H146" s="11" t="str">
        <f>RAW_Клиенты!G145</f>
        <v>10.12.2025</v>
      </c>
      <c r="I146" s="12" t="str">
        <f t="shared" si="346"/>
        <v>89034567890</v>
      </c>
      <c r="J146" s="12" t="str">
        <f t="shared" si="347"/>
        <v>konovalova@gmail</v>
      </c>
      <c r="K146" s="12" t="str">
        <f t="shared" si="348"/>
        <v>Краснодар</v>
      </c>
      <c r="L146" s="13" t="str">
        <f t="shared" si="349"/>
        <v>C0144</v>
      </c>
      <c r="M146" s="13" t="str">
        <f t="shared" si="350"/>
        <v xml:space="preserve">Коновалова Людмила Юрьевна</v>
      </c>
      <c r="N146" s="13" t="str">
        <f t="shared" si="351"/>
        <v>OK</v>
      </c>
      <c r="O146" s="19">
        <f t="shared" si="352"/>
        <v>31370</v>
      </c>
      <c r="P146" s="19">
        <f t="shared" si="353"/>
        <v>46001</v>
      </c>
      <c r="Q146" s="13">
        <f t="shared" ca="1" si="354"/>
        <v>40</v>
      </c>
      <c r="R146" s="13" t="str">
        <f t="shared" si="355"/>
        <v>OK</v>
      </c>
      <c r="S146" s="13" t="str">
        <f t="shared" si="356"/>
        <v xml:space="preserve">+7 (903) 456-78-90</v>
      </c>
      <c r="T146" s="13" t="str">
        <f t="shared" si="357"/>
        <v>konovalova@gmail</v>
      </c>
      <c r="U146" s="18" t="str">
        <f t="shared" si="358"/>
        <v xml:space="preserve">Ошибка Email</v>
      </c>
      <c r="V146" s="13" t="str">
        <f>IFERROR(VLOOKUP(K146,Справочники!$K$6:$L$13,2,0),K146)</f>
        <v>Краснодар</v>
      </c>
    </row>
    <row r="147" ht="15" customHeight="1">
      <c r="A147" s="10">
        <v>145</v>
      </c>
      <c r="B147" s="11" t="str">
        <f>RAW_Клиенты!A146</f>
        <v>C0145</v>
      </c>
      <c r="C147" s="11" t="str">
        <f>RAW_Клиенты!B146</f>
        <v xml:space="preserve">Панфилов Николай Евгеньевич</v>
      </c>
      <c r="D147" s="11" t="str">
        <f>RAW_Клиенты!C146</f>
        <v>26.08.1977</v>
      </c>
      <c r="E147" s="11" t="str">
        <f>RAW_Клиенты!D146</f>
        <v>+79034567890</v>
      </c>
      <c r="F147" s="11" t="str">
        <f>RAW_Клиенты!E146</f>
        <v>panfilov@mail</v>
      </c>
      <c r="G147" s="11" t="str">
        <f>RAW_Клиенты!F146</f>
        <v>Пенза</v>
      </c>
      <c r="H147" s="11" t="str">
        <f>RAW_Клиенты!G146</f>
        <v>01.01.2026</v>
      </c>
      <c r="I147" s="12" t="str">
        <f t="shared" si="346"/>
        <v>79034567890</v>
      </c>
      <c r="J147" s="12" t="str">
        <f t="shared" si="347"/>
        <v>panfilov@mail</v>
      </c>
      <c r="K147" s="12" t="str">
        <f t="shared" si="348"/>
        <v>Пенза</v>
      </c>
      <c r="L147" s="13" t="str">
        <f t="shared" si="349"/>
        <v>C0145</v>
      </c>
      <c r="M147" s="13" t="str">
        <f t="shared" si="350"/>
        <v xml:space="preserve">Панфилов Николай Евгеньевич</v>
      </c>
      <c r="N147" s="13" t="str">
        <f t="shared" si="351"/>
        <v>OK</v>
      </c>
      <c r="O147" s="19">
        <f t="shared" si="352"/>
        <v>28363</v>
      </c>
      <c r="P147" s="19">
        <f t="shared" si="353"/>
        <v>46023</v>
      </c>
      <c r="Q147" s="13">
        <f t="shared" ca="1" si="354"/>
        <v>49</v>
      </c>
      <c r="R147" s="13" t="str">
        <f t="shared" si="355"/>
        <v>OK</v>
      </c>
      <c r="S147" s="13" t="str">
        <f t="shared" si="356"/>
        <v xml:space="preserve">+7 (903) 456-78-90</v>
      </c>
      <c r="T147" s="13" t="str">
        <f t="shared" si="357"/>
        <v>panfilov@mail</v>
      </c>
      <c r="U147" s="18" t="str">
        <f t="shared" si="358"/>
        <v xml:space="preserve">Ошибка Email</v>
      </c>
      <c r="V147" s="13" t="str">
        <f>IFERROR(VLOOKUP(K147,Справочники!$K$6:$L$13,2,0),K147)</f>
        <v>Пенза</v>
      </c>
    </row>
    <row r="148" ht="15" customHeight="1">
      <c r="A148" s="10">
        <v>146</v>
      </c>
      <c r="B148" s="11" t="str">
        <f>RAW_Клиенты!A147</f>
        <v>C0146</v>
      </c>
      <c r="C148" s="11" t="str">
        <f>RAW_Клиенты!B147</f>
        <v xml:space="preserve">Щербакова Ирина Алексеевна</v>
      </c>
      <c r="D148" s="11" t="str">
        <f>RAW_Клиенты!C147</f>
        <v>09.04.1983</v>
      </c>
      <c r="E148" s="11" t="str">
        <f>RAW_Клиенты!D147</f>
        <v>8-903-456-78-90</v>
      </c>
      <c r="F148" s="11" t="str">
        <f>RAW_Клиенты!E147</f>
        <v>scherbakova@yandex</v>
      </c>
      <c r="G148" s="11" t="str">
        <f>RAW_Клиенты!F147</f>
        <v>Стерлитамак</v>
      </c>
      <c r="H148" s="11" t="str">
        <f>RAW_Клиенты!G147</f>
        <v>2026-01-15</v>
      </c>
      <c r="I148" s="12" t="str">
        <f t="shared" si="346"/>
        <v>89034567890</v>
      </c>
      <c r="J148" s="12" t="str">
        <f t="shared" si="347"/>
        <v>scherbakova@yandex</v>
      </c>
      <c r="K148" s="12" t="str">
        <f t="shared" si="348"/>
        <v>Стерлитамак</v>
      </c>
      <c r="L148" s="13" t="str">
        <f t="shared" si="349"/>
        <v>C0146</v>
      </c>
      <c r="M148" s="13" t="str">
        <f t="shared" si="350"/>
        <v xml:space="preserve">Щербакова Ирина Алексеевна</v>
      </c>
      <c r="N148" s="13" t="str">
        <f t="shared" si="351"/>
        <v>OK</v>
      </c>
      <c r="O148" s="19">
        <f t="shared" si="352"/>
        <v>30415</v>
      </c>
      <c r="P148" s="19">
        <f t="shared" si="353"/>
        <v>46037</v>
      </c>
      <c r="Q148" s="13">
        <f t="shared" ca="1" si="354"/>
        <v>43</v>
      </c>
      <c r="R148" s="13" t="str">
        <f t="shared" si="355"/>
        <v>OK</v>
      </c>
      <c r="S148" s="13" t="str">
        <f t="shared" si="356"/>
        <v xml:space="preserve">+7 (903) 456-78-90</v>
      </c>
      <c r="T148" s="13" t="str">
        <f t="shared" si="357"/>
        <v>scherbakova@yandex</v>
      </c>
      <c r="U148" s="18" t="str">
        <f t="shared" si="358"/>
        <v xml:space="preserve">Ошибка Email</v>
      </c>
      <c r="V148" s="13" t="str">
        <f>IFERROR(VLOOKUP(K148,Справочники!$K$6:$L$13,2,0),K148)</f>
        <v>Стерлитамак</v>
      </c>
    </row>
    <row r="149" ht="15" customHeight="1">
      <c r="A149" s="10">
        <v>147</v>
      </c>
      <c r="B149" s="11" t="str">
        <f>RAW_Клиенты!A148</f>
        <v>C0147</v>
      </c>
      <c r="C149" s="11" t="str">
        <f>RAW_Клиенты!B148</f>
        <v xml:space="preserve">Терентьев Виталий Михайлович</v>
      </c>
      <c r="D149" s="11" t="str">
        <f>RAW_Клиенты!C148</f>
        <v>30.12.1989</v>
      </c>
      <c r="E149" s="11" t="str">
        <f>RAW_Клиенты!D148</f>
        <v xml:space="preserve">8 903 567 89 01</v>
      </c>
      <c r="F149" s="11" t="str">
        <f>RAW_Клиенты!E148</f>
        <v>terentev@gmail</v>
      </c>
      <c r="G149" s="11" t="str">
        <f>RAW_Клиенты!F148</f>
        <v>Находка</v>
      </c>
      <c r="H149" s="11" t="str">
        <f>RAW_Клиенты!G148</f>
        <v>15.01.2026</v>
      </c>
      <c r="I149" s="12" t="str">
        <f t="shared" si="346"/>
        <v>89035678901</v>
      </c>
      <c r="J149" s="12" t="str">
        <f t="shared" si="347"/>
        <v>terentev@gmail</v>
      </c>
      <c r="K149" s="12" t="str">
        <f t="shared" si="348"/>
        <v>Находка</v>
      </c>
      <c r="L149" s="13" t="str">
        <f t="shared" si="349"/>
        <v>C0147</v>
      </c>
      <c r="M149" s="13" t="str">
        <f t="shared" si="350"/>
        <v xml:space="preserve">Терентьев Виталий Михайлович</v>
      </c>
      <c r="N149" s="13" t="str">
        <f t="shared" si="351"/>
        <v>OK</v>
      </c>
      <c r="O149" s="19">
        <f t="shared" si="352"/>
        <v>32872</v>
      </c>
      <c r="P149" s="19">
        <f t="shared" si="353"/>
        <v>46037</v>
      </c>
      <c r="Q149" s="13">
        <f t="shared" ca="1" si="354"/>
        <v>36</v>
      </c>
      <c r="R149" s="13" t="str">
        <f t="shared" si="355"/>
        <v>OK</v>
      </c>
      <c r="S149" s="13" t="str">
        <f t="shared" si="356"/>
        <v xml:space="preserve">+7 (903) 567-89-01</v>
      </c>
      <c r="T149" s="13" t="str">
        <f t="shared" si="357"/>
        <v>terentev@gmail</v>
      </c>
      <c r="U149" s="18" t="str">
        <f t="shared" si="358"/>
        <v xml:space="preserve">Ошибка Email</v>
      </c>
      <c r="V149" s="13" t="str">
        <f>IFERROR(VLOOKUP(K149,Справочники!$K$6:$L$13,2,0),K149)</f>
        <v>Находка</v>
      </c>
    </row>
    <row r="150" ht="15" customHeight="1">
      <c r="A150" s="10">
        <v>148</v>
      </c>
      <c r="B150" s="11" t="str">
        <f>RAW_Клиенты!A149</f>
        <v>C0148</v>
      </c>
      <c r="C150" s="11" t="str">
        <f>RAW_Клиенты!B149</f>
        <v xml:space="preserve">Молчанова Ольга Сергеевна</v>
      </c>
      <c r="D150" s="11" t="str">
        <f>RAW_Клиенты!C149</f>
        <v>16.06.1976</v>
      </c>
      <c r="E150" s="11" t="str">
        <f>RAW_Клиенты!D149</f>
        <v>+79035678901</v>
      </c>
      <c r="F150" s="11" t="str">
        <f>RAW_Клиенты!E149</f>
        <v>molchanova@mail</v>
      </c>
      <c r="G150" s="11" t="str">
        <f>RAW_Клиенты!F149</f>
        <v>Магнитогорск</v>
      </c>
      <c r="H150" s="11" t="str">
        <f>RAW_Клиенты!G149</f>
        <v>01.02.2026</v>
      </c>
      <c r="I150" s="12" t="str">
        <f t="shared" si="346"/>
        <v>79035678901</v>
      </c>
      <c r="J150" s="12" t="str">
        <f t="shared" si="347"/>
        <v>molchanova@mail</v>
      </c>
      <c r="K150" s="12" t="str">
        <f t="shared" si="348"/>
        <v>Магнитогорск</v>
      </c>
      <c r="L150" s="13" t="str">
        <f t="shared" si="349"/>
        <v>C0148</v>
      </c>
      <c r="M150" s="13" t="str">
        <f t="shared" si="350"/>
        <v xml:space="preserve">Молчанова Ольга Сергеевна</v>
      </c>
      <c r="N150" s="13" t="str">
        <f t="shared" si="351"/>
        <v>OK</v>
      </c>
      <c r="O150" s="19">
        <f t="shared" si="352"/>
        <v>27927</v>
      </c>
      <c r="P150" s="19">
        <f t="shared" si="353"/>
        <v>46054</v>
      </c>
      <c r="Q150" s="13">
        <f t="shared" ca="1" si="354"/>
        <v>50</v>
      </c>
      <c r="R150" s="13" t="str">
        <f t="shared" si="355"/>
        <v>OK</v>
      </c>
      <c r="S150" s="13" t="str">
        <f t="shared" si="356"/>
        <v xml:space="preserve">+7 (903) 567-89-01</v>
      </c>
      <c r="T150" s="13" t="str">
        <f t="shared" si="357"/>
        <v>molchanova@mail</v>
      </c>
      <c r="U150" s="18" t="str">
        <f t="shared" si="358"/>
        <v xml:space="preserve">Ошибка Email</v>
      </c>
      <c r="V150" s="13" t="str">
        <f>IFERROR(VLOOKUP(K150,Справочники!$K$6:$L$13,2,0),K150)</f>
        <v>Магнитогорск</v>
      </c>
    </row>
    <row r="151" ht="15" customHeight="1">
      <c r="A151" s="10">
        <v>149</v>
      </c>
      <c r="B151" s="11" t="str">
        <f>RAW_Клиенты!A150</f>
        <v>C0149</v>
      </c>
      <c r="C151" s="11" t="str">
        <f>RAW_Клиенты!B150</f>
        <v xml:space="preserve">Крымов Алексей Игоревич</v>
      </c>
      <c r="D151" s="11" t="str">
        <f>RAW_Клиенты!C150</f>
        <v>04.10.1984</v>
      </c>
      <c r="E151" s="11" t="str">
        <f>RAW_Клиенты!D150</f>
        <v>8-903-567-89-01</v>
      </c>
      <c r="F151" s="11" t="str">
        <f>RAW_Клиенты!E150</f>
        <v>krymov@yandex</v>
      </c>
      <c r="G151" s="11" t="str">
        <f>RAW_Клиенты!F150</f>
        <v>Курск</v>
      </c>
      <c r="H151" s="11" t="str">
        <f>RAW_Клиенты!G150</f>
        <v>2026-02-10</v>
      </c>
      <c r="I151" s="12" t="str">
        <f t="shared" si="346"/>
        <v>89035678901</v>
      </c>
      <c r="J151" s="12" t="str">
        <f t="shared" si="347"/>
        <v>krymov@yandex</v>
      </c>
      <c r="K151" s="12" t="str">
        <f t="shared" si="348"/>
        <v>Курск</v>
      </c>
      <c r="L151" s="13" t="str">
        <f t="shared" si="349"/>
        <v>C0149</v>
      </c>
      <c r="M151" s="13" t="str">
        <f t="shared" si="350"/>
        <v xml:space="preserve">Крымов Алексей Игоревич</v>
      </c>
      <c r="N151" s="13" t="str">
        <f t="shared" si="351"/>
        <v>OK</v>
      </c>
      <c r="O151" s="19">
        <f t="shared" si="352"/>
        <v>30959</v>
      </c>
      <c r="P151" s="19">
        <f t="shared" si="353"/>
        <v>46063</v>
      </c>
      <c r="Q151" s="13">
        <f t="shared" ca="1" si="354"/>
        <v>41</v>
      </c>
      <c r="R151" s="13" t="str">
        <f t="shared" si="355"/>
        <v>OK</v>
      </c>
      <c r="S151" s="13" t="str">
        <f t="shared" si="356"/>
        <v xml:space="preserve">+7 (903) 567-89-01</v>
      </c>
      <c r="T151" s="13" t="str">
        <f t="shared" si="357"/>
        <v>krymov@yandex</v>
      </c>
      <c r="U151" s="18" t="str">
        <f t="shared" si="358"/>
        <v xml:space="preserve">Ошибка Email</v>
      </c>
      <c r="V151" s="13" t="str">
        <f>IFERROR(VLOOKUP(K151,Справочники!$K$6:$L$13,2,0),K151)</f>
        <v>Курск</v>
      </c>
    </row>
    <row r="152" ht="15" customHeight="1">
      <c r="A152" s="10">
        <v>150</v>
      </c>
      <c r="B152" s="11" t="str">
        <f>RAW_Клиенты!A151</f>
        <v>C0150</v>
      </c>
      <c r="C152" s="11" t="str">
        <f>RAW_Клиенты!B151</f>
        <v xml:space="preserve">Сидорова Екатерина Андреевна</v>
      </c>
      <c r="D152" s="11" t="str">
        <f>RAW_Клиенты!C151</f>
        <v>22.01.1994</v>
      </c>
      <c r="E152" s="11" t="str">
        <f>RAW_Клиенты!D151</f>
        <v xml:space="preserve">8 903 678 90 12</v>
      </c>
      <c r="F152" s="11" t="str">
        <f>RAW_Клиенты!E151</f>
        <v>sidorova@gmail</v>
      </c>
      <c r="G152" s="11" t="str">
        <f>RAW_Клиенты!F151</f>
        <v>Комсомольск-на-Амуре</v>
      </c>
      <c r="H152" s="11" t="str">
        <f>RAW_Клиенты!G151</f>
        <v>10.02.2026</v>
      </c>
      <c r="I152" s="12" t="str">
        <f t="shared" si="346"/>
        <v>89036789012</v>
      </c>
      <c r="J152" s="12" t="str">
        <f t="shared" si="347"/>
        <v>sidorova@gmail</v>
      </c>
      <c r="K152" s="12" t="str">
        <f t="shared" si="348"/>
        <v>Комсомольск-на-Амуре</v>
      </c>
      <c r="L152" s="13" t="str">
        <f t="shared" si="349"/>
        <v>C0150</v>
      </c>
      <c r="M152" s="13" t="str">
        <f t="shared" si="350"/>
        <v xml:space="preserve">Сидорова Екатерина Андреевна</v>
      </c>
      <c r="N152" s="13" t="str">
        <f t="shared" si="351"/>
        <v>OK</v>
      </c>
      <c r="O152" s="19">
        <f t="shared" si="352"/>
        <v>34356</v>
      </c>
      <c r="P152" s="19">
        <f t="shared" si="353"/>
        <v>46063</v>
      </c>
      <c r="Q152" s="13">
        <f t="shared" ca="1" si="354"/>
        <v>32</v>
      </c>
      <c r="R152" s="13" t="str">
        <f t="shared" si="355"/>
        <v>OK</v>
      </c>
      <c r="S152" s="13" t="str">
        <f t="shared" si="356"/>
        <v xml:space="preserve">+7 (903) 678-90-12</v>
      </c>
      <c r="T152" s="13" t="str">
        <f t="shared" si="357"/>
        <v>sidorova@gmail</v>
      </c>
      <c r="U152" s="18" t="str">
        <f t="shared" si="358"/>
        <v xml:space="preserve">Ошибка Email</v>
      </c>
      <c r="V152" s="13" t="str">
        <f>IFERROR(VLOOKUP(K152,Справочники!$K$6:$L$13,2,0),K152)</f>
        <v>Комсомольск-на-Амуре</v>
      </c>
    </row>
    <row r="153" ht="15" customHeight="1">
      <c r="A153" s="10">
        <v>151</v>
      </c>
      <c r="B153" s="11" t="str">
        <f>RAW_Клиенты!A152</f>
        <v>C0151</v>
      </c>
      <c r="C153" s="11" t="str">
        <f>RAW_Клиенты!B152</f>
        <v xml:space="preserve">Павлова Диана Петровна</v>
      </c>
      <c r="D153" s="11" t="str">
        <f>RAW_Клиенты!C152</f>
        <v>07.07.1978</v>
      </c>
      <c r="E153" s="11" t="str">
        <f>RAW_Клиенты!D152</f>
        <v>+79036789012</v>
      </c>
      <c r="F153" s="11" t="str">
        <f>RAW_Клиенты!E152</f>
        <v>pavlova@mail</v>
      </c>
      <c r="G153" s="11" t="str">
        <f>RAW_Клиенты!F152</f>
        <v>Улан-Удэ</v>
      </c>
      <c r="H153" s="11" t="str">
        <f>RAW_Клиенты!G152</f>
        <v>01.03.2026</v>
      </c>
      <c r="I153" s="12" t="str">
        <f t="shared" si="346"/>
        <v>79036789012</v>
      </c>
      <c r="J153" s="12" t="str">
        <f t="shared" si="347"/>
        <v>pavlova@mail</v>
      </c>
      <c r="K153" s="12" t="str">
        <f t="shared" si="348"/>
        <v>Улан-Удэ</v>
      </c>
      <c r="L153" s="13" t="str">
        <f t="shared" si="349"/>
        <v>C0151</v>
      </c>
      <c r="M153" s="13" t="str">
        <f t="shared" si="350"/>
        <v xml:space="preserve">Павлова Диана Петровна</v>
      </c>
      <c r="N153" s="13" t="str">
        <f t="shared" si="351"/>
        <v>OK</v>
      </c>
      <c r="O153" s="19">
        <f t="shared" si="352"/>
        <v>28678</v>
      </c>
      <c r="P153" s="19">
        <f t="shared" si="353"/>
        <v>46082</v>
      </c>
      <c r="Q153" s="13">
        <f t="shared" ca="1" si="354"/>
        <v>48</v>
      </c>
      <c r="R153" s="13" t="str">
        <f t="shared" si="355"/>
        <v>OK</v>
      </c>
      <c r="S153" s="13" t="str">
        <f t="shared" si="356"/>
        <v xml:space="preserve">+7 (903) 678-90-12</v>
      </c>
      <c r="T153" s="13" t="str">
        <f t="shared" si="357"/>
        <v>pavlova@mail</v>
      </c>
      <c r="U153" s="18" t="str">
        <f t="shared" si="358"/>
        <v xml:space="preserve">Ошибка Email</v>
      </c>
      <c r="V153" s="13" t="str">
        <f>IFERROR(VLOOKUP(K153,Справочники!$K$6:$L$13,2,0),K153)</f>
        <v>Улан-Удэ</v>
      </c>
    </row>
    <row r="154" ht="15" customHeight="1">
      <c r="A154" s="10">
        <v>152</v>
      </c>
      <c r="B154" s="11" t="str">
        <f>RAW_Клиенты!A153</f>
        <v>C0152</v>
      </c>
      <c r="C154" s="11" t="str">
        <f>RAW_Клиенты!B153</f>
        <v xml:space="preserve">Степанова Антонина Алексеевна</v>
      </c>
      <c r="D154" s="11" t="str">
        <f>RAW_Клиенты!C153</f>
        <v>29.05.1982</v>
      </c>
      <c r="E154" s="11" t="str">
        <f>RAW_Клиенты!D153</f>
        <v>8-903-678-90-12</v>
      </c>
      <c r="F154" s="11" t="str">
        <f>RAW_Клиенты!E153</f>
        <v>stepanova@yandex</v>
      </c>
      <c r="G154" s="11" t="str">
        <f>RAW_Клиенты!F153</f>
        <v>Якутск</v>
      </c>
      <c r="H154" s="11" t="str">
        <f>RAW_Клиенты!G153</f>
        <v>2026-03-15</v>
      </c>
      <c r="I154" s="12" t="str">
        <f t="shared" si="346"/>
        <v>89036789012</v>
      </c>
      <c r="J154" s="12" t="str">
        <f t="shared" si="347"/>
        <v>stepanova@yandex</v>
      </c>
      <c r="K154" s="12" t="str">
        <f t="shared" si="348"/>
        <v>Якутск</v>
      </c>
      <c r="L154" s="13" t="str">
        <f t="shared" si="349"/>
        <v>C0152</v>
      </c>
      <c r="M154" s="13" t="str">
        <f t="shared" si="350"/>
        <v xml:space="preserve">Степанова Антонина Алексеевна</v>
      </c>
      <c r="N154" s="13" t="str">
        <f t="shared" si="351"/>
        <v>OK</v>
      </c>
      <c r="O154" s="19">
        <f t="shared" si="352"/>
        <v>30100</v>
      </c>
      <c r="P154" s="19">
        <f t="shared" si="353"/>
        <v>46096</v>
      </c>
      <c r="Q154" s="13">
        <f t="shared" ca="1" si="354"/>
        <v>44</v>
      </c>
      <c r="R154" s="13" t="str">
        <f t="shared" si="355"/>
        <v>OK</v>
      </c>
      <c r="S154" s="13" t="str">
        <f t="shared" si="356"/>
        <v xml:space="preserve">+7 (903) 678-90-12</v>
      </c>
      <c r="T154" s="13" t="str">
        <f t="shared" si="357"/>
        <v>stepanova@yandex</v>
      </c>
      <c r="U154" s="18" t="str">
        <f t="shared" si="358"/>
        <v xml:space="preserve">Ошибка Email</v>
      </c>
      <c r="V154" s="13" t="str">
        <f>IFERROR(VLOOKUP(K154,Справочники!$K$6:$L$13,2,0),K154)</f>
        <v>Якутск</v>
      </c>
    </row>
    <row r="155" ht="15" customHeight="1">
      <c r="A155" s="10">
        <v>153</v>
      </c>
      <c r="B155" s="11" t="str">
        <f>RAW_Клиенты!A154</f>
        <v>C0153</v>
      </c>
      <c r="C155" s="11" t="str">
        <f>RAW_Клиенты!B154</f>
        <v xml:space="preserve">Моргунова Татьяна Ивановна</v>
      </c>
      <c r="D155" s="11" t="str">
        <f>RAW_Клиенты!C154</f>
        <v>15.12.1987</v>
      </c>
      <c r="E155" s="11" t="str">
        <f>RAW_Клиенты!D154</f>
        <v xml:space="preserve">8 903 789 01 23</v>
      </c>
      <c r="F155" s="11" t="str">
        <f>RAW_Клиенты!E154</f>
        <v>morgunova@gmail</v>
      </c>
      <c r="G155" s="11" t="str">
        <f>RAW_Клиенты!F154</f>
        <v>Череповец</v>
      </c>
      <c r="H155" s="11" t="str">
        <f>RAW_Клиенты!G154</f>
        <v>15.03.2026</v>
      </c>
      <c r="I155" s="12" t="str">
        <f t="shared" si="346"/>
        <v>89037890123</v>
      </c>
      <c r="J155" s="12" t="str">
        <f t="shared" si="347"/>
        <v>morgunova@gmail</v>
      </c>
      <c r="K155" s="12" t="str">
        <f t="shared" si="348"/>
        <v>Череповец</v>
      </c>
      <c r="L155" s="13" t="str">
        <f t="shared" si="349"/>
        <v>C0153</v>
      </c>
      <c r="M155" s="13" t="str">
        <f t="shared" si="350"/>
        <v xml:space="preserve">Моргунова Татьяна Ивановна</v>
      </c>
      <c r="N155" s="13" t="str">
        <f t="shared" si="351"/>
        <v>OK</v>
      </c>
      <c r="O155" s="19">
        <f t="shared" si="352"/>
        <v>32126</v>
      </c>
      <c r="P155" s="19">
        <f t="shared" si="353"/>
        <v>46096</v>
      </c>
      <c r="Q155" s="13">
        <f t="shared" ca="1" si="354"/>
        <v>38</v>
      </c>
      <c r="R155" s="13" t="str">
        <f t="shared" si="355"/>
        <v>OK</v>
      </c>
      <c r="S155" s="13" t="str">
        <f t="shared" si="356"/>
        <v xml:space="preserve">+7 (903) 789-01-23</v>
      </c>
      <c r="T155" s="13" t="str">
        <f t="shared" si="357"/>
        <v>morgunova@gmail</v>
      </c>
      <c r="U155" s="18" t="str">
        <f t="shared" si="358"/>
        <v xml:space="preserve">Ошибка Email</v>
      </c>
      <c r="V155" s="13" t="str">
        <f>IFERROR(VLOOKUP(K155,Справочники!$K$6:$L$13,2,0),K155)</f>
        <v>Череповец</v>
      </c>
    </row>
    <row r="156" ht="15" customHeight="1">
      <c r="A156" s="10">
        <v>154</v>
      </c>
      <c r="B156" s="11" t="str">
        <f>RAW_Клиенты!A155</f>
        <v>C0154</v>
      </c>
      <c r="C156" s="11" t="str">
        <f>RAW_Клиенты!B155</f>
        <v xml:space="preserve">Евдокимов Сергей Анатольевич</v>
      </c>
      <c r="D156" s="11" t="str">
        <f>RAW_Клиенты!C155</f>
        <v>18.08.1973</v>
      </c>
      <c r="E156" s="11" t="str">
        <f>RAW_Клиенты!D155</f>
        <v>+79037890123</v>
      </c>
      <c r="F156" s="11" t="str">
        <f>RAW_Клиенты!E155</f>
        <v>evdokimov@mail</v>
      </c>
      <c r="G156" s="11" t="str">
        <f>RAW_Клиенты!F155</f>
        <v>Саранск</v>
      </c>
      <c r="H156" s="11" t="str">
        <f>RAW_Клиенты!G155</f>
        <v>01.04.2026</v>
      </c>
      <c r="I156" s="12" t="str">
        <f t="shared" si="346"/>
        <v>79037890123</v>
      </c>
      <c r="J156" s="12" t="str">
        <f t="shared" si="347"/>
        <v>evdokimov@mail</v>
      </c>
      <c r="K156" s="12" t="str">
        <f t="shared" si="348"/>
        <v>Саранск</v>
      </c>
      <c r="L156" s="13" t="str">
        <f t="shared" si="349"/>
        <v>C0154</v>
      </c>
      <c r="M156" s="13" t="str">
        <f t="shared" si="350"/>
        <v xml:space="preserve">Евдокимов Сергей Анатольевич</v>
      </c>
      <c r="N156" s="13" t="str">
        <f t="shared" si="351"/>
        <v>OK</v>
      </c>
      <c r="O156" s="19">
        <f t="shared" si="352"/>
        <v>26894</v>
      </c>
      <c r="P156" s="19">
        <f t="shared" si="353"/>
        <v>46113</v>
      </c>
      <c r="Q156" s="13">
        <f t="shared" ca="1" si="354"/>
        <v>53</v>
      </c>
      <c r="R156" s="13" t="str">
        <f t="shared" si="355"/>
        <v>OK</v>
      </c>
      <c r="S156" s="13" t="str">
        <f t="shared" si="356"/>
        <v xml:space="preserve">+7 (903) 789-01-23</v>
      </c>
      <c r="T156" s="13" t="str">
        <f t="shared" si="357"/>
        <v>evdokimov@mail</v>
      </c>
      <c r="U156" s="18" t="str">
        <f t="shared" si="358"/>
        <v xml:space="preserve">Ошибка Email</v>
      </c>
      <c r="V156" s="13" t="str">
        <f>IFERROR(VLOOKUP(K156,Справочники!$K$6:$L$13,2,0),K156)</f>
        <v>Саранск</v>
      </c>
    </row>
    <row r="157" ht="15" customHeight="1">
      <c r="A157" s="10">
        <v>155</v>
      </c>
      <c r="B157" s="11" t="str">
        <f>RAW_Клиенты!A156</f>
        <v>C0155</v>
      </c>
      <c r="C157" s="11" t="str">
        <f>RAW_Клиенты!B156</f>
        <v xml:space="preserve">Быкова Елизавета Николаевна</v>
      </c>
      <c r="D157" s="11" t="str">
        <f>RAW_Клиенты!C156</f>
        <v>03.11.1985</v>
      </c>
      <c r="E157" s="11" t="str">
        <f>RAW_Клиенты!D156</f>
        <v>8-903-789-01-23</v>
      </c>
      <c r="F157" s="11" t="str">
        <f>RAW_Клиенты!E156</f>
        <v>bykova@yandex</v>
      </c>
      <c r="G157" s="11" t="str">
        <f>RAW_Клиенты!F156</f>
        <v>Тула</v>
      </c>
      <c r="H157" s="11" t="str">
        <f>RAW_Клиенты!G156</f>
        <v>2026-04-10</v>
      </c>
      <c r="I157" s="12" t="str">
        <f t="shared" si="346"/>
        <v>89037890123</v>
      </c>
      <c r="J157" s="12" t="str">
        <f t="shared" si="347"/>
        <v>bykova@yandex</v>
      </c>
      <c r="K157" s="12" t="str">
        <f t="shared" si="348"/>
        <v>Тула</v>
      </c>
      <c r="L157" s="13" t="str">
        <f t="shared" si="349"/>
        <v>C0155</v>
      </c>
      <c r="M157" s="13" t="str">
        <f t="shared" si="350"/>
        <v xml:space="preserve">Быкова Елизавета Николаевна</v>
      </c>
      <c r="N157" s="13" t="str">
        <f t="shared" si="351"/>
        <v>OK</v>
      </c>
      <c r="O157" s="19">
        <f t="shared" si="352"/>
        <v>31354</v>
      </c>
      <c r="P157" s="19">
        <f t="shared" si="353"/>
        <v>46122</v>
      </c>
      <c r="Q157" s="13">
        <f t="shared" ca="1" si="354"/>
        <v>40</v>
      </c>
      <c r="R157" s="13" t="str">
        <f t="shared" si="355"/>
        <v>OK</v>
      </c>
      <c r="S157" s="13" t="str">
        <f t="shared" si="356"/>
        <v xml:space="preserve">+7 (903) 789-01-23</v>
      </c>
      <c r="T157" s="13" t="str">
        <f t="shared" si="357"/>
        <v>bykova@yandex</v>
      </c>
      <c r="U157" s="18" t="str">
        <f t="shared" si="358"/>
        <v xml:space="preserve">Ошибка Email</v>
      </c>
      <c r="V157" s="13" t="str">
        <f>IFERROR(VLOOKUP(K157,Справочники!$K$6:$L$13,2,0),K157)</f>
        <v>Тула</v>
      </c>
    </row>
    <row r="158" ht="15" customHeight="1">
      <c r="A158" s="10">
        <v>156</v>
      </c>
      <c r="B158" s="11" t="str">
        <f>RAW_Клиенты!A157</f>
        <v>C0156</v>
      </c>
      <c r="C158" s="11" t="str">
        <f>RAW_Клиенты!B157</f>
        <v xml:space="preserve">Тищенко Владимир Олегович</v>
      </c>
      <c r="D158" s="11" t="str">
        <f>RAW_Клиенты!C157</f>
        <v>24.03.1991</v>
      </c>
      <c r="E158" s="11" t="str">
        <f>RAW_Клиенты!D157</f>
        <v xml:space="preserve">8 903 890 12 34</v>
      </c>
      <c r="F158" s="11" t="str">
        <f>RAW_Клиенты!E157</f>
        <v>tischenko@gmail</v>
      </c>
      <c r="G158" s="11" t="str">
        <f>RAW_Клиенты!F157</f>
        <v>Калуга</v>
      </c>
      <c r="H158" s="11" t="str">
        <f>RAW_Клиенты!G157</f>
        <v>10.04.2026</v>
      </c>
      <c r="I158" s="12" t="str">
        <f t="shared" si="346"/>
        <v>89038901234</v>
      </c>
      <c r="J158" s="12" t="str">
        <f t="shared" si="347"/>
        <v>tischenko@gmail</v>
      </c>
      <c r="K158" s="12" t="str">
        <f t="shared" si="348"/>
        <v>Калуга</v>
      </c>
      <c r="L158" s="13" t="str">
        <f t="shared" si="349"/>
        <v>C0156</v>
      </c>
      <c r="M158" s="13" t="str">
        <f t="shared" si="350"/>
        <v xml:space="preserve">Тищенко Владимир Олегович</v>
      </c>
      <c r="N158" s="13" t="str">
        <f t="shared" si="351"/>
        <v>OK</v>
      </c>
      <c r="O158" s="19">
        <f t="shared" si="352"/>
        <v>33321</v>
      </c>
      <c r="P158" s="19">
        <f t="shared" si="353"/>
        <v>46122</v>
      </c>
      <c r="Q158" s="13">
        <f t="shared" ca="1" si="354"/>
        <v>35</v>
      </c>
      <c r="R158" s="13" t="str">
        <f t="shared" si="355"/>
        <v>OK</v>
      </c>
      <c r="S158" s="13" t="str">
        <f t="shared" si="356"/>
        <v xml:space="preserve">+7 (903) 890-12-34</v>
      </c>
      <c r="T158" s="13" t="str">
        <f t="shared" si="357"/>
        <v>tischenko@gmail</v>
      </c>
      <c r="U158" s="18" t="str">
        <f t="shared" si="358"/>
        <v xml:space="preserve">Ошибка Email</v>
      </c>
      <c r="V158" s="13" t="str">
        <f>IFERROR(VLOOKUP(K158,Справочники!$K$6:$L$13,2,0),K158)</f>
        <v>Калуга</v>
      </c>
    </row>
    <row r="159" ht="15" customHeight="1">
      <c r="A159" s="10">
        <v>157</v>
      </c>
      <c r="B159" s="11" t="str">
        <f>RAW_Клиенты!A158</f>
        <v>C0157</v>
      </c>
      <c r="C159" s="11" t="str">
        <f>RAW_Клиенты!B158</f>
        <v xml:space="preserve">Соколова Наталия Дмитриевна</v>
      </c>
      <c r="D159" s="11" t="str">
        <f>RAW_Клиенты!C158</f>
        <v>09.09.1979</v>
      </c>
      <c r="E159" s="11" t="str">
        <f>RAW_Клиенты!D158</f>
        <v>+79038901234</v>
      </c>
      <c r="F159" s="11" t="str">
        <f>RAW_Клиенты!E158</f>
        <v>sokolova@mail</v>
      </c>
      <c r="G159" s="11" t="str">
        <f>RAW_Клиенты!F158</f>
        <v>Владикавказ</v>
      </c>
      <c r="H159" s="11" t="str">
        <f>RAW_Клиенты!G158</f>
        <v>01.05.2026</v>
      </c>
      <c r="I159" s="12" t="str">
        <f t="shared" si="346"/>
        <v>79038901234</v>
      </c>
      <c r="J159" s="12" t="str">
        <f t="shared" si="347"/>
        <v>sokolova@mail</v>
      </c>
      <c r="K159" s="12" t="str">
        <f t="shared" si="348"/>
        <v>Владикавказ</v>
      </c>
      <c r="L159" s="13" t="str">
        <f t="shared" si="349"/>
        <v>C0157</v>
      </c>
      <c r="M159" s="13" t="str">
        <f t="shared" si="350"/>
        <v xml:space="preserve">Соколова Наталия Дмитриевна</v>
      </c>
      <c r="N159" s="13" t="str">
        <f t="shared" si="351"/>
        <v>OK</v>
      </c>
      <c r="O159" s="19">
        <f t="shared" si="352"/>
        <v>29107</v>
      </c>
      <c r="P159" s="19">
        <f t="shared" si="353"/>
        <v>46143</v>
      </c>
      <c r="Q159" s="13">
        <f t="shared" ca="1" si="354"/>
        <v>47</v>
      </c>
      <c r="R159" s="13" t="str">
        <f t="shared" si="355"/>
        <v>OK</v>
      </c>
      <c r="S159" s="13" t="str">
        <f t="shared" si="356"/>
        <v xml:space="preserve">+7 (903) 890-12-34</v>
      </c>
      <c r="T159" s="13" t="str">
        <f t="shared" si="357"/>
        <v>sokolova@mail</v>
      </c>
      <c r="U159" s="18" t="str">
        <f t="shared" si="358"/>
        <v xml:space="preserve">Ошибка Email</v>
      </c>
      <c r="V159" s="13" t="str">
        <f>IFERROR(VLOOKUP(K159,Справочники!$K$6:$L$13,2,0),K159)</f>
        <v>Владикавказ</v>
      </c>
    </row>
    <row r="160" ht="15" customHeight="1">
      <c r="A160" s="10">
        <v>158</v>
      </c>
      <c r="B160" s="11" t="str">
        <f>RAW_Клиенты!A159</f>
        <v>C0158</v>
      </c>
      <c r="C160" s="11" t="str">
        <f>RAW_Клиенты!B159</f>
        <v xml:space="preserve">Громов Александр Валерьевич</v>
      </c>
      <c r="D160" s="11" t="str">
        <f>RAW_Клиенты!C159</f>
        <v>21.07.1986</v>
      </c>
      <c r="E160" s="11" t="str">
        <f>RAW_Клиенты!D159</f>
        <v>8-903-890-12-34</v>
      </c>
      <c r="F160" s="11" t="str">
        <f>RAW_Клиенты!E159</f>
        <v>gromov@yandex</v>
      </c>
      <c r="G160" s="11" t="str">
        <f>RAW_Клиенты!F159</f>
        <v>Смоленск</v>
      </c>
      <c r="H160" s="11" t="str">
        <f>RAW_Клиенты!G159</f>
        <v>2026-05-15</v>
      </c>
      <c r="I160" s="12" t="str">
        <f t="shared" si="346"/>
        <v>89038901234</v>
      </c>
      <c r="J160" s="12" t="str">
        <f t="shared" si="347"/>
        <v>gromov@yandex</v>
      </c>
      <c r="K160" s="12" t="str">
        <f t="shared" si="348"/>
        <v>Смоленск</v>
      </c>
      <c r="L160" s="13" t="str">
        <f t="shared" si="349"/>
        <v>C0158</v>
      </c>
      <c r="M160" s="13" t="str">
        <f t="shared" si="350"/>
        <v xml:space="preserve">Громов Александр Валерьевич</v>
      </c>
      <c r="N160" s="13" t="str">
        <f t="shared" si="351"/>
        <v>OK</v>
      </c>
      <c r="O160" s="19">
        <f t="shared" si="352"/>
        <v>31614</v>
      </c>
      <c r="P160" s="19">
        <f t="shared" si="353"/>
        <v>46157</v>
      </c>
      <c r="Q160" s="13">
        <f t="shared" ca="1" si="354"/>
        <v>40</v>
      </c>
      <c r="R160" s="13" t="str">
        <f t="shared" si="355"/>
        <v>OK</v>
      </c>
      <c r="S160" s="13" t="str">
        <f t="shared" si="356"/>
        <v xml:space="preserve">+7 (903) 890-12-34</v>
      </c>
      <c r="T160" s="13" t="str">
        <f t="shared" si="357"/>
        <v>gromov@yandex</v>
      </c>
      <c r="U160" s="18" t="str">
        <f t="shared" si="358"/>
        <v xml:space="preserve">Ошибка Email</v>
      </c>
      <c r="V160" s="13" t="str">
        <f>IFERROR(VLOOKUP(K160,Справочники!$K$6:$L$13,2,0),K160)</f>
        <v>Смоленск</v>
      </c>
    </row>
    <row r="161" ht="15" customHeight="1">
      <c r="A161" s="10">
        <v>159</v>
      </c>
      <c r="B161" s="11" t="str">
        <f>RAW_Клиенты!A160</f>
        <v>C0159</v>
      </c>
      <c r="C161" s="11" t="str">
        <f>RAW_Клиенты!B160</f>
        <v xml:space="preserve">Мищенко Валентина Алексеевна</v>
      </c>
      <c r="D161" s="11" t="str">
        <f>RAW_Клиенты!C160</f>
        <v>14.12.1993</v>
      </c>
      <c r="E161" s="11" t="str">
        <f>RAW_Клиенты!D160</f>
        <v xml:space="preserve">8 903 901 23 45</v>
      </c>
      <c r="F161" s="11" t="str">
        <f>RAW_Клиенты!E160</f>
        <v>mischenko@gmail</v>
      </c>
      <c r="G161" s="11" t="str">
        <f>RAW_Клиенты!F160</f>
        <v>Белгород</v>
      </c>
      <c r="H161" s="11" t="str">
        <f>RAW_Клиенты!G160</f>
        <v>15.05.2026</v>
      </c>
      <c r="I161" s="12" t="str">
        <f t="shared" si="346"/>
        <v>89039012345</v>
      </c>
      <c r="J161" s="12" t="str">
        <f t="shared" si="347"/>
        <v>mischenko@gmail</v>
      </c>
      <c r="K161" s="12" t="str">
        <f t="shared" si="348"/>
        <v>Белгород</v>
      </c>
      <c r="L161" s="13" t="str">
        <f t="shared" si="349"/>
        <v>C0159</v>
      </c>
      <c r="M161" s="13" t="str">
        <f t="shared" si="350"/>
        <v xml:space="preserve">Мищенко Валентина Алексеевна</v>
      </c>
      <c r="N161" s="13" t="str">
        <f t="shared" si="351"/>
        <v>OK</v>
      </c>
      <c r="O161" s="19">
        <f t="shared" si="352"/>
        <v>34317</v>
      </c>
      <c r="P161" s="19">
        <f t="shared" si="353"/>
        <v>46157</v>
      </c>
      <c r="Q161" s="13">
        <f t="shared" ca="1" si="354"/>
        <v>32</v>
      </c>
      <c r="R161" s="13" t="str">
        <f t="shared" si="355"/>
        <v>OK</v>
      </c>
      <c r="S161" s="13" t="str">
        <f t="shared" si="356"/>
        <v xml:space="preserve">+7 (903) 901-23-45</v>
      </c>
      <c r="T161" s="13" t="str">
        <f t="shared" si="357"/>
        <v>mischenko@gmail</v>
      </c>
      <c r="U161" s="18" t="str">
        <f t="shared" si="358"/>
        <v xml:space="preserve">Ошибка Email</v>
      </c>
      <c r="V161" s="13" t="str">
        <f>IFERROR(VLOOKUP(K161,Справочники!$K$6:$L$13,2,0),K161)</f>
        <v>Белгород</v>
      </c>
    </row>
    <row r="162" ht="15" customHeight="1">
      <c r="A162" s="10">
        <v>160</v>
      </c>
      <c r="B162" s="11" t="str">
        <f>RAW_Клиенты!A161</f>
        <v>C0160</v>
      </c>
      <c r="C162" s="11" t="str">
        <f>RAW_Клиенты!B161</f>
        <v xml:space="preserve">Лаврентьев Виталий Андреевич</v>
      </c>
      <c r="D162" s="11" t="str">
        <f>RAW_Клиенты!C161</f>
        <v>26.10.1975</v>
      </c>
      <c r="E162" s="11" t="str">
        <f>RAW_Клиенты!D161</f>
        <v>+79039012345</v>
      </c>
      <c r="F162" s="11" t="str">
        <f>RAW_Клиенты!E161</f>
        <v>lavrentev@mail</v>
      </c>
      <c r="G162" s="11" t="str">
        <f>RAW_Клиенты!F161</f>
        <v>Мурманск</v>
      </c>
      <c r="H162" s="11" t="str">
        <f>RAW_Клиенты!G161</f>
        <v>01.06.2026</v>
      </c>
      <c r="I162" s="12" t="str">
        <f t="shared" si="346"/>
        <v>79039012345</v>
      </c>
      <c r="J162" s="12" t="str">
        <f t="shared" si="347"/>
        <v>lavrentev@mail</v>
      </c>
      <c r="K162" s="12" t="str">
        <f t="shared" si="348"/>
        <v>Мурманск</v>
      </c>
      <c r="L162" s="13" t="str">
        <f t="shared" si="349"/>
        <v>C0160</v>
      </c>
      <c r="M162" s="13" t="str">
        <f t="shared" si="350"/>
        <v xml:space="preserve">Лаврентьев Виталий Андреевич</v>
      </c>
      <c r="N162" s="13" t="str">
        <f t="shared" si="351"/>
        <v>OK</v>
      </c>
      <c r="O162" s="19">
        <f t="shared" si="352"/>
        <v>27693</v>
      </c>
      <c r="P162" s="19">
        <f t="shared" si="353"/>
        <v>46174</v>
      </c>
      <c r="Q162" s="13">
        <f t="shared" ca="1" si="354"/>
        <v>50</v>
      </c>
      <c r="R162" s="13" t="str">
        <f t="shared" si="355"/>
        <v>OK</v>
      </c>
      <c r="S162" s="13" t="str">
        <f t="shared" si="356"/>
        <v xml:space="preserve">+7 (903) 901-23-45</v>
      </c>
      <c r="T162" s="13" t="str">
        <f t="shared" si="357"/>
        <v>lavrentev@mail</v>
      </c>
      <c r="U162" s="18" t="str">
        <f t="shared" si="358"/>
        <v xml:space="preserve">Ошибка Email</v>
      </c>
      <c r="V162" s="13" t="str">
        <f>IFERROR(VLOOKUP(K162,Справочники!$K$6:$L$13,2,0),K162)</f>
        <v>Мурманск</v>
      </c>
    </row>
    <row r="163" ht="15" customHeight="1">
      <c r="A163" s="10">
        <v>161</v>
      </c>
      <c r="B163" s="11" t="str">
        <f>RAW_Клиенты!A162</f>
        <v>C0161</v>
      </c>
      <c r="C163" s="11" t="str">
        <f>RAW_Клиенты!B162</f>
        <v xml:space="preserve">Костина Анастасия Вячеславовна</v>
      </c>
      <c r="D163" s="11" t="str">
        <f>RAW_Клиенты!C162</f>
        <v>02.04.1988</v>
      </c>
      <c r="E163" s="11" t="str">
        <f>RAW_Клиенты!D162</f>
        <v>8-903-901-23-45</v>
      </c>
      <c r="F163" s="11" t="str">
        <f>RAW_Клиенты!E162</f>
        <v>kostina@yandex</v>
      </c>
      <c r="G163" s="11" t="str">
        <f>RAW_Клиенты!F162</f>
        <v>Ставрополь</v>
      </c>
      <c r="H163" s="11" t="str">
        <f>RAW_Клиенты!G162</f>
        <v>2026-06-10</v>
      </c>
      <c r="I163" s="12" t="str">
        <f t="shared" si="346"/>
        <v>89039012345</v>
      </c>
      <c r="J163" s="12" t="str">
        <f t="shared" si="347"/>
        <v>kostina@yandex</v>
      </c>
      <c r="K163" s="12" t="str">
        <f t="shared" si="348"/>
        <v>Ставрополь</v>
      </c>
      <c r="L163" s="13" t="str">
        <f t="shared" si="349"/>
        <v>C0161</v>
      </c>
      <c r="M163" s="13" t="str">
        <f t="shared" si="350"/>
        <v xml:space="preserve">Костина Анастасия Вячеславовна</v>
      </c>
      <c r="N163" s="13" t="str">
        <f t="shared" si="351"/>
        <v>OK</v>
      </c>
      <c r="O163" s="19">
        <f t="shared" si="352"/>
        <v>32235</v>
      </c>
      <c r="P163" s="19">
        <f t="shared" si="353"/>
        <v>46183</v>
      </c>
      <c r="Q163" s="13">
        <f t="shared" ca="1" si="354"/>
        <v>38</v>
      </c>
      <c r="R163" s="13" t="str">
        <f t="shared" si="355"/>
        <v>OK</v>
      </c>
      <c r="S163" s="13" t="str">
        <f t="shared" si="356"/>
        <v xml:space="preserve">+7 (903) 901-23-45</v>
      </c>
      <c r="T163" s="13" t="str">
        <f t="shared" si="357"/>
        <v>kostina@yandex</v>
      </c>
      <c r="U163" s="18" t="str">
        <f t="shared" si="358"/>
        <v xml:space="preserve">Ошибка Email</v>
      </c>
      <c r="V163" s="13" t="str">
        <f>IFERROR(VLOOKUP(K163,Справочники!$K$6:$L$13,2,0),K163)</f>
        <v>Ставрополь</v>
      </c>
    </row>
    <row r="164" ht="15" customHeight="1">
      <c r="A164" s="10">
        <v>162</v>
      </c>
      <c r="B164" s="11" t="str">
        <f>RAW_Клиенты!A163</f>
        <v>C0162</v>
      </c>
      <c r="C164" s="11" t="str">
        <f>RAW_Клиенты!B163</f>
        <v xml:space="preserve">Белов Михаил Сергеевич</v>
      </c>
      <c r="D164" s="11" t="str">
        <f>RAW_Клиенты!C163</f>
        <v>08.06.1982</v>
      </c>
      <c r="E164" s="11" t="str">
        <f>RAW_Клиенты!D163</f>
        <v xml:space="preserve">8 903 012 34 56</v>
      </c>
      <c r="F164" s="11" t="str">
        <f>RAW_Клиенты!E163</f>
        <v>belov@gmail</v>
      </c>
      <c r="G164" s="11" t="str">
        <f>RAW_Клиенты!F163</f>
        <v>Севастополь</v>
      </c>
      <c r="H164" s="11" t="str">
        <f>RAW_Клиенты!G163</f>
        <v>10.06.2026</v>
      </c>
      <c r="I164" s="12" t="str">
        <f t="shared" ref="I164:I227" si="359">SUBSTITUTE(SUBSTITUTE(SUBSTITUTE(SUBSTITUTE(SUBSTITUTE(SUBSTITUTE(E164," ",""),"-",""),"+",""),"(",""),")",""),CHAR(160),"")</f>
        <v>89030123456</v>
      </c>
      <c r="J164" s="12" t="str">
        <f t="shared" ref="J164:J227" si="360">SUBSTITUTE(SUBSTITUTE(TRIM(F164)," ",""),CHAR(160),"")</f>
        <v>belov@gmail</v>
      </c>
      <c r="K164" s="12" t="str">
        <f t="shared" ref="K164:K227" si="361">TRIM(SUBSTITUTE(SUBSTITUTE(TRIM(G164),"г.",""),"г ",""))</f>
        <v>Севастополь</v>
      </c>
      <c r="L164" s="13" t="str">
        <f t="shared" ref="L164:L227" si="362">B164</f>
        <v>C0162</v>
      </c>
      <c r="M164" s="13" t="str">
        <f t="shared" ref="M164:M227" si="363">PROPER(TRIM(C164))</f>
        <v xml:space="preserve">Белов Михаил Сергеевич</v>
      </c>
      <c r="N164" s="13" t="str">
        <f t="shared" ref="N164:N227" si="364">IF(ISNUMBER(FIND(".",C164)),"инициалы: проверить",IF(SUMPRODUCT(--ISNUMBER(FIND(MID("abcdefghijklmnopqrstuvwxyz",ROW(INDIRECT("1:26")),1),LOWER(C164))))&gt;0,"латиница: транслит","OK"))</f>
        <v>OK</v>
      </c>
      <c r="O164" s="19">
        <f t="shared" ref="O164:O227" si="365">IF(ISNUMBER(FIND("-",D164)),DATE(VALUE(LEFT(D164,4)),VALUE(MID(D164,6,2)),VALUE(MID(D164,9,2))),DATE(VALUE(MID(D164,7,4)),VALUE(MID(D164,4,2)),VALUE(LEFT(D164,2))))</f>
        <v>30110</v>
      </c>
      <c r="P164" s="19">
        <f t="shared" ref="P164:P227" si="366">IF(ISNUMBER(FIND("-",H164)),DATE(VALUE(LEFT(H164,4)),VALUE(MID(H164,6,2)),VALUE(MID(H164,9,2))),DATE(VALUE(MID(H164,7,4)),VALUE(MID(H164,4,2)),VALUE(LEFT(H164,2))))</f>
        <v>46183</v>
      </c>
      <c r="Q164" s="13">
        <f t="shared" ref="Q164:Q227" ca="1" si="367">DATEDIF(O164,TODAY(),"Y")</f>
        <v>44</v>
      </c>
      <c r="R164" s="13" t="str">
        <f t="shared" ref="R164:R227" si="368">IF(OR(Q164&lt;18,Q164&gt;120),"Ошибка даты рождения","OK")</f>
        <v>OK</v>
      </c>
      <c r="S164" s="13" t="str">
        <f t="shared" ref="S164:S227" si="369">IF(LEN(I164)&gt;=10,"+7 ("&amp;MID(I164,LEN(I164)-9,3)&amp;") "&amp;MID(I164,LEN(I164)-6,3)&amp;"-"&amp;MID(I164,LEN(I164)-3,2)&amp;"-"&amp;RIGHT(I164,2),"Ошибка телефона")</f>
        <v xml:space="preserve">+7 (903) 012-34-56</v>
      </c>
      <c r="T164" s="13" t="str">
        <f t="shared" ref="T164:T227" si="370">J164</f>
        <v>belov@gmail</v>
      </c>
      <c r="U164" s="18" t="str">
        <f t="shared" ref="U164:U227" si="371">IF(AND(ISNUMBER(FIND("@",J164)),ISNUMBER(FIND(".",MID(J164,FIND("@",J164),100)))),"OK","Ошибка Email")</f>
        <v xml:space="preserve">Ошибка Email</v>
      </c>
      <c r="V164" s="13" t="str">
        <f>IFERROR(VLOOKUP(K164,Справочники!$K$6:$L$13,2,0),K164)</f>
        <v>Севастополь</v>
      </c>
    </row>
    <row r="165" ht="15" customHeight="1">
      <c r="A165" s="10">
        <v>163</v>
      </c>
      <c r="B165" s="11" t="str">
        <f>RAW_Клиенты!A164</f>
        <v>C0163</v>
      </c>
      <c r="C165" s="11" t="str">
        <f>RAW_Клиенты!B164</f>
        <v xml:space="preserve">Кириллов Алексей Петрович</v>
      </c>
      <c r="D165" s="11" t="str">
        <f>RAW_Клиенты!C164</f>
        <v>17.11.1974</v>
      </c>
      <c r="E165" s="11" t="str">
        <f>RAW_Клиенты!D164</f>
        <v>+79030123456</v>
      </c>
      <c r="F165" s="11" t="str">
        <f>RAW_Клиенты!E164</f>
        <v>kirillov@mail</v>
      </c>
      <c r="G165" s="11" t="str">
        <f>RAW_Клиенты!F164</f>
        <v>Сочи</v>
      </c>
      <c r="H165" s="11" t="str">
        <f>RAW_Клиенты!G164</f>
        <v>01.07.2026</v>
      </c>
      <c r="I165" s="12" t="str">
        <f t="shared" si="359"/>
        <v>79030123456</v>
      </c>
      <c r="J165" s="12" t="str">
        <f t="shared" si="360"/>
        <v>kirillov@mail</v>
      </c>
      <c r="K165" s="12" t="str">
        <f t="shared" si="361"/>
        <v>Сочи</v>
      </c>
      <c r="L165" s="13" t="str">
        <f t="shared" si="362"/>
        <v>C0163</v>
      </c>
      <c r="M165" s="13" t="str">
        <f t="shared" si="363"/>
        <v xml:space="preserve">Кириллов Алексей Петрович</v>
      </c>
      <c r="N165" s="13" t="str">
        <f t="shared" si="364"/>
        <v>OK</v>
      </c>
      <c r="O165" s="19">
        <f t="shared" si="365"/>
        <v>27350</v>
      </c>
      <c r="P165" s="19">
        <f t="shared" si="366"/>
        <v>46204</v>
      </c>
      <c r="Q165" s="13">
        <f t="shared" ca="1" si="367"/>
        <v>51</v>
      </c>
      <c r="R165" s="13" t="str">
        <f t="shared" si="368"/>
        <v>OK</v>
      </c>
      <c r="S165" s="13" t="str">
        <f t="shared" si="369"/>
        <v xml:space="preserve">+7 (903) 012-34-56</v>
      </c>
      <c r="T165" s="13" t="str">
        <f t="shared" si="370"/>
        <v>kirillov@mail</v>
      </c>
      <c r="U165" s="18" t="str">
        <f t="shared" si="371"/>
        <v xml:space="preserve">Ошибка Email</v>
      </c>
      <c r="V165" s="13" t="str">
        <f>IFERROR(VLOOKUP(K165,Справочники!$K$6:$L$13,2,0),K165)</f>
        <v>Сочи</v>
      </c>
    </row>
    <row r="166" ht="15" customHeight="1">
      <c r="A166" s="10">
        <v>164</v>
      </c>
      <c r="B166" s="11" t="str">
        <f>RAW_Клиенты!A165</f>
        <v>C0164</v>
      </c>
      <c r="C166" s="11" t="str">
        <f>RAW_Клиенты!B165</f>
        <v xml:space="preserve">Исаев Вадим Евгеньевич</v>
      </c>
      <c r="D166" s="11" t="str">
        <f>RAW_Клиенты!C165</f>
        <v>13.09.1980</v>
      </c>
      <c r="E166" s="11" t="str">
        <f>RAW_Клиенты!D165</f>
        <v>8-903-012-34-56</v>
      </c>
      <c r="F166" s="11" t="str">
        <f>RAW_Клиенты!E165</f>
        <v>isaev@yandex</v>
      </c>
      <c r="G166" s="11" t="str">
        <f>RAW_Клиенты!F165</f>
        <v>Симферополь</v>
      </c>
      <c r="H166" s="11" t="str">
        <f>RAW_Клиенты!G165</f>
        <v>2026-07-15</v>
      </c>
      <c r="I166" s="12" t="str">
        <f t="shared" si="359"/>
        <v>89030123456</v>
      </c>
      <c r="J166" s="12" t="str">
        <f t="shared" si="360"/>
        <v>isaev@yandex</v>
      </c>
      <c r="K166" s="12" t="str">
        <f t="shared" si="361"/>
        <v>Симферополь</v>
      </c>
      <c r="L166" s="13" t="str">
        <f t="shared" si="362"/>
        <v>C0164</v>
      </c>
      <c r="M166" s="13" t="str">
        <f t="shared" si="363"/>
        <v xml:space="preserve">Исаев Вадим Евгеньевич</v>
      </c>
      <c r="N166" s="13" t="str">
        <f t="shared" si="364"/>
        <v>OK</v>
      </c>
      <c r="O166" s="19">
        <f t="shared" si="365"/>
        <v>29477</v>
      </c>
      <c r="P166" s="19">
        <f t="shared" si="366"/>
        <v>46218</v>
      </c>
      <c r="Q166" s="13">
        <f t="shared" ca="1" si="367"/>
        <v>46</v>
      </c>
      <c r="R166" s="13" t="str">
        <f t="shared" si="368"/>
        <v>OK</v>
      </c>
      <c r="S166" s="13" t="str">
        <f t="shared" si="369"/>
        <v xml:space="preserve">+7 (903) 012-34-56</v>
      </c>
      <c r="T166" s="13" t="str">
        <f t="shared" si="370"/>
        <v>isaev@yandex</v>
      </c>
      <c r="U166" s="18" t="str">
        <f t="shared" si="371"/>
        <v xml:space="preserve">Ошибка Email</v>
      </c>
      <c r="V166" s="13" t="str">
        <f>IFERROR(VLOOKUP(K166,Справочники!$K$6:$L$13,2,0),K166)</f>
        <v>Симферополь</v>
      </c>
    </row>
    <row r="167" ht="15" customHeight="1">
      <c r="A167" s="10">
        <v>165</v>
      </c>
      <c r="B167" s="11" t="str">
        <f>RAW_Клиенты!A166</f>
        <v>C0165</v>
      </c>
      <c r="C167" s="11" t="str">
        <f>RAW_Клиенты!B166</f>
        <v xml:space="preserve">Гриценко Мария Владимировна</v>
      </c>
      <c r="D167" s="11" t="str">
        <f>RAW_Клиенты!C166</f>
        <v>28.02.1995</v>
      </c>
      <c r="E167" s="11" t="str">
        <f>RAW_Клиенты!D166</f>
        <v xml:space="preserve">8 903 123 45 67</v>
      </c>
      <c r="F167" s="11" t="str">
        <f>RAW_Клиенты!E166</f>
        <v>gricenko@gmail</v>
      </c>
      <c r="G167" s="11" t="str">
        <f>RAW_Клиенты!F166</f>
        <v>Брянск</v>
      </c>
      <c r="H167" s="11" t="str">
        <f>RAW_Клиенты!G166</f>
        <v>15.07.2026</v>
      </c>
      <c r="I167" s="12" t="str">
        <f t="shared" si="359"/>
        <v>89031234567</v>
      </c>
      <c r="J167" s="12" t="str">
        <f t="shared" si="360"/>
        <v>gricenko@gmail</v>
      </c>
      <c r="K167" s="12" t="str">
        <f t="shared" si="361"/>
        <v>Брянск</v>
      </c>
      <c r="L167" s="13" t="str">
        <f t="shared" si="362"/>
        <v>C0165</v>
      </c>
      <c r="M167" s="13" t="str">
        <f t="shared" si="363"/>
        <v xml:space="preserve">Гриценко Мария Владимировна</v>
      </c>
      <c r="N167" s="13" t="str">
        <f t="shared" si="364"/>
        <v>OK</v>
      </c>
      <c r="O167" s="19">
        <f t="shared" si="365"/>
        <v>34758</v>
      </c>
      <c r="P167" s="19">
        <f t="shared" si="366"/>
        <v>46218</v>
      </c>
      <c r="Q167" s="13">
        <f t="shared" ca="1" si="367"/>
        <v>31</v>
      </c>
      <c r="R167" s="13" t="str">
        <f t="shared" si="368"/>
        <v>OK</v>
      </c>
      <c r="S167" s="13" t="str">
        <f t="shared" si="369"/>
        <v xml:space="preserve">+7 (903) 123-45-67</v>
      </c>
      <c r="T167" s="13" t="str">
        <f t="shared" si="370"/>
        <v>gricenko@gmail</v>
      </c>
      <c r="U167" s="18" t="str">
        <f t="shared" si="371"/>
        <v xml:space="preserve">Ошибка Email</v>
      </c>
      <c r="V167" s="13" t="str">
        <f>IFERROR(VLOOKUP(K167,Справочники!$K$6:$L$13,2,0),K167)</f>
        <v>Брянск</v>
      </c>
    </row>
    <row r="168" ht="15" customHeight="1">
      <c r="A168" s="10">
        <v>166</v>
      </c>
      <c r="B168" s="11" t="str">
        <f>RAW_Клиенты!A167</f>
        <v>C0166</v>
      </c>
      <c r="C168" s="11" t="str">
        <f>RAW_Клиенты!B167</f>
        <v xml:space="preserve">Шевелева Екатерина Петровна</v>
      </c>
      <c r="D168" s="11" t="str">
        <f>RAW_Клиенты!C167</f>
        <v>20.05.1989</v>
      </c>
      <c r="E168" s="11" t="str">
        <f>RAW_Клиенты!D167</f>
        <v>+79031234567</v>
      </c>
      <c r="F168" s="11" t="str">
        <f>RAW_Клиенты!E167</f>
        <v>sheveleva@mail</v>
      </c>
      <c r="G168" s="11" t="str">
        <f>RAW_Клиенты!F167</f>
        <v>Абакан</v>
      </c>
      <c r="H168" s="11" t="str">
        <f>RAW_Клиенты!G167</f>
        <v>01.08.2026</v>
      </c>
      <c r="I168" s="12" t="str">
        <f t="shared" si="359"/>
        <v>79031234567</v>
      </c>
      <c r="J168" s="12" t="str">
        <f t="shared" si="360"/>
        <v>sheveleva@mail</v>
      </c>
      <c r="K168" s="12" t="str">
        <f t="shared" si="361"/>
        <v>Абакан</v>
      </c>
      <c r="L168" s="13" t="str">
        <f t="shared" si="362"/>
        <v>C0166</v>
      </c>
      <c r="M168" s="13" t="str">
        <f t="shared" si="363"/>
        <v xml:space="preserve">Шевелева Екатерина Петровна</v>
      </c>
      <c r="N168" s="13" t="str">
        <f t="shared" si="364"/>
        <v>OK</v>
      </c>
      <c r="O168" s="19">
        <f t="shared" si="365"/>
        <v>32648</v>
      </c>
      <c r="P168" s="19">
        <f t="shared" si="366"/>
        <v>46235</v>
      </c>
      <c r="Q168" s="13">
        <f t="shared" ca="1" si="367"/>
        <v>37</v>
      </c>
      <c r="R168" s="13" t="str">
        <f t="shared" si="368"/>
        <v>OK</v>
      </c>
      <c r="S168" s="13" t="str">
        <f t="shared" si="369"/>
        <v xml:space="preserve">+7 (903) 123-45-67</v>
      </c>
      <c r="T168" s="13" t="str">
        <f t="shared" si="370"/>
        <v>sheveleva@mail</v>
      </c>
      <c r="U168" s="18" t="str">
        <f t="shared" si="371"/>
        <v xml:space="preserve">Ошибка Email</v>
      </c>
      <c r="V168" s="13" t="str">
        <f>IFERROR(VLOOKUP(K168,Справочники!$K$6:$L$13,2,0),K168)</f>
        <v>Абакан</v>
      </c>
    </row>
    <row r="169" ht="15" customHeight="1">
      <c r="A169" s="10">
        <v>167</v>
      </c>
      <c r="B169" s="11" t="str">
        <f>RAW_Клиенты!A168</f>
        <v>C0167</v>
      </c>
      <c r="C169" s="11" t="str">
        <f>RAW_Клиенты!B168</f>
        <v xml:space="preserve">Аничкин Илья Алексеевич</v>
      </c>
      <c r="D169" s="11" t="str">
        <f>RAW_Клиенты!C168</f>
        <v>16.07.1971</v>
      </c>
      <c r="E169" s="11" t="str">
        <f>RAW_Клиенты!D168</f>
        <v>8-903-123-45-67</v>
      </c>
      <c r="F169" s="11" t="str">
        <f>RAW_Клиенты!E168</f>
        <v>anichkin@yandex</v>
      </c>
      <c r="G169" s="11" t="str">
        <f>RAW_Клиенты!F168</f>
        <v>Грозный</v>
      </c>
      <c r="H169" s="11" t="str">
        <f>RAW_Клиенты!G168</f>
        <v>2026-08-10</v>
      </c>
      <c r="I169" s="12" t="str">
        <f t="shared" si="359"/>
        <v>89031234567</v>
      </c>
      <c r="J169" s="12" t="str">
        <f t="shared" si="360"/>
        <v>anichkin@yandex</v>
      </c>
      <c r="K169" s="12" t="str">
        <f t="shared" si="361"/>
        <v>Грозный</v>
      </c>
      <c r="L169" s="13" t="str">
        <f t="shared" si="362"/>
        <v>C0167</v>
      </c>
      <c r="M169" s="13" t="str">
        <f t="shared" si="363"/>
        <v xml:space="preserve">Аничкин Илья Алексеевич</v>
      </c>
      <c r="N169" s="13" t="str">
        <f t="shared" si="364"/>
        <v>OK</v>
      </c>
      <c r="O169" s="19">
        <f t="shared" si="365"/>
        <v>26130</v>
      </c>
      <c r="P169" s="19">
        <f t="shared" si="366"/>
        <v>46244</v>
      </c>
      <c r="Q169" s="13">
        <f t="shared" ca="1" si="367"/>
        <v>55</v>
      </c>
      <c r="R169" s="13" t="str">
        <f t="shared" si="368"/>
        <v>OK</v>
      </c>
      <c r="S169" s="13" t="str">
        <f t="shared" si="369"/>
        <v xml:space="preserve">+7 (903) 123-45-67</v>
      </c>
      <c r="T169" s="13" t="str">
        <f t="shared" si="370"/>
        <v>anichkin@yandex</v>
      </c>
      <c r="U169" s="18" t="str">
        <f t="shared" si="371"/>
        <v xml:space="preserve">Ошибка Email</v>
      </c>
      <c r="V169" s="13" t="str">
        <f>IFERROR(VLOOKUP(K169,Справочники!$K$6:$L$13,2,0),K169)</f>
        <v>Грозный</v>
      </c>
    </row>
    <row r="170" ht="15" customHeight="1">
      <c r="A170" s="10">
        <v>168</v>
      </c>
      <c r="B170" s="11" t="str">
        <f>RAW_Клиенты!A169</f>
        <v>C0168</v>
      </c>
      <c r="C170" s="11" t="str">
        <f>RAW_Клиенты!B169</f>
        <v xml:space="preserve">Рябова Ольга Павловна</v>
      </c>
      <c r="D170" s="11" t="str">
        <f>RAW_Клиенты!C169</f>
        <v>10.12.1983</v>
      </c>
      <c r="E170" s="11" t="str">
        <f>RAW_Клиенты!D169</f>
        <v xml:space="preserve">8 903 234 56 78</v>
      </c>
      <c r="F170" s="11" t="str">
        <f>RAW_Клиенты!E169</f>
        <v>ryabova@gmail</v>
      </c>
      <c r="G170" s="11" t="str">
        <f>RAW_Клиенты!F169</f>
        <v>Бийск</v>
      </c>
      <c r="H170" s="11" t="str">
        <f>RAW_Клиенты!G169</f>
        <v>10.08.2026</v>
      </c>
      <c r="I170" s="12" t="str">
        <f t="shared" si="359"/>
        <v>89032345678</v>
      </c>
      <c r="J170" s="12" t="str">
        <f t="shared" si="360"/>
        <v>ryabova@gmail</v>
      </c>
      <c r="K170" s="12" t="str">
        <f t="shared" si="361"/>
        <v>Бийск</v>
      </c>
      <c r="L170" s="13" t="str">
        <f t="shared" si="362"/>
        <v>C0168</v>
      </c>
      <c r="M170" s="13" t="str">
        <f t="shared" si="363"/>
        <v xml:space="preserve">Рябова Ольга Павловна</v>
      </c>
      <c r="N170" s="13" t="str">
        <f t="shared" si="364"/>
        <v>OK</v>
      </c>
      <c r="O170" s="19">
        <f t="shared" si="365"/>
        <v>30660</v>
      </c>
      <c r="P170" s="19">
        <f t="shared" si="366"/>
        <v>46244</v>
      </c>
      <c r="Q170" s="13">
        <f t="shared" ca="1" si="367"/>
        <v>42</v>
      </c>
      <c r="R170" s="13" t="str">
        <f t="shared" si="368"/>
        <v>OK</v>
      </c>
      <c r="S170" s="13" t="str">
        <f t="shared" si="369"/>
        <v xml:space="preserve">+7 (903) 234-56-78</v>
      </c>
      <c r="T170" s="13" t="str">
        <f t="shared" si="370"/>
        <v>ryabova@gmail</v>
      </c>
      <c r="U170" s="18" t="str">
        <f t="shared" si="371"/>
        <v xml:space="preserve">Ошибка Email</v>
      </c>
      <c r="V170" s="13" t="str">
        <f>IFERROR(VLOOKUP(K170,Справочники!$K$6:$L$13,2,0),K170)</f>
        <v>Бийск</v>
      </c>
    </row>
    <row r="171" ht="15" customHeight="1">
      <c r="A171" s="10">
        <v>169</v>
      </c>
      <c r="B171" s="11" t="str">
        <f>RAW_Клиенты!A170</f>
        <v>C0169</v>
      </c>
      <c r="C171" s="11" t="str">
        <f>RAW_Клиенты!B170</f>
        <v xml:space="preserve">Гуляев Денис Николаевич</v>
      </c>
      <c r="D171" s="11" t="str">
        <f>RAW_Клиенты!C170</f>
        <v>21.03.1977</v>
      </c>
      <c r="E171" s="11" t="str">
        <f>RAW_Клиенты!D170</f>
        <v>+79032345678</v>
      </c>
      <c r="F171" s="11" t="str">
        <f>RAW_Клиенты!E170</f>
        <v>gulyaev@mail</v>
      </c>
      <c r="G171" s="11" t="str">
        <f>RAW_Клиенты!F170</f>
        <v>Йошкар-Ола</v>
      </c>
      <c r="H171" s="11" t="str">
        <f>RAW_Клиенты!G170</f>
        <v>01.09.2026</v>
      </c>
      <c r="I171" s="12" t="str">
        <f t="shared" si="359"/>
        <v>79032345678</v>
      </c>
      <c r="J171" s="12" t="str">
        <f t="shared" si="360"/>
        <v>gulyaev@mail</v>
      </c>
      <c r="K171" s="12" t="str">
        <f t="shared" si="361"/>
        <v>Йошкар-Ола</v>
      </c>
      <c r="L171" s="13" t="str">
        <f t="shared" si="362"/>
        <v>C0169</v>
      </c>
      <c r="M171" s="13" t="str">
        <f t="shared" si="363"/>
        <v xml:space="preserve">Гуляев Денис Николаевич</v>
      </c>
      <c r="N171" s="13" t="str">
        <f t="shared" si="364"/>
        <v>OK</v>
      </c>
      <c r="O171" s="19">
        <f t="shared" si="365"/>
        <v>28205</v>
      </c>
      <c r="P171" s="19">
        <f t="shared" si="366"/>
        <v>46266</v>
      </c>
      <c r="Q171" s="13">
        <f t="shared" ca="1" si="367"/>
        <v>49</v>
      </c>
      <c r="R171" s="13" t="str">
        <f t="shared" si="368"/>
        <v>OK</v>
      </c>
      <c r="S171" s="13" t="str">
        <f t="shared" si="369"/>
        <v xml:space="preserve">+7 (903) 234-56-78</v>
      </c>
      <c r="T171" s="13" t="str">
        <f t="shared" si="370"/>
        <v>gulyaev@mail</v>
      </c>
      <c r="U171" s="18" t="str">
        <f t="shared" si="371"/>
        <v xml:space="preserve">Ошибка Email</v>
      </c>
      <c r="V171" s="13" t="str">
        <f>IFERROR(VLOOKUP(K171,Справочники!$K$6:$L$13,2,0),K171)</f>
        <v>Йошкар-Ола</v>
      </c>
    </row>
    <row r="172" ht="15" customHeight="1">
      <c r="A172" s="10">
        <v>170</v>
      </c>
      <c r="B172" s="11" t="str">
        <f>RAW_Клиенты!A171</f>
        <v>C0170</v>
      </c>
      <c r="C172" s="11" t="str">
        <f>RAW_Клиенты!B171</f>
        <v xml:space="preserve">Горюнова Екатерина Андреевна</v>
      </c>
      <c r="D172" s="11" t="str">
        <f>RAW_Клиенты!C171</f>
        <v>04.09.1990</v>
      </c>
      <c r="E172" s="11" t="str">
        <f>RAW_Клиенты!D171</f>
        <v>8-903-234-56-78</v>
      </c>
      <c r="F172" s="11" t="str">
        <f>RAW_Клиенты!E171</f>
        <v>goryunova@yandex</v>
      </c>
      <c r="G172" s="11" t="str">
        <f>RAW_Клиенты!F171</f>
        <v>Курган</v>
      </c>
      <c r="H172" s="11" t="str">
        <f>RAW_Клиенты!G171</f>
        <v>2026-09-15</v>
      </c>
      <c r="I172" s="12" t="str">
        <f t="shared" si="359"/>
        <v>89032345678</v>
      </c>
      <c r="J172" s="12" t="str">
        <f t="shared" si="360"/>
        <v>goryunova@yandex</v>
      </c>
      <c r="K172" s="12" t="str">
        <f t="shared" si="361"/>
        <v>Курган</v>
      </c>
      <c r="L172" s="13" t="str">
        <f t="shared" si="362"/>
        <v>C0170</v>
      </c>
      <c r="M172" s="13" t="str">
        <f t="shared" si="363"/>
        <v xml:space="preserve">Горюнова Екатерина Андреевна</v>
      </c>
      <c r="N172" s="13" t="str">
        <f t="shared" si="364"/>
        <v>OK</v>
      </c>
      <c r="O172" s="19">
        <f t="shared" si="365"/>
        <v>33120</v>
      </c>
      <c r="P172" s="19">
        <f t="shared" si="366"/>
        <v>46280</v>
      </c>
      <c r="Q172" s="13">
        <f t="shared" ca="1" si="367"/>
        <v>36</v>
      </c>
      <c r="R172" s="13" t="str">
        <f t="shared" si="368"/>
        <v>OK</v>
      </c>
      <c r="S172" s="13" t="str">
        <f t="shared" si="369"/>
        <v xml:space="preserve">+7 (903) 234-56-78</v>
      </c>
      <c r="T172" s="13" t="str">
        <f t="shared" si="370"/>
        <v>goryunova@yandex</v>
      </c>
      <c r="U172" s="18" t="str">
        <f t="shared" si="371"/>
        <v xml:space="preserve">Ошибка Email</v>
      </c>
      <c r="V172" s="13" t="str">
        <f>IFERROR(VLOOKUP(K172,Справочники!$K$6:$L$13,2,0),K172)</f>
        <v>Курган</v>
      </c>
    </row>
    <row r="173" ht="15" customHeight="1">
      <c r="A173" s="10">
        <v>171</v>
      </c>
      <c r="B173" s="11" t="str">
        <f>RAW_Клиенты!A172</f>
        <v>C0171</v>
      </c>
      <c r="C173" s="11" t="str">
        <f>RAW_Клиенты!B172</f>
        <v xml:space="preserve">Константинов Максим Викторович</v>
      </c>
      <c r="D173" s="11" t="str">
        <f>RAW_Клиенты!C172</f>
        <v>19.06.1984</v>
      </c>
      <c r="E173" s="11" t="str">
        <f>RAW_Клиенты!D172</f>
        <v xml:space="preserve">8 903 345 67 89</v>
      </c>
      <c r="F173" s="11" t="str">
        <f>RAW_Клиенты!E172</f>
        <v>konstantinov@gmail</v>
      </c>
      <c r="G173" s="11" t="str">
        <f>RAW_Клиенты!F172</f>
        <v>Архангельск</v>
      </c>
      <c r="H173" s="11" t="str">
        <f>RAW_Клиенты!G172</f>
        <v>15.09.2026</v>
      </c>
      <c r="I173" s="12" t="str">
        <f t="shared" si="359"/>
        <v>89033456789</v>
      </c>
      <c r="J173" s="12" t="str">
        <f t="shared" si="360"/>
        <v>konstantinov@gmail</v>
      </c>
      <c r="K173" s="12" t="str">
        <f t="shared" si="361"/>
        <v>Архангельск</v>
      </c>
      <c r="L173" s="13" t="str">
        <f t="shared" si="362"/>
        <v>C0171</v>
      </c>
      <c r="M173" s="13" t="str">
        <f t="shared" si="363"/>
        <v xml:space="preserve">Константинов Максим Викторович</v>
      </c>
      <c r="N173" s="13" t="str">
        <f t="shared" si="364"/>
        <v>OK</v>
      </c>
      <c r="O173" s="19">
        <f t="shared" si="365"/>
        <v>30852</v>
      </c>
      <c r="P173" s="19">
        <f t="shared" si="366"/>
        <v>46280</v>
      </c>
      <c r="Q173" s="13">
        <f t="shared" ca="1" si="367"/>
        <v>42</v>
      </c>
      <c r="R173" s="13" t="str">
        <f t="shared" si="368"/>
        <v>OK</v>
      </c>
      <c r="S173" s="13" t="str">
        <f t="shared" si="369"/>
        <v xml:space="preserve">+7 (903) 345-67-89</v>
      </c>
      <c r="T173" s="13" t="str">
        <f t="shared" si="370"/>
        <v>konstantinov@gmail</v>
      </c>
      <c r="U173" s="18" t="str">
        <f t="shared" si="371"/>
        <v xml:space="preserve">Ошибка Email</v>
      </c>
      <c r="V173" s="13" t="str">
        <f>IFERROR(VLOOKUP(K173,Справочники!$K$6:$L$13,2,0),K173)</f>
        <v>Архангельск</v>
      </c>
    </row>
    <row r="174" ht="15" customHeight="1">
      <c r="A174" s="10">
        <v>172</v>
      </c>
      <c r="B174" s="11" t="str">
        <f>RAW_Клиенты!A173</f>
        <v>C0172</v>
      </c>
      <c r="C174" s="11" t="str">
        <f>RAW_Клиенты!B173</f>
        <v xml:space="preserve">Пантелеева Надежда Владимировна</v>
      </c>
      <c r="D174" s="11" t="str">
        <f>RAW_Клиенты!C173</f>
        <v>23.01.1972</v>
      </c>
      <c r="E174" s="11" t="str">
        <f>RAW_Клиенты!D173</f>
        <v>+79033456789</v>
      </c>
      <c r="F174" s="11" t="str">
        <f>RAW_Клиенты!E173</f>
        <v>panteleeva@mail</v>
      </c>
      <c r="G174" s="11" t="str">
        <f>RAW_Клиенты!F173</f>
        <v>Благовещенск</v>
      </c>
      <c r="H174" s="11" t="str">
        <f>RAW_Клиенты!G173</f>
        <v>01.10.2026</v>
      </c>
      <c r="I174" s="12" t="str">
        <f t="shared" si="359"/>
        <v>79033456789</v>
      </c>
      <c r="J174" s="12" t="str">
        <f t="shared" si="360"/>
        <v>panteleeva@mail</v>
      </c>
      <c r="K174" s="12" t="str">
        <f t="shared" si="361"/>
        <v>Благовещенск</v>
      </c>
      <c r="L174" s="13" t="str">
        <f t="shared" si="362"/>
        <v>C0172</v>
      </c>
      <c r="M174" s="13" t="str">
        <f t="shared" si="363"/>
        <v xml:space="preserve">Пантелеева Надежда Владимировна</v>
      </c>
      <c r="N174" s="13" t="str">
        <f t="shared" si="364"/>
        <v>OK</v>
      </c>
      <c r="O174" s="19">
        <f t="shared" si="365"/>
        <v>26321</v>
      </c>
      <c r="P174" s="19">
        <f t="shared" si="366"/>
        <v>46296</v>
      </c>
      <c r="Q174" s="13">
        <f t="shared" ca="1" si="367"/>
        <v>54</v>
      </c>
      <c r="R174" s="13" t="str">
        <f t="shared" si="368"/>
        <v>OK</v>
      </c>
      <c r="S174" s="13" t="str">
        <f t="shared" si="369"/>
        <v xml:space="preserve">+7 (903) 345-67-89</v>
      </c>
      <c r="T174" s="13" t="str">
        <f t="shared" si="370"/>
        <v>panteleeva@mail</v>
      </c>
      <c r="U174" s="18" t="str">
        <f t="shared" si="371"/>
        <v xml:space="preserve">Ошибка Email</v>
      </c>
      <c r="V174" s="13" t="str">
        <f>IFERROR(VLOOKUP(K174,Справочники!$K$6:$L$13,2,0),K174)</f>
        <v>Благовещенск</v>
      </c>
    </row>
    <row r="175" ht="15" customHeight="1">
      <c r="A175" s="10">
        <v>173</v>
      </c>
      <c r="B175" s="11" t="str">
        <f>RAW_Клиенты!A174</f>
        <v>C0173</v>
      </c>
      <c r="C175" s="11" t="str">
        <f>RAW_Клиенты!B174</f>
        <v xml:space="preserve">Елисеев Андрей Сергеевич</v>
      </c>
      <c r="D175" s="11" t="str">
        <f>RAW_Клиенты!C174</f>
        <v>08.08.1986</v>
      </c>
      <c r="E175" s="11" t="str">
        <f>RAW_Клиенты!D174</f>
        <v>8-903-345-67-89</v>
      </c>
      <c r="F175" s="11" t="str">
        <f>RAW_Клиенты!E174</f>
        <v>eliseev@yandex</v>
      </c>
      <c r="G175" s="11" t="str">
        <f>RAW_Клиенты!F174</f>
        <v>Майкоп</v>
      </c>
      <c r="H175" s="11" t="str">
        <f>RAW_Клиенты!G174</f>
        <v>2026-10-10</v>
      </c>
      <c r="I175" s="12" t="str">
        <f t="shared" si="359"/>
        <v>89033456789</v>
      </c>
      <c r="J175" s="12" t="str">
        <f t="shared" si="360"/>
        <v>eliseev@yandex</v>
      </c>
      <c r="K175" s="12" t="str">
        <f t="shared" si="361"/>
        <v>Майкоп</v>
      </c>
      <c r="L175" s="13" t="str">
        <f t="shared" si="362"/>
        <v>C0173</v>
      </c>
      <c r="M175" s="13" t="str">
        <f t="shared" si="363"/>
        <v xml:space="preserve">Елисеев Андрей Сергеевич</v>
      </c>
      <c r="N175" s="13" t="str">
        <f t="shared" si="364"/>
        <v>OK</v>
      </c>
      <c r="O175" s="19">
        <f t="shared" si="365"/>
        <v>31632</v>
      </c>
      <c r="P175" s="19">
        <f t="shared" si="366"/>
        <v>46305</v>
      </c>
      <c r="Q175" s="13">
        <f t="shared" ca="1" si="367"/>
        <v>40</v>
      </c>
      <c r="R175" s="13" t="str">
        <f t="shared" si="368"/>
        <v>OK</v>
      </c>
      <c r="S175" s="13" t="str">
        <f t="shared" si="369"/>
        <v xml:space="preserve">+7 (903) 345-67-89</v>
      </c>
      <c r="T175" s="13" t="str">
        <f t="shared" si="370"/>
        <v>eliseev@yandex</v>
      </c>
      <c r="U175" s="18" t="str">
        <f t="shared" si="371"/>
        <v xml:space="preserve">Ошибка Email</v>
      </c>
      <c r="V175" s="13" t="str">
        <f>IFERROR(VLOOKUP(K175,Справочники!$K$6:$L$13,2,0),K175)</f>
        <v>Майкоп</v>
      </c>
    </row>
    <row r="176" ht="15" customHeight="1">
      <c r="A176" s="10">
        <v>174</v>
      </c>
      <c r="B176" s="11" t="str">
        <f>RAW_Клиенты!A175</f>
        <v>C0174</v>
      </c>
      <c r="C176" s="11" t="str">
        <f>RAW_Клиенты!B175</f>
        <v xml:space="preserve">Щеголева Татьяна Ивановна</v>
      </c>
      <c r="D176" s="11" t="str">
        <f>RAW_Клиенты!C175</f>
        <v>25.11.1992</v>
      </c>
      <c r="E176" s="11" t="str">
        <f>RAW_Клиенты!D175</f>
        <v xml:space="preserve">8 903 456 78 90</v>
      </c>
      <c r="F176" s="11" t="str">
        <f>RAW_Клиенты!E175</f>
        <v>schegoleva@gmail</v>
      </c>
      <c r="G176" s="11" t="str">
        <f>RAW_Клиенты!F175</f>
        <v>Уссурийск</v>
      </c>
      <c r="H176" s="11" t="str">
        <f>RAW_Клиенты!G175</f>
        <v>10.10.2026</v>
      </c>
      <c r="I176" s="12" t="str">
        <f t="shared" si="359"/>
        <v>89034567890</v>
      </c>
      <c r="J176" s="12" t="str">
        <f t="shared" si="360"/>
        <v>schegoleva@gmail</v>
      </c>
      <c r="K176" s="12" t="str">
        <f t="shared" si="361"/>
        <v>Уссурийск</v>
      </c>
      <c r="L176" s="13" t="str">
        <f t="shared" si="362"/>
        <v>C0174</v>
      </c>
      <c r="M176" s="13" t="str">
        <f t="shared" si="363"/>
        <v xml:space="preserve">Щеголева Татьяна Ивановна</v>
      </c>
      <c r="N176" s="13" t="str">
        <f t="shared" si="364"/>
        <v>OK</v>
      </c>
      <c r="O176" s="19">
        <f t="shared" si="365"/>
        <v>33933</v>
      </c>
      <c r="P176" s="19">
        <f t="shared" si="366"/>
        <v>46305</v>
      </c>
      <c r="Q176" s="13">
        <f t="shared" ca="1" si="367"/>
        <v>33</v>
      </c>
      <c r="R176" s="13" t="str">
        <f t="shared" si="368"/>
        <v>OK</v>
      </c>
      <c r="S176" s="13" t="str">
        <f t="shared" si="369"/>
        <v xml:space="preserve">+7 (903) 456-78-90</v>
      </c>
      <c r="T176" s="13" t="str">
        <f t="shared" si="370"/>
        <v>schegoleva@gmail</v>
      </c>
      <c r="U176" s="18" t="str">
        <f t="shared" si="371"/>
        <v xml:space="preserve">Ошибка Email</v>
      </c>
      <c r="V176" s="13" t="str">
        <f>IFERROR(VLOOKUP(K176,Справочники!$K$6:$L$13,2,0),K176)</f>
        <v>Уссурийск</v>
      </c>
    </row>
    <row r="177" ht="15" customHeight="1">
      <c r="A177" s="10">
        <v>175</v>
      </c>
      <c r="B177" s="11" t="str">
        <f>RAW_Клиенты!A176</f>
        <v>C0175</v>
      </c>
      <c r="C177" s="11" t="str">
        <f>RAW_Клиенты!B176</f>
        <v xml:space="preserve">Алехин Виктор Викторович</v>
      </c>
      <c r="D177" s="11" t="str">
        <f>RAW_Клиенты!C176</f>
        <v>14.04.1978</v>
      </c>
      <c r="E177" s="11" t="str">
        <f>RAW_Клиенты!D176</f>
        <v>+79034567890</v>
      </c>
      <c r="F177" s="11" t="str">
        <f>RAW_Клиенты!E176</f>
        <v>alehin@mail</v>
      </c>
      <c r="G177" s="11" t="str">
        <f>RAW_Клиенты!F176</f>
        <v>Миасс</v>
      </c>
      <c r="H177" s="11" t="str">
        <f>RAW_Клиенты!G176</f>
        <v>01.11.2026</v>
      </c>
      <c r="I177" s="12" t="str">
        <f t="shared" si="359"/>
        <v>79034567890</v>
      </c>
      <c r="J177" s="12" t="str">
        <f t="shared" si="360"/>
        <v>alehin@mail</v>
      </c>
      <c r="K177" s="12" t="str">
        <f t="shared" si="361"/>
        <v>Миасс</v>
      </c>
      <c r="L177" s="13" t="str">
        <f t="shared" si="362"/>
        <v>C0175</v>
      </c>
      <c r="M177" s="13" t="str">
        <f t="shared" si="363"/>
        <v xml:space="preserve">Алехин Виктор Викторович</v>
      </c>
      <c r="N177" s="13" t="str">
        <f t="shared" si="364"/>
        <v>OK</v>
      </c>
      <c r="O177" s="19">
        <f t="shared" si="365"/>
        <v>28594</v>
      </c>
      <c r="P177" s="19">
        <f t="shared" si="366"/>
        <v>46327</v>
      </c>
      <c r="Q177" s="13">
        <f t="shared" ca="1" si="367"/>
        <v>48</v>
      </c>
      <c r="R177" s="13" t="str">
        <f t="shared" si="368"/>
        <v>OK</v>
      </c>
      <c r="S177" s="13" t="str">
        <f t="shared" si="369"/>
        <v xml:space="preserve">+7 (903) 456-78-90</v>
      </c>
      <c r="T177" s="13" t="str">
        <f t="shared" si="370"/>
        <v>alehin@mail</v>
      </c>
      <c r="U177" s="18" t="str">
        <f t="shared" si="371"/>
        <v xml:space="preserve">Ошибка Email</v>
      </c>
      <c r="V177" s="13" t="str">
        <f>IFERROR(VLOOKUP(K177,Справочники!$K$6:$L$13,2,0),K177)</f>
        <v>Миасс</v>
      </c>
    </row>
    <row r="178" ht="15" customHeight="1">
      <c r="A178" s="10">
        <v>176</v>
      </c>
      <c r="B178" s="11" t="str">
        <f>RAW_Клиенты!A177</f>
        <v>C0176</v>
      </c>
      <c r="C178" s="11" t="str">
        <f>RAW_Клиенты!B177</f>
        <v xml:space="preserve">Зверев Артем Сергеевич</v>
      </c>
      <c r="D178" s="11" t="str">
        <f>RAW_Клиенты!C177</f>
        <v>30.09.1981</v>
      </c>
      <c r="E178" s="11" t="str">
        <f>RAW_Клиенты!D177</f>
        <v>8-903-456-78-90</v>
      </c>
      <c r="F178" s="11" t="str">
        <f>RAW_Клиенты!E177</f>
        <v>zverev@yandex</v>
      </c>
      <c r="G178" s="11" t="str">
        <f>RAW_Клиенты!F177</f>
        <v>Кызыл</v>
      </c>
      <c r="H178" s="11" t="str">
        <f>RAW_Клиенты!G177</f>
        <v>2026-11-15</v>
      </c>
      <c r="I178" s="12" t="str">
        <f t="shared" si="359"/>
        <v>89034567890</v>
      </c>
      <c r="J178" s="12" t="str">
        <f t="shared" si="360"/>
        <v>zverev@yandex</v>
      </c>
      <c r="K178" s="12" t="str">
        <f t="shared" si="361"/>
        <v>Кызыл</v>
      </c>
      <c r="L178" s="13" t="str">
        <f t="shared" si="362"/>
        <v>C0176</v>
      </c>
      <c r="M178" s="13" t="str">
        <f t="shared" si="363"/>
        <v xml:space="preserve">Зверев Артем Сергеевич</v>
      </c>
      <c r="N178" s="13" t="str">
        <f t="shared" si="364"/>
        <v>OK</v>
      </c>
      <c r="O178" s="19">
        <f t="shared" si="365"/>
        <v>29859</v>
      </c>
      <c r="P178" s="19">
        <f t="shared" si="366"/>
        <v>46341</v>
      </c>
      <c r="Q178" s="13">
        <f t="shared" ca="1" si="367"/>
        <v>44</v>
      </c>
      <c r="R178" s="13" t="str">
        <f t="shared" si="368"/>
        <v>OK</v>
      </c>
      <c r="S178" s="13" t="str">
        <f t="shared" si="369"/>
        <v xml:space="preserve">+7 (903) 456-78-90</v>
      </c>
      <c r="T178" s="13" t="str">
        <f t="shared" si="370"/>
        <v>zverev@yandex</v>
      </c>
      <c r="U178" s="18" t="str">
        <f t="shared" si="371"/>
        <v xml:space="preserve">Ошибка Email</v>
      </c>
      <c r="V178" s="13" t="str">
        <f>IFERROR(VLOOKUP(K178,Справочники!$K$6:$L$13,2,0),K178)</f>
        <v>Кызыл</v>
      </c>
    </row>
    <row r="179" ht="15" customHeight="1">
      <c r="A179" s="10">
        <v>177</v>
      </c>
      <c r="B179" s="11" t="str">
        <f>RAW_Клиенты!A178</f>
        <v>C0177</v>
      </c>
      <c r="C179" s="11" t="str">
        <f>RAW_Клиенты!B178</f>
        <v xml:space="preserve">Исакова Мария Михайловна</v>
      </c>
      <c r="D179" s="11" t="str">
        <f>RAW_Клиенты!C178</f>
        <v>11.07.1987</v>
      </c>
      <c r="E179" s="11" t="str">
        <f>RAW_Клиенты!D178</f>
        <v xml:space="preserve">8 903 567 89 01</v>
      </c>
      <c r="F179" s="11" t="str">
        <f>RAW_Клиенты!E178</f>
        <v>isakova@gmail</v>
      </c>
      <c r="G179" s="11" t="str">
        <f>RAW_Клиенты!F178</f>
        <v>Калининград</v>
      </c>
      <c r="H179" s="11" t="str">
        <f>RAW_Клиенты!G178</f>
        <v>15.11.2026</v>
      </c>
      <c r="I179" s="12" t="str">
        <f t="shared" si="359"/>
        <v>89035678901</v>
      </c>
      <c r="J179" s="12" t="str">
        <f t="shared" si="360"/>
        <v>isakova@gmail</v>
      </c>
      <c r="K179" s="12" t="str">
        <f t="shared" si="361"/>
        <v>Калининград</v>
      </c>
      <c r="L179" s="13" t="str">
        <f t="shared" si="362"/>
        <v>C0177</v>
      </c>
      <c r="M179" s="13" t="str">
        <f t="shared" si="363"/>
        <v xml:space="preserve">Исакова Мария Михайловна</v>
      </c>
      <c r="N179" s="13" t="str">
        <f t="shared" si="364"/>
        <v>OK</v>
      </c>
      <c r="O179" s="19">
        <f t="shared" si="365"/>
        <v>31969</v>
      </c>
      <c r="P179" s="19">
        <f t="shared" si="366"/>
        <v>46341</v>
      </c>
      <c r="Q179" s="13">
        <f t="shared" ca="1" si="367"/>
        <v>39</v>
      </c>
      <c r="R179" s="13" t="str">
        <f t="shared" si="368"/>
        <v>OK</v>
      </c>
      <c r="S179" s="13" t="str">
        <f t="shared" si="369"/>
        <v xml:space="preserve">+7 (903) 567-89-01</v>
      </c>
      <c r="T179" s="13" t="str">
        <f t="shared" si="370"/>
        <v>isakova@gmail</v>
      </c>
      <c r="U179" s="18" t="str">
        <f t="shared" si="371"/>
        <v xml:space="preserve">Ошибка Email</v>
      </c>
      <c r="V179" s="13" t="str">
        <f>IFERROR(VLOOKUP(K179,Справочники!$K$6:$L$13,2,0),K179)</f>
        <v>Калининград</v>
      </c>
    </row>
    <row r="180" ht="15" customHeight="1">
      <c r="A180" s="10">
        <v>178</v>
      </c>
      <c r="B180" s="11" t="str">
        <f>RAW_Клиенты!A179</f>
        <v>C0178</v>
      </c>
      <c r="C180" s="11" t="str">
        <f>RAW_Клиенты!B179</f>
        <v xml:space="preserve">Симаков Григорий Павлович</v>
      </c>
      <c r="D180" s="11" t="str">
        <f>RAW_Клиенты!C179</f>
        <v>03.12.1994</v>
      </c>
      <c r="E180" s="11" t="str">
        <f>RAW_Клиенты!D179</f>
        <v>+79035678901</v>
      </c>
      <c r="F180" s="11" t="str">
        <f>RAW_Клиенты!E179</f>
        <v>simakov@mail</v>
      </c>
      <c r="G180" s="11" t="str">
        <f>RAW_Клиенты!F179</f>
        <v>Петрозаводск</v>
      </c>
      <c r="H180" s="11" t="str">
        <f>RAW_Клиенты!G179</f>
        <v>01.12.2026</v>
      </c>
      <c r="I180" s="12" t="str">
        <f t="shared" si="359"/>
        <v>79035678901</v>
      </c>
      <c r="J180" s="12" t="str">
        <f t="shared" si="360"/>
        <v>simakov@mail</v>
      </c>
      <c r="K180" s="12" t="str">
        <f t="shared" si="361"/>
        <v>Петрозаводск</v>
      </c>
      <c r="L180" s="13" t="str">
        <f t="shared" si="362"/>
        <v>C0178</v>
      </c>
      <c r="M180" s="13" t="str">
        <f t="shared" si="363"/>
        <v xml:space="preserve">Симаков Григорий Павлович</v>
      </c>
      <c r="N180" s="13" t="str">
        <f t="shared" si="364"/>
        <v>OK</v>
      </c>
      <c r="O180" s="19">
        <f t="shared" si="365"/>
        <v>34671</v>
      </c>
      <c r="P180" s="19">
        <f t="shared" si="366"/>
        <v>46357</v>
      </c>
      <c r="Q180" s="13">
        <f t="shared" ca="1" si="367"/>
        <v>31</v>
      </c>
      <c r="R180" s="13" t="str">
        <f t="shared" si="368"/>
        <v>OK</v>
      </c>
      <c r="S180" s="13" t="str">
        <f t="shared" si="369"/>
        <v xml:space="preserve">+7 (903) 567-89-01</v>
      </c>
      <c r="T180" s="13" t="str">
        <f t="shared" si="370"/>
        <v>simakov@mail</v>
      </c>
      <c r="U180" s="18" t="str">
        <f t="shared" si="371"/>
        <v xml:space="preserve">Ошибка Email</v>
      </c>
      <c r="V180" s="13" t="str">
        <f>IFERROR(VLOOKUP(K180,Справочники!$K$6:$L$13,2,0),K180)</f>
        <v>Петрозаводск</v>
      </c>
    </row>
    <row r="181" ht="15" customHeight="1">
      <c r="A181" s="10">
        <v>179</v>
      </c>
      <c r="B181" s="11" t="str">
        <f>RAW_Клиенты!A180</f>
        <v>C0179</v>
      </c>
      <c r="C181" s="11" t="str">
        <f>RAW_Клиенты!B180</f>
        <v xml:space="preserve">Кузькина Ольга Олеговна</v>
      </c>
      <c r="D181" s="11" t="str">
        <f>RAW_Клиенты!C180</f>
        <v>16.05.1976</v>
      </c>
      <c r="E181" s="11" t="str">
        <f>RAW_Клиенты!D180</f>
        <v>8-903-567-89-01</v>
      </c>
      <c r="F181" s="11" t="str">
        <f>RAW_Клиенты!E180</f>
        <v>kuzkina@yandex</v>
      </c>
      <c r="G181" s="11" t="str">
        <f>RAW_Клиенты!F180</f>
        <v>Рубцовск</v>
      </c>
      <c r="H181" s="11" t="str">
        <f>RAW_Клиенты!G180</f>
        <v>2026-12-10</v>
      </c>
      <c r="I181" s="12" t="str">
        <f t="shared" si="359"/>
        <v>89035678901</v>
      </c>
      <c r="J181" s="12" t="str">
        <f t="shared" si="360"/>
        <v>kuzkina@yandex</v>
      </c>
      <c r="K181" s="12" t="str">
        <f t="shared" si="361"/>
        <v>Рубцовск</v>
      </c>
      <c r="L181" s="13" t="str">
        <f t="shared" si="362"/>
        <v>C0179</v>
      </c>
      <c r="M181" s="13" t="str">
        <f t="shared" si="363"/>
        <v xml:space="preserve">Кузькина Ольга Олеговна</v>
      </c>
      <c r="N181" s="13" t="str">
        <f t="shared" si="364"/>
        <v>OK</v>
      </c>
      <c r="O181" s="19">
        <f t="shared" si="365"/>
        <v>27896</v>
      </c>
      <c r="P181" s="19">
        <f t="shared" si="366"/>
        <v>46366</v>
      </c>
      <c r="Q181" s="13">
        <f t="shared" ca="1" si="367"/>
        <v>50</v>
      </c>
      <c r="R181" s="13" t="str">
        <f t="shared" si="368"/>
        <v>OK</v>
      </c>
      <c r="S181" s="13" t="str">
        <f t="shared" si="369"/>
        <v xml:space="preserve">+7 (903) 567-89-01</v>
      </c>
      <c r="T181" s="13" t="str">
        <f t="shared" si="370"/>
        <v>kuzkina@yandex</v>
      </c>
      <c r="U181" s="18" t="str">
        <f t="shared" si="371"/>
        <v xml:space="preserve">Ошибка Email</v>
      </c>
      <c r="V181" s="13" t="str">
        <f>IFERROR(VLOOKUP(K181,Справочники!$K$6:$L$13,2,0),K181)</f>
        <v>Рубцовск</v>
      </c>
    </row>
    <row r="182" ht="15" customHeight="1">
      <c r="A182" s="10">
        <v>180</v>
      </c>
      <c r="B182" s="11" t="str">
        <f>RAW_Клиенты!A181</f>
        <v>C0180</v>
      </c>
      <c r="C182" s="11" t="str">
        <f>RAW_Клиенты!B181</f>
        <v xml:space="preserve">Лукин Дмитрий Николаевич</v>
      </c>
      <c r="D182" s="11" t="str">
        <f>RAW_Клиенты!C181</f>
        <v>01.10.1982</v>
      </c>
      <c r="E182" s="11" t="str">
        <f>RAW_Клиенты!D181</f>
        <v xml:space="preserve">8 903 678 90 12</v>
      </c>
      <c r="F182" s="11" t="str">
        <f>RAW_Клиенты!E181</f>
        <v>lukin@gmail</v>
      </c>
      <c r="G182" s="11" t="str">
        <f>RAW_Клиенты!F181</f>
        <v>Элиста</v>
      </c>
      <c r="H182" s="11" t="str">
        <f>RAW_Клиенты!G181</f>
        <v>10.12.2026</v>
      </c>
      <c r="I182" s="12" t="str">
        <f t="shared" si="359"/>
        <v>89036789012</v>
      </c>
      <c r="J182" s="12" t="str">
        <f t="shared" si="360"/>
        <v>lukin@gmail</v>
      </c>
      <c r="K182" s="12" t="str">
        <f t="shared" si="361"/>
        <v>Элиста</v>
      </c>
      <c r="L182" s="13" t="str">
        <f t="shared" si="362"/>
        <v>C0180</v>
      </c>
      <c r="M182" s="13" t="str">
        <f t="shared" si="363"/>
        <v xml:space="preserve">Лукин Дмитрий Николаевич</v>
      </c>
      <c r="N182" s="13" t="str">
        <f t="shared" si="364"/>
        <v>OK</v>
      </c>
      <c r="O182" s="19">
        <f t="shared" si="365"/>
        <v>30225</v>
      </c>
      <c r="P182" s="19">
        <f t="shared" si="366"/>
        <v>46366</v>
      </c>
      <c r="Q182" s="13">
        <f t="shared" ca="1" si="367"/>
        <v>43</v>
      </c>
      <c r="R182" s="13" t="str">
        <f t="shared" si="368"/>
        <v>OK</v>
      </c>
      <c r="S182" s="13" t="str">
        <f t="shared" si="369"/>
        <v xml:space="preserve">+7 (903) 678-90-12</v>
      </c>
      <c r="T182" s="13" t="str">
        <f t="shared" si="370"/>
        <v>lukin@gmail</v>
      </c>
      <c r="U182" s="18" t="str">
        <f t="shared" si="371"/>
        <v xml:space="preserve">Ошибка Email</v>
      </c>
      <c r="V182" s="13" t="str">
        <f>IFERROR(VLOOKUP(K182,Справочники!$K$6:$L$13,2,0),K182)</f>
        <v>Элиста</v>
      </c>
    </row>
    <row r="183" ht="15" customHeight="1">
      <c r="A183" s="10">
        <v>181</v>
      </c>
      <c r="B183" s="11" t="str">
        <f>RAW_Клиенты!A182</f>
        <v>C0181</v>
      </c>
      <c r="C183" s="11" t="str">
        <f>RAW_Клиенты!B182</f>
        <v xml:space="preserve">Астафьева Татьяна Борисовна</v>
      </c>
      <c r="D183" s="11" t="str">
        <f>RAW_Клиенты!C182</f>
        <v>28.02.1975</v>
      </c>
      <c r="E183" s="11" t="str">
        <f>RAW_Клиенты!D182</f>
        <v>+79036789012</v>
      </c>
      <c r="F183" s="11" t="str">
        <f>RAW_Клиенты!E182</f>
        <v>astafieva@mail</v>
      </c>
      <c r="G183" s="11" t="str">
        <f>RAW_Клиенты!F182</f>
        <v>Орск</v>
      </c>
      <c r="H183" s="11" t="str">
        <f>RAW_Клиенты!G182</f>
        <v>01.01.2027</v>
      </c>
      <c r="I183" s="12" t="str">
        <f t="shared" si="359"/>
        <v>79036789012</v>
      </c>
      <c r="J183" s="12" t="str">
        <f t="shared" si="360"/>
        <v>astafieva@mail</v>
      </c>
      <c r="K183" s="12" t="str">
        <f t="shared" si="361"/>
        <v>Орск</v>
      </c>
      <c r="L183" s="13" t="str">
        <f t="shared" si="362"/>
        <v>C0181</v>
      </c>
      <c r="M183" s="13" t="str">
        <f t="shared" si="363"/>
        <v xml:space="preserve">Астафьева Татьяна Борисовна</v>
      </c>
      <c r="N183" s="13" t="str">
        <f t="shared" si="364"/>
        <v>OK</v>
      </c>
      <c r="O183" s="19">
        <f t="shared" si="365"/>
        <v>27453</v>
      </c>
      <c r="P183" s="19">
        <f t="shared" si="366"/>
        <v>46388</v>
      </c>
      <c r="Q183" s="13">
        <f t="shared" ca="1" si="367"/>
        <v>51</v>
      </c>
      <c r="R183" s="13" t="str">
        <f t="shared" si="368"/>
        <v>OK</v>
      </c>
      <c r="S183" s="13" t="str">
        <f t="shared" si="369"/>
        <v xml:space="preserve">+7 (903) 678-90-12</v>
      </c>
      <c r="T183" s="13" t="str">
        <f t="shared" si="370"/>
        <v>astafieva@mail</v>
      </c>
      <c r="U183" s="18" t="str">
        <f t="shared" si="371"/>
        <v xml:space="preserve">Ошибка Email</v>
      </c>
      <c r="V183" s="13" t="str">
        <f>IFERROR(VLOOKUP(K183,Справочники!$K$6:$L$13,2,0),K183)</f>
        <v>Орск</v>
      </c>
    </row>
    <row r="184" ht="15" customHeight="1">
      <c r="A184" s="10">
        <v>182</v>
      </c>
      <c r="B184" s="11" t="str">
        <f>RAW_Клиенты!A183</f>
        <v>C0182</v>
      </c>
      <c r="C184" s="11" t="str">
        <f>RAW_Клиенты!B183</f>
        <v xml:space="preserve">Григорьев Андрей Игоревич</v>
      </c>
      <c r="D184" s="11" t="str">
        <f>RAW_Клиенты!C183</f>
        <v>14.08.1991</v>
      </c>
      <c r="E184" s="11" t="str">
        <f>RAW_Клиенты!D183</f>
        <v>8-903-678-90-12</v>
      </c>
      <c r="F184" s="11" t="str">
        <f>RAW_Клиенты!E183</f>
        <v>grigoriev@yandex</v>
      </c>
      <c r="G184" s="11" t="str">
        <f>RAW_Клиенты!F183</f>
        <v>Нижневартовск</v>
      </c>
      <c r="H184" s="11" t="str">
        <f>RAW_Клиенты!G183</f>
        <v>2027-01-15</v>
      </c>
      <c r="I184" s="12" t="str">
        <f t="shared" si="359"/>
        <v>89036789012</v>
      </c>
      <c r="J184" s="12" t="str">
        <f t="shared" si="360"/>
        <v>grigoriev@yandex</v>
      </c>
      <c r="K184" s="12" t="str">
        <f t="shared" si="361"/>
        <v>Нижневартовск</v>
      </c>
      <c r="L184" s="13" t="str">
        <f t="shared" si="362"/>
        <v>C0182</v>
      </c>
      <c r="M184" s="13" t="str">
        <f t="shared" si="363"/>
        <v xml:space="preserve">Григорьев Андрей Игоревич</v>
      </c>
      <c r="N184" s="13" t="str">
        <f t="shared" si="364"/>
        <v>OK</v>
      </c>
      <c r="O184" s="19">
        <f t="shared" si="365"/>
        <v>33464</v>
      </c>
      <c r="P184" s="19">
        <f t="shared" si="366"/>
        <v>46402</v>
      </c>
      <c r="Q184" s="13">
        <f t="shared" ca="1" si="367"/>
        <v>35</v>
      </c>
      <c r="R184" s="13" t="str">
        <f t="shared" si="368"/>
        <v>OK</v>
      </c>
      <c r="S184" s="13" t="str">
        <f t="shared" si="369"/>
        <v xml:space="preserve">+7 (903) 678-90-12</v>
      </c>
      <c r="T184" s="13" t="str">
        <f t="shared" si="370"/>
        <v>grigoriev@yandex</v>
      </c>
      <c r="U184" s="18" t="str">
        <f t="shared" si="371"/>
        <v xml:space="preserve">Ошибка Email</v>
      </c>
      <c r="V184" s="13" t="str">
        <f>IFERROR(VLOOKUP(K184,Справочники!$K$6:$L$13,2,0),K184)</f>
        <v>Нижневартовск</v>
      </c>
    </row>
    <row r="185" ht="15" customHeight="1">
      <c r="A185" s="10">
        <v>183</v>
      </c>
      <c r="B185" s="11" t="str">
        <f>RAW_Клиенты!A184</f>
        <v>C0183</v>
      </c>
      <c r="C185" s="11" t="str">
        <f>RAW_Клиенты!B184</f>
        <v xml:space="preserve">Чернова Екатерина Алексеевна</v>
      </c>
      <c r="D185" s="11" t="str">
        <f>RAW_Клиенты!C184</f>
        <v>04.06.1983</v>
      </c>
      <c r="E185" s="11" t="str">
        <f>RAW_Клиенты!D184</f>
        <v xml:space="preserve">8 903 789 01 23</v>
      </c>
      <c r="F185" s="11" t="str">
        <f>RAW_Клиенты!E184</f>
        <v>chernova@gmail</v>
      </c>
      <c r="G185" s="11" t="str">
        <f>RAW_Клиенты!F184</f>
        <v>Новороссийск</v>
      </c>
      <c r="H185" s="11" t="str">
        <f>RAW_Клиенты!G184</f>
        <v>15.01.2027</v>
      </c>
      <c r="I185" s="12" t="str">
        <f t="shared" si="359"/>
        <v>89037890123</v>
      </c>
      <c r="J185" s="12" t="str">
        <f t="shared" si="360"/>
        <v>chernova@gmail</v>
      </c>
      <c r="K185" s="12" t="str">
        <f t="shared" si="361"/>
        <v>Новороссийск</v>
      </c>
      <c r="L185" s="13" t="str">
        <f t="shared" si="362"/>
        <v>C0183</v>
      </c>
      <c r="M185" s="13" t="str">
        <f t="shared" si="363"/>
        <v xml:space="preserve">Чернова Екатерина Алексеевна</v>
      </c>
      <c r="N185" s="13" t="str">
        <f t="shared" si="364"/>
        <v>OK</v>
      </c>
      <c r="O185" s="19">
        <f t="shared" si="365"/>
        <v>30471</v>
      </c>
      <c r="P185" s="19">
        <f t="shared" si="366"/>
        <v>46402</v>
      </c>
      <c r="Q185" s="13">
        <f t="shared" ca="1" si="367"/>
        <v>43</v>
      </c>
      <c r="R185" s="13" t="str">
        <f t="shared" si="368"/>
        <v>OK</v>
      </c>
      <c r="S185" s="13" t="str">
        <f t="shared" si="369"/>
        <v xml:space="preserve">+7 (903) 789-01-23</v>
      </c>
      <c r="T185" s="13" t="str">
        <f t="shared" si="370"/>
        <v>chernova@gmail</v>
      </c>
      <c r="U185" s="18" t="str">
        <f t="shared" si="371"/>
        <v xml:space="preserve">Ошибка Email</v>
      </c>
      <c r="V185" s="13" t="str">
        <f>IFERROR(VLOOKUP(K185,Справочники!$K$6:$L$13,2,0),K185)</f>
        <v>Новороссийск</v>
      </c>
    </row>
    <row r="186" ht="15" customHeight="1">
      <c r="A186" s="10">
        <v>184</v>
      </c>
      <c r="B186" s="11" t="str">
        <f>RAW_Клиенты!A185</f>
        <v>C0184</v>
      </c>
      <c r="C186" s="11" t="str">
        <f>RAW_Клиенты!B185</f>
        <v xml:space="preserve">Прокопенко Олег Вадимович</v>
      </c>
      <c r="D186" s="11" t="str">
        <f>RAW_Клиенты!C185</f>
        <v>27.10.1970</v>
      </c>
      <c r="E186" s="11" t="str">
        <f>RAW_Клиенты!D185</f>
        <v>+79037890123</v>
      </c>
      <c r="F186" s="11" t="str">
        <f>RAW_Клиенты!E185</f>
        <v>prokopenko@mail</v>
      </c>
      <c r="G186" s="11" t="str">
        <f>RAW_Клиенты!F185</f>
        <v>Химки</v>
      </c>
      <c r="H186" s="11" t="str">
        <f>RAW_Клиенты!G185</f>
        <v>01.02.2027</v>
      </c>
      <c r="I186" s="12" t="str">
        <f t="shared" si="359"/>
        <v>79037890123</v>
      </c>
      <c r="J186" s="12" t="str">
        <f t="shared" si="360"/>
        <v>prokopenko@mail</v>
      </c>
      <c r="K186" s="12" t="str">
        <f t="shared" si="361"/>
        <v>Химки</v>
      </c>
      <c r="L186" s="13" t="str">
        <f t="shared" si="362"/>
        <v>C0184</v>
      </c>
      <c r="M186" s="13" t="str">
        <f t="shared" si="363"/>
        <v xml:space="preserve">Прокопенко Олег Вадимович</v>
      </c>
      <c r="N186" s="13" t="str">
        <f t="shared" si="364"/>
        <v>OK</v>
      </c>
      <c r="O186" s="19">
        <f t="shared" si="365"/>
        <v>25868</v>
      </c>
      <c r="P186" s="19">
        <f t="shared" si="366"/>
        <v>46419</v>
      </c>
      <c r="Q186" s="13">
        <f t="shared" ca="1" si="367"/>
        <v>55</v>
      </c>
      <c r="R186" s="13" t="str">
        <f t="shared" si="368"/>
        <v>OK</v>
      </c>
      <c r="S186" s="13" t="str">
        <f t="shared" si="369"/>
        <v xml:space="preserve">+7 (903) 789-01-23</v>
      </c>
      <c r="T186" s="13" t="str">
        <f t="shared" si="370"/>
        <v>prokopenko@mail</v>
      </c>
      <c r="U186" s="18" t="str">
        <f t="shared" si="371"/>
        <v xml:space="preserve">Ошибка Email</v>
      </c>
      <c r="V186" s="13" t="str">
        <f>IFERROR(VLOOKUP(K186,Справочники!$K$6:$L$13,2,0),K186)</f>
        <v>Химки</v>
      </c>
    </row>
    <row r="187" ht="15" customHeight="1">
      <c r="A187" s="10">
        <v>185</v>
      </c>
      <c r="B187" s="11" t="str">
        <f>RAW_Клиенты!A186</f>
        <v>C0185</v>
      </c>
      <c r="C187" s="11" t="str">
        <f>RAW_Клиенты!B186</f>
        <v xml:space="preserve">Сафонова Ирина Александровна</v>
      </c>
      <c r="D187" s="11" t="str">
        <f>RAW_Клиенты!C186</f>
        <v>19.03.1988</v>
      </c>
      <c r="E187" s="11" t="str">
        <f>RAW_Клиенты!D186</f>
        <v>8-903-789-01-23</v>
      </c>
      <c r="F187" s="11" t="str">
        <f>RAW_Клиенты!E186</f>
        <v>safonova@yandex</v>
      </c>
      <c r="G187" s="11" t="str">
        <f>RAW_Клиенты!F186</f>
        <v>Подольск</v>
      </c>
      <c r="H187" s="11" t="str">
        <f>RAW_Клиенты!G186</f>
        <v>2027-02-10</v>
      </c>
      <c r="I187" s="12" t="str">
        <f t="shared" si="359"/>
        <v>89037890123</v>
      </c>
      <c r="J187" s="12" t="str">
        <f t="shared" si="360"/>
        <v>safonova@yandex</v>
      </c>
      <c r="K187" s="12" t="str">
        <f t="shared" si="361"/>
        <v>Подольск</v>
      </c>
      <c r="L187" s="13" t="str">
        <f t="shared" si="362"/>
        <v>C0185</v>
      </c>
      <c r="M187" s="13" t="str">
        <f t="shared" si="363"/>
        <v xml:space="preserve">Сафонова Ирина Александровна</v>
      </c>
      <c r="N187" s="13" t="str">
        <f t="shared" si="364"/>
        <v>OK</v>
      </c>
      <c r="O187" s="19">
        <f t="shared" si="365"/>
        <v>32221</v>
      </c>
      <c r="P187" s="19">
        <f t="shared" si="366"/>
        <v>46428</v>
      </c>
      <c r="Q187" s="13">
        <f t="shared" ca="1" si="367"/>
        <v>38</v>
      </c>
      <c r="R187" s="13" t="str">
        <f t="shared" si="368"/>
        <v>OK</v>
      </c>
      <c r="S187" s="13" t="str">
        <f t="shared" si="369"/>
        <v xml:space="preserve">+7 (903) 789-01-23</v>
      </c>
      <c r="T187" s="13" t="str">
        <f t="shared" si="370"/>
        <v>safonova@yandex</v>
      </c>
      <c r="U187" s="18" t="str">
        <f t="shared" si="371"/>
        <v xml:space="preserve">Ошибка Email</v>
      </c>
      <c r="V187" s="13" t="str">
        <f>IFERROR(VLOOKUP(K187,Справочники!$K$6:$L$13,2,0),K187)</f>
        <v>Подольск</v>
      </c>
    </row>
    <row r="188" ht="15" customHeight="1">
      <c r="A188" s="10">
        <v>186</v>
      </c>
      <c r="B188" s="11" t="str">
        <f>RAW_Клиенты!A187</f>
        <v>C0186</v>
      </c>
      <c r="C188" s="11" t="str">
        <f>RAW_Клиенты!B187</f>
        <v xml:space="preserve">Колесов Иван Михайлович</v>
      </c>
      <c r="D188" s="11" t="str">
        <f>RAW_Клиенты!C187</f>
        <v>05.12.1995</v>
      </c>
      <c r="E188" s="11" t="str">
        <f>RAW_Клиенты!D187</f>
        <v xml:space="preserve">8 903 890 12 34</v>
      </c>
      <c r="F188" s="11" t="str">
        <f>RAW_Клиенты!E187</f>
        <v>kolesov@gmail</v>
      </c>
      <c r="G188" s="11" t="str">
        <f>RAW_Клиенты!F187</f>
        <v>Балашиха</v>
      </c>
      <c r="H188" s="11" t="str">
        <f>RAW_Клиенты!G187</f>
        <v>10.02.2027</v>
      </c>
      <c r="I188" s="12" t="str">
        <f t="shared" si="359"/>
        <v>89038901234</v>
      </c>
      <c r="J188" s="12" t="str">
        <f t="shared" si="360"/>
        <v>kolesov@gmail</v>
      </c>
      <c r="K188" s="12" t="str">
        <f t="shared" si="361"/>
        <v>Балашиха</v>
      </c>
      <c r="L188" s="13" t="str">
        <f t="shared" si="362"/>
        <v>C0186</v>
      </c>
      <c r="M188" s="13" t="str">
        <f t="shared" si="363"/>
        <v xml:space="preserve">Колесов Иван Михайлович</v>
      </c>
      <c r="N188" s="13" t="str">
        <f t="shared" si="364"/>
        <v>OK</v>
      </c>
      <c r="O188" s="19">
        <f t="shared" si="365"/>
        <v>35038</v>
      </c>
      <c r="P188" s="19">
        <f t="shared" si="366"/>
        <v>46428</v>
      </c>
      <c r="Q188" s="13">
        <f t="shared" ca="1" si="367"/>
        <v>30</v>
      </c>
      <c r="R188" s="13" t="str">
        <f t="shared" si="368"/>
        <v>OK</v>
      </c>
      <c r="S188" s="13" t="str">
        <f t="shared" si="369"/>
        <v xml:space="preserve">+7 (903) 890-12-34</v>
      </c>
      <c r="T188" s="13" t="str">
        <f t="shared" si="370"/>
        <v>kolesov@gmail</v>
      </c>
      <c r="U188" s="18" t="str">
        <f t="shared" si="371"/>
        <v xml:space="preserve">Ошибка Email</v>
      </c>
      <c r="V188" s="13" t="str">
        <f>IFERROR(VLOOKUP(K188,Справочники!$K$6:$L$13,2,0),K188)</f>
        <v>Балашиха</v>
      </c>
    </row>
    <row r="189" ht="15" customHeight="1">
      <c r="A189" s="10">
        <v>187</v>
      </c>
      <c r="B189" s="11" t="str">
        <f>RAW_Клиенты!A188</f>
        <v>C0187</v>
      </c>
      <c r="C189" s="11" t="str">
        <f>RAW_Клиенты!B188</f>
        <v xml:space="preserve">Трофимова Майя Сергеевна</v>
      </c>
      <c r="D189" s="11" t="str">
        <f>RAW_Клиенты!C188</f>
        <v>22.07.1977</v>
      </c>
      <c r="E189" s="11" t="str">
        <f>RAW_Клиенты!D188</f>
        <v>+79038901234</v>
      </c>
      <c r="F189" s="11" t="str">
        <f>RAW_Клиенты!E188</f>
        <v>trofimova@mail</v>
      </c>
      <c r="G189" s="11" t="str">
        <f>RAW_Клиенты!F188</f>
        <v>Сургут</v>
      </c>
      <c r="H189" s="11" t="str">
        <f>RAW_Клиенты!G188</f>
        <v>01.03.2027</v>
      </c>
      <c r="I189" s="12" t="str">
        <f t="shared" si="359"/>
        <v>79038901234</v>
      </c>
      <c r="J189" s="12" t="str">
        <f t="shared" si="360"/>
        <v>trofimova@mail</v>
      </c>
      <c r="K189" s="12" t="str">
        <f t="shared" si="361"/>
        <v>Сургут</v>
      </c>
      <c r="L189" s="13" t="str">
        <f t="shared" si="362"/>
        <v>C0187</v>
      </c>
      <c r="M189" s="13" t="str">
        <f t="shared" si="363"/>
        <v xml:space="preserve">Трофимова Майя Сергеевна</v>
      </c>
      <c r="N189" s="13" t="str">
        <f t="shared" si="364"/>
        <v>OK</v>
      </c>
      <c r="O189" s="19">
        <f t="shared" si="365"/>
        <v>28328</v>
      </c>
      <c r="P189" s="19">
        <f t="shared" si="366"/>
        <v>46447</v>
      </c>
      <c r="Q189" s="13">
        <f t="shared" ca="1" si="367"/>
        <v>49</v>
      </c>
      <c r="R189" s="13" t="str">
        <f t="shared" si="368"/>
        <v>OK</v>
      </c>
      <c r="S189" s="13" t="str">
        <f t="shared" si="369"/>
        <v xml:space="preserve">+7 (903) 890-12-34</v>
      </c>
      <c r="T189" s="13" t="str">
        <f t="shared" si="370"/>
        <v>trofimova@mail</v>
      </c>
      <c r="U189" s="18" t="str">
        <f t="shared" si="371"/>
        <v xml:space="preserve">Ошибка Email</v>
      </c>
      <c r="V189" s="13" t="str">
        <f>IFERROR(VLOOKUP(K189,Справочники!$K$6:$L$13,2,0),K189)</f>
        <v>Сургут</v>
      </c>
    </row>
    <row r="190" ht="15" customHeight="1">
      <c r="A190" s="10">
        <v>188</v>
      </c>
      <c r="B190" s="11" t="str">
        <f>RAW_Клиенты!A189</f>
        <v>C0188</v>
      </c>
      <c r="C190" s="11" t="str">
        <f>RAW_Клиенты!B189</f>
        <v xml:space="preserve">Василенко Константин Юрьевич</v>
      </c>
      <c r="D190" s="11" t="str">
        <f>RAW_Клиенты!C189</f>
        <v>16.05.1986</v>
      </c>
      <c r="E190" s="11" t="str">
        <f>RAW_Клиенты!D189</f>
        <v>8-903-890-12-34</v>
      </c>
      <c r="F190" s="11" t="str">
        <f>RAW_Клиенты!E189</f>
        <v>vasilenko@yandex</v>
      </c>
      <c r="G190" s="11" t="str">
        <f>RAW_Клиенты!F189</f>
        <v>Армавир</v>
      </c>
      <c r="H190" s="11" t="str">
        <f>RAW_Клиенты!G189</f>
        <v>2027-03-15</v>
      </c>
      <c r="I190" s="12" t="str">
        <f t="shared" si="359"/>
        <v>89038901234</v>
      </c>
      <c r="J190" s="12" t="str">
        <f t="shared" si="360"/>
        <v>vasilenko@yandex</v>
      </c>
      <c r="K190" s="12" t="str">
        <f t="shared" si="361"/>
        <v>Армавир</v>
      </c>
      <c r="L190" s="13" t="str">
        <f t="shared" si="362"/>
        <v>C0188</v>
      </c>
      <c r="M190" s="13" t="str">
        <f t="shared" si="363"/>
        <v xml:space="preserve">Василенко Константин Юрьевич</v>
      </c>
      <c r="N190" s="13" t="str">
        <f t="shared" si="364"/>
        <v>OK</v>
      </c>
      <c r="O190" s="19">
        <f t="shared" si="365"/>
        <v>31548</v>
      </c>
      <c r="P190" s="19">
        <f t="shared" si="366"/>
        <v>46461</v>
      </c>
      <c r="Q190" s="13">
        <f t="shared" ca="1" si="367"/>
        <v>40</v>
      </c>
      <c r="R190" s="13" t="str">
        <f t="shared" si="368"/>
        <v>OK</v>
      </c>
      <c r="S190" s="13" t="str">
        <f t="shared" si="369"/>
        <v xml:space="preserve">+7 (903) 890-12-34</v>
      </c>
      <c r="T190" s="13" t="str">
        <f t="shared" si="370"/>
        <v>vasilenko@yandex</v>
      </c>
      <c r="U190" s="18" t="str">
        <f t="shared" si="371"/>
        <v xml:space="preserve">Ошибка Email</v>
      </c>
      <c r="V190" s="13" t="str">
        <f>IFERROR(VLOOKUP(K190,Справочники!$K$6:$L$13,2,0),K190)</f>
        <v>Армавир</v>
      </c>
    </row>
    <row r="191" ht="15" customHeight="1">
      <c r="A191" s="10">
        <v>189</v>
      </c>
      <c r="B191" s="11" t="str">
        <f>RAW_Клиенты!A190</f>
        <v>C0189</v>
      </c>
      <c r="C191" s="11" t="str">
        <f>RAW_Клиенты!B190</f>
        <v xml:space="preserve">Юрченко Наталья Станиславовна</v>
      </c>
      <c r="D191" s="11" t="str">
        <f>RAW_Клиенты!C190</f>
        <v>08.01.1980</v>
      </c>
      <c r="E191" s="11" t="str">
        <f>RAW_Клиенты!D190</f>
        <v xml:space="preserve">8 903 901 23 45</v>
      </c>
      <c r="F191" s="11" t="str">
        <f>RAW_Клиенты!E190</f>
        <v>yurchenko@gmail</v>
      </c>
      <c r="G191" s="11" t="str">
        <f>RAW_Клиенты!F190</f>
        <v>Волжский</v>
      </c>
      <c r="H191" s="11" t="str">
        <f>RAW_Клиенты!G190</f>
        <v>15.03.2027</v>
      </c>
      <c r="I191" s="12" t="str">
        <f t="shared" si="359"/>
        <v>89039012345</v>
      </c>
      <c r="J191" s="12" t="str">
        <f t="shared" si="360"/>
        <v>yurchenko@gmail</v>
      </c>
      <c r="K191" s="12" t="str">
        <f t="shared" si="361"/>
        <v>Волжский</v>
      </c>
      <c r="L191" s="13" t="str">
        <f t="shared" si="362"/>
        <v>C0189</v>
      </c>
      <c r="M191" s="13" t="str">
        <f t="shared" si="363"/>
        <v xml:space="preserve">Юрченко Наталья Станиславовна</v>
      </c>
      <c r="N191" s="13" t="str">
        <f t="shared" si="364"/>
        <v>OK</v>
      </c>
      <c r="O191" s="19">
        <f t="shared" si="365"/>
        <v>29228</v>
      </c>
      <c r="P191" s="19">
        <f t="shared" si="366"/>
        <v>46461</v>
      </c>
      <c r="Q191" s="13">
        <f t="shared" ca="1" si="367"/>
        <v>46</v>
      </c>
      <c r="R191" s="13" t="str">
        <f t="shared" si="368"/>
        <v>OK</v>
      </c>
      <c r="S191" s="13" t="str">
        <f t="shared" si="369"/>
        <v xml:space="preserve">+7 (903) 901-23-45</v>
      </c>
      <c r="T191" s="13" t="str">
        <f t="shared" si="370"/>
        <v>yurchenko@gmail</v>
      </c>
      <c r="U191" s="18" t="str">
        <f t="shared" si="371"/>
        <v xml:space="preserve">Ошибка Email</v>
      </c>
      <c r="V191" s="13" t="str">
        <f>IFERROR(VLOOKUP(K191,Справочники!$K$6:$L$13,2,0),K191)</f>
        <v>Волжский</v>
      </c>
    </row>
    <row r="192" ht="15" customHeight="1">
      <c r="A192" s="10">
        <v>190</v>
      </c>
      <c r="B192" s="11" t="str">
        <f>RAW_Клиенты!A191</f>
        <v>C0190</v>
      </c>
      <c r="C192" s="11" t="str">
        <f>RAW_Клиенты!B191</f>
        <v xml:space="preserve">Прокофьев Евгений Владиславович</v>
      </c>
      <c r="D192" s="11" t="str">
        <f>RAW_Клиенты!C191</f>
        <v>03.09.1974</v>
      </c>
      <c r="E192" s="11" t="str">
        <f>RAW_Клиенты!D191</f>
        <v>+79039012345</v>
      </c>
      <c r="F192" s="11" t="str">
        <f>RAW_Клиенты!E191</f>
        <v>prokofiev@mail</v>
      </c>
      <c r="G192" s="11" t="str">
        <f>RAW_Клиенты!F191</f>
        <v>Шахты</v>
      </c>
      <c r="H192" s="11" t="str">
        <f>RAW_Клиенты!G191</f>
        <v>01.04.2027</v>
      </c>
      <c r="I192" s="12" t="str">
        <f t="shared" si="359"/>
        <v>79039012345</v>
      </c>
      <c r="J192" s="12" t="str">
        <f t="shared" si="360"/>
        <v>prokofiev@mail</v>
      </c>
      <c r="K192" s="12" t="str">
        <f t="shared" si="361"/>
        <v>Шахты</v>
      </c>
      <c r="L192" s="13" t="str">
        <f t="shared" si="362"/>
        <v>C0190</v>
      </c>
      <c r="M192" s="13" t="str">
        <f t="shared" si="363"/>
        <v xml:space="preserve">Прокофьев Евгений Владиславович</v>
      </c>
      <c r="N192" s="13" t="str">
        <f t="shared" si="364"/>
        <v>OK</v>
      </c>
      <c r="O192" s="19">
        <f t="shared" si="365"/>
        <v>27275</v>
      </c>
      <c r="P192" s="19">
        <f t="shared" si="366"/>
        <v>46478</v>
      </c>
      <c r="Q192" s="13">
        <f t="shared" ca="1" si="367"/>
        <v>52</v>
      </c>
      <c r="R192" s="13" t="str">
        <f t="shared" si="368"/>
        <v>OK</v>
      </c>
      <c r="S192" s="13" t="str">
        <f t="shared" si="369"/>
        <v xml:space="preserve">+7 (903) 901-23-45</v>
      </c>
      <c r="T192" s="13" t="str">
        <f t="shared" si="370"/>
        <v>prokofiev@mail</v>
      </c>
      <c r="U192" s="18" t="str">
        <f t="shared" si="371"/>
        <v xml:space="preserve">Ошибка Email</v>
      </c>
      <c r="V192" s="13" t="str">
        <f>IFERROR(VLOOKUP(K192,Справочники!$K$6:$L$13,2,0),K192)</f>
        <v>Шахты</v>
      </c>
    </row>
    <row r="193" ht="15" customHeight="1">
      <c r="A193" s="10">
        <v>191</v>
      </c>
      <c r="B193" s="11" t="str">
        <f>RAW_Клиенты!A192</f>
        <v>C0191</v>
      </c>
      <c r="C193" s="11" t="str">
        <f>RAW_Клиенты!B192</f>
        <v xml:space="preserve">Зыкова Анна Алексеевна</v>
      </c>
      <c r="D193" s="11" t="str">
        <f>RAW_Клиенты!C192</f>
        <v>25.11.1989</v>
      </c>
      <c r="E193" s="11" t="str">
        <f>RAW_Клиенты!D192</f>
        <v>8-903-901-23-45</v>
      </c>
      <c r="F193" s="11" t="str">
        <f>RAW_Клиенты!E192</f>
        <v>zykova@yandex</v>
      </c>
      <c r="G193" s="11" t="str">
        <f>RAW_Клиенты!F192</f>
        <v>Златоуст</v>
      </c>
      <c r="H193" s="11" t="str">
        <f>RAW_Клиенты!G192</f>
        <v>2027-04-10</v>
      </c>
      <c r="I193" s="12" t="str">
        <f t="shared" si="359"/>
        <v>89039012345</v>
      </c>
      <c r="J193" s="12" t="str">
        <f t="shared" si="360"/>
        <v>zykova@yandex</v>
      </c>
      <c r="K193" s="12" t="str">
        <f t="shared" si="361"/>
        <v>Златоуст</v>
      </c>
      <c r="L193" s="13" t="str">
        <f t="shared" si="362"/>
        <v>C0191</v>
      </c>
      <c r="M193" s="13" t="str">
        <f t="shared" si="363"/>
        <v xml:space="preserve">Зыкова Анна Алексеевна</v>
      </c>
      <c r="N193" s="13" t="str">
        <f t="shared" si="364"/>
        <v>OK</v>
      </c>
      <c r="O193" s="19">
        <f t="shared" si="365"/>
        <v>32837</v>
      </c>
      <c r="P193" s="19">
        <f t="shared" si="366"/>
        <v>46487</v>
      </c>
      <c r="Q193" s="13">
        <f t="shared" ca="1" si="367"/>
        <v>36</v>
      </c>
      <c r="R193" s="13" t="str">
        <f t="shared" si="368"/>
        <v>OK</v>
      </c>
      <c r="S193" s="13" t="str">
        <f t="shared" si="369"/>
        <v xml:space="preserve">+7 (903) 901-23-45</v>
      </c>
      <c r="T193" s="13" t="str">
        <f t="shared" si="370"/>
        <v>zykova@yandex</v>
      </c>
      <c r="U193" s="18" t="str">
        <f t="shared" si="371"/>
        <v xml:space="preserve">Ошибка Email</v>
      </c>
      <c r="V193" s="13" t="str">
        <f>IFERROR(VLOOKUP(K193,Справочники!$K$6:$L$13,2,0),K193)</f>
        <v>Златоуст</v>
      </c>
    </row>
    <row r="194" ht="15" customHeight="1">
      <c r="A194" s="10">
        <v>192</v>
      </c>
      <c r="B194" s="11" t="str">
        <f>RAW_Клиенты!A193</f>
        <v>C0192</v>
      </c>
      <c r="C194" s="11" t="str">
        <f>RAW_Клиенты!B193</f>
        <v xml:space="preserve">Шубин Илья Олегович</v>
      </c>
      <c r="D194" s="11" t="str">
        <f>RAW_Клиенты!C193</f>
        <v>12.04.1985</v>
      </c>
      <c r="E194" s="11" t="str">
        <f>RAW_Клиенты!D193</f>
        <v xml:space="preserve">8 903 012 34 56</v>
      </c>
      <c r="F194" s="11" t="str">
        <f>RAW_Клиенты!E193</f>
        <v>shubin@gmail</v>
      </c>
      <c r="G194" s="11" t="str">
        <f>RAW_Клиенты!F193</f>
        <v>Ангарск</v>
      </c>
      <c r="H194" s="11" t="str">
        <f>RAW_Клиенты!G193</f>
        <v>10.04.2027</v>
      </c>
      <c r="I194" s="12" t="str">
        <f t="shared" si="359"/>
        <v>89030123456</v>
      </c>
      <c r="J194" s="12" t="str">
        <f t="shared" si="360"/>
        <v>shubin@gmail</v>
      </c>
      <c r="K194" s="12" t="str">
        <f t="shared" si="361"/>
        <v>Ангарск</v>
      </c>
      <c r="L194" s="13" t="str">
        <f t="shared" si="362"/>
        <v>C0192</v>
      </c>
      <c r="M194" s="13" t="str">
        <f t="shared" si="363"/>
        <v xml:space="preserve">Шубин Илья Олегович</v>
      </c>
      <c r="N194" s="13" t="str">
        <f t="shared" si="364"/>
        <v>OK</v>
      </c>
      <c r="O194" s="19">
        <f t="shared" si="365"/>
        <v>31149</v>
      </c>
      <c r="P194" s="19">
        <f t="shared" si="366"/>
        <v>46487</v>
      </c>
      <c r="Q194" s="13">
        <f t="shared" ca="1" si="367"/>
        <v>41</v>
      </c>
      <c r="R194" s="13" t="str">
        <f t="shared" si="368"/>
        <v>OK</v>
      </c>
      <c r="S194" s="13" t="str">
        <f t="shared" si="369"/>
        <v xml:space="preserve">+7 (903) 012-34-56</v>
      </c>
      <c r="T194" s="13" t="str">
        <f t="shared" si="370"/>
        <v>shubin@gmail</v>
      </c>
      <c r="U194" s="18" t="str">
        <f t="shared" si="371"/>
        <v xml:space="preserve">Ошибка Email</v>
      </c>
      <c r="V194" s="13" t="str">
        <f>IFERROR(VLOOKUP(K194,Справочники!$K$6:$L$13,2,0),K194)</f>
        <v>Ангарск</v>
      </c>
    </row>
    <row r="195" ht="15" customHeight="1">
      <c r="A195" s="10">
        <v>193</v>
      </c>
      <c r="B195" s="11" t="str">
        <f>RAW_Клиенты!A194</f>
        <v>C0193</v>
      </c>
      <c r="C195" s="11" t="str">
        <f>RAW_Клиенты!B194</f>
        <v xml:space="preserve">Жукова Елена Сергеевна</v>
      </c>
      <c r="D195" s="11" t="str">
        <f>RAW_Клиенты!C194</f>
        <v>14.10.1976</v>
      </c>
      <c r="E195" s="11" t="str">
        <f>RAW_Клиенты!D194</f>
        <v>+79030123456</v>
      </c>
      <c r="F195" s="11" t="str">
        <f>RAW_Клиенты!E194</f>
        <v>zhukova@mail</v>
      </c>
      <c r="G195" s="11" t="str">
        <f>RAW_Клиенты!F194</f>
        <v>Озёрск</v>
      </c>
      <c r="H195" s="11" t="str">
        <f>RAW_Клиенты!G194</f>
        <v>01.05.2027</v>
      </c>
      <c r="I195" s="12" t="str">
        <f t="shared" si="359"/>
        <v>79030123456</v>
      </c>
      <c r="J195" s="12" t="str">
        <f t="shared" si="360"/>
        <v>zhukova@mail</v>
      </c>
      <c r="K195" s="12" t="str">
        <f t="shared" si="361"/>
        <v>Озёрск</v>
      </c>
      <c r="L195" s="13" t="str">
        <f t="shared" si="362"/>
        <v>C0193</v>
      </c>
      <c r="M195" s="13" t="str">
        <f t="shared" si="363"/>
        <v xml:space="preserve">Жукова Елена Сергеевна</v>
      </c>
      <c r="N195" s="13" t="str">
        <f t="shared" si="364"/>
        <v>OK</v>
      </c>
      <c r="O195" s="19">
        <f t="shared" si="365"/>
        <v>28047</v>
      </c>
      <c r="P195" s="19">
        <f t="shared" si="366"/>
        <v>46508</v>
      </c>
      <c r="Q195" s="13">
        <f t="shared" ca="1" si="367"/>
        <v>49</v>
      </c>
      <c r="R195" s="13" t="str">
        <f t="shared" si="368"/>
        <v>OK</v>
      </c>
      <c r="S195" s="13" t="str">
        <f t="shared" si="369"/>
        <v xml:space="preserve">+7 (903) 012-34-56</v>
      </c>
      <c r="T195" s="13" t="str">
        <f t="shared" si="370"/>
        <v>zhukova@mail</v>
      </c>
      <c r="U195" s="18" t="str">
        <f t="shared" si="371"/>
        <v xml:space="preserve">Ошибка Email</v>
      </c>
      <c r="V195" s="13" t="str">
        <f>IFERROR(VLOOKUP(K195,Справочники!$K$6:$L$13,2,0),K195)</f>
        <v>Озёрск</v>
      </c>
    </row>
    <row r="196" ht="15" customHeight="1">
      <c r="A196" s="10">
        <v>194</v>
      </c>
      <c r="B196" s="11" t="str">
        <f>RAW_Клиенты!A195</f>
        <v>C0194</v>
      </c>
      <c r="C196" s="11" t="str">
        <f>RAW_Клиенты!B195</f>
        <v xml:space="preserve">Баранов Андрей Владимирович</v>
      </c>
      <c r="D196" s="11" t="str">
        <f>RAW_Клиенты!C195</f>
        <v>06.06.1990</v>
      </c>
      <c r="E196" s="11" t="str">
        <f>RAW_Клиенты!D195</f>
        <v>8-903-012-34-56</v>
      </c>
      <c r="F196" s="11" t="str">
        <f>RAW_Клиенты!E195</f>
        <v>baranov@yandex</v>
      </c>
      <c r="G196" s="11" t="str">
        <f>RAW_Клиенты!F195</f>
        <v>Орел</v>
      </c>
      <c r="H196" s="11" t="str">
        <f>RAW_Клиенты!G195</f>
        <v>2027-05-15</v>
      </c>
      <c r="I196" s="12" t="str">
        <f t="shared" si="359"/>
        <v>89030123456</v>
      </c>
      <c r="J196" s="12" t="str">
        <f t="shared" si="360"/>
        <v>baranov@yandex</v>
      </c>
      <c r="K196" s="12" t="str">
        <f t="shared" si="361"/>
        <v>Орел</v>
      </c>
      <c r="L196" s="13" t="str">
        <f t="shared" si="362"/>
        <v>C0194</v>
      </c>
      <c r="M196" s="13" t="str">
        <f t="shared" si="363"/>
        <v xml:space="preserve">Баранов Андрей Владимирович</v>
      </c>
      <c r="N196" s="13" t="str">
        <f t="shared" si="364"/>
        <v>OK</v>
      </c>
      <c r="O196" s="19">
        <f t="shared" si="365"/>
        <v>33030</v>
      </c>
      <c r="P196" s="19">
        <f t="shared" si="366"/>
        <v>46522</v>
      </c>
      <c r="Q196" s="13">
        <f t="shared" ca="1" si="367"/>
        <v>36</v>
      </c>
      <c r="R196" s="13" t="str">
        <f t="shared" si="368"/>
        <v>OK</v>
      </c>
      <c r="S196" s="13" t="str">
        <f t="shared" si="369"/>
        <v xml:space="preserve">+7 (903) 012-34-56</v>
      </c>
      <c r="T196" s="13" t="str">
        <f t="shared" si="370"/>
        <v>baranov@yandex</v>
      </c>
      <c r="U196" s="18" t="str">
        <f t="shared" si="371"/>
        <v xml:space="preserve">Ошибка Email</v>
      </c>
      <c r="V196" s="13" t="str">
        <f>IFERROR(VLOOKUP(K196,Справочники!$K$6:$L$13,2,0),K196)</f>
        <v>Орел</v>
      </c>
    </row>
    <row r="197" ht="15" customHeight="1">
      <c r="A197" s="10">
        <v>195</v>
      </c>
      <c r="B197" s="11" t="str">
        <f>RAW_Клиенты!A196</f>
        <v>C0195</v>
      </c>
      <c r="C197" s="11" t="str">
        <f>RAW_Клиенты!B196</f>
        <v xml:space="preserve">Гурова Инна Павловна</v>
      </c>
      <c r="D197" s="11" t="str">
        <f>RAW_Клиенты!C196</f>
        <v>21.02.1983</v>
      </c>
      <c r="E197" s="11" t="str">
        <f>RAW_Клиенты!D196</f>
        <v xml:space="preserve">8 903 123 45 67</v>
      </c>
      <c r="F197" s="11" t="str">
        <f>RAW_Клиенты!E196</f>
        <v>gurova@gmail</v>
      </c>
      <c r="G197" s="11" t="str">
        <f>RAW_Клиенты!F196</f>
        <v>Якутск</v>
      </c>
      <c r="H197" s="11" t="str">
        <f>RAW_Клиенты!G196</f>
        <v>15.05.2027</v>
      </c>
      <c r="I197" s="12" t="str">
        <f t="shared" si="359"/>
        <v>89031234567</v>
      </c>
      <c r="J197" s="12" t="str">
        <f t="shared" si="360"/>
        <v>gurova@gmail</v>
      </c>
      <c r="K197" s="12" t="str">
        <f t="shared" si="361"/>
        <v>Якутск</v>
      </c>
      <c r="L197" s="13" t="str">
        <f t="shared" si="362"/>
        <v>C0195</v>
      </c>
      <c r="M197" s="13" t="str">
        <f t="shared" si="363"/>
        <v xml:space="preserve">Гурова Инна Павловна</v>
      </c>
      <c r="N197" s="13" t="str">
        <f t="shared" si="364"/>
        <v>OK</v>
      </c>
      <c r="O197" s="19">
        <f t="shared" si="365"/>
        <v>30368</v>
      </c>
      <c r="P197" s="19">
        <f t="shared" si="366"/>
        <v>46522</v>
      </c>
      <c r="Q197" s="13">
        <f t="shared" ca="1" si="367"/>
        <v>43</v>
      </c>
      <c r="R197" s="13" t="str">
        <f t="shared" si="368"/>
        <v>OK</v>
      </c>
      <c r="S197" s="13" t="str">
        <f t="shared" si="369"/>
        <v xml:space="preserve">+7 (903) 123-45-67</v>
      </c>
      <c r="T197" s="13" t="str">
        <f t="shared" si="370"/>
        <v>gurova@gmail</v>
      </c>
      <c r="U197" s="18" t="str">
        <f t="shared" si="371"/>
        <v xml:space="preserve">Ошибка Email</v>
      </c>
      <c r="V197" s="13" t="str">
        <f>IFERROR(VLOOKUP(K197,Справочники!$K$6:$L$13,2,0),K197)</f>
        <v>Якутск</v>
      </c>
    </row>
    <row r="198" ht="15" customHeight="1">
      <c r="A198" s="10">
        <v>196</v>
      </c>
      <c r="B198" s="11" t="str">
        <f>RAW_Клиенты!A197</f>
        <v>C0196</v>
      </c>
      <c r="C198" s="11" t="str">
        <f>RAW_Клиенты!B197</f>
        <v xml:space="preserve">Лазарев Алексей Олегович</v>
      </c>
      <c r="D198" s="11" t="str">
        <f>RAW_Клиенты!C197</f>
        <v>17.08.1971</v>
      </c>
      <c r="E198" s="11" t="str">
        <f>RAW_Клиенты!D197</f>
        <v>+79031234567</v>
      </c>
      <c r="F198" s="11" t="str">
        <f>RAW_Клиенты!E197</f>
        <v>lazarev@mail</v>
      </c>
      <c r="G198" s="11" t="str">
        <f>RAW_Клиенты!F197</f>
        <v>Чебоксары</v>
      </c>
      <c r="H198" s="11" t="str">
        <f>RAW_Клиенты!G197</f>
        <v>01.06.2027</v>
      </c>
      <c r="I198" s="12" t="str">
        <f t="shared" si="359"/>
        <v>79031234567</v>
      </c>
      <c r="J198" s="12" t="str">
        <f t="shared" si="360"/>
        <v>lazarev@mail</v>
      </c>
      <c r="K198" s="12" t="str">
        <f t="shared" si="361"/>
        <v>Чебоксары</v>
      </c>
      <c r="L198" s="13" t="str">
        <f t="shared" si="362"/>
        <v>C0196</v>
      </c>
      <c r="M198" s="13" t="str">
        <f t="shared" si="363"/>
        <v xml:space="preserve">Лазарев Алексей Олегович</v>
      </c>
      <c r="N198" s="13" t="str">
        <f t="shared" si="364"/>
        <v>OK</v>
      </c>
      <c r="O198" s="19">
        <f t="shared" si="365"/>
        <v>26162</v>
      </c>
      <c r="P198" s="19">
        <f t="shared" si="366"/>
        <v>46539</v>
      </c>
      <c r="Q198" s="13">
        <f t="shared" ca="1" si="367"/>
        <v>55</v>
      </c>
      <c r="R198" s="13" t="str">
        <f t="shared" si="368"/>
        <v>OK</v>
      </c>
      <c r="S198" s="13" t="str">
        <f t="shared" si="369"/>
        <v xml:space="preserve">+7 (903) 123-45-67</v>
      </c>
      <c r="T198" s="13" t="str">
        <f t="shared" si="370"/>
        <v>lazarev@mail</v>
      </c>
      <c r="U198" s="18" t="str">
        <f t="shared" si="371"/>
        <v xml:space="preserve">Ошибка Email</v>
      </c>
      <c r="V198" s="13" t="str">
        <f>IFERROR(VLOOKUP(K198,Справочники!$K$6:$L$13,2,0),K198)</f>
        <v>Чебоксары</v>
      </c>
    </row>
    <row r="199" ht="15" customHeight="1">
      <c r="A199" s="10">
        <v>197</v>
      </c>
      <c r="B199" s="11" t="str">
        <f>RAW_Клиенты!A198</f>
        <v>C0197</v>
      </c>
      <c r="C199" s="11" t="str">
        <f>RAW_Клиенты!B198</f>
        <v xml:space="preserve">Карташова Ольга Валерьевна</v>
      </c>
      <c r="D199" s="11" t="str">
        <f>RAW_Клиенты!C198</f>
        <v>09.12.1987</v>
      </c>
      <c r="E199" s="11" t="str">
        <f>RAW_Клиенты!D198</f>
        <v>8-903-123-45-67</v>
      </c>
      <c r="F199" s="11" t="str">
        <f>RAW_Клиенты!E198</f>
        <v>kartashova@yandex</v>
      </c>
      <c r="G199" s="11" t="str">
        <f>RAW_Клиенты!F198</f>
        <v>Мурманск</v>
      </c>
      <c r="H199" s="11" t="str">
        <f>RAW_Клиенты!G198</f>
        <v>2027-06-10</v>
      </c>
      <c r="I199" s="12" t="str">
        <f t="shared" si="359"/>
        <v>89031234567</v>
      </c>
      <c r="J199" s="12" t="str">
        <f t="shared" si="360"/>
        <v>kartashova@yandex</v>
      </c>
      <c r="K199" s="12" t="str">
        <f t="shared" si="361"/>
        <v>Мурманск</v>
      </c>
      <c r="L199" s="13" t="str">
        <f t="shared" si="362"/>
        <v>C0197</v>
      </c>
      <c r="M199" s="13" t="str">
        <f t="shared" si="363"/>
        <v xml:space="preserve">Карташова Ольга Валерьевна</v>
      </c>
      <c r="N199" s="13" t="str">
        <f t="shared" si="364"/>
        <v>OK</v>
      </c>
      <c r="O199" s="19">
        <f t="shared" si="365"/>
        <v>32120</v>
      </c>
      <c r="P199" s="19">
        <f t="shared" si="366"/>
        <v>46548</v>
      </c>
      <c r="Q199" s="13">
        <f t="shared" ca="1" si="367"/>
        <v>38</v>
      </c>
      <c r="R199" s="13" t="str">
        <f t="shared" si="368"/>
        <v>OK</v>
      </c>
      <c r="S199" s="13" t="str">
        <f t="shared" si="369"/>
        <v xml:space="preserve">+7 (903) 123-45-67</v>
      </c>
      <c r="T199" s="13" t="str">
        <f t="shared" si="370"/>
        <v>kartashova@yandex</v>
      </c>
      <c r="U199" s="18" t="str">
        <f t="shared" si="371"/>
        <v xml:space="preserve">Ошибка Email</v>
      </c>
      <c r="V199" s="13" t="str">
        <f>IFERROR(VLOOKUP(K199,Справочники!$K$6:$L$13,2,0),K199)</f>
        <v>Мурманск</v>
      </c>
    </row>
    <row r="200" ht="15" customHeight="1">
      <c r="A200" s="10">
        <v>198</v>
      </c>
      <c r="B200" s="11" t="str">
        <f>RAW_Клиенты!A199</f>
        <v>C0198</v>
      </c>
      <c r="C200" s="11" t="str">
        <f>RAW_Клиенты!B199</f>
        <v xml:space="preserve">Олейник Светлана Николаевна</v>
      </c>
      <c r="D200" s="11" t="str">
        <f>RAW_Клиенты!C199</f>
        <v>28.05.1994</v>
      </c>
      <c r="E200" s="11" t="str">
        <f>RAW_Клиенты!D199</f>
        <v xml:space="preserve">8 903 234 56 78</v>
      </c>
      <c r="F200" s="11" t="str">
        <f>RAW_Клиенты!E199</f>
        <v>oleynik@gmail</v>
      </c>
      <c r="G200" s="11" t="str">
        <f>RAW_Клиенты!F199</f>
        <v>Смоленск</v>
      </c>
      <c r="H200" s="11" t="str">
        <f>RAW_Клиенты!G199</f>
        <v>10.06.2027</v>
      </c>
      <c r="I200" s="12" t="str">
        <f t="shared" si="359"/>
        <v>89032345678</v>
      </c>
      <c r="J200" s="12" t="str">
        <f t="shared" si="360"/>
        <v>oleynik@gmail</v>
      </c>
      <c r="K200" s="12" t="str">
        <f t="shared" si="361"/>
        <v>Смоленск</v>
      </c>
      <c r="L200" s="13" t="str">
        <f t="shared" si="362"/>
        <v>C0198</v>
      </c>
      <c r="M200" s="13" t="str">
        <f t="shared" si="363"/>
        <v xml:space="preserve">Олейник Светлана Николаевна</v>
      </c>
      <c r="N200" s="13" t="str">
        <f t="shared" si="364"/>
        <v>OK</v>
      </c>
      <c r="O200" s="19">
        <f t="shared" si="365"/>
        <v>34482</v>
      </c>
      <c r="P200" s="19">
        <f t="shared" si="366"/>
        <v>46548</v>
      </c>
      <c r="Q200" s="13">
        <f t="shared" ca="1" si="367"/>
        <v>32</v>
      </c>
      <c r="R200" s="13" t="str">
        <f t="shared" si="368"/>
        <v>OK</v>
      </c>
      <c r="S200" s="13" t="str">
        <f t="shared" si="369"/>
        <v xml:space="preserve">+7 (903) 234-56-78</v>
      </c>
      <c r="T200" s="13" t="str">
        <f t="shared" si="370"/>
        <v>oleynik@gmail</v>
      </c>
      <c r="U200" s="18" t="str">
        <f t="shared" si="371"/>
        <v xml:space="preserve">Ошибка Email</v>
      </c>
      <c r="V200" s="13" t="str">
        <f>IFERROR(VLOOKUP(K200,Справочники!$K$6:$L$13,2,0),K200)</f>
        <v>Смоленск</v>
      </c>
    </row>
    <row r="201" ht="15" customHeight="1">
      <c r="A201" s="10">
        <v>199</v>
      </c>
      <c r="B201" s="11" t="str">
        <f>RAW_Клиенты!A200</f>
        <v>C0199</v>
      </c>
      <c r="C201" s="11" t="str">
        <f>RAW_Клиенты!B200</f>
        <v xml:space="preserve">Нестеров Никита Алексеевич</v>
      </c>
      <c r="D201" s="11" t="str">
        <f>RAW_Клиенты!C200</f>
        <v>03.07.1979</v>
      </c>
      <c r="E201" s="11" t="str">
        <f>RAW_Клиенты!D200</f>
        <v>+79032345678</v>
      </c>
      <c r="F201" s="11" t="str">
        <f>RAW_Клиенты!E200</f>
        <v>nesterov@mail</v>
      </c>
      <c r="G201" s="11" t="str">
        <f>RAW_Клиенты!F200</f>
        <v>Тула</v>
      </c>
      <c r="H201" s="11" t="str">
        <f>RAW_Клиенты!G200</f>
        <v>01.07.2027</v>
      </c>
      <c r="I201" s="12" t="str">
        <f t="shared" si="359"/>
        <v>79032345678</v>
      </c>
      <c r="J201" s="12" t="str">
        <f t="shared" si="360"/>
        <v>nesterov@mail</v>
      </c>
      <c r="K201" s="12" t="str">
        <f t="shared" si="361"/>
        <v>Тула</v>
      </c>
      <c r="L201" s="13" t="str">
        <f t="shared" si="362"/>
        <v>C0199</v>
      </c>
      <c r="M201" s="13" t="str">
        <f t="shared" si="363"/>
        <v xml:space="preserve">Нестеров Никита Алексеевич</v>
      </c>
      <c r="N201" s="13" t="str">
        <f t="shared" si="364"/>
        <v>OK</v>
      </c>
      <c r="O201" s="19">
        <f t="shared" si="365"/>
        <v>29039</v>
      </c>
      <c r="P201" s="19">
        <f t="shared" si="366"/>
        <v>46569</v>
      </c>
      <c r="Q201" s="13">
        <f t="shared" ca="1" si="367"/>
        <v>47</v>
      </c>
      <c r="R201" s="13" t="str">
        <f t="shared" si="368"/>
        <v>OK</v>
      </c>
      <c r="S201" s="13" t="str">
        <f t="shared" si="369"/>
        <v xml:space="preserve">+7 (903) 234-56-78</v>
      </c>
      <c r="T201" s="13" t="str">
        <f t="shared" si="370"/>
        <v>nesterov@mail</v>
      </c>
      <c r="U201" s="18" t="str">
        <f t="shared" si="371"/>
        <v xml:space="preserve">Ошибка Email</v>
      </c>
      <c r="V201" s="13" t="str">
        <f>IFERROR(VLOOKUP(K201,Справочники!$K$6:$L$13,2,0),K201)</f>
        <v>Тула</v>
      </c>
    </row>
    <row r="202" ht="15" customHeight="1">
      <c r="A202" s="10">
        <v>200</v>
      </c>
      <c r="B202" s="11" t="str">
        <f>RAW_Клиенты!A201</f>
        <v>C0200</v>
      </c>
      <c r="C202" s="11" t="str">
        <f>RAW_Клиенты!B201</f>
        <v xml:space="preserve">Рожков Денис Вячеславович</v>
      </c>
      <c r="D202" s="11" t="str">
        <f>RAW_Клиенты!C201</f>
        <v>19.11.1986</v>
      </c>
      <c r="E202" s="11" t="str">
        <f>RAW_Клиенты!D201</f>
        <v>8-903-234-56-78</v>
      </c>
      <c r="F202" s="11" t="str">
        <f>RAW_Клиенты!E201</f>
        <v>rozhkov@yandex</v>
      </c>
      <c r="G202" s="11" t="str">
        <f>RAW_Клиенты!F201</f>
        <v>Калуга</v>
      </c>
      <c r="H202" s="11" t="str">
        <f>RAW_Клиенты!G201</f>
        <v>2027-07-15</v>
      </c>
      <c r="I202" s="12" t="str">
        <f t="shared" si="359"/>
        <v>89032345678</v>
      </c>
      <c r="J202" s="12" t="str">
        <f t="shared" si="360"/>
        <v>rozhkov@yandex</v>
      </c>
      <c r="K202" s="12" t="str">
        <f t="shared" si="361"/>
        <v>Калуга</v>
      </c>
      <c r="L202" s="13" t="str">
        <f t="shared" si="362"/>
        <v>C0200</v>
      </c>
      <c r="M202" s="13" t="str">
        <f t="shared" si="363"/>
        <v xml:space="preserve">Рожков Денис Вячеславович</v>
      </c>
      <c r="N202" s="13" t="str">
        <f t="shared" si="364"/>
        <v>OK</v>
      </c>
      <c r="O202" s="19">
        <f t="shared" si="365"/>
        <v>31735</v>
      </c>
      <c r="P202" s="19">
        <f t="shared" si="366"/>
        <v>46583</v>
      </c>
      <c r="Q202" s="13">
        <f t="shared" ca="1" si="367"/>
        <v>39</v>
      </c>
      <c r="R202" s="13" t="str">
        <f t="shared" si="368"/>
        <v>OK</v>
      </c>
      <c r="S202" s="13" t="str">
        <f t="shared" si="369"/>
        <v xml:space="preserve">+7 (903) 234-56-78</v>
      </c>
      <c r="T202" s="13" t="str">
        <f t="shared" si="370"/>
        <v>rozhkov@yandex</v>
      </c>
      <c r="U202" s="18" t="str">
        <f t="shared" si="371"/>
        <v xml:space="preserve">Ошибка Email</v>
      </c>
      <c r="V202" s="13" t="str">
        <f>IFERROR(VLOOKUP(K202,Справочники!$K$6:$L$13,2,0),K202)</f>
        <v>Калуга</v>
      </c>
    </row>
    <row r="203" ht="15" customHeight="1">
      <c r="A203" s="10">
        <v>201</v>
      </c>
      <c r="B203" s="11" t="str">
        <f>RAW_Клиенты!A202</f>
        <v>C0201</v>
      </c>
      <c r="C203" s="11" t="str">
        <f>RAW_Клиенты!B202</f>
        <v xml:space="preserve">Кравченко Екатерина Игоревна</v>
      </c>
      <c r="D203" s="11" t="str">
        <f>RAW_Клиенты!C202</f>
        <v>22.04.1981</v>
      </c>
      <c r="E203" s="11" t="str">
        <f>RAW_Клиенты!D202</f>
        <v xml:space="preserve">8 903 345 67 89</v>
      </c>
      <c r="F203" s="11" t="str">
        <f>RAW_Клиенты!E202</f>
        <v>kravchenko@gmail</v>
      </c>
      <c r="G203" s="11" t="str">
        <f>RAW_Клиенты!F202</f>
        <v>Владикавказ</v>
      </c>
      <c r="H203" s="11" t="str">
        <f>RAW_Клиенты!G202</f>
        <v>15.07.2027</v>
      </c>
      <c r="I203" s="12" t="str">
        <f t="shared" si="359"/>
        <v>89033456789</v>
      </c>
      <c r="J203" s="12" t="str">
        <f t="shared" si="360"/>
        <v>kravchenko@gmail</v>
      </c>
      <c r="K203" s="12" t="str">
        <f t="shared" si="361"/>
        <v>Владикавказ</v>
      </c>
      <c r="L203" s="13" t="str">
        <f t="shared" si="362"/>
        <v>C0201</v>
      </c>
      <c r="M203" s="13" t="str">
        <f t="shared" si="363"/>
        <v xml:space="preserve">Кравченко Екатерина Игоревна</v>
      </c>
      <c r="N203" s="13" t="str">
        <f t="shared" si="364"/>
        <v>OK</v>
      </c>
      <c r="O203" s="19">
        <f t="shared" si="365"/>
        <v>29698</v>
      </c>
      <c r="P203" s="19">
        <f t="shared" si="366"/>
        <v>46583</v>
      </c>
      <c r="Q203" s="13">
        <f t="shared" ca="1" si="367"/>
        <v>45</v>
      </c>
      <c r="R203" s="13" t="str">
        <f t="shared" si="368"/>
        <v>OK</v>
      </c>
      <c r="S203" s="13" t="str">
        <f t="shared" si="369"/>
        <v xml:space="preserve">+7 (903) 345-67-89</v>
      </c>
      <c r="T203" s="13" t="str">
        <f t="shared" si="370"/>
        <v>kravchenko@gmail</v>
      </c>
      <c r="U203" s="18" t="str">
        <f t="shared" si="371"/>
        <v xml:space="preserve">Ошибка Email</v>
      </c>
      <c r="V203" s="13" t="str">
        <f>IFERROR(VLOOKUP(K203,Справочники!$K$6:$L$13,2,0),K203)</f>
        <v>Владикавказ</v>
      </c>
    </row>
    <row r="204" ht="15" customHeight="1">
      <c r="A204" s="10">
        <v>202</v>
      </c>
      <c r="B204" s="11" t="str">
        <f>RAW_Клиенты!A203</f>
        <v>C0202</v>
      </c>
      <c r="C204" s="11" t="str">
        <f>RAW_Клиенты!B203</f>
        <v xml:space="preserve">Иванченко Олег Сергеевич</v>
      </c>
      <c r="D204" s="11" t="str">
        <f>RAW_Клиенты!C203</f>
        <v>14.09.1975</v>
      </c>
      <c r="E204" s="11" t="str">
        <f>RAW_Клиенты!D203</f>
        <v>+79033456789</v>
      </c>
      <c r="F204" s="11" t="str">
        <f>RAW_Клиенты!E203</f>
        <v>ivanchenko@mail</v>
      </c>
      <c r="G204" s="11" t="str">
        <f>RAW_Клиенты!F203</f>
        <v>Смоленск</v>
      </c>
      <c r="H204" s="11" t="str">
        <f>RAW_Клиенты!G203</f>
        <v>01.08.2027</v>
      </c>
      <c r="I204" s="12" t="str">
        <f t="shared" si="359"/>
        <v>79033456789</v>
      </c>
      <c r="J204" s="12" t="str">
        <f t="shared" si="360"/>
        <v>ivanchenko@mail</v>
      </c>
      <c r="K204" s="12" t="str">
        <f t="shared" si="361"/>
        <v>Смоленск</v>
      </c>
      <c r="L204" s="13" t="str">
        <f t="shared" si="362"/>
        <v>C0202</v>
      </c>
      <c r="M204" s="13" t="str">
        <f t="shared" si="363"/>
        <v xml:space="preserve">Иванченко Олег Сергеевич</v>
      </c>
      <c r="N204" s="13" t="str">
        <f t="shared" si="364"/>
        <v>OK</v>
      </c>
      <c r="O204" s="19">
        <f t="shared" si="365"/>
        <v>27651</v>
      </c>
      <c r="P204" s="19">
        <f t="shared" si="366"/>
        <v>46600</v>
      </c>
      <c r="Q204" s="13">
        <f t="shared" ca="1" si="367"/>
        <v>51</v>
      </c>
      <c r="R204" s="13" t="str">
        <f t="shared" si="368"/>
        <v>OK</v>
      </c>
      <c r="S204" s="13" t="str">
        <f t="shared" si="369"/>
        <v xml:space="preserve">+7 (903) 345-67-89</v>
      </c>
      <c r="T204" s="13" t="str">
        <f t="shared" si="370"/>
        <v>ivanchenko@mail</v>
      </c>
      <c r="U204" s="18" t="str">
        <f t="shared" si="371"/>
        <v xml:space="preserve">Ошибка Email</v>
      </c>
      <c r="V204" s="13" t="str">
        <f>IFERROR(VLOOKUP(K204,Справочники!$K$6:$L$13,2,0),K204)</f>
        <v>Смоленск</v>
      </c>
    </row>
    <row r="205" ht="15" customHeight="1">
      <c r="A205" s="10">
        <v>203</v>
      </c>
      <c r="B205" s="11" t="str">
        <f>RAW_Клиенты!A204</f>
        <v>C0203</v>
      </c>
      <c r="C205" s="11" t="str">
        <f>RAW_Клиенты!B204</f>
        <v xml:space="preserve">Максимова Алина Павловна</v>
      </c>
      <c r="D205" s="11" t="str">
        <f>RAW_Клиенты!C204</f>
        <v>07.01.1992</v>
      </c>
      <c r="E205" s="11" t="str">
        <f>RAW_Клиенты!D204</f>
        <v>8-903-345-67-89</v>
      </c>
      <c r="F205" s="11" t="str">
        <f>RAW_Клиенты!E204</f>
        <v>maksimova@yandex</v>
      </c>
      <c r="G205" s="11" t="str">
        <f>RAW_Клиенты!F204</f>
        <v>Белгород</v>
      </c>
      <c r="H205" s="11" t="str">
        <f>RAW_Клиенты!G204</f>
        <v>2027-08-10</v>
      </c>
      <c r="I205" s="12" t="str">
        <f t="shared" si="359"/>
        <v>89033456789</v>
      </c>
      <c r="J205" s="12" t="str">
        <f t="shared" si="360"/>
        <v>maksimova@yandex</v>
      </c>
      <c r="K205" s="12" t="str">
        <f t="shared" si="361"/>
        <v>Белгород</v>
      </c>
      <c r="L205" s="13" t="str">
        <f t="shared" si="362"/>
        <v>C0203</v>
      </c>
      <c r="M205" s="13" t="str">
        <f t="shared" si="363"/>
        <v xml:space="preserve">Максимова Алина Павловна</v>
      </c>
      <c r="N205" s="13" t="str">
        <f t="shared" si="364"/>
        <v>OK</v>
      </c>
      <c r="O205" s="19">
        <f t="shared" si="365"/>
        <v>33610</v>
      </c>
      <c r="P205" s="19">
        <f t="shared" si="366"/>
        <v>46609</v>
      </c>
      <c r="Q205" s="13">
        <f t="shared" ca="1" si="367"/>
        <v>34</v>
      </c>
      <c r="R205" s="13" t="str">
        <f t="shared" si="368"/>
        <v>OK</v>
      </c>
      <c r="S205" s="13" t="str">
        <f t="shared" si="369"/>
        <v xml:space="preserve">+7 (903) 345-67-89</v>
      </c>
      <c r="T205" s="13" t="str">
        <f t="shared" si="370"/>
        <v>maksimova@yandex</v>
      </c>
      <c r="U205" s="18" t="str">
        <f t="shared" si="371"/>
        <v xml:space="preserve">Ошибка Email</v>
      </c>
      <c r="V205" s="13" t="str">
        <f>IFERROR(VLOOKUP(K205,Справочники!$K$6:$L$13,2,0),K205)</f>
        <v>Белгород</v>
      </c>
    </row>
    <row r="206" ht="15" customHeight="1">
      <c r="A206" s="10">
        <v>204</v>
      </c>
      <c r="B206" s="11" t="str">
        <f>RAW_Клиенты!A205</f>
        <v>C0204</v>
      </c>
      <c r="C206" s="11" t="str">
        <f>RAW_Клиенты!B205</f>
        <v xml:space="preserve">Петрова Кристина Алексеевна</v>
      </c>
      <c r="D206" s="11" t="str">
        <f>RAW_Клиенты!C205</f>
        <v>30.06.1984</v>
      </c>
      <c r="E206" s="11" t="str">
        <f>RAW_Клиенты!D205</f>
        <v xml:space="preserve">8 903 456 78 90</v>
      </c>
      <c r="F206" s="11" t="str">
        <f>RAW_Клиенты!E205</f>
        <v>petrova@gmail</v>
      </c>
      <c r="G206" s="11" t="str">
        <f>RAW_Клиенты!F205</f>
        <v>Мурманск</v>
      </c>
      <c r="H206" s="11" t="str">
        <f>RAW_Клиенты!G205</f>
        <v>10.08.2027</v>
      </c>
      <c r="I206" s="12" t="str">
        <f t="shared" si="359"/>
        <v>89034567890</v>
      </c>
      <c r="J206" s="12" t="str">
        <f t="shared" si="360"/>
        <v>petrova@gmail</v>
      </c>
      <c r="K206" s="12" t="str">
        <f t="shared" si="361"/>
        <v>Мурманск</v>
      </c>
      <c r="L206" s="13" t="str">
        <f t="shared" si="362"/>
        <v>C0204</v>
      </c>
      <c r="M206" s="13" t="str">
        <f t="shared" si="363"/>
        <v xml:space="preserve">Петрова Кристина Алексеевна</v>
      </c>
      <c r="N206" s="13" t="str">
        <f t="shared" si="364"/>
        <v>OK</v>
      </c>
      <c r="O206" s="19">
        <f t="shared" si="365"/>
        <v>30863</v>
      </c>
      <c r="P206" s="19">
        <f t="shared" si="366"/>
        <v>46609</v>
      </c>
      <c r="Q206" s="13">
        <f t="shared" ca="1" si="367"/>
        <v>42</v>
      </c>
      <c r="R206" s="13" t="str">
        <f t="shared" si="368"/>
        <v>OK</v>
      </c>
      <c r="S206" s="13" t="str">
        <f t="shared" si="369"/>
        <v xml:space="preserve">+7 (903) 456-78-90</v>
      </c>
      <c r="T206" s="13" t="str">
        <f t="shared" si="370"/>
        <v>petrova@gmail</v>
      </c>
      <c r="U206" s="18" t="str">
        <f t="shared" si="371"/>
        <v xml:space="preserve">Ошибка Email</v>
      </c>
      <c r="V206" s="13" t="str">
        <f>IFERROR(VLOOKUP(K206,Справочники!$K$6:$L$13,2,0),K206)</f>
        <v>Мурманск</v>
      </c>
    </row>
    <row r="207" ht="15" customHeight="1">
      <c r="A207" s="10">
        <v>205</v>
      </c>
      <c r="B207" s="11" t="str">
        <f>RAW_Клиенты!A206</f>
        <v>C0205</v>
      </c>
      <c r="C207" s="11" t="str">
        <f>RAW_Клиенты!B206</f>
        <v xml:space="preserve">Галкина Марина Викторовна</v>
      </c>
      <c r="D207" s="11" t="str">
        <f>RAW_Клиенты!C206</f>
        <v>13.10.1976</v>
      </c>
      <c r="E207" s="11" t="str">
        <f>RAW_Клиенты!D206</f>
        <v>+79034567890</v>
      </c>
      <c r="F207" s="11" t="str">
        <f>RAW_Клиенты!E206</f>
        <v>galkina@mail</v>
      </c>
      <c r="G207" s="11" t="str">
        <f>RAW_Клиенты!F206</f>
        <v>Ставрополь</v>
      </c>
      <c r="H207" s="11" t="str">
        <f>RAW_Клиенты!G206</f>
        <v>01.09.2027</v>
      </c>
      <c r="I207" s="12" t="str">
        <f t="shared" si="359"/>
        <v>79034567890</v>
      </c>
      <c r="J207" s="12" t="str">
        <f t="shared" si="360"/>
        <v>galkina@mail</v>
      </c>
      <c r="K207" s="12" t="str">
        <f t="shared" si="361"/>
        <v>Ставрополь</v>
      </c>
      <c r="L207" s="13" t="str">
        <f t="shared" si="362"/>
        <v>C0205</v>
      </c>
      <c r="M207" s="13" t="str">
        <f t="shared" si="363"/>
        <v xml:space="preserve">Галкина Марина Викторовна</v>
      </c>
      <c r="N207" s="13" t="str">
        <f t="shared" si="364"/>
        <v>OK</v>
      </c>
      <c r="O207" s="19">
        <f t="shared" si="365"/>
        <v>28046</v>
      </c>
      <c r="P207" s="19">
        <f t="shared" si="366"/>
        <v>46631</v>
      </c>
      <c r="Q207" s="13">
        <f t="shared" ca="1" si="367"/>
        <v>49</v>
      </c>
      <c r="R207" s="13" t="str">
        <f t="shared" si="368"/>
        <v>OK</v>
      </c>
      <c r="S207" s="13" t="str">
        <f t="shared" si="369"/>
        <v xml:space="preserve">+7 (903) 456-78-90</v>
      </c>
      <c r="T207" s="13" t="str">
        <f t="shared" si="370"/>
        <v>galkina@mail</v>
      </c>
      <c r="U207" s="18" t="str">
        <f t="shared" si="371"/>
        <v xml:space="preserve">Ошибка Email</v>
      </c>
      <c r="V207" s="13" t="str">
        <f>IFERROR(VLOOKUP(K207,Справочники!$K$6:$L$13,2,0),K207)</f>
        <v>Ставрополь</v>
      </c>
    </row>
    <row r="208" ht="15" customHeight="1">
      <c r="A208" s="10">
        <v>206</v>
      </c>
      <c r="B208" s="11" t="str">
        <f>RAW_Клиенты!A207</f>
        <v>C0206</v>
      </c>
      <c r="C208" s="11" t="str">
        <f>RAW_Клиенты!B207</f>
        <v xml:space="preserve">Чистяков Илья Андреевич</v>
      </c>
      <c r="D208" s="11" t="str">
        <f>RAW_Клиенты!C207</f>
        <v>02.03.1993</v>
      </c>
      <c r="E208" s="11" t="str">
        <f>RAW_Клиенты!D207</f>
        <v>8-903-456-78-90</v>
      </c>
      <c r="F208" s="11" t="str">
        <f>RAW_Клиенты!E207</f>
        <v>chistyakov@yandex</v>
      </c>
      <c r="G208" s="11" t="str">
        <f>RAW_Клиенты!F207</f>
        <v>Севастополь</v>
      </c>
      <c r="H208" s="11" t="str">
        <f>RAW_Клиенты!G207</f>
        <v>2027-09-15</v>
      </c>
      <c r="I208" s="12" t="str">
        <f t="shared" si="359"/>
        <v>89034567890</v>
      </c>
      <c r="J208" s="12" t="str">
        <f t="shared" si="360"/>
        <v>chistyakov@yandex</v>
      </c>
      <c r="K208" s="12" t="str">
        <f t="shared" si="361"/>
        <v>Севастополь</v>
      </c>
      <c r="L208" s="13" t="str">
        <f t="shared" si="362"/>
        <v>C0206</v>
      </c>
      <c r="M208" s="13" t="str">
        <f t="shared" si="363"/>
        <v xml:space="preserve">Чистяков Илья Андреевич</v>
      </c>
      <c r="N208" s="13" t="str">
        <f t="shared" si="364"/>
        <v>OK</v>
      </c>
      <c r="O208" s="19">
        <f t="shared" si="365"/>
        <v>34030</v>
      </c>
      <c r="P208" s="19">
        <f t="shared" si="366"/>
        <v>46645</v>
      </c>
      <c r="Q208" s="13">
        <f t="shared" ca="1" si="367"/>
        <v>33</v>
      </c>
      <c r="R208" s="13" t="str">
        <f t="shared" si="368"/>
        <v>OK</v>
      </c>
      <c r="S208" s="13" t="str">
        <f t="shared" si="369"/>
        <v xml:space="preserve">+7 (903) 456-78-90</v>
      </c>
      <c r="T208" s="13" t="str">
        <f t="shared" si="370"/>
        <v>chistyakov@yandex</v>
      </c>
      <c r="U208" s="18" t="str">
        <f t="shared" si="371"/>
        <v xml:space="preserve">Ошибка Email</v>
      </c>
      <c r="V208" s="13" t="str">
        <f>IFERROR(VLOOKUP(K208,Справочники!$K$6:$L$13,2,0),K208)</f>
        <v>Севастополь</v>
      </c>
    </row>
    <row r="209" ht="15" customHeight="1">
      <c r="A209" s="10">
        <v>207</v>
      </c>
      <c r="B209" s="11" t="str">
        <f>RAW_Клиенты!A208</f>
        <v>C0207</v>
      </c>
      <c r="C209" s="11" t="str">
        <f>RAW_Клиенты!B208</f>
        <v xml:space="preserve">Чернышова Лариса Николаевна</v>
      </c>
      <c r="D209" s="11" t="str">
        <f>RAW_Клиенты!C208</f>
        <v>18.08.1988</v>
      </c>
      <c r="E209" s="11" t="str">
        <f>RAW_Клиенты!D208</f>
        <v xml:space="preserve">8 903 567 89 01</v>
      </c>
      <c r="F209" s="11" t="str">
        <f>RAW_Клиенты!E208</f>
        <v>chernyshova@gmail</v>
      </c>
      <c r="G209" s="11" t="str">
        <f>RAW_Клиенты!F208</f>
        <v>Сочи</v>
      </c>
      <c r="H209" s="11" t="str">
        <f>RAW_Клиенты!G208</f>
        <v>15.09.2027</v>
      </c>
      <c r="I209" s="12" t="str">
        <f t="shared" si="359"/>
        <v>89035678901</v>
      </c>
      <c r="J209" s="12" t="str">
        <f t="shared" si="360"/>
        <v>chernyshova@gmail</v>
      </c>
      <c r="K209" s="12" t="str">
        <f t="shared" si="361"/>
        <v>Сочи</v>
      </c>
      <c r="L209" s="13" t="str">
        <f t="shared" si="362"/>
        <v>C0207</v>
      </c>
      <c r="M209" s="13" t="str">
        <f t="shared" si="363"/>
        <v xml:space="preserve">Чернышова Лариса Николаевна</v>
      </c>
      <c r="N209" s="13" t="str">
        <f t="shared" si="364"/>
        <v>OK</v>
      </c>
      <c r="O209" s="19">
        <f t="shared" si="365"/>
        <v>32373</v>
      </c>
      <c r="P209" s="19">
        <f t="shared" si="366"/>
        <v>46645</v>
      </c>
      <c r="Q209" s="13">
        <f t="shared" ca="1" si="367"/>
        <v>38</v>
      </c>
      <c r="R209" s="13" t="str">
        <f t="shared" si="368"/>
        <v>OK</v>
      </c>
      <c r="S209" s="13" t="str">
        <f t="shared" si="369"/>
        <v xml:space="preserve">+7 (903) 567-89-01</v>
      </c>
      <c r="T209" s="13" t="str">
        <f t="shared" si="370"/>
        <v>chernyshova@gmail</v>
      </c>
      <c r="U209" s="18" t="str">
        <f t="shared" si="371"/>
        <v xml:space="preserve">Ошибка Email</v>
      </c>
      <c r="V209" s="13" t="str">
        <f>IFERROR(VLOOKUP(K209,Справочники!$K$6:$L$13,2,0),K209)</f>
        <v>Сочи</v>
      </c>
    </row>
    <row r="210" ht="15" customHeight="1">
      <c r="A210" s="10">
        <v>208</v>
      </c>
      <c r="B210" s="11" t="str">
        <f>RAW_Клиенты!A209</f>
        <v>C0208</v>
      </c>
      <c r="C210" s="11" t="str">
        <f>RAW_Клиенты!B209</f>
        <v xml:space="preserve">Шишков Сергей Евгеньевич</v>
      </c>
      <c r="D210" s="11" t="str">
        <f>RAW_Клиенты!C209</f>
        <v>26.12.1978</v>
      </c>
      <c r="E210" s="11" t="str">
        <f>RAW_Клиенты!D209</f>
        <v>+79035678901</v>
      </c>
      <c r="F210" s="11" t="str">
        <f>RAW_Клиенты!E209</f>
        <v>shishkov@mail</v>
      </c>
      <c r="G210" s="11" t="str">
        <f>RAW_Клиенты!F209</f>
        <v>Симферополь</v>
      </c>
      <c r="H210" s="11" t="str">
        <f>RAW_Клиенты!G209</f>
        <v>01.10.2027</v>
      </c>
      <c r="I210" s="12" t="str">
        <f t="shared" si="359"/>
        <v>79035678901</v>
      </c>
      <c r="J210" s="12" t="str">
        <f t="shared" si="360"/>
        <v>shishkov@mail</v>
      </c>
      <c r="K210" s="12" t="str">
        <f t="shared" si="361"/>
        <v>Симферополь</v>
      </c>
      <c r="L210" s="13" t="str">
        <f t="shared" si="362"/>
        <v>C0208</v>
      </c>
      <c r="M210" s="13" t="str">
        <f t="shared" si="363"/>
        <v xml:space="preserve">Шишков Сергей Евгеньевич</v>
      </c>
      <c r="N210" s="13" t="str">
        <f t="shared" si="364"/>
        <v>OK</v>
      </c>
      <c r="O210" s="19">
        <f t="shared" si="365"/>
        <v>28850</v>
      </c>
      <c r="P210" s="19">
        <f t="shared" si="366"/>
        <v>46661</v>
      </c>
      <c r="Q210" s="13">
        <f t="shared" ca="1" si="367"/>
        <v>47</v>
      </c>
      <c r="R210" s="13" t="str">
        <f t="shared" si="368"/>
        <v>OK</v>
      </c>
      <c r="S210" s="13" t="str">
        <f t="shared" si="369"/>
        <v xml:space="preserve">+7 (903) 567-89-01</v>
      </c>
      <c r="T210" s="13" t="str">
        <f t="shared" si="370"/>
        <v>shishkov@mail</v>
      </c>
      <c r="U210" s="18" t="str">
        <f t="shared" si="371"/>
        <v xml:space="preserve">Ошибка Email</v>
      </c>
      <c r="V210" s="13" t="str">
        <f>IFERROR(VLOOKUP(K210,Справочники!$K$6:$L$13,2,0),K210)</f>
        <v>Симферополь</v>
      </c>
    </row>
    <row r="211" ht="15" customHeight="1">
      <c r="A211" s="10">
        <v>209</v>
      </c>
      <c r="B211" s="11" t="str">
        <f>RAW_Клиенты!A210</f>
        <v>C0209</v>
      </c>
      <c r="C211" s="11" t="str">
        <f>RAW_Клиенты!B210</f>
        <v xml:space="preserve">Субботина Елена Валерьевна</v>
      </c>
      <c r="D211" s="11" t="str">
        <f>RAW_Клиенты!C210</f>
        <v>04.05.1982</v>
      </c>
      <c r="E211" s="11" t="str">
        <f>RAW_Клиенты!D210</f>
        <v>8-903-567-89-01</v>
      </c>
      <c r="F211" s="11" t="str">
        <f>RAW_Клиенты!E210</f>
        <v>subbotina@yandex</v>
      </c>
      <c r="G211" s="11" t="str">
        <f>RAW_Клиенты!F210</f>
        <v>Брянск</v>
      </c>
      <c r="H211" s="11" t="str">
        <f>RAW_Клиенты!G210</f>
        <v>2027-10-10</v>
      </c>
      <c r="I211" s="12" t="str">
        <f t="shared" si="359"/>
        <v>89035678901</v>
      </c>
      <c r="J211" s="12" t="str">
        <f t="shared" si="360"/>
        <v>subbotina@yandex</v>
      </c>
      <c r="K211" s="12" t="str">
        <f t="shared" si="361"/>
        <v>Брянск</v>
      </c>
      <c r="L211" s="13" t="str">
        <f t="shared" si="362"/>
        <v>C0209</v>
      </c>
      <c r="M211" s="13" t="str">
        <f t="shared" si="363"/>
        <v xml:space="preserve">Субботина Елена Валерьевна</v>
      </c>
      <c r="N211" s="13" t="str">
        <f t="shared" si="364"/>
        <v>OK</v>
      </c>
      <c r="O211" s="19">
        <f t="shared" si="365"/>
        <v>30075</v>
      </c>
      <c r="P211" s="19">
        <f t="shared" si="366"/>
        <v>46670</v>
      </c>
      <c r="Q211" s="13">
        <f t="shared" ca="1" si="367"/>
        <v>44</v>
      </c>
      <c r="R211" s="13" t="str">
        <f t="shared" si="368"/>
        <v>OK</v>
      </c>
      <c r="S211" s="13" t="str">
        <f t="shared" si="369"/>
        <v xml:space="preserve">+7 (903) 567-89-01</v>
      </c>
      <c r="T211" s="13" t="str">
        <f t="shared" si="370"/>
        <v>subbotina@yandex</v>
      </c>
      <c r="U211" s="18" t="str">
        <f t="shared" si="371"/>
        <v xml:space="preserve">Ошибка Email</v>
      </c>
      <c r="V211" s="13" t="str">
        <f>IFERROR(VLOOKUP(K211,Справочники!$K$6:$L$13,2,0),K211)</f>
        <v>Брянск</v>
      </c>
    </row>
    <row r="212" ht="15" customHeight="1">
      <c r="A212" s="10">
        <v>210</v>
      </c>
      <c r="B212" s="11" t="str">
        <f>RAW_Клиенты!A211</f>
        <v>C0210</v>
      </c>
      <c r="C212" s="11" t="str">
        <f>RAW_Клиенты!B211</f>
        <v xml:space="preserve">Головина Татьяна Михайловна</v>
      </c>
      <c r="D212" s="11" t="str">
        <f>RAW_Клиенты!C211</f>
        <v>15.07.1974</v>
      </c>
      <c r="E212" s="11" t="str">
        <f>RAW_Клиенты!D211</f>
        <v xml:space="preserve">8 903 678 90 12</v>
      </c>
      <c r="F212" s="11" t="str">
        <f>RAW_Клиенты!E211</f>
        <v>golovina@gmail</v>
      </c>
      <c r="G212" s="11" t="str">
        <f>RAW_Клиенты!F211</f>
        <v>Абакан</v>
      </c>
      <c r="H212" s="11" t="str">
        <f>RAW_Клиенты!G211</f>
        <v>10.10.2027</v>
      </c>
      <c r="I212" s="12" t="str">
        <f t="shared" si="359"/>
        <v>89036789012</v>
      </c>
      <c r="J212" s="12" t="str">
        <f t="shared" si="360"/>
        <v>golovina@gmail</v>
      </c>
      <c r="K212" s="12" t="str">
        <f t="shared" si="361"/>
        <v>Абакан</v>
      </c>
      <c r="L212" s="13" t="str">
        <f t="shared" si="362"/>
        <v>C0210</v>
      </c>
      <c r="M212" s="13" t="str">
        <f t="shared" si="363"/>
        <v xml:space="preserve">Головина Татьяна Михайловна</v>
      </c>
      <c r="N212" s="13" t="str">
        <f t="shared" si="364"/>
        <v>OK</v>
      </c>
      <c r="O212" s="19">
        <f t="shared" si="365"/>
        <v>27225</v>
      </c>
      <c r="P212" s="19">
        <f t="shared" si="366"/>
        <v>46670</v>
      </c>
      <c r="Q212" s="13">
        <f t="shared" ca="1" si="367"/>
        <v>52</v>
      </c>
      <c r="R212" s="13" t="str">
        <f t="shared" si="368"/>
        <v>OK</v>
      </c>
      <c r="S212" s="13" t="str">
        <f t="shared" si="369"/>
        <v xml:space="preserve">+7 (903) 678-90-12</v>
      </c>
      <c r="T212" s="13" t="str">
        <f t="shared" si="370"/>
        <v>golovina@gmail</v>
      </c>
      <c r="U212" s="18" t="str">
        <f t="shared" si="371"/>
        <v xml:space="preserve">Ошибка Email</v>
      </c>
      <c r="V212" s="13" t="str">
        <f>IFERROR(VLOOKUP(K212,Справочники!$K$6:$L$13,2,0),K212)</f>
        <v>Абакан</v>
      </c>
    </row>
    <row r="213" ht="15" customHeight="1">
      <c r="A213" s="10">
        <v>211</v>
      </c>
      <c r="B213" s="11" t="str">
        <f>RAW_Клиенты!A212</f>
        <v>C0211</v>
      </c>
      <c r="C213" s="11" t="str">
        <f>RAW_Клиенты!B212</f>
        <v xml:space="preserve">Красильников Денис Павлович</v>
      </c>
      <c r="D213" s="11" t="str">
        <f>RAW_Клиенты!C212</f>
        <v>29.10.1989</v>
      </c>
      <c r="E213" s="11" t="str">
        <f>RAW_Клиенты!D212</f>
        <v>+79036789012</v>
      </c>
      <c r="F213" s="11" t="str">
        <f>RAW_Клиенты!E212</f>
        <v>krasilnikov@mail</v>
      </c>
      <c r="G213" s="11" t="str">
        <f>RAW_Клиенты!F212</f>
        <v>Грозный</v>
      </c>
      <c r="H213" s="11" t="str">
        <f>RAW_Клиенты!G212</f>
        <v>01.11.2027</v>
      </c>
      <c r="I213" s="12" t="str">
        <f t="shared" si="359"/>
        <v>79036789012</v>
      </c>
      <c r="J213" s="12" t="str">
        <f t="shared" si="360"/>
        <v>krasilnikov@mail</v>
      </c>
      <c r="K213" s="12" t="str">
        <f t="shared" si="361"/>
        <v>Грозный</v>
      </c>
      <c r="L213" s="13" t="str">
        <f t="shared" si="362"/>
        <v>C0211</v>
      </c>
      <c r="M213" s="13" t="str">
        <f t="shared" si="363"/>
        <v xml:space="preserve">Красильников Денис Павлович</v>
      </c>
      <c r="N213" s="13" t="str">
        <f t="shared" si="364"/>
        <v>OK</v>
      </c>
      <c r="O213" s="19">
        <f t="shared" si="365"/>
        <v>32810</v>
      </c>
      <c r="P213" s="19">
        <f t="shared" si="366"/>
        <v>46692</v>
      </c>
      <c r="Q213" s="13">
        <f t="shared" ca="1" si="367"/>
        <v>36</v>
      </c>
      <c r="R213" s="13" t="str">
        <f t="shared" si="368"/>
        <v>OK</v>
      </c>
      <c r="S213" s="13" t="str">
        <f t="shared" si="369"/>
        <v xml:space="preserve">+7 (903) 678-90-12</v>
      </c>
      <c r="T213" s="13" t="str">
        <f t="shared" si="370"/>
        <v>krasilnikov@mail</v>
      </c>
      <c r="U213" s="18" t="str">
        <f t="shared" si="371"/>
        <v xml:space="preserve">Ошибка Email</v>
      </c>
      <c r="V213" s="13" t="str">
        <f>IFERROR(VLOOKUP(K213,Справочники!$K$6:$L$13,2,0),K213)</f>
        <v>Грозный</v>
      </c>
    </row>
    <row r="214" ht="15" customHeight="1">
      <c r="A214" s="10">
        <v>212</v>
      </c>
      <c r="B214" s="11" t="str">
        <f>RAW_Клиенты!A213</f>
        <v>C0212</v>
      </c>
      <c r="C214" s="11" t="str">
        <f>RAW_Клиенты!B213</f>
        <v xml:space="preserve">Шульженко Инна Дмитриевна</v>
      </c>
      <c r="D214" s="11" t="str">
        <f>RAW_Клиенты!C213</f>
        <v>20.09.1991</v>
      </c>
      <c r="E214" s="11" t="str">
        <f>RAW_Клиенты!D213</f>
        <v>8-903-678-90-12</v>
      </c>
      <c r="F214" s="11" t="str">
        <f>RAW_Клиенты!E213</f>
        <v>shulzhenko@yandex</v>
      </c>
      <c r="G214" s="11" t="str">
        <f>RAW_Клиенты!F213</f>
        <v>Бийск</v>
      </c>
      <c r="H214" s="11" t="str">
        <f>RAW_Клиенты!G213</f>
        <v>2027-11-15</v>
      </c>
      <c r="I214" s="12" t="str">
        <f t="shared" si="359"/>
        <v>89036789012</v>
      </c>
      <c r="J214" s="12" t="str">
        <f t="shared" si="360"/>
        <v>shulzhenko@yandex</v>
      </c>
      <c r="K214" s="12" t="str">
        <f t="shared" si="361"/>
        <v>Бийск</v>
      </c>
      <c r="L214" s="13" t="str">
        <f t="shared" si="362"/>
        <v>C0212</v>
      </c>
      <c r="M214" s="13" t="str">
        <f t="shared" si="363"/>
        <v xml:space="preserve">Шульженко Инна Дмитриевна</v>
      </c>
      <c r="N214" s="13" t="str">
        <f t="shared" si="364"/>
        <v>OK</v>
      </c>
      <c r="O214" s="19">
        <f t="shared" si="365"/>
        <v>33501</v>
      </c>
      <c r="P214" s="19">
        <f t="shared" si="366"/>
        <v>46706</v>
      </c>
      <c r="Q214" s="13">
        <f t="shared" ca="1" si="367"/>
        <v>35</v>
      </c>
      <c r="R214" s="13" t="str">
        <f t="shared" si="368"/>
        <v>OK</v>
      </c>
      <c r="S214" s="13" t="str">
        <f t="shared" si="369"/>
        <v xml:space="preserve">+7 (903) 678-90-12</v>
      </c>
      <c r="T214" s="13" t="str">
        <f t="shared" si="370"/>
        <v>shulzhenko@yandex</v>
      </c>
      <c r="U214" s="18" t="str">
        <f t="shared" si="371"/>
        <v xml:space="preserve">Ошибка Email</v>
      </c>
      <c r="V214" s="13" t="str">
        <f>IFERROR(VLOOKUP(K214,Справочники!$K$6:$L$13,2,0),K214)</f>
        <v>Бийск</v>
      </c>
    </row>
    <row r="215" ht="15" customHeight="1">
      <c r="A215" s="10">
        <v>213</v>
      </c>
      <c r="B215" s="11" t="str">
        <f>RAW_Клиенты!A214</f>
        <v>C0213</v>
      </c>
      <c r="C215" s="11" t="str">
        <f>RAW_Клиенты!B214</f>
        <v xml:space="preserve">Боброва Екатерина Станиславовна</v>
      </c>
      <c r="D215" s="11" t="str">
        <f>RAW_Клиенты!C214</f>
        <v>11.02.1977</v>
      </c>
      <c r="E215" s="11" t="str">
        <f>RAW_Клиенты!D214</f>
        <v xml:space="preserve">8 903 789 01 23</v>
      </c>
      <c r="F215" s="11" t="str">
        <f>RAW_Клиенты!E214</f>
        <v>bobrova@gmail</v>
      </c>
      <c r="G215" s="11" t="str">
        <f>RAW_Клиенты!F214</f>
        <v>Йошкар-Ола</v>
      </c>
      <c r="H215" s="11" t="str">
        <f>RAW_Клиенты!G214</f>
        <v>15.11.2027</v>
      </c>
      <c r="I215" s="12" t="str">
        <f t="shared" si="359"/>
        <v>89037890123</v>
      </c>
      <c r="J215" s="12" t="str">
        <f t="shared" si="360"/>
        <v>bobrova@gmail</v>
      </c>
      <c r="K215" s="12" t="str">
        <f t="shared" si="361"/>
        <v>Йошкар-Ола</v>
      </c>
      <c r="L215" s="13" t="str">
        <f t="shared" si="362"/>
        <v>C0213</v>
      </c>
      <c r="M215" s="13" t="str">
        <f t="shared" si="363"/>
        <v xml:space="preserve">Боброва Екатерина Станиславовна</v>
      </c>
      <c r="N215" s="13" t="str">
        <f t="shared" si="364"/>
        <v>OK</v>
      </c>
      <c r="O215" s="19">
        <f t="shared" si="365"/>
        <v>28167</v>
      </c>
      <c r="P215" s="19">
        <f t="shared" si="366"/>
        <v>46706</v>
      </c>
      <c r="Q215" s="13">
        <f t="shared" ca="1" si="367"/>
        <v>49</v>
      </c>
      <c r="R215" s="13" t="str">
        <f t="shared" si="368"/>
        <v>OK</v>
      </c>
      <c r="S215" s="13" t="str">
        <f t="shared" si="369"/>
        <v xml:space="preserve">+7 (903) 789-01-23</v>
      </c>
      <c r="T215" s="13" t="str">
        <f t="shared" si="370"/>
        <v>bobrova@gmail</v>
      </c>
      <c r="U215" s="18" t="str">
        <f t="shared" si="371"/>
        <v xml:space="preserve">Ошибка Email</v>
      </c>
      <c r="V215" s="13" t="str">
        <f>IFERROR(VLOOKUP(K215,Справочники!$K$6:$L$13,2,0),K215)</f>
        <v>Йошкар-Ола</v>
      </c>
    </row>
    <row r="216" ht="15" customHeight="1">
      <c r="A216" s="10">
        <v>214</v>
      </c>
      <c r="B216" s="11" t="str">
        <f>RAW_Клиенты!A215</f>
        <v>C0214</v>
      </c>
      <c r="C216" s="11" t="str">
        <f>RAW_Клиенты!B215</f>
        <v xml:space="preserve">Носов Алексей Игоревич</v>
      </c>
      <c r="D216" s="11" t="str">
        <f>RAW_Клиенты!C215</f>
        <v>23.11.1983</v>
      </c>
      <c r="E216" s="11" t="str">
        <f>RAW_Клиенты!D215</f>
        <v>+79037890123</v>
      </c>
      <c r="F216" s="11" t="str">
        <f>RAW_Клиенты!E215</f>
        <v>nosov@mail</v>
      </c>
      <c r="G216" s="11" t="str">
        <f>RAW_Клиенты!F215</f>
        <v>Курган</v>
      </c>
      <c r="H216" s="11" t="str">
        <f>RAW_Клиенты!G215</f>
        <v>01.12.2027</v>
      </c>
      <c r="I216" s="12" t="str">
        <f t="shared" si="359"/>
        <v>79037890123</v>
      </c>
      <c r="J216" s="12" t="str">
        <f t="shared" si="360"/>
        <v>nosov@mail</v>
      </c>
      <c r="K216" s="12" t="str">
        <f t="shared" si="361"/>
        <v>Курган</v>
      </c>
      <c r="L216" s="13" t="str">
        <f t="shared" si="362"/>
        <v>C0214</v>
      </c>
      <c r="M216" s="13" t="str">
        <f t="shared" si="363"/>
        <v xml:space="preserve">Носов Алексей Игоревич</v>
      </c>
      <c r="N216" s="13" t="str">
        <f t="shared" si="364"/>
        <v>OK</v>
      </c>
      <c r="O216" s="19">
        <f t="shared" si="365"/>
        <v>30643</v>
      </c>
      <c r="P216" s="19">
        <f t="shared" si="366"/>
        <v>46722</v>
      </c>
      <c r="Q216" s="13">
        <f t="shared" ca="1" si="367"/>
        <v>42</v>
      </c>
      <c r="R216" s="13" t="str">
        <f t="shared" si="368"/>
        <v>OK</v>
      </c>
      <c r="S216" s="13" t="str">
        <f t="shared" si="369"/>
        <v xml:space="preserve">+7 (903) 789-01-23</v>
      </c>
      <c r="T216" s="13" t="str">
        <f t="shared" si="370"/>
        <v>nosov@mail</v>
      </c>
      <c r="U216" s="18" t="str">
        <f t="shared" si="371"/>
        <v xml:space="preserve">Ошибка Email</v>
      </c>
      <c r="V216" s="13" t="str">
        <f>IFERROR(VLOOKUP(K216,Справочники!$K$6:$L$13,2,0),K216)</f>
        <v>Курган</v>
      </c>
    </row>
    <row r="217" ht="15" customHeight="1">
      <c r="A217" s="10">
        <v>215</v>
      </c>
      <c r="B217" s="11" t="str">
        <f>RAW_Клиенты!A216</f>
        <v>C0215</v>
      </c>
      <c r="C217" s="11" t="str">
        <f>RAW_Клиенты!B216</f>
        <v xml:space="preserve">Кузьмина Анна Борисовна</v>
      </c>
      <c r="D217" s="11" t="str">
        <f>RAW_Клиенты!C216</f>
        <v>06.08.1990</v>
      </c>
      <c r="E217" s="11" t="str">
        <f>RAW_Клиенты!D216</f>
        <v>8-903-789-01-23</v>
      </c>
      <c r="F217" s="11" t="str">
        <f>RAW_Клиенты!E216</f>
        <v>kuzmina@yandex</v>
      </c>
      <c r="G217" s="11" t="str">
        <f>RAW_Клиенты!F216</f>
        <v>Архангельск</v>
      </c>
      <c r="H217" s="11" t="str">
        <f>RAW_Клиенты!G216</f>
        <v>2027-12-10</v>
      </c>
      <c r="I217" s="12" t="str">
        <f t="shared" si="359"/>
        <v>89037890123</v>
      </c>
      <c r="J217" s="12" t="str">
        <f t="shared" si="360"/>
        <v>kuzmina@yandex</v>
      </c>
      <c r="K217" s="12" t="str">
        <f t="shared" si="361"/>
        <v>Архангельск</v>
      </c>
      <c r="L217" s="13" t="str">
        <f t="shared" si="362"/>
        <v>C0215</v>
      </c>
      <c r="M217" s="13" t="str">
        <f t="shared" si="363"/>
        <v xml:space="preserve">Кузьмина Анна Борисовна</v>
      </c>
      <c r="N217" s="13" t="str">
        <f t="shared" si="364"/>
        <v>OK</v>
      </c>
      <c r="O217" s="19">
        <f t="shared" si="365"/>
        <v>33091</v>
      </c>
      <c r="P217" s="19">
        <f t="shared" si="366"/>
        <v>46731</v>
      </c>
      <c r="Q217" s="13">
        <f t="shared" ca="1" si="367"/>
        <v>36</v>
      </c>
      <c r="R217" s="13" t="str">
        <f t="shared" si="368"/>
        <v>OK</v>
      </c>
      <c r="S217" s="13" t="str">
        <f t="shared" si="369"/>
        <v xml:space="preserve">+7 (903) 789-01-23</v>
      </c>
      <c r="T217" s="13" t="str">
        <f t="shared" si="370"/>
        <v>kuzmina@yandex</v>
      </c>
      <c r="U217" s="18" t="str">
        <f t="shared" si="371"/>
        <v xml:space="preserve">Ошибка Email</v>
      </c>
      <c r="V217" s="13" t="str">
        <f>IFERROR(VLOOKUP(K217,Справочники!$K$6:$L$13,2,0),K217)</f>
        <v>Архангельск</v>
      </c>
    </row>
    <row r="218" ht="15" customHeight="1">
      <c r="A218" s="10">
        <v>216</v>
      </c>
      <c r="B218" s="11" t="str">
        <f>RAW_Клиенты!A217</f>
        <v>C0216</v>
      </c>
      <c r="C218" s="11" t="str">
        <f>RAW_Клиенты!B217</f>
        <v xml:space="preserve">Руденко Виктор Сергеевич</v>
      </c>
      <c r="D218" s="11" t="str">
        <f>RAW_Клиенты!C217</f>
        <v>27.12.1972</v>
      </c>
      <c r="E218" s="11" t="str">
        <f>RAW_Клиенты!D217</f>
        <v xml:space="preserve">8 903 890 12 34</v>
      </c>
      <c r="F218" s="11" t="str">
        <f>RAW_Клиенты!E217</f>
        <v>rudenko@gmail</v>
      </c>
      <c r="G218" s="11" t="str">
        <f>RAW_Клиенты!F217</f>
        <v>Благовещенск</v>
      </c>
      <c r="H218" s="11" t="str">
        <f>RAW_Клиенты!G217</f>
        <v>10.12.2027</v>
      </c>
      <c r="I218" s="12" t="str">
        <f t="shared" si="359"/>
        <v>89038901234</v>
      </c>
      <c r="J218" s="12" t="str">
        <f t="shared" si="360"/>
        <v>rudenko@gmail</v>
      </c>
      <c r="K218" s="12" t="str">
        <f t="shared" si="361"/>
        <v>Благовещенск</v>
      </c>
      <c r="L218" s="13" t="str">
        <f t="shared" si="362"/>
        <v>C0216</v>
      </c>
      <c r="M218" s="13" t="str">
        <f t="shared" si="363"/>
        <v xml:space="preserve">Руденко Виктор Сергеевич</v>
      </c>
      <c r="N218" s="13" t="str">
        <f t="shared" si="364"/>
        <v>OK</v>
      </c>
      <c r="O218" s="19">
        <f t="shared" si="365"/>
        <v>26660</v>
      </c>
      <c r="P218" s="19">
        <f t="shared" si="366"/>
        <v>46731</v>
      </c>
      <c r="Q218" s="13">
        <f t="shared" ca="1" si="367"/>
        <v>53</v>
      </c>
      <c r="R218" s="13" t="str">
        <f t="shared" si="368"/>
        <v>OK</v>
      </c>
      <c r="S218" s="13" t="str">
        <f t="shared" si="369"/>
        <v xml:space="preserve">+7 (903) 890-12-34</v>
      </c>
      <c r="T218" s="13" t="str">
        <f t="shared" si="370"/>
        <v>rudenko@gmail</v>
      </c>
      <c r="U218" s="18" t="str">
        <f t="shared" si="371"/>
        <v xml:space="preserve">Ошибка Email</v>
      </c>
      <c r="V218" s="13" t="str">
        <f>IFERROR(VLOOKUP(K218,Справочники!$K$6:$L$13,2,0),K218)</f>
        <v>Благовещенск</v>
      </c>
    </row>
    <row r="219" ht="15" customHeight="1">
      <c r="A219" s="10">
        <v>217</v>
      </c>
      <c r="B219" s="11" t="str">
        <f>RAW_Клиенты!A218</f>
        <v>C0217</v>
      </c>
      <c r="C219" s="11" t="str">
        <f>RAW_Клиенты!B218</f>
        <v xml:space="preserve">Степанова Алла Владимировна</v>
      </c>
      <c r="D219" s="11" t="str">
        <f>RAW_Клиенты!C218</f>
        <v>16.04.1986</v>
      </c>
      <c r="E219" s="11" t="str">
        <f>RAW_Клиенты!D218</f>
        <v>+79038901234</v>
      </c>
      <c r="F219" s="11" t="str">
        <f>RAW_Клиенты!E218</f>
        <v>stepanova@mail</v>
      </c>
      <c r="G219" s="11" t="str">
        <f>RAW_Клиенты!F218</f>
        <v>Майкоп</v>
      </c>
      <c r="H219" s="11" t="str">
        <f>RAW_Клиенты!G218</f>
        <v>01.01.2028</v>
      </c>
      <c r="I219" s="12" t="str">
        <f t="shared" si="359"/>
        <v>79038901234</v>
      </c>
      <c r="J219" s="12" t="str">
        <f t="shared" si="360"/>
        <v>stepanova@mail</v>
      </c>
      <c r="K219" s="12" t="str">
        <f t="shared" si="361"/>
        <v>Майкоп</v>
      </c>
      <c r="L219" s="13" t="str">
        <f t="shared" si="362"/>
        <v>C0217</v>
      </c>
      <c r="M219" s="13" t="str">
        <f t="shared" si="363"/>
        <v xml:space="preserve">Степанова Алла Владимировна</v>
      </c>
      <c r="N219" s="13" t="str">
        <f t="shared" si="364"/>
        <v>OK</v>
      </c>
      <c r="O219" s="19">
        <f t="shared" si="365"/>
        <v>31518</v>
      </c>
      <c r="P219" s="19">
        <f t="shared" si="366"/>
        <v>46753</v>
      </c>
      <c r="Q219" s="13">
        <f t="shared" ca="1" si="367"/>
        <v>40</v>
      </c>
      <c r="R219" s="13" t="str">
        <f t="shared" si="368"/>
        <v>OK</v>
      </c>
      <c r="S219" s="13" t="str">
        <f t="shared" si="369"/>
        <v xml:space="preserve">+7 (903) 890-12-34</v>
      </c>
      <c r="T219" s="13" t="str">
        <f t="shared" si="370"/>
        <v>stepanova@mail</v>
      </c>
      <c r="U219" s="18" t="str">
        <f t="shared" si="371"/>
        <v xml:space="preserve">Ошибка Email</v>
      </c>
      <c r="V219" s="13" t="str">
        <f>IFERROR(VLOOKUP(K219,Справочники!$K$6:$L$13,2,0),K219)</f>
        <v>Майкоп</v>
      </c>
    </row>
    <row r="220" ht="15" customHeight="1">
      <c r="A220" s="10">
        <v>218</v>
      </c>
      <c r="B220" s="11" t="str">
        <f>RAW_Клиенты!A219</f>
        <v>C0218</v>
      </c>
      <c r="C220" s="11" t="str">
        <f>RAW_Клиенты!B219</f>
        <v xml:space="preserve">Мазур Илья Романович</v>
      </c>
      <c r="D220" s="11" t="str">
        <f>RAW_Клиенты!C219</f>
        <v>08.09.1994</v>
      </c>
      <c r="E220" s="11" t="str">
        <f>RAW_Клиенты!D219</f>
        <v>8-903-890-12-34</v>
      </c>
      <c r="F220" s="11" t="str">
        <f>RAW_Клиенты!E219</f>
        <v>mazur@yandex</v>
      </c>
      <c r="G220" s="11" t="str">
        <f>RAW_Клиенты!F219</f>
        <v>Уссурийск</v>
      </c>
      <c r="H220" s="11" t="str">
        <f>RAW_Клиенты!G219</f>
        <v>2028-01-15</v>
      </c>
      <c r="I220" s="12" t="str">
        <f t="shared" si="359"/>
        <v>89038901234</v>
      </c>
      <c r="J220" s="12" t="str">
        <f t="shared" si="360"/>
        <v>mazur@yandex</v>
      </c>
      <c r="K220" s="12" t="str">
        <f t="shared" si="361"/>
        <v>Уссурийск</v>
      </c>
      <c r="L220" s="13" t="str">
        <f t="shared" si="362"/>
        <v>C0218</v>
      </c>
      <c r="M220" s="13" t="str">
        <f t="shared" si="363"/>
        <v xml:space="preserve">Мазур Илья Романович</v>
      </c>
      <c r="N220" s="13" t="str">
        <f t="shared" si="364"/>
        <v>OK</v>
      </c>
      <c r="O220" s="19">
        <f t="shared" si="365"/>
        <v>34585</v>
      </c>
      <c r="P220" s="19">
        <f t="shared" si="366"/>
        <v>46767</v>
      </c>
      <c r="Q220" s="13">
        <f t="shared" ca="1" si="367"/>
        <v>32</v>
      </c>
      <c r="R220" s="13" t="str">
        <f t="shared" si="368"/>
        <v>OK</v>
      </c>
      <c r="S220" s="13" t="str">
        <f t="shared" si="369"/>
        <v xml:space="preserve">+7 (903) 890-12-34</v>
      </c>
      <c r="T220" s="13" t="str">
        <f t="shared" si="370"/>
        <v>mazur@yandex</v>
      </c>
      <c r="U220" s="18" t="str">
        <f t="shared" si="371"/>
        <v xml:space="preserve">Ошибка Email</v>
      </c>
      <c r="V220" s="13" t="str">
        <f>IFERROR(VLOOKUP(K220,Справочники!$K$6:$L$13,2,0),K220)</f>
        <v>Уссурийск</v>
      </c>
    </row>
    <row r="221" ht="15" customHeight="1">
      <c r="A221" s="10">
        <v>219</v>
      </c>
      <c r="B221" s="11" t="str">
        <f>RAW_Клиенты!A220</f>
        <v>C0219</v>
      </c>
      <c r="C221" s="11" t="str">
        <f>RAW_Клиенты!B220</f>
        <v xml:space="preserve">Касьянова Оксана Юрьевна</v>
      </c>
      <c r="D221" s="11" t="str">
        <f>RAW_Клиенты!C220</f>
        <v>25.07.1979</v>
      </c>
      <c r="E221" s="11" t="str">
        <f>RAW_Клиенты!D220</f>
        <v xml:space="preserve">8 903 901 23 45</v>
      </c>
      <c r="F221" s="11" t="str">
        <f>RAW_Клиенты!E220</f>
        <v>kasyanova@gmail</v>
      </c>
      <c r="G221" s="11" t="str">
        <f>RAW_Клиенты!F220</f>
        <v>Миасс</v>
      </c>
      <c r="H221" s="11" t="str">
        <f>RAW_Клиенты!G220</f>
        <v>15.01.2028</v>
      </c>
      <c r="I221" s="12" t="str">
        <f t="shared" si="359"/>
        <v>89039012345</v>
      </c>
      <c r="J221" s="12" t="str">
        <f t="shared" si="360"/>
        <v>kasyanova@gmail</v>
      </c>
      <c r="K221" s="12" t="str">
        <f t="shared" si="361"/>
        <v>Миасс</v>
      </c>
      <c r="L221" s="13" t="str">
        <f t="shared" si="362"/>
        <v>C0219</v>
      </c>
      <c r="M221" s="13" t="str">
        <f t="shared" si="363"/>
        <v xml:space="preserve">Касьянова Оксана Юрьевна</v>
      </c>
      <c r="N221" s="13" t="str">
        <f t="shared" si="364"/>
        <v>OK</v>
      </c>
      <c r="O221" s="19">
        <f t="shared" si="365"/>
        <v>29061</v>
      </c>
      <c r="P221" s="19">
        <f t="shared" si="366"/>
        <v>46767</v>
      </c>
      <c r="Q221" s="13">
        <f t="shared" ca="1" si="367"/>
        <v>47</v>
      </c>
      <c r="R221" s="13" t="str">
        <f t="shared" si="368"/>
        <v>OK</v>
      </c>
      <c r="S221" s="13" t="str">
        <f t="shared" si="369"/>
        <v xml:space="preserve">+7 (903) 901-23-45</v>
      </c>
      <c r="T221" s="13" t="str">
        <f t="shared" si="370"/>
        <v>kasyanova@gmail</v>
      </c>
      <c r="U221" s="18" t="str">
        <f t="shared" si="371"/>
        <v xml:space="preserve">Ошибка Email</v>
      </c>
      <c r="V221" s="13" t="str">
        <f>IFERROR(VLOOKUP(K221,Справочники!$K$6:$L$13,2,0),K221)</f>
        <v>Миасс</v>
      </c>
    </row>
    <row r="222" ht="15" customHeight="1">
      <c r="A222" s="10">
        <v>220</v>
      </c>
      <c r="B222" s="11" t="str">
        <f>RAW_Клиенты!A221</f>
        <v>C0220</v>
      </c>
      <c r="C222" s="11" t="str">
        <f>RAW_Клиенты!B221</f>
        <v xml:space="preserve">Масленников Денис Олегович</v>
      </c>
      <c r="D222" s="11" t="str">
        <f>RAW_Клиенты!C221</f>
        <v>14.03.1988</v>
      </c>
      <c r="E222" s="11" t="str">
        <f>RAW_Клиенты!D221</f>
        <v>+79039012345</v>
      </c>
      <c r="F222" s="11" t="str">
        <f>RAW_Клиенты!E221</f>
        <v>maslennikov@mail</v>
      </c>
      <c r="G222" s="11" t="str">
        <f>RAW_Клиенты!F221</f>
        <v>Кызыл</v>
      </c>
      <c r="H222" s="11" t="str">
        <f>RAW_Клиенты!G221</f>
        <v>01.02.2028</v>
      </c>
      <c r="I222" s="12" t="str">
        <f t="shared" si="359"/>
        <v>79039012345</v>
      </c>
      <c r="J222" s="12" t="str">
        <f t="shared" si="360"/>
        <v>maslennikov@mail</v>
      </c>
      <c r="K222" s="12" t="str">
        <f t="shared" si="361"/>
        <v>Кызыл</v>
      </c>
      <c r="L222" s="13" t="str">
        <f t="shared" si="362"/>
        <v>C0220</v>
      </c>
      <c r="M222" s="13" t="str">
        <f t="shared" si="363"/>
        <v xml:space="preserve">Масленников Денис Олегович</v>
      </c>
      <c r="N222" s="13" t="str">
        <f t="shared" si="364"/>
        <v>OK</v>
      </c>
      <c r="O222" s="19">
        <f t="shared" si="365"/>
        <v>32216</v>
      </c>
      <c r="P222" s="19">
        <f t="shared" si="366"/>
        <v>46784</v>
      </c>
      <c r="Q222" s="13">
        <f t="shared" ca="1" si="367"/>
        <v>38</v>
      </c>
      <c r="R222" s="13" t="str">
        <f t="shared" si="368"/>
        <v>OK</v>
      </c>
      <c r="S222" s="13" t="str">
        <f t="shared" si="369"/>
        <v xml:space="preserve">+7 (903) 901-23-45</v>
      </c>
      <c r="T222" s="13" t="str">
        <f t="shared" si="370"/>
        <v>maslennikov@mail</v>
      </c>
      <c r="U222" s="18" t="str">
        <f t="shared" si="371"/>
        <v xml:space="preserve">Ошибка Email</v>
      </c>
      <c r="V222" s="13" t="str">
        <f>IFERROR(VLOOKUP(K222,Справочники!$K$6:$L$13,2,0),K222)</f>
        <v>Кызыл</v>
      </c>
    </row>
    <row r="223" ht="15" customHeight="1">
      <c r="A223" s="10">
        <v>221</v>
      </c>
      <c r="B223" s="11" t="str">
        <f>RAW_Клиенты!A222</f>
        <v>C0221</v>
      </c>
      <c r="C223" s="11" t="str">
        <f>RAW_Клиенты!B222</f>
        <v xml:space="preserve">Чумак Екатерина Алексеевна</v>
      </c>
      <c r="D223" s="11" t="str">
        <f>RAW_Клиенты!C222</f>
        <v>19.06.1981</v>
      </c>
      <c r="E223" s="11" t="str">
        <f>RAW_Клиенты!D222</f>
        <v>8-903-901-23-45</v>
      </c>
      <c r="F223" s="11" t="str">
        <f>RAW_Клиенты!E222</f>
        <v>chumak@yandex</v>
      </c>
      <c r="G223" s="11" t="str">
        <f>RAW_Клиенты!F222</f>
        <v>Калининград</v>
      </c>
      <c r="H223" s="11" t="str">
        <f>RAW_Клиенты!G222</f>
        <v>2028-02-10</v>
      </c>
      <c r="I223" s="12" t="str">
        <f t="shared" si="359"/>
        <v>89039012345</v>
      </c>
      <c r="J223" s="12" t="str">
        <f t="shared" si="360"/>
        <v>chumak@yandex</v>
      </c>
      <c r="K223" s="12" t="str">
        <f t="shared" si="361"/>
        <v>Калининград</v>
      </c>
      <c r="L223" s="13" t="str">
        <f t="shared" si="362"/>
        <v>C0221</v>
      </c>
      <c r="M223" s="13" t="str">
        <f t="shared" si="363"/>
        <v xml:space="preserve">Чумак Екатерина Алексеевна</v>
      </c>
      <c r="N223" s="13" t="str">
        <f t="shared" si="364"/>
        <v>OK</v>
      </c>
      <c r="O223" s="19">
        <f t="shared" si="365"/>
        <v>29756</v>
      </c>
      <c r="P223" s="19">
        <f t="shared" si="366"/>
        <v>46793</v>
      </c>
      <c r="Q223" s="13">
        <f t="shared" ca="1" si="367"/>
        <v>45</v>
      </c>
      <c r="R223" s="13" t="str">
        <f t="shared" si="368"/>
        <v>OK</v>
      </c>
      <c r="S223" s="13" t="str">
        <f t="shared" si="369"/>
        <v xml:space="preserve">+7 (903) 901-23-45</v>
      </c>
      <c r="T223" s="13" t="str">
        <f t="shared" si="370"/>
        <v>chumak@yandex</v>
      </c>
      <c r="U223" s="18" t="str">
        <f t="shared" si="371"/>
        <v xml:space="preserve">Ошибка Email</v>
      </c>
      <c r="V223" s="13" t="str">
        <f>IFERROR(VLOOKUP(K223,Справочники!$K$6:$L$13,2,0),K223)</f>
        <v>Калининград</v>
      </c>
    </row>
    <row r="224" ht="15" customHeight="1">
      <c r="A224" s="10">
        <v>222</v>
      </c>
      <c r="B224" s="11" t="str">
        <f>RAW_Клиенты!A223</f>
        <v>C0222</v>
      </c>
      <c r="C224" s="11" t="str">
        <f>RAW_Клиенты!B223</f>
        <v xml:space="preserve">Спицин Никита Павлович</v>
      </c>
      <c r="D224" s="11" t="str">
        <f>RAW_Клиенты!C223</f>
        <v>01.10.1975</v>
      </c>
      <c r="E224" s="11" t="str">
        <f>RAW_Клиенты!D223</f>
        <v xml:space="preserve">8 903 012 34 56</v>
      </c>
      <c r="F224" s="11" t="str">
        <f>RAW_Клиенты!E223</f>
        <v>spicin@gmail</v>
      </c>
      <c r="G224" s="11" t="str">
        <f>RAW_Клиенты!F223</f>
        <v>Петрозаводск</v>
      </c>
      <c r="H224" s="11" t="str">
        <f>RAW_Клиенты!G223</f>
        <v>10.02.2028</v>
      </c>
      <c r="I224" s="12" t="str">
        <f t="shared" si="359"/>
        <v>89030123456</v>
      </c>
      <c r="J224" s="12" t="str">
        <f t="shared" si="360"/>
        <v>spicin@gmail</v>
      </c>
      <c r="K224" s="12" t="str">
        <f t="shared" si="361"/>
        <v>Петрозаводск</v>
      </c>
      <c r="L224" s="13" t="str">
        <f t="shared" si="362"/>
        <v>C0222</v>
      </c>
      <c r="M224" s="13" t="str">
        <f t="shared" si="363"/>
        <v xml:space="preserve">Спицин Никита Павлович</v>
      </c>
      <c r="N224" s="13" t="str">
        <f t="shared" si="364"/>
        <v>OK</v>
      </c>
      <c r="O224" s="19">
        <f t="shared" si="365"/>
        <v>27668</v>
      </c>
      <c r="P224" s="19">
        <f t="shared" si="366"/>
        <v>46793</v>
      </c>
      <c r="Q224" s="13">
        <f t="shared" ca="1" si="367"/>
        <v>50</v>
      </c>
      <c r="R224" s="13" t="str">
        <f t="shared" si="368"/>
        <v>OK</v>
      </c>
      <c r="S224" s="13" t="str">
        <f t="shared" si="369"/>
        <v xml:space="preserve">+7 (903) 012-34-56</v>
      </c>
      <c r="T224" s="13" t="str">
        <f t="shared" si="370"/>
        <v>spicin@gmail</v>
      </c>
      <c r="U224" s="18" t="str">
        <f t="shared" si="371"/>
        <v xml:space="preserve">Ошибка Email</v>
      </c>
      <c r="V224" s="13" t="str">
        <f>IFERROR(VLOOKUP(K224,Справочники!$K$6:$L$13,2,0),K224)</f>
        <v>Петрозаводск</v>
      </c>
    </row>
    <row r="225" ht="15" customHeight="1">
      <c r="A225" s="10">
        <v>223</v>
      </c>
      <c r="B225" s="11" t="str">
        <f>RAW_Клиенты!A224</f>
        <v>C0223</v>
      </c>
      <c r="C225" s="11" t="str">
        <f>RAW_Клиенты!B224</f>
        <v xml:space="preserve">Ткаченко Ольга Викторовна</v>
      </c>
      <c r="D225" s="11" t="str">
        <f>RAW_Клиенты!C224</f>
        <v>27.12.1984</v>
      </c>
      <c r="E225" s="11" t="str">
        <f>RAW_Клиенты!D224</f>
        <v>+79030123456</v>
      </c>
      <c r="F225" s="11" t="str">
        <f>RAW_Клиенты!E224</f>
        <v>tkachenko@mail</v>
      </c>
      <c r="G225" s="11" t="str">
        <f>RAW_Клиенты!F224</f>
        <v>Рубцовск</v>
      </c>
      <c r="H225" s="11" t="str">
        <f>RAW_Клиенты!G224</f>
        <v>01.03.2028</v>
      </c>
      <c r="I225" s="12" t="str">
        <f t="shared" si="359"/>
        <v>79030123456</v>
      </c>
      <c r="J225" s="12" t="str">
        <f t="shared" si="360"/>
        <v>tkachenko@mail</v>
      </c>
      <c r="K225" s="12" t="str">
        <f t="shared" si="361"/>
        <v>Рубцовск</v>
      </c>
      <c r="L225" s="13" t="str">
        <f t="shared" si="362"/>
        <v>C0223</v>
      </c>
      <c r="M225" s="13" t="str">
        <f t="shared" si="363"/>
        <v xml:space="preserve">Ткаченко Ольга Викторовна</v>
      </c>
      <c r="N225" s="13" t="str">
        <f t="shared" si="364"/>
        <v>OK</v>
      </c>
      <c r="O225" s="19">
        <f t="shared" si="365"/>
        <v>31043</v>
      </c>
      <c r="P225" s="19">
        <f t="shared" si="366"/>
        <v>46813</v>
      </c>
      <c r="Q225" s="13">
        <f t="shared" ca="1" si="367"/>
        <v>41</v>
      </c>
      <c r="R225" s="13" t="str">
        <f t="shared" si="368"/>
        <v>OK</v>
      </c>
      <c r="S225" s="13" t="str">
        <f t="shared" si="369"/>
        <v xml:space="preserve">+7 (903) 012-34-56</v>
      </c>
      <c r="T225" s="13" t="str">
        <f t="shared" si="370"/>
        <v>tkachenko@mail</v>
      </c>
      <c r="U225" s="18" t="str">
        <f t="shared" si="371"/>
        <v xml:space="preserve">Ошибка Email</v>
      </c>
      <c r="V225" s="13" t="str">
        <f>IFERROR(VLOOKUP(K225,Справочники!$K$6:$L$13,2,0),K225)</f>
        <v>Рубцовск</v>
      </c>
    </row>
    <row r="226" ht="15" customHeight="1">
      <c r="A226" s="10">
        <v>224</v>
      </c>
      <c r="B226" s="11" t="str">
        <f>RAW_Клиенты!A225</f>
        <v>C0224</v>
      </c>
      <c r="C226" s="11" t="str">
        <f>RAW_Клиенты!B225</f>
        <v xml:space="preserve">Загорский Анатолий Сергеевич</v>
      </c>
      <c r="D226" s="11" t="str">
        <f>RAW_Клиенты!C225</f>
        <v>15.08.1992</v>
      </c>
      <c r="E226" s="11" t="str">
        <f>RAW_Клиенты!D225</f>
        <v>8-903-012-34-56</v>
      </c>
      <c r="F226" s="11" t="str">
        <f>RAW_Клиенты!E225</f>
        <v>zagorsky@yandex</v>
      </c>
      <c r="G226" s="11" t="str">
        <f>RAW_Клиенты!F225</f>
        <v>Элиста</v>
      </c>
      <c r="H226" s="11" t="str">
        <f>RAW_Клиенты!G225</f>
        <v>2028-03-15</v>
      </c>
      <c r="I226" s="12" t="str">
        <f t="shared" si="359"/>
        <v>89030123456</v>
      </c>
      <c r="J226" s="12" t="str">
        <f t="shared" si="360"/>
        <v>zagorsky@yandex</v>
      </c>
      <c r="K226" s="12" t="str">
        <f t="shared" si="361"/>
        <v>Элиста</v>
      </c>
      <c r="L226" s="13" t="str">
        <f t="shared" si="362"/>
        <v>C0224</v>
      </c>
      <c r="M226" s="13" t="str">
        <f t="shared" si="363"/>
        <v xml:space="preserve">Загорский Анатолий Сергеевич</v>
      </c>
      <c r="N226" s="13" t="str">
        <f t="shared" si="364"/>
        <v>OK</v>
      </c>
      <c r="O226" s="19">
        <f t="shared" si="365"/>
        <v>33831</v>
      </c>
      <c r="P226" s="19">
        <f t="shared" si="366"/>
        <v>46827</v>
      </c>
      <c r="Q226" s="13">
        <f t="shared" ca="1" si="367"/>
        <v>34</v>
      </c>
      <c r="R226" s="13" t="str">
        <f t="shared" si="368"/>
        <v>OK</v>
      </c>
      <c r="S226" s="13" t="str">
        <f t="shared" si="369"/>
        <v xml:space="preserve">+7 (903) 012-34-56</v>
      </c>
      <c r="T226" s="13" t="str">
        <f t="shared" si="370"/>
        <v>zagorsky@yandex</v>
      </c>
      <c r="U226" s="18" t="str">
        <f t="shared" si="371"/>
        <v xml:space="preserve">Ошибка Email</v>
      </c>
      <c r="V226" s="13" t="str">
        <f>IFERROR(VLOOKUP(K226,Справочники!$K$6:$L$13,2,0),K226)</f>
        <v>Элиста</v>
      </c>
    </row>
    <row r="227" ht="15" customHeight="1">
      <c r="A227" s="10">
        <v>225</v>
      </c>
      <c r="B227" s="11" t="str">
        <f>RAW_Клиенты!A226</f>
        <v>C0225</v>
      </c>
      <c r="C227" s="11" t="str">
        <f>RAW_Клиенты!B226</f>
        <v xml:space="preserve">Сидорова Ольга Ивановна</v>
      </c>
      <c r="D227" s="11" t="str">
        <f>RAW_Клиенты!C226</f>
        <v>04.11.1973</v>
      </c>
      <c r="E227" s="11" t="str">
        <f>RAW_Клиенты!D226</f>
        <v xml:space="preserve">8 903 123 45 67</v>
      </c>
      <c r="F227" s="11" t="str">
        <f>RAW_Клиенты!E226</f>
        <v>sidorova@gmail</v>
      </c>
      <c r="G227" s="11" t="str">
        <f>RAW_Клиенты!F226</f>
        <v>Орск</v>
      </c>
      <c r="H227" s="11" t="str">
        <f>RAW_Клиенты!G226</f>
        <v>15.03.2028</v>
      </c>
      <c r="I227" s="12" t="str">
        <f t="shared" si="359"/>
        <v>89031234567</v>
      </c>
      <c r="J227" s="12" t="str">
        <f t="shared" si="360"/>
        <v>sidorova@gmail</v>
      </c>
      <c r="K227" s="12" t="str">
        <f t="shared" si="361"/>
        <v>Орск</v>
      </c>
      <c r="L227" s="13" t="str">
        <f t="shared" si="362"/>
        <v>C0225</v>
      </c>
      <c r="M227" s="13" t="str">
        <f t="shared" si="363"/>
        <v xml:space="preserve">Сидорова Ольга Ивановна</v>
      </c>
      <c r="N227" s="13" t="str">
        <f t="shared" si="364"/>
        <v>OK</v>
      </c>
      <c r="O227" s="19">
        <f t="shared" si="365"/>
        <v>26972</v>
      </c>
      <c r="P227" s="19">
        <f t="shared" si="366"/>
        <v>46827</v>
      </c>
      <c r="Q227" s="13">
        <f t="shared" ca="1" si="367"/>
        <v>52</v>
      </c>
      <c r="R227" s="13" t="str">
        <f t="shared" si="368"/>
        <v>OK</v>
      </c>
      <c r="S227" s="13" t="str">
        <f t="shared" si="369"/>
        <v xml:space="preserve">+7 (903) 123-45-67</v>
      </c>
      <c r="T227" s="13" t="str">
        <f t="shared" si="370"/>
        <v>sidorova@gmail</v>
      </c>
      <c r="U227" s="18" t="str">
        <f t="shared" si="371"/>
        <v xml:space="preserve">Ошибка Email</v>
      </c>
      <c r="V227" s="13" t="str">
        <f>IFERROR(VLOOKUP(K227,Справочники!$K$6:$L$13,2,0),K227)</f>
        <v>Орск</v>
      </c>
    </row>
    <row r="228" ht="15" customHeight="1">
      <c r="A228" s="10">
        <v>226</v>
      </c>
      <c r="B228" s="11" t="str">
        <f>RAW_Клиенты!A227</f>
        <v>C0226</v>
      </c>
      <c r="C228" s="11" t="str">
        <f>RAW_Клиенты!B227</f>
        <v xml:space="preserve">Попова Надежда Петровна</v>
      </c>
      <c r="D228" s="11" t="str">
        <f>RAW_Клиенты!C227</f>
        <v>21.03.1986</v>
      </c>
      <c r="E228" s="11" t="str">
        <f>RAW_Клиенты!D227</f>
        <v>+79031234567</v>
      </c>
      <c r="F228" s="11" t="str">
        <f>RAW_Клиенты!E227</f>
        <v>popova@mail</v>
      </c>
      <c r="G228" s="11" t="str">
        <f>RAW_Клиенты!F227</f>
        <v>Нижневартовск</v>
      </c>
      <c r="H228" s="11" t="str">
        <f>RAW_Клиенты!G227</f>
        <v>01.04.2028</v>
      </c>
      <c r="I228" s="12" t="str">
        <f t="shared" ref="I228:I291" si="372">SUBSTITUTE(SUBSTITUTE(SUBSTITUTE(SUBSTITUTE(SUBSTITUTE(SUBSTITUTE(E228," ",""),"-",""),"+",""),"(",""),")",""),CHAR(160),"")</f>
        <v>79031234567</v>
      </c>
      <c r="J228" s="12" t="str">
        <f t="shared" ref="J228:J291" si="373">SUBSTITUTE(SUBSTITUTE(TRIM(F228)," ",""),CHAR(160),"")</f>
        <v>popova@mail</v>
      </c>
      <c r="K228" s="12" t="str">
        <f t="shared" ref="K228:K291" si="374">TRIM(SUBSTITUTE(SUBSTITUTE(TRIM(G228),"г.",""),"г ",""))</f>
        <v>Нижневартовск</v>
      </c>
      <c r="L228" s="13" t="str">
        <f t="shared" ref="L228:L291" si="375">B228</f>
        <v>C0226</v>
      </c>
      <c r="M228" s="13" t="str">
        <f t="shared" ref="M228:M291" si="376">PROPER(TRIM(C228))</f>
        <v xml:space="preserve">Попова Надежда Петровна</v>
      </c>
      <c r="N228" s="13" t="str">
        <f t="shared" ref="N228:N291" si="377">IF(ISNUMBER(FIND(".",C228)),"инициалы: проверить",IF(SUMPRODUCT(--ISNUMBER(FIND(MID("abcdefghijklmnopqrstuvwxyz",ROW(INDIRECT("1:26")),1),LOWER(C228))))&gt;0,"латиница: транслит","OK"))</f>
        <v>OK</v>
      </c>
      <c r="O228" s="19">
        <f t="shared" ref="O228:O291" si="378">IF(ISNUMBER(FIND("-",D228)),DATE(VALUE(LEFT(D228,4)),VALUE(MID(D228,6,2)),VALUE(MID(D228,9,2))),DATE(VALUE(MID(D228,7,4)),VALUE(MID(D228,4,2)),VALUE(LEFT(D228,2))))</f>
        <v>31492</v>
      </c>
      <c r="P228" s="19">
        <f t="shared" ref="P228:P291" si="379">IF(ISNUMBER(FIND("-",H228)),DATE(VALUE(LEFT(H228,4)),VALUE(MID(H228,6,2)),VALUE(MID(H228,9,2))),DATE(VALUE(MID(H228,7,4)),VALUE(MID(H228,4,2)),VALUE(LEFT(H228,2))))</f>
        <v>46844</v>
      </c>
      <c r="Q228" s="13">
        <f t="shared" ref="Q228:Q291" ca="1" si="380">DATEDIF(O228,TODAY(),"Y")</f>
        <v>40</v>
      </c>
      <c r="R228" s="13" t="str">
        <f t="shared" ref="R228:R291" si="381">IF(OR(Q228&lt;18,Q228&gt;120),"Ошибка даты рождения","OK")</f>
        <v>OK</v>
      </c>
      <c r="S228" s="13" t="str">
        <f t="shared" ref="S228:S291" si="382">IF(LEN(I228)&gt;=10,"+7 ("&amp;MID(I228,LEN(I228)-9,3)&amp;") "&amp;MID(I228,LEN(I228)-6,3)&amp;"-"&amp;MID(I228,LEN(I228)-3,2)&amp;"-"&amp;RIGHT(I228,2),"Ошибка телефона")</f>
        <v xml:space="preserve">+7 (903) 123-45-67</v>
      </c>
      <c r="T228" s="13" t="str">
        <f t="shared" ref="T228:T291" si="383">J228</f>
        <v>popova@mail</v>
      </c>
      <c r="U228" s="18" t="str">
        <f t="shared" ref="U228:U291" si="384">IF(AND(ISNUMBER(FIND("@",J228)),ISNUMBER(FIND(".",MID(J228,FIND("@",J228),100)))),"OK","Ошибка Email")</f>
        <v xml:space="preserve">Ошибка Email</v>
      </c>
      <c r="V228" s="13" t="str">
        <f>IFERROR(VLOOKUP(K228,Справочники!$K$6:$L$13,2,0),K228)</f>
        <v>Нижневартовск</v>
      </c>
    </row>
    <row r="229" ht="15" customHeight="1">
      <c r="A229" s="10">
        <v>227</v>
      </c>
      <c r="B229" s="11" t="str">
        <f>RAW_Клиенты!A228</f>
        <v>C0227</v>
      </c>
      <c r="C229" s="11" t="str">
        <f>RAW_Клиенты!B228</f>
        <v xml:space="preserve">Чехов Илья Александрович</v>
      </c>
      <c r="D229" s="11" t="str">
        <f>RAW_Клиенты!C228</f>
        <v>08.06.1991</v>
      </c>
      <c r="E229" s="11" t="str">
        <f>RAW_Клиенты!D228</f>
        <v>8-903-123-45-67</v>
      </c>
      <c r="F229" s="11" t="str">
        <f>RAW_Клиенты!E228</f>
        <v>chehov@yandex</v>
      </c>
      <c r="G229" s="11" t="str">
        <f>RAW_Клиенты!F228</f>
        <v>Новороссийск</v>
      </c>
      <c r="H229" s="11" t="str">
        <f>RAW_Клиенты!G228</f>
        <v>2028-04-10</v>
      </c>
      <c r="I229" s="12" t="str">
        <f t="shared" si="372"/>
        <v>89031234567</v>
      </c>
      <c r="J229" s="12" t="str">
        <f t="shared" si="373"/>
        <v>chehov@yandex</v>
      </c>
      <c r="K229" s="12" t="str">
        <f t="shared" si="374"/>
        <v>Новороссийск</v>
      </c>
      <c r="L229" s="13" t="str">
        <f t="shared" si="375"/>
        <v>C0227</v>
      </c>
      <c r="M229" s="13" t="str">
        <f t="shared" si="376"/>
        <v xml:space="preserve">Чехов Илья Александрович</v>
      </c>
      <c r="N229" s="13" t="str">
        <f t="shared" si="377"/>
        <v>OK</v>
      </c>
      <c r="O229" s="19">
        <f t="shared" si="378"/>
        <v>33397</v>
      </c>
      <c r="P229" s="19">
        <f t="shared" si="379"/>
        <v>46853</v>
      </c>
      <c r="Q229" s="13">
        <f t="shared" ca="1" si="380"/>
        <v>35</v>
      </c>
      <c r="R229" s="13" t="str">
        <f t="shared" si="381"/>
        <v>OK</v>
      </c>
      <c r="S229" s="13" t="str">
        <f t="shared" si="382"/>
        <v xml:space="preserve">+7 (903) 123-45-67</v>
      </c>
      <c r="T229" s="13" t="str">
        <f t="shared" si="383"/>
        <v>chehov@yandex</v>
      </c>
      <c r="U229" s="18" t="str">
        <f t="shared" si="384"/>
        <v xml:space="preserve">Ошибка Email</v>
      </c>
      <c r="V229" s="13" t="str">
        <f>IFERROR(VLOOKUP(K229,Справочники!$K$6:$L$13,2,0),K229)</f>
        <v>Новороссийск</v>
      </c>
    </row>
    <row r="230" ht="15" customHeight="1">
      <c r="A230" s="10">
        <v>228</v>
      </c>
      <c r="B230" s="11" t="str">
        <f>RAW_Клиенты!A229</f>
        <v>C0228</v>
      </c>
      <c r="C230" s="11" t="str">
        <f>RAW_Клиенты!B229</f>
        <v xml:space="preserve">Курочкина Мария Андреевна</v>
      </c>
      <c r="D230" s="11" t="str">
        <f>RAW_Клиенты!C229</f>
        <v>16.12.1977</v>
      </c>
      <c r="E230" s="11" t="str">
        <f>RAW_Клиенты!D229</f>
        <v xml:space="preserve">8 903 234 56 78</v>
      </c>
      <c r="F230" s="11" t="str">
        <f>RAW_Клиенты!E229</f>
        <v>kurochkina@gmail</v>
      </c>
      <c r="G230" s="11" t="str">
        <f>RAW_Клиенты!F229</f>
        <v>Химки</v>
      </c>
      <c r="H230" s="11" t="str">
        <f>RAW_Клиенты!G229</f>
        <v>10.04.2028</v>
      </c>
      <c r="I230" s="12" t="str">
        <f t="shared" si="372"/>
        <v>89032345678</v>
      </c>
      <c r="J230" s="12" t="str">
        <f t="shared" si="373"/>
        <v>kurochkina@gmail</v>
      </c>
      <c r="K230" s="12" t="str">
        <f t="shared" si="374"/>
        <v>Химки</v>
      </c>
      <c r="L230" s="13" t="str">
        <f t="shared" si="375"/>
        <v>C0228</v>
      </c>
      <c r="M230" s="13" t="str">
        <f t="shared" si="376"/>
        <v xml:space="preserve">Курочкина Мария Андреевна</v>
      </c>
      <c r="N230" s="13" t="str">
        <f t="shared" si="377"/>
        <v>OK</v>
      </c>
      <c r="O230" s="19">
        <f t="shared" si="378"/>
        <v>28475</v>
      </c>
      <c r="P230" s="19">
        <f t="shared" si="379"/>
        <v>46853</v>
      </c>
      <c r="Q230" s="13">
        <f t="shared" ca="1" si="380"/>
        <v>48</v>
      </c>
      <c r="R230" s="13" t="str">
        <f t="shared" si="381"/>
        <v>OK</v>
      </c>
      <c r="S230" s="13" t="str">
        <f t="shared" si="382"/>
        <v xml:space="preserve">+7 (903) 234-56-78</v>
      </c>
      <c r="T230" s="13" t="str">
        <f t="shared" si="383"/>
        <v>kurochkina@gmail</v>
      </c>
      <c r="U230" s="18" t="str">
        <f t="shared" si="384"/>
        <v xml:space="preserve">Ошибка Email</v>
      </c>
      <c r="V230" s="13" t="str">
        <f>IFERROR(VLOOKUP(K230,Справочники!$K$6:$L$13,2,0),K230)</f>
        <v>Химки</v>
      </c>
    </row>
    <row r="231" ht="15" customHeight="1">
      <c r="A231" s="10">
        <v>229</v>
      </c>
      <c r="B231" s="11" t="str">
        <f>RAW_Клиенты!A230</f>
        <v>C0229</v>
      </c>
      <c r="C231" s="11" t="str">
        <f>RAW_Клиенты!B230</f>
        <v xml:space="preserve">Печеневский Артем Валентинович</v>
      </c>
      <c r="D231" s="11" t="str">
        <f>RAW_Клиенты!C230</f>
        <v>02.09.1983</v>
      </c>
      <c r="E231" s="11" t="str">
        <f>RAW_Клиенты!D230</f>
        <v>+79032345678</v>
      </c>
      <c r="F231" s="11" t="str">
        <f>RAW_Клиенты!E230</f>
        <v>pechenevsky@mail</v>
      </c>
      <c r="G231" s="11" t="str">
        <f>RAW_Клиенты!F230</f>
        <v>Подольск</v>
      </c>
      <c r="H231" s="11" t="str">
        <f>RAW_Клиенты!G230</f>
        <v>01.05.2028</v>
      </c>
      <c r="I231" s="12" t="str">
        <f t="shared" si="372"/>
        <v>79032345678</v>
      </c>
      <c r="J231" s="12" t="str">
        <f t="shared" si="373"/>
        <v>pechenevsky@mail</v>
      </c>
      <c r="K231" s="12" t="str">
        <f t="shared" si="374"/>
        <v>Подольск</v>
      </c>
      <c r="L231" s="13" t="str">
        <f t="shared" si="375"/>
        <v>C0229</v>
      </c>
      <c r="M231" s="13" t="str">
        <f t="shared" si="376"/>
        <v xml:space="preserve">Печеневский Артем Валентинович</v>
      </c>
      <c r="N231" s="13" t="str">
        <f t="shared" si="377"/>
        <v>OK</v>
      </c>
      <c r="O231" s="19">
        <f t="shared" si="378"/>
        <v>30561</v>
      </c>
      <c r="P231" s="19">
        <f t="shared" si="379"/>
        <v>46874</v>
      </c>
      <c r="Q231" s="13">
        <f t="shared" ca="1" si="380"/>
        <v>43</v>
      </c>
      <c r="R231" s="13" t="str">
        <f t="shared" si="381"/>
        <v>OK</v>
      </c>
      <c r="S231" s="13" t="str">
        <f t="shared" si="382"/>
        <v xml:space="preserve">+7 (903) 234-56-78</v>
      </c>
      <c r="T231" s="13" t="str">
        <f t="shared" si="383"/>
        <v>pechenevsky@mail</v>
      </c>
      <c r="U231" s="18" t="str">
        <f t="shared" si="384"/>
        <v xml:space="preserve">Ошибка Email</v>
      </c>
      <c r="V231" s="13" t="str">
        <f>IFERROR(VLOOKUP(K231,Справочники!$K$6:$L$13,2,0),K231)</f>
        <v>Подольск</v>
      </c>
    </row>
    <row r="232" ht="15" customHeight="1">
      <c r="A232" s="10">
        <v>230</v>
      </c>
      <c r="B232" s="11" t="str">
        <f>RAW_Клиенты!A231</f>
        <v>C0230</v>
      </c>
      <c r="C232" s="11" t="str">
        <f>RAW_Клиенты!B231</f>
        <v xml:space="preserve">Смагина Елена Юрьевна</v>
      </c>
      <c r="D232" s="11" t="str">
        <f>RAW_Клиенты!C231</f>
        <v>23.05.1993</v>
      </c>
      <c r="E232" s="11" t="str">
        <f>RAW_Клиенты!D231</f>
        <v>8-903-234-56-78</v>
      </c>
      <c r="F232" s="11" t="str">
        <f>RAW_Клиенты!E231</f>
        <v>smagina@yandex</v>
      </c>
      <c r="G232" s="11" t="str">
        <f>RAW_Клиенты!F231</f>
        <v>Балашиха</v>
      </c>
      <c r="H232" s="11" t="str">
        <f>RAW_Клиенты!G231</f>
        <v>2028-05-15</v>
      </c>
      <c r="I232" s="12" t="str">
        <f t="shared" si="372"/>
        <v>89032345678</v>
      </c>
      <c r="J232" s="12" t="str">
        <f t="shared" si="373"/>
        <v>smagina@yandex</v>
      </c>
      <c r="K232" s="12" t="str">
        <f t="shared" si="374"/>
        <v>Балашиха</v>
      </c>
      <c r="L232" s="13" t="str">
        <f t="shared" si="375"/>
        <v>C0230</v>
      </c>
      <c r="M232" s="13" t="str">
        <f t="shared" si="376"/>
        <v xml:space="preserve">Смагина Елена Юрьевна</v>
      </c>
      <c r="N232" s="13" t="str">
        <f t="shared" si="377"/>
        <v>OK</v>
      </c>
      <c r="O232" s="19">
        <f t="shared" si="378"/>
        <v>34112</v>
      </c>
      <c r="P232" s="19">
        <f t="shared" si="379"/>
        <v>46888</v>
      </c>
      <c r="Q232" s="13">
        <f t="shared" ca="1" si="380"/>
        <v>33</v>
      </c>
      <c r="R232" s="13" t="str">
        <f t="shared" si="381"/>
        <v>OK</v>
      </c>
      <c r="S232" s="13" t="str">
        <f t="shared" si="382"/>
        <v xml:space="preserve">+7 (903) 234-56-78</v>
      </c>
      <c r="T232" s="13" t="str">
        <f t="shared" si="383"/>
        <v>smagina@yandex</v>
      </c>
      <c r="U232" s="18" t="str">
        <f t="shared" si="384"/>
        <v xml:space="preserve">Ошибка Email</v>
      </c>
      <c r="V232" s="13" t="str">
        <f>IFERROR(VLOOKUP(K232,Справочники!$K$6:$L$13,2,0),K232)</f>
        <v>Балашиха</v>
      </c>
    </row>
    <row r="233" ht="15" customHeight="1">
      <c r="A233" s="10">
        <v>231</v>
      </c>
      <c r="B233" s="11" t="str">
        <f>RAW_Клиенты!A232</f>
        <v>C0231</v>
      </c>
      <c r="C233" s="11" t="str">
        <f>RAW_Клиенты!B232</f>
        <v xml:space="preserve">Гущин Илья Николаевич</v>
      </c>
      <c r="D233" s="11" t="str">
        <f>RAW_Клиенты!C232</f>
        <v>11.07.1971</v>
      </c>
      <c r="E233" s="11" t="str">
        <f>RAW_Клиенты!D232</f>
        <v xml:space="preserve">8 903 345 67 89</v>
      </c>
      <c r="F233" s="11" t="str">
        <f>RAW_Клиенты!E232</f>
        <v>guschin@gmail</v>
      </c>
      <c r="G233" s="11" t="str">
        <f>RAW_Клиенты!F232</f>
        <v>Сургут</v>
      </c>
      <c r="H233" s="11" t="str">
        <f>RAW_Клиенты!G232</f>
        <v>15.05.2028</v>
      </c>
      <c r="I233" s="12" t="str">
        <f t="shared" si="372"/>
        <v>89033456789</v>
      </c>
      <c r="J233" s="12" t="str">
        <f t="shared" si="373"/>
        <v>guschin@gmail</v>
      </c>
      <c r="K233" s="12" t="str">
        <f t="shared" si="374"/>
        <v>Сургут</v>
      </c>
      <c r="L233" s="13" t="str">
        <f t="shared" si="375"/>
        <v>C0231</v>
      </c>
      <c r="M233" s="13" t="str">
        <f t="shared" si="376"/>
        <v xml:space="preserve">Гущин Илья Николаевич</v>
      </c>
      <c r="N233" s="13" t="str">
        <f t="shared" si="377"/>
        <v>OK</v>
      </c>
      <c r="O233" s="19">
        <f t="shared" si="378"/>
        <v>26125</v>
      </c>
      <c r="P233" s="19">
        <f t="shared" si="379"/>
        <v>46888</v>
      </c>
      <c r="Q233" s="13">
        <f t="shared" ca="1" si="380"/>
        <v>55</v>
      </c>
      <c r="R233" s="13" t="str">
        <f t="shared" si="381"/>
        <v>OK</v>
      </c>
      <c r="S233" s="13" t="str">
        <f t="shared" si="382"/>
        <v xml:space="preserve">+7 (903) 345-67-89</v>
      </c>
      <c r="T233" s="13" t="str">
        <f t="shared" si="383"/>
        <v>guschin@gmail</v>
      </c>
      <c r="U233" s="18" t="str">
        <f t="shared" si="384"/>
        <v xml:space="preserve">Ошибка Email</v>
      </c>
      <c r="V233" s="13" t="str">
        <f>IFERROR(VLOOKUP(K233,Справочники!$K$6:$L$13,2,0),K233)</f>
        <v>Сургут</v>
      </c>
    </row>
    <row r="234" ht="15" customHeight="1">
      <c r="A234" s="10">
        <v>232</v>
      </c>
      <c r="B234" s="11" t="str">
        <f>RAW_Клиенты!A233</f>
        <v>C0232</v>
      </c>
      <c r="C234" s="11" t="str">
        <f>RAW_Клиенты!B233</f>
        <v xml:space="preserve">Минаев Владислав Владимирович</v>
      </c>
      <c r="D234" s="11" t="str">
        <f>RAW_Клиенты!C233</f>
        <v>29.01.1986</v>
      </c>
      <c r="E234" s="11" t="str">
        <f>RAW_Клиенты!D233</f>
        <v>+79033456789</v>
      </c>
      <c r="F234" s="11" t="str">
        <f>RAW_Клиенты!E233</f>
        <v>minaev@mail</v>
      </c>
      <c r="G234" s="11" t="str">
        <f>RAW_Клиенты!F233</f>
        <v>Армавир</v>
      </c>
      <c r="H234" s="11" t="str">
        <f>RAW_Клиенты!G233</f>
        <v>01.06.2028</v>
      </c>
      <c r="I234" s="12" t="str">
        <f t="shared" si="372"/>
        <v>79033456789</v>
      </c>
      <c r="J234" s="12" t="str">
        <f t="shared" si="373"/>
        <v>minaev@mail</v>
      </c>
      <c r="K234" s="12" t="str">
        <f t="shared" si="374"/>
        <v>Армавир</v>
      </c>
      <c r="L234" s="13" t="str">
        <f t="shared" si="375"/>
        <v>C0232</v>
      </c>
      <c r="M234" s="13" t="str">
        <f t="shared" si="376"/>
        <v xml:space="preserve">Минаев Владислав Владимирович</v>
      </c>
      <c r="N234" s="13" t="str">
        <f t="shared" si="377"/>
        <v>OK</v>
      </c>
      <c r="O234" s="19">
        <f t="shared" si="378"/>
        <v>31441</v>
      </c>
      <c r="P234" s="19">
        <f t="shared" si="379"/>
        <v>46905</v>
      </c>
      <c r="Q234" s="13">
        <f t="shared" ca="1" si="380"/>
        <v>40</v>
      </c>
      <c r="R234" s="13" t="str">
        <f t="shared" si="381"/>
        <v>OK</v>
      </c>
      <c r="S234" s="13" t="str">
        <f t="shared" si="382"/>
        <v xml:space="preserve">+7 (903) 345-67-89</v>
      </c>
      <c r="T234" s="13" t="str">
        <f t="shared" si="383"/>
        <v>minaev@mail</v>
      </c>
      <c r="U234" s="18" t="str">
        <f t="shared" si="384"/>
        <v xml:space="preserve">Ошибка Email</v>
      </c>
      <c r="V234" s="13" t="str">
        <f>IFERROR(VLOOKUP(K234,Справочники!$K$6:$L$13,2,0),K234)</f>
        <v>Армавир</v>
      </c>
    </row>
    <row r="235" ht="15" customHeight="1">
      <c r="A235" s="10">
        <v>233</v>
      </c>
      <c r="B235" s="11" t="str">
        <f>RAW_Клиенты!A234</f>
        <v>C0233</v>
      </c>
      <c r="C235" s="11" t="str">
        <f>RAW_Клиенты!B234</f>
        <v xml:space="preserve">Жилинская Ольга Анатольевна</v>
      </c>
      <c r="D235" s="11" t="str">
        <f>RAW_Клиенты!C234</f>
        <v>17.10.1989</v>
      </c>
      <c r="E235" s="11" t="str">
        <f>RAW_Клиенты!D234</f>
        <v>8-903-345-67-89</v>
      </c>
      <c r="F235" s="11" t="str">
        <f>RAW_Клиенты!E234</f>
        <v>zhilinskaya@yandex</v>
      </c>
      <c r="G235" s="11" t="str">
        <f>RAW_Клиенты!F234</f>
        <v>Волжский</v>
      </c>
      <c r="H235" s="11" t="str">
        <f>RAW_Клиенты!G234</f>
        <v>2028-06-10</v>
      </c>
      <c r="I235" s="12" t="str">
        <f t="shared" si="372"/>
        <v>89033456789</v>
      </c>
      <c r="J235" s="12" t="str">
        <f t="shared" si="373"/>
        <v>zhilinskaya@yandex</v>
      </c>
      <c r="K235" s="12" t="str">
        <f t="shared" si="374"/>
        <v>Волжский</v>
      </c>
      <c r="L235" s="13" t="str">
        <f t="shared" si="375"/>
        <v>C0233</v>
      </c>
      <c r="M235" s="13" t="str">
        <f t="shared" si="376"/>
        <v xml:space="preserve">Жилинская Ольга Анатольевна</v>
      </c>
      <c r="N235" s="13" t="str">
        <f t="shared" si="377"/>
        <v>OK</v>
      </c>
      <c r="O235" s="19">
        <f t="shared" si="378"/>
        <v>32798</v>
      </c>
      <c r="P235" s="19">
        <f t="shared" si="379"/>
        <v>46914</v>
      </c>
      <c r="Q235" s="13">
        <f t="shared" ca="1" si="380"/>
        <v>36</v>
      </c>
      <c r="R235" s="13" t="str">
        <f t="shared" si="381"/>
        <v>OK</v>
      </c>
      <c r="S235" s="13" t="str">
        <f t="shared" si="382"/>
        <v xml:space="preserve">+7 (903) 345-67-89</v>
      </c>
      <c r="T235" s="13" t="str">
        <f t="shared" si="383"/>
        <v>zhilinskaya@yandex</v>
      </c>
      <c r="U235" s="18" t="str">
        <f t="shared" si="384"/>
        <v xml:space="preserve">Ошибка Email</v>
      </c>
      <c r="V235" s="13" t="str">
        <f>IFERROR(VLOOKUP(K235,Справочники!$K$6:$L$13,2,0),K235)</f>
        <v>Волжский</v>
      </c>
    </row>
    <row r="236" ht="15" customHeight="1">
      <c r="A236" s="10">
        <v>234</v>
      </c>
      <c r="B236" s="11" t="str">
        <f>RAW_Клиенты!A235</f>
        <v>C0234</v>
      </c>
      <c r="C236" s="11" t="str">
        <f>RAW_Клиенты!B235</f>
        <v xml:space="preserve">Булычев Роман Викторович</v>
      </c>
      <c r="D236" s="11" t="str">
        <f>RAW_Клиенты!C235</f>
        <v>14.04.1976</v>
      </c>
      <c r="E236" s="11" t="str">
        <f>RAW_Клиенты!D235</f>
        <v xml:space="preserve">8 903 456 78 90</v>
      </c>
      <c r="F236" s="11" t="str">
        <f>RAW_Клиенты!E235</f>
        <v>bulychev@gmail</v>
      </c>
      <c r="G236" s="11" t="str">
        <f>RAW_Клиенты!F235</f>
        <v>Шахты</v>
      </c>
      <c r="H236" s="11" t="str">
        <f>RAW_Клиенты!G235</f>
        <v>10.06.2028</v>
      </c>
      <c r="I236" s="12" t="str">
        <f t="shared" si="372"/>
        <v>89034567890</v>
      </c>
      <c r="J236" s="12" t="str">
        <f t="shared" si="373"/>
        <v>bulychev@gmail</v>
      </c>
      <c r="K236" s="12" t="str">
        <f t="shared" si="374"/>
        <v>Шахты</v>
      </c>
      <c r="L236" s="13" t="str">
        <f t="shared" si="375"/>
        <v>C0234</v>
      </c>
      <c r="M236" s="13" t="str">
        <f t="shared" si="376"/>
        <v xml:space="preserve">Булычев Роман Викторович</v>
      </c>
      <c r="N236" s="13" t="str">
        <f t="shared" si="377"/>
        <v>OK</v>
      </c>
      <c r="O236" s="19">
        <f t="shared" si="378"/>
        <v>27864</v>
      </c>
      <c r="P236" s="19">
        <f t="shared" si="379"/>
        <v>46914</v>
      </c>
      <c r="Q236" s="13">
        <f t="shared" ca="1" si="380"/>
        <v>50</v>
      </c>
      <c r="R236" s="13" t="str">
        <f t="shared" si="381"/>
        <v>OK</v>
      </c>
      <c r="S236" s="13" t="str">
        <f t="shared" si="382"/>
        <v xml:space="preserve">+7 (903) 456-78-90</v>
      </c>
      <c r="T236" s="13" t="str">
        <f t="shared" si="383"/>
        <v>bulychev@gmail</v>
      </c>
      <c r="U236" s="18" t="str">
        <f t="shared" si="384"/>
        <v xml:space="preserve">Ошибка Email</v>
      </c>
      <c r="V236" s="13" t="str">
        <f>IFERROR(VLOOKUP(K236,Справочники!$K$6:$L$13,2,0),K236)</f>
        <v>Шахты</v>
      </c>
    </row>
    <row r="237" ht="15" customHeight="1">
      <c r="A237" s="10">
        <v>235</v>
      </c>
      <c r="B237" s="11" t="str">
        <f>RAW_Клиенты!A236</f>
        <v>C0235</v>
      </c>
      <c r="C237" s="11" t="str">
        <f>RAW_Клиенты!B236</f>
        <v xml:space="preserve">Дубова Марина Игоревна</v>
      </c>
      <c r="D237" s="11" t="str">
        <f>RAW_Клиенты!C236</f>
        <v>08.12.1982</v>
      </c>
      <c r="E237" s="11" t="str">
        <f>RAW_Клиенты!D236</f>
        <v>+79034567890</v>
      </c>
      <c r="F237" s="11" t="str">
        <f>RAW_Клиенты!E236</f>
        <v>dubova@mail</v>
      </c>
      <c r="G237" s="11" t="str">
        <f>RAW_Клиенты!F236</f>
        <v>Златоуст</v>
      </c>
      <c r="H237" s="11" t="str">
        <f>RAW_Клиенты!G236</f>
        <v>01.07.2028</v>
      </c>
      <c r="I237" s="12" t="str">
        <f t="shared" si="372"/>
        <v>79034567890</v>
      </c>
      <c r="J237" s="12" t="str">
        <f t="shared" si="373"/>
        <v>dubova@mail</v>
      </c>
      <c r="K237" s="12" t="str">
        <f t="shared" si="374"/>
        <v>Златоуст</v>
      </c>
      <c r="L237" s="13" t="str">
        <f t="shared" si="375"/>
        <v>C0235</v>
      </c>
      <c r="M237" s="13" t="str">
        <f t="shared" si="376"/>
        <v xml:space="preserve">Дубова Марина Игоревна</v>
      </c>
      <c r="N237" s="13" t="str">
        <f t="shared" si="377"/>
        <v>OK</v>
      </c>
      <c r="O237" s="19">
        <f t="shared" si="378"/>
        <v>30293</v>
      </c>
      <c r="P237" s="19">
        <f t="shared" si="379"/>
        <v>46935</v>
      </c>
      <c r="Q237" s="13">
        <f t="shared" ca="1" si="380"/>
        <v>43</v>
      </c>
      <c r="R237" s="13" t="str">
        <f t="shared" si="381"/>
        <v>OK</v>
      </c>
      <c r="S237" s="13" t="str">
        <f t="shared" si="382"/>
        <v xml:space="preserve">+7 (903) 456-78-90</v>
      </c>
      <c r="T237" s="13" t="str">
        <f t="shared" si="383"/>
        <v>dubova@mail</v>
      </c>
      <c r="U237" s="18" t="str">
        <f t="shared" si="384"/>
        <v xml:space="preserve">Ошибка Email</v>
      </c>
      <c r="V237" s="13" t="str">
        <f>IFERROR(VLOOKUP(K237,Справочники!$K$6:$L$13,2,0),K237)</f>
        <v>Златоуст</v>
      </c>
    </row>
    <row r="238" ht="15" customHeight="1">
      <c r="A238" s="10">
        <v>236</v>
      </c>
      <c r="B238" s="11" t="str">
        <f>RAW_Клиенты!A237</f>
        <v>C0236</v>
      </c>
      <c r="C238" s="11" t="str">
        <f>RAW_Клиенты!B237</f>
        <v xml:space="preserve">Анисимов Андрей Олегович</v>
      </c>
      <c r="D238" s="11" t="str">
        <f>RAW_Клиенты!C237</f>
        <v>22.08.1994</v>
      </c>
      <c r="E238" s="11" t="str">
        <f>RAW_Клиенты!D237</f>
        <v>8-903-456-78-90</v>
      </c>
      <c r="F238" s="11" t="str">
        <f>RAW_Клиенты!E237</f>
        <v>anisimov@yandex</v>
      </c>
      <c r="G238" s="11" t="str">
        <f>RAW_Клиенты!F237</f>
        <v>Ангарск</v>
      </c>
      <c r="H238" s="11" t="str">
        <f>RAW_Клиенты!G237</f>
        <v>2028-07-15</v>
      </c>
      <c r="I238" s="12" t="str">
        <f t="shared" si="372"/>
        <v>89034567890</v>
      </c>
      <c r="J238" s="12" t="str">
        <f t="shared" si="373"/>
        <v>anisimov@yandex</v>
      </c>
      <c r="K238" s="12" t="str">
        <f t="shared" si="374"/>
        <v>Ангарск</v>
      </c>
      <c r="L238" s="13" t="str">
        <f t="shared" si="375"/>
        <v>C0236</v>
      </c>
      <c r="M238" s="13" t="str">
        <f t="shared" si="376"/>
        <v xml:space="preserve">Анисимов Андрей Олегович</v>
      </c>
      <c r="N238" s="13" t="str">
        <f t="shared" si="377"/>
        <v>OK</v>
      </c>
      <c r="O238" s="19">
        <f t="shared" si="378"/>
        <v>34568</v>
      </c>
      <c r="P238" s="19">
        <f t="shared" si="379"/>
        <v>46949</v>
      </c>
      <c r="Q238" s="13">
        <f t="shared" ca="1" si="380"/>
        <v>32</v>
      </c>
      <c r="R238" s="13" t="str">
        <f t="shared" si="381"/>
        <v>OK</v>
      </c>
      <c r="S238" s="13" t="str">
        <f t="shared" si="382"/>
        <v xml:space="preserve">+7 (903) 456-78-90</v>
      </c>
      <c r="T238" s="13" t="str">
        <f t="shared" si="383"/>
        <v>anisimov@yandex</v>
      </c>
      <c r="U238" s="18" t="str">
        <f t="shared" si="384"/>
        <v xml:space="preserve">Ошибка Email</v>
      </c>
      <c r="V238" s="13" t="str">
        <f>IFERROR(VLOOKUP(K238,Справочники!$K$6:$L$13,2,0),K238)</f>
        <v>Ангарск</v>
      </c>
    </row>
    <row r="239" ht="15" customHeight="1">
      <c r="A239" s="10">
        <v>237</v>
      </c>
      <c r="B239" s="11" t="str">
        <f>RAW_Клиенты!A238</f>
        <v>C0237</v>
      </c>
      <c r="C239" s="11" t="str">
        <f>RAW_Клиенты!B238</f>
        <v xml:space="preserve">Савицкая Оксана Николаевна</v>
      </c>
      <c r="D239" s="11" t="str">
        <f>RAW_Клиенты!C238</f>
        <v>07.06.1980</v>
      </c>
      <c r="E239" s="11" t="str">
        <f>RAW_Клиенты!D238</f>
        <v xml:space="preserve">8 903 567 89 01</v>
      </c>
      <c r="F239" s="11" t="str">
        <f>RAW_Клиенты!E238</f>
        <v>savitskaya@gmail</v>
      </c>
      <c r="G239" s="11" t="str">
        <f>RAW_Клиенты!F238</f>
        <v>Озёрск</v>
      </c>
      <c r="H239" s="11" t="str">
        <f>RAW_Клиенты!G238</f>
        <v>15.07.2028</v>
      </c>
      <c r="I239" s="12" t="str">
        <f t="shared" si="372"/>
        <v>89035678901</v>
      </c>
      <c r="J239" s="12" t="str">
        <f t="shared" si="373"/>
        <v>savitskaya@gmail</v>
      </c>
      <c r="K239" s="12" t="str">
        <f t="shared" si="374"/>
        <v>Озёрск</v>
      </c>
      <c r="L239" s="13" t="str">
        <f t="shared" si="375"/>
        <v>C0237</v>
      </c>
      <c r="M239" s="13" t="str">
        <f t="shared" si="376"/>
        <v xml:space="preserve">Савицкая Оксана Николаевна</v>
      </c>
      <c r="N239" s="13" t="str">
        <f t="shared" si="377"/>
        <v>OK</v>
      </c>
      <c r="O239" s="19">
        <f t="shared" si="378"/>
        <v>29379</v>
      </c>
      <c r="P239" s="19">
        <f t="shared" si="379"/>
        <v>46949</v>
      </c>
      <c r="Q239" s="13">
        <f t="shared" ca="1" si="380"/>
        <v>46</v>
      </c>
      <c r="R239" s="13" t="str">
        <f t="shared" si="381"/>
        <v>OK</v>
      </c>
      <c r="S239" s="13" t="str">
        <f t="shared" si="382"/>
        <v xml:space="preserve">+7 (903) 567-89-01</v>
      </c>
      <c r="T239" s="13" t="str">
        <f t="shared" si="383"/>
        <v>savitskaya@gmail</v>
      </c>
      <c r="U239" s="18" t="str">
        <f t="shared" si="384"/>
        <v xml:space="preserve">Ошибка Email</v>
      </c>
      <c r="V239" s="13" t="str">
        <f>IFERROR(VLOOKUP(K239,Справочники!$K$6:$L$13,2,0),K239)</f>
        <v>Озёрск</v>
      </c>
    </row>
    <row r="240" ht="15" customHeight="1">
      <c r="A240" s="10">
        <v>238</v>
      </c>
      <c r="B240" s="11" t="str">
        <f>RAW_Клиенты!A239</f>
        <v>C0238</v>
      </c>
      <c r="C240" s="11" t="str">
        <f>RAW_Клиенты!B239</f>
        <v xml:space="preserve">Ефанов Дмитрий Алексеевич</v>
      </c>
      <c r="D240" s="11" t="str">
        <f>RAW_Клиенты!C239</f>
        <v>19.11.1974</v>
      </c>
      <c r="E240" s="11" t="str">
        <f>RAW_Клиенты!D239</f>
        <v>+79035678901</v>
      </c>
      <c r="F240" s="11" t="str">
        <f>RAW_Клиенты!E239</f>
        <v>efanov@mail</v>
      </c>
      <c r="G240" s="11" t="str">
        <f>RAW_Клиенты!F239</f>
        <v>Орел</v>
      </c>
      <c r="H240" s="11" t="str">
        <f>RAW_Клиенты!G239</f>
        <v>01.08.2028</v>
      </c>
      <c r="I240" s="12" t="str">
        <f t="shared" si="372"/>
        <v>79035678901</v>
      </c>
      <c r="J240" s="12" t="str">
        <f t="shared" si="373"/>
        <v>efanov@mail</v>
      </c>
      <c r="K240" s="12" t="str">
        <f t="shared" si="374"/>
        <v>Орел</v>
      </c>
      <c r="L240" s="13" t="str">
        <f t="shared" si="375"/>
        <v>C0238</v>
      </c>
      <c r="M240" s="13" t="str">
        <f t="shared" si="376"/>
        <v xml:space="preserve">Ефанов Дмитрий Алексеевич</v>
      </c>
      <c r="N240" s="13" t="str">
        <f t="shared" si="377"/>
        <v>OK</v>
      </c>
      <c r="O240" s="19">
        <f t="shared" si="378"/>
        <v>27352</v>
      </c>
      <c r="P240" s="19">
        <f t="shared" si="379"/>
        <v>46966</v>
      </c>
      <c r="Q240" s="13">
        <f t="shared" ca="1" si="380"/>
        <v>51</v>
      </c>
      <c r="R240" s="13" t="str">
        <f t="shared" si="381"/>
        <v>OK</v>
      </c>
      <c r="S240" s="13" t="str">
        <f t="shared" si="382"/>
        <v xml:space="preserve">+7 (903) 567-89-01</v>
      </c>
      <c r="T240" s="13" t="str">
        <f t="shared" si="383"/>
        <v>efanov@mail</v>
      </c>
      <c r="U240" s="18" t="str">
        <f t="shared" si="384"/>
        <v xml:space="preserve">Ошибка Email</v>
      </c>
      <c r="V240" s="13" t="str">
        <f>IFERROR(VLOOKUP(K240,Справочники!$K$6:$L$13,2,0),K240)</f>
        <v>Орел</v>
      </c>
    </row>
    <row r="241" ht="15" customHeight="1">
      <c r="A241" s="10">
        <v>239</v>
      </c>
      <c r="B241" s="11" t="str">
        <f>RAW_Клиенты!A240</f>
        <v>C0239</v>
      </c>
      <c r="C241" s="11" t="str">
        <f>RAW_Клиенты!B240</f>
        <v xml:space="preserve">Яблочкова Татьяна Дмитриевна</v>
      </c>
      <c r="D241" s="11" t="str">
        <f>RAW_Клиенты!C240</f>
        <v>25.02.1987</v>
      </c>
      <c r="E241" s="11" t="str">
        <f>RAW_Клиенты!D240</f>
        <v>8-903-567-89-01</v>
      </c>
      <c r="F241" s="11" t="str">
        <f>RAW_Клиенты!E240</f>
        <v>yablochkova@yandex</v>
      </c>
      <c r="G241" s="11" t="str">
        <f>RAW_Клиенты!F240</f>
        <v>Магнитогорск</v>
      </c>
      <c r="H241" s="11" t="str">
        <f>RAW_Клиенты!G240</f>
        <v>2028-08-10</v>
      </c>
      <c r="I241" s="12" t="str">
        <f t="shared" si="372"/>
        <v>89035678901</v>
      </c>
      <c r="J241" s="12" t="str">
        <f t="shared" si="373"/>
        <v>yablochkova@yandex</v>
      </c>
      <c r="K241" s="12" t="str">
        <f t="shared" si="374"/>
        <v>Магнитогорск</v>
      </c>
      <c r="L241" s="13" t="str">
        <f t="shared" si="375"/>
        <v>C0239</v>
      </c>
      <c r="M241" s="13" t="str">
        <f t="shared" si="376"/>
        <v xml:space="preserve">Яблочкова Татьяна Дмитриевна</v>
      </c>
      <c r="N241" s="13" t="str">
        <f t="shared" si="377"/>
        <v>OK</v>
      </c>
      <c r="O241" s="19">
        <f t="shared" si="378"/>
        <v>31833</v>
      </c>
      <c r="P241" s="19">
        <f t="shared" si="379"/>
        <v>46975</v>
      </c>
      <c r="Q241" s="13">
        <f t="shared" ca="1" si="380"/>
        <v>39</v>
      </c>
      <c r="R241" s="13" t="str">
        <f t="shared" si="381"/>
        <v>OK</v>
      </c>
      <c r="S241" s="13" t="str">
        <f t="shared" si="382"/>
        <v xml:space="preserve">+7 (903) 567-89-01</v>
      </c>
      <c r="T241" s="13" t="str">
        <f t="shared" si="383"/>
        <v>yablochkova@yandex</v>
      </c>
      <c r="U241" s="18" t="str">
        <f t="shared" si="384"/>
        <v xml:space="preserve">Ошибка Email</v>
      </c>
      <c r="V241" s="13" t="str">
        <f>IFERROR(VLOOKUP(K241,Справочники!$K$6:$L$13,2,0),K241)</f>
        <v>Магнитогорск</v>
      </c>
    </row>
    <row r="242" ht="15" customHeight="1">
      <c r="A242" s="10">
        <v>240</v>
      </c>
      <c r="B242" s="11" t="str">
        <f>RAW_Клиенты!A241</f>
        <v>C0240</v>
      </c>
      <c r="C242" s="11" t="str">
        <f>RAW_Клиенты!B241</f>
        <v xml:space="preserve">Блинков Сергей Петрович</v>
      </c>
      <c r="D242" s="11" t="str">
        <f>RAW_Клиенты!C241</f>
        <v>03.09.1991</v>
      </c>
      <c r="E242" s="11" t="str">
        <f>RAW_Клиенты!D241</f>
        <v xml:space="preserve">8 903 678 90 12</v>
      </c>
      <c r="F242" s="11" t="str">
        <f>RAW_Клиенты!E241</f>
        <v>blinkov@gmail</v>
      </c>
      <c r="G242" s="11" t="str">
        <f>RAW_Клиенты!F241</f>
        <v>Якутск</v>
      </c>
      <c r="H242" s="11" t="str">
        <f>RAW_Клиенты!G241</f>
        <v>10.08.2028</v>
      </c>
      <c r="I242" s="12" t="str">
        <f t="shared" si="372"/>
        <v>89036789012</v>
      </c>
      <c r="J242" s="12" t="str">
        <f t="shared" si="373"/>
        <v>blinkov@gmail</v>
      </c>
      <c r="K242" s="12" t="str">
        <f t="shared" si="374"/>
        <v>Якутск</v>
      </c>
      <c r="L242" s="13" t="str">
        <f t="shared" si="375"/>
        <v>C0240</v>
      </c>
      <c r="M242" s="13" t="str">
        <f t="shared" si="376"/>
        <v xml:space="preserve">Блинков Сергей Петрович</v>
      </c>
      <c r="N242" s="13" t="str">
        <f t="shared" si="377"/>
        <v>OK</v>
      </c>
      <c r="O242" s="19">
        <f t="shared" si="378"/>
        <v>33484</v>
      </c>
      <c r="P242" s="19">
        <f t="shared" si="379"/>
        <v>46975</v>
      </c>
      <c r="Q242" s="13">
        <f t="shared" ca="1" si="380"/>
        <v>35</v>
      </c>
      <c r="R242" s="13" t="str">
        <f t="shared" si="381"/>
        <v>OK</v>
      </c>
      <c r="S242" s="13" t="str">
        <f t="shared" si="382"/>
        <v xml:space="preserve">+7 (903) 678-90-12</v>
      </c>
      <c r="T242" s="13" t="str">
        <f t="shared" si="383"/>
        <v>blinkov@gmail</v>
      </c>
      <c r="U242" s="18" t="str">
        <f t="shared" si="384"/>
        <v xml:space="preserve">Ошибка Email</v>
      </c>
      <c r="V242" s="13" t="str">
        <f>IFERROR(VLOOKUP(K242,Справочники!$K$6:$L$13,2,0),K242)</f>
        <v>Якутск</v>
      </c>
    </row>
    <row r="243" ht="15" customHeight="1">
      <c r="A243" s="10">
        <v>241</v>
      </c>
      <c r="B243" s="11" t="str">
        <f>RAW_Клиенты!A242</f>
        <v>C0241</v>
      </c>
      <c r="C243" s="11" t="str">
        <f>RAW_Клиенты!B242</f>
        <v xml:space="preserve">Зубова Екатерина Сергеевна</v>
      </c>
      <c r="D243" s="11" t="str">
        <f>RAW_Клиенты!C242</f>
        <v>12.07.1978</v>
      </c>
      <c r="E243" s="11" t="str">
        <f>RAW_Клиенты!D242</f>
        <v>+79036789012</v>
      </c>
      <c r="F243" s="11" t="str">
        <f>RAW_Клиенты!E242</f>
        <v>zubova@mail</v>
      </c>
      <c r="G243" s="11" t="str">
        <f>RAW_Клиенты!F242</f>
        <v>Чебоксары</v>
      </c>
      <c r="H243" s="11" t="str">
        <f>RAW_Клиенты!G242</f>
        <v>01.09.2028</v>
      </c>
      <c r="I243" s="12" t="str">
        <f t="shared" si="372"/>
        <v>79036789012</v>
      </c>
      <c r="J243" s="12" t="str">
        <f t="shared" si="373"/>
        <v>zubova@mail</v>
      </c>
      <c r="K243" s="12" t="str">
        <f t="shared" si="374"/>
        <v>Чебоксары</v>
      </c>
      <c r="L243" s="13" t="str">
        <f t="shared" si="375"/>
        <v>C0241</v>
      </c>
      <c r="M243" s="13" t="str">
        <f t="shared" si="376"/>
        <v xml:space="preserve">Зубова Екатерина Сергеевна</v>
      </c>
      <c r="N243" s="13" t="str">
        <f t="shared" si="377"/>
        <v>OK</v>
      </c>
      <c r="O243" s="19">
        <f t="shared" si="378"/>
        <v>28683</v>
      </c>
      <c r="P243" s="19">
        <f t="shared" si="379"/>
        <v>46997</v>
      </c>
      <c r="Q243" s="13">
        <f t="shared" ca="1" si="380"/>
        <v>48</v>
      </c>
      <c r="R243" s="13" t="str">
        <f t="shared" si="381"/>
        <v>OK</v>
      </c>
      <c r="S243" s="13" t="str">
        <f t="shared" si="382"/>
        <v xml:space="preserve">+7 (903) 678-90-12</v>
      </c>
      <c r="T243" s="13" t="str">
        <f t="shared" si="383"/>
        <v>zubova@mail</v>
      </c>
      <c r="U243" s="18" t="str">
        <f t="shared" si="384"/>
        <v xml:space="preserve">Ошибка Email</v>
      </c>
      <c r="V243" s="13" t="str">
        <f>IFERROR(VLOOKUP(K243,Справочники!$K$6:$L$13,2,0),K243)</f>
        <v>Чебоксары</v>
      </c>
    </row>
    <row r="244" ht="15" customHeight="1">
      <c r="A244" s="10">
        <v>242</v>
      </c>
      <c r="B244" s="11" t="str">
        <f>RAW_Клиенты!A243</f>
        <v>C0242</v>
      </c>
      <c r="C244" s="11" t="str">
        <f>RAW_Клиенты!B243</f>
        <v xml:space="preserve">Латкин Андрей Владимирович</v>
      </c>
      <c r="D244" s="11" t="str">
        <f>RAW_Клиенты!C243</f>
        <v>30.01.1985</v>
      </c>
      <c r="E244" s="11" t="str">
        <f>RAW_Клиенты!D243</f>
        <v>8-903-678-90-12</v>
      </c>
      <c r="F244" s="11" t="str">
        <f>RAW_Клиенты!E243</f>
        <v>latkin@yandex</v>
      </c>
      <c r="G244" s="11" t="str">
        <f>RAW_Клиенты!F243</f>
        <v>Мурманск</v>
      </c>
      <c r="H244" s="11" t="str">
        <f>RAW_Клиенты!G243</f>
        <v>2028-09-15</v>
      </c>
      <c r="I244" s="12" t="str">
        <f t="shared" si="372"/>
        <v>89036789012</v>
      </c>
      <c r="J244" s="12" t="str">
        <f t="shared" si="373"/>
        <v>latkin@yandex</v>
      </c>
      <c r="K244" s="12" t="str">
        <f t="shared" si="374"/>
        <v>Мурманск</v>
      </c>
      <c r="L244" s="13" t="str">
        <f t="shared" si="375"/>
        <v>C0242</v>
      </c>
      <c r="M244" s="13" t="str">
        <f t="shared" si="376"/>
        <v xml:space="preserve">Латкин Андрей Владимирович</v>
      </c>
      <c r="N244" s="13" t="str">
        <f t="shared" si="377"/>
        <v>OK</v>
      </c>
      <c r="O244" s="19">
        <f t="shared" si="378"/>
        <v>31077</v>
      </c>
      <c r="P244" s="19">
        <f t="shared" si="379"/>
        <v>47011</v>
      </c>
      <c r="Q244" s="13">
        <f t="shared" ca="1" si="380"/>
        <v>41</v>
      </c>
      <c r="R244" s="13" t="str">
        <f t="shared" si="381"/>
        <v>OK</v>
      </c>
      <c r="S244" s="13" t="str">
        <f t="shared" si="382"/>
        <v xml:space="preserve">+7 (903) 678-90-12</v>
      </c>
      <c r="T244" s="13" t="str">
        <f t="shared" si="383"/>
        <v>latkin@yandex</v>
      </c>
      <c r="U244" s="18" t="str">
        <f t="shared" si="384"/>
        <v xml:space="preserve">Ошибка Email</v>
      </c>
      <c r="V244" s="13" t="str">
        <f>IFERROR(VLOOKUP(K244,Справочники!$K$6:$L$13,2,0),K244)</f>
        <v>Мурманск</v>
      </c>
    </row>
    <row r="245" ht="15" customHeight="1">
      <c r="A245" s="10">
        <v>243</v>
      </c>
      <c r="B245" s="11" t="str">
        <f>RAW_Клиенты!A244</f>
        <v>C0243</v>
      </c>
      <c r="C245" s="11" t="str">
        <f>RAW_Клиенты!B244</f>
        <v xml:space="preserve">Копылова Ольга Павловна</v>
      </c>
      <c r="D245" s="11" t="str">
        <f>RAW_Клиенты!C244</f>
        <v>16.10.1992</v>
      </c>
      <c r="E245" s="11" t="str">
        <f>RAW_Клиенты!D244</f>
        <v xml:space="preserve">8 903 789 01 23</v>
      </c>
      <c r="F245" s="11" t="str">
        <f>RAW_Клиенты!E244</f>
        <v>kopylova@gmail</v>
      </c>
      <c r="G245" s="11" t="str">
        <f>RAW_Клиенты!F244</f>
        <v>Смоленск</v>
      </c>
      <c r="H245" s="11" t="str">
        <f>RAW_Клиенты!G244</f>
        <v>15.09.2028</v>
      </c>
      <c r="I245" s="12" t="str">
        <f t="shared" si="372"/>
        <v>89037890123</v>
      </c>
      <c r="J245" s="12" t="str">
        <f t="shared" si="373"/>
        <v>kopylova@gmail</v>
      </c>
      <c r="K245" s="12" t="str">
        <f t="shared" si="374"/>
        <v>Смоленск</v>
      </c>
      <c r="L245" s="13" t="str">
        <f t="shared" si="375"/>
        <v>C0243</v>
      </c>
      <c r="M245" s="13" t="str">
        <f t="shared" si="376"/>
        <v xml:space="preserve">Копылова Ольга Павловна</v>
      </c>
      <c r="N245" s="13" t="str">
        <f t="shared" si="377"/>
        <v>OK</v>
      </c>
      <c r="O245" s="19">
        <f t="shared" si="378"/>
        <v>33893</v>
      </c>
      <c r="P245" s="19">
        <f t="shared" si="379"/>
        <v>47011</v>
      </c>
      <c r="Q245" s="13">
        <f t="shared" ca="1" si="380"/>
        <v>33</v>
      </c>
      <c r="R245" s="13" t="str">
        <f t="shared" si="381"/>
        <v>OK</v>
      </c>
      <c r="S245" s="13" t="str">
        <f t="shared" si="382"/>
        <v xml:space="preserve">+7 (903) 789-01-23</v>
      </c>
      <c r="T245" s="13" t="str">
        <f t="shared" si="383"/>
        <v>kopylova@gmail</v>
      </c>
      <c r="U245" s="18" t="str">
        <f t="shared" si="384"/>
        <v xml:space="preserve">Ошибка Email</v>
      </c>
      <c r="V245" s="13" t="str">
        <f>IFERROR(VLOOKUP(K245,Справочники!$K$6:$L$13,2,0),K245)</f>
        <v>Смоленск</v>
      </c>
    </row>
    <row r="246" ht="15" customHeight="1">
      <c r="A246" s="10">
        <v>244</v>
      </c>
      <c r="B246" s="11" t="str">
        <f>RAW_Клиенты!A245</f>
        <v>C0244</v>
      </c>
      <c r="C246" s="11" t="str">
        <f>RAW_Клиенты!B245</f>
        <v xml:space="preserve">Селиверстов Игорь Евгеньевич</v>
      </c>
      <c r="D246" s="11" t="str">
        <f>RAW_Клиенты!C245</f>
        <v>05.12.1970</v>
      </c>
      <c r="E246" s="11" t="str">
        <f>RAW_Клиенты!D245</f>
        <v>+79037890123</v>
      </c>
      <c r="F246" s="11" t="str">
        <f>RAW_Клиенты!E245</f>
        <v>seliverstov@mail</v>
      </c>
      <c r="G246" s="11" t="str">
        <f>RAW_Клиенты!F245</f>
        <v>Тула</v>
      </c>
      <c r="H246" s="11" t="str">
        <f>RAW_Клиенты!G245</f>
        <v>01.10.2028</v>
      </c>
      <c r="I246" s="12" t="str">
        <f t="shared" si="372"/>
        <v>79037890123</v>
      </c>
      <c r="J246" s="12" t="str">
        <f t="shared" si="373"/>
        <v>seliverstov@mail</v>
      </c>
      <c r="K246" s="12" t="str">
        <f t="shared" si="374"/>
        <v>Тула</v>
      </c>
      <c r="L246" s="13" t="str">
        <f t="shared" si="375"/>
        <v>C0244</v>
      </c>
      <c r="M246" s="13" t="str">
        <f t="shared" si="376"/>
        <v xml:space="preserve">Селиверстов Игорь Евгеньевич</v>
      </c>
      <c r="N246" s="13" t="str">
        <f t="shared" si="377"/>
        <v>OK</v>
      </c>
      <c r="O246" s="19">
        <f t="shared" si="378"/>
        <v>25907</v>
      </c>
      <c r="P246" s="19">
        <f t="shared" si="379"/>
        <v>47027</v>
      </c>
      <c r="Q246" s="13">
        <f t="shared" ca="1" si="380"/>
        <v>55</v>
      </c>
      <c r="R246" s="13" t="str">
        <f t="shared" si="381"/>
        <v>OK</v>
      </c>
      <c r="S246" s="13" t="str">
        <f t="shared" si="382"/>
        <v xml:space="preserve">+7 (903) 789-01-23</v>
      </c>
      <c r="T246" s="13" t="str">
        <f t="shared" si="383"/>
        <v>seliverstov@mail</v>
      </c>
      <c r="U246" s="18" t="str">
        <f t="shared" si="384"/>
        <v xml:space="preserve">Ошибка Email</v>
      </c>
      <c r="V246" s="13" t="str">
        <f>IFERROR(VLOOKUP(K246,Справочники!$K$6:$L$13,2,0),K246)</f>
        <v>Тула</v>
      </c>
    </row>
    <row r="247" ht="15" customHeight="1">
      <c r="A247" s="10">
        <v>245</v>
      </c>
      <c r="B247" s="11" t="str">
        <f>RAW_Клиенты!A246</f>
        <v>C0245</v>
      </c>
      <c r="C247" s="11" t="str">
        <f>RAW_Клиенты!B246</f>
        <v xml:space="preserve">Гаврикова Мария Николаевна</v>
      </c>
      <c r="D247" s="11" t="str">
        <f>RAW_Клиенты!C246</f>
        <v>24.04.1983</v>
      </c>
      <c r="E247" s="11" t="str">
        <f>RAW_Клиенты!D246</f>
        <v>8-903-789-01-23</v>
      </c>
      <c r="F247" s="11" t="str">
        <f>RAW_Клиенты!E246</f>
        <v>gavrikova@yandex</v>
      </c>
      <c r="G247" s="11" t="str">
        <f>RAW_Клиенты!F246</f>
        <v>Калуга</v>
      </c>
      <c r="H247" s="11" t="str">
        <f>RAW_Клиенты!G246</f>
        <v>2028-10-10</v>
      </c>
      <c r="I247" s="12" t="str">
        <f t="shared" si="372"/>
        <v>89037890123</v>
      </c>
      <c r="J247" s="12" t="str">
        <f t="shared" si="373"/>
        <v>gavrikova@yandex</v>
      </c>
      <c r="K247" s="12" t="str">
        <f t="shared" si="374"/>
        <v>Калуга</v>
      </c>
      <c r="L247" s="13" t="str">
        <f t="shared" si="375"/>
        <v>C0245</v>
      </c>
      <c r="M247" s="13" t="str">
        <f t="shared" si="376"/>
        <v xml:space="preserve">Гаврикова Мария Николаевна</v>
      </c>
      <c r="N247" s="13" t="str">
        <f t="shared" si="377"/>
        <v>OK</v>
      </c>
      <c r="O247" s="19">
        <f t="shared" si="378"/>
        <v>30430</v>
      </c>
      <c r="P247" s="19">
        <f t="shared" si="379"/>
        <v>47036</v>
      </c>
      <c r="Q247" s="13">
        <f t="shared" ca="1" si="380"/>
        <v>43</v>
      </c>
      <c r="R247" s="13" t="str">
        <f t="shared" si="381"/>
        <v>OK</v>
      </c>
      <c r="S247" s="13" t="str">
        <f t="shared" si="382"/>
        <v xml:space="preserve">+7 (903) 789-01-23</v>
      </c>
      <c r="T247" s="13" t="str">
        <f t="shared" si="383"/>
        <v>gavrikova@yandex</v>
      </c>
      <c r="U247" s="18" t="str">
        <f t="shared" si="384"/>
        <v xml:space="preserve">Ошибка Email</v>
      </c>
      <c r="V247" s="13" t="str">
        <f>IFERROR(VLOOKUP(K247,Справочники!$K$6:$L$13,2,0),K247)</f>
        <v>Калуга</v>
      </c>
    </row>
    <row r="248" ht="15" customHeight="1">
      <c r="A248" s="10">
        <v>246</v>
      </c>
      <c r="B248" s="11" t="str">
        <f>RAW_Клиенты!A247</f>
        <v>C0246</v>
      </c>
      <c r="C248" s="11" t="str">
        <f>RAW_Клиенты!B247</f>
        <v xml:space="preserve">Таратухин Денис Павлович</v>
      </c>
      <c r="D248" s="11" t="str">
        <f>RAW_Клиенты!C247</f>
        <v>18.08.1988</v>
      </c>
      <c r="E248" s="11" t="str">
        <f>RAW_Клиенты!D247</f>
        <v xml:space="preserve">8 903 890 12 34</v>
      </c>
      <c r="F248" s="11" t="str">
        <f>RAW_Клиенты!E247</f>
        <v>taratuhin@gmail</v>
      </c>
      <c r="G248" s="11" t="str">
        <f>RAW_Клиенты!F247</f>
        <v>Владикавказ</v>
      </c>
      <c r="H248" s="11" t="str">
        <f>RAW_Клиенты!G247</f>
        <v>10.10.2028</v>
      </c>
      <c r="I248" s="12" t="str">
        <f t="shared" si="372"/>
        <v>89038901234</v>
      </c>
      <c r="J248" s="12" t="str">
        <f t="shared" si="373"/>
        <v>taratuhin@gmail</v>
      </c>
      <c r="K248" s="12" t="str">
        <f t="shared" si="374"/>
        <v>Владикавказ</v>
      </c>
      <c r="L248" s="13" t="str">
        <f t="shared" si="375"/>
        <v>C0246</v>
      </c>
      <c r="M248" s="13" t="str">
        <f t="shared" si="376"/>
        <v xml:space="preserve">Таратухин Денис Павлович</v>
      </c>
      <c r="N248" s="13" t="str">
        <f t="shared" si="377"/>
        <v>OK</v>
      </c>
      <c r="O248" s="19">
        <f t="shared" si="378"/>
        <v>32373</v>
      </c>
      <c r="P248" s="19">
        <f t="shared" si="379"/>
        <v>47036</v>
      </c>
      <c r="Q248" s="13">
        <f t="shared" ca="1" si="380"/>
        <v>38</v>
      </c>
      <c r="R248" s="13" t="str">
        <f t="shared" si="381"/>
        <v>OK</v>
      </c>
      <c r="S248" s="13" t="str">
        <f t="shared" si="382"/>
        <v xml:space="preserve">+7 (903) 890-12-34</v>
      </c>
      <c r="T248" s="13" t="str">
        <f t="shared" si="383"/>
        <v>taratuhin@gmail</v>
      </c>
      <c r="U248" s="18" t="str">
        <f t="shared" si="384"/>
        <v xml:space="preserve">Ошибка Email</v>
      </c>
      <c r="V248" s="13" t="str">
        <f>IFERROR(VLOOKUP(K248,Справочники!$K$6:$L$13,2,0),K248)</f>
        <v>Владикавказ</v>
      </c>
    </row>
    <row r="249" ht="15" customHeight="1">
      <c r="A249" s="10">
        <v>247</v>
      </c>
      <c r="B249" s="11" t="str">
        <f>RAW_Клиенты!A248</f>
        <v>C0247</v>
      </c>
      <c r="C249" s="11" t="str">
        <f>RAW_Клиенты!B248</f>
        <v xml:space="preserve">Киселева Ирина Степановна</v>
      </c>
      <c r="D249" s="11" t="str">
        <f>RAW_Клиенты!C248</f>
        <v>01.06.1976</v>
      </c>
      <c r="E249" s="11" t="str">
        <f>RAW_Клиенты!D248</f>
        <v>+79038901234</v>
      </c>
      <c r="F249" s="11" t="str">
        <f>RAW_Клиенты!E248</f>
        <v>kiseleva@mail</v>
      </c>
      <c r="G249" s="11" t="str">
        <f>RAW_Клиенты!F248</f>
        <v>Смоленск</v>
      </c>
      <c r="H249" s="11" t="str">
        <f>RAW_Клиенты!G248</f>
        <v>01.11.2028</v>
      </c>
      <c r="I249" s="12" t="str">
        <f t="shared" si="372"/>
        <v>79038901234</v>
      </c>
      <c r="J249" s="12" t="str">
        <f t="shared" si="373"/>
        <v>kiseleva@mail</v>
      </c>
      <c r="K249" s="12" t="str">
        <f t="shared" si="374"/>
        <v>Смоленск</v>
      </c>
      <c r="L249" s="13" t="str">
        <f t="shared" si="375"/>
        <v>C0247</v>
      </c>
      <c r="M249" s="13" t="str">
        <f t="shared" si="376"/>
        <v xml:space="preserve">Киселева Ирина Степановна</v>
      </c>
      <c r="N249" s="13" t="str">
        <f t="shared" si="377"/>
        <v>OK</v>
      </c>
      <c r="O249" s="19">
        <f t="shared" si="378"/>
        <v>27912</v>
      </c>
      <c r="P249" s="19">
        <f t="shared" si="379"/>
        <v>47058</v>
      </c>
      <c r="Q249" s="13">
        <f t="shared" ca="1" si="380"/>
        <v>50</v>
      </c>
      <c r="R249" s="13" t="str">
        <f t="shared" si="381"/>
        <v>OK</v>
      </c>
      <c r="S249" s="13" t="str">
        <f t="shared" si="382"/>
        <v xml:space="preserve">+7 (903) 890-12-34</v>
      </c>
      <c r="T249" s="13" t="str">
        <f t="shared" si="383"/>
        <v>kiseleva@mail</v>
      </c>
      <c r="U249" s="18" t="str">
        <f t="shared" si="384"/>
        <v xml:space="preserve">Ошибка Email</v>
      </c>
      <c r="V249" s="13" t="str">
        <f>IFERROR(VLOOKUP(K249,Справочники!$K$6:$L$13,2,0),K249)</f>
        <v>Смоленск</v>
      </c>
    </row>
    <row r="250" ht="15" customHeight="1">
      <c r="A250" s="10">
        <v>248</v>
      </c>
      <c r="B250" s="11" t="str">
        <f>RAW_Клиенты!A249</f>
        <v>C0248</v>
      </c>
      <c r="C250" s="11" t="str">
        <f>RAW_Клиенты!B249</f>
        <v xml:space="preserve">Хохлов Алексей Иванович</v>
      </c>
      <c r="D250" s="11" t="str">
        <f>RAW_Клиенты!C249</f>
        <v>14.11.1984</v>
      </c>
      <c r="E250" s="11" t="str">
        <f>RAW_Клиенты!D249</f>
        <v>8-903-890-12-34</v>
      </c>
      <c r="F250" s="11" t="str">
        <f>RAW_Клиенты!E249</f>
        <v>hohlov@yandex</v>
      </c>
      <c r="G250" s="11" t="str">
        <f>RAW_Клиенты!F249</f>
        <v>Белгород</v>
      </c>
      <c r="H250" s="11" t="str">
        <f>RAW_Клиенты!G249</f>
        <v>2028-11-15</v>
      </c>
      <c r="I250" s="12" t="str">
        <f t="shared" si="372"/>
        <v>89038901234</v>
      </c>
      <c r="J250" s="12" t="str">
        <f t="shared" si="373"/>
        <v>hohlov@yandex</v>
      </c>
      <c r="K250" s="12" t="str">
        <f t="shared" si="374"/>
        <v>Белгород</v>
      </c>
      <c r="L250" s="13" t="str">
        <f t="shared" si="375"/>
        <v>C0248</v>
      </c>
      <c r="M250" s="13" t="str">
        <f t="shared" si="376"/>
        <v xml:space="preserve">Хохлов Алексей Иванович</v>
      </c>
      <c r="N250" s="13" t="str">
        <f t="shared" si="377"/>
        <v>OK</v>
      </c>
      <c r="O250" s="19">
        <f t="shared" si="378"/>
        <v>31000</v>
      </c>
      <c r="P250" s="19">
        <f t="shared" si="379"/>
        <v>47072</v>
      </c>
      <c r="Q250" s="13">
        <f t="shared" ca="1" si="380"/>
        <v>41</v>
      </c>
      <c r="R250" s="13" t="str">
        <f t="shared" si="381"/>
        <v>OK</v>
      </c>
      <c r="S250" s="13" t="str">
        <f t="shared" si="382"/>
        <v xml:space="preserve">+7 (903) 890-12-34</v>
      </c>
      <c r="T250" s="13" t="str">
        <f t="shared" si="383"/>
        <v>hohlov@yandex</v>
      </c>
      <c r="U250" s="18" t="str">
        <f t="shared" si="384"/>
        <v xml:space="preserve">Ошибка Email</v>
      </c>
      <c r="V250" s="13" t="str">
        <f>IFERROR(VLOOKUP(K250,Справочники!$K$6:$L$13,2,0),K250)</f>
        <v>Белгород</v>
      </c>
    </row>
    <row r="251" ht="15" customHeight="1">
      <c r="A251" s="10">
        <v>249</v>
      </c>
      <c r="B251" s="11" t="str">
        <f>RAW_Клиенты!A250</f>
        <v>C0249</v>
      </c>
      <c r="C251" s="11" t="str">
        <f>RAW_Клиенты!B250</f>
        <v xml:space="preserve">Мельник Елена Владимировна</v>
      </c>
      <c r="D251" s="11" t="str">
        <f>RAW_Клиенты!C250</f>
        <v>09.09.1993</v>
      </c>
      <c r="E251" s="11" t="str">
        <f>RAW_Клиенты!D250</f>
        <v xml:space="preserve">8 903 901 23 45</v>
      </c>
      <c r="F251" s="11" t="str">
        <f>RAW_Клиенты!E250</f>
        <v>melnik@gmail</v>
      </c>
      <c r="G251" s="11" t="str">
        <f>RAW_Клиенты!F250</f>
        <v>Мурманск</v>
      </c>
      <c r="H251" s="11" t="str">
        <f>RAW_Клиенты!G250</f>
        <v>15.11.2028</v>
      </c>
      <c r="I251" s="12" t="str">
        <f t="shared" si="372"/>
        <v>89039012345</v>
      </c>
      <c r="J251" s="12" t="str">
        <f t="shared" si="373"/>
        <v>melnik@gmail</v>
      </c>
      <c r="K251" s="12" t="str">
        <f t="shared" si="374"/>
        <v>Мурманск</v>
      </c>
      <c r="L251" s="13" t="str">
        <f t="shared" si="375"/>
        <v>C0249</v>
      </c>
      <c r="M251" s="13" t="str">
        <f t="shared" si="376"/>
        <v xml:space="preserve">Мельник Елена Владимировна</v>
      </c>
      <c r="N251" s="13" t="str">
        <f t="shared" si="377"/>
        <v>OK</v>
      </c>
      <c r="O251" s="19">
        <f t="shared" si="378"/>
        <v>34221</v>
      </c>
      <c r="P251" s="19">
        <f t="shared" si="379"/>
        <v>47072</v>
      </c>
      <c r="Q251" s="13">
        <f t="shared" ca="1" si="380"/>
        <v>33</v>
      </c>
      <c r="R251" s="13" t="str">
        <f t="shared" si="381"/>
        <v>OK</v>
      </c>
      <c r="S251" s="13" t="str">
        <f t="shared" si="382"/>
        <v xml:space="preserve">+7 (903) 901-23-45</v>
      </c>
      <c r="T251" s="13" t="str">
        <f t="shared" si="383"/>
        <v>melnik@gmail</v>
      </c>
      <c r="U251" s="18" t="str">
        <f t="shared" si="384"/>
        <v xml:space="preserve">Ошибка Email</v>
      </c>
      <c r="V251" s="13" t="str">
        <f>IFERROR(VLOOKUP(K251,Справочники!$K$6:$L$13,2,0),K251)</f>
        <v>Мурманск</v>
      </c>
    </row>
    <row r="252" ht="15" customHeight="1">
      <c r="A252" s="10">
        <v>250</v>
      </c>
      <c r="B252" s="11" t="str">
        <f>RAW_Клиенты!A251</f>
        <v>C0250</v>
      </c>
      <c r="C252" s="11" t="str">
        <f>RAW_Клиенты!B251</f>
        <v xml:space="preserve">Кашкаров Илья Алексеевич</v>
      </c>
      <c r="D252" s="11" t="str">
        <f>RAW_Клиенты!C251</f>
        <v>22.12.1979</v>
      </c>
      <c r="E252" s="11" t="str">
        <f>RAW_Клиенты!D251</f>
        <v>+79039012345</v>
      </c>
      <c r="F252" s="11" t="str">
        <f>RAW_Клиенты!E251</f>
        <v>kashkarov@mail</v>
      </c>
      <c r="G252" s="11" t="str">
        <f>RAW_Клиенты!F251</f>
        <v>Ставрополь</v>
      </c>
      <c r="H252" s="11" t="str">
        <f>RAW_Клиенты!G251</f>
        <v>01.12.2028</v>
      </c>
      <c r="I252" s="12" t="str">
        <f t="shared" si="372"/>
        <v>79039012345</v>
      </c>
      <c r="J252" s="12" t="str">
        <f t="shared" si="373"/>
        <v>kashkarov@mail</v>
      </c>
      <c r="K252" s="12" t="str">
        <f t="shared" si="374"/>
        <v>Ставрополь</v>
      </c>
      <c r="L252" s="13" t="str">
        <f t="shared" si="375"/>
        <v>C0250</v>
      </c>
      <c r="M252" s="13" t="str">
        <f t="shared" si="376"/>
        <v xml:space="preserve">Кашкаров Илья Алексеевич</v>
      </c>
      <c r="N252" s="13" t="str">
        <f t="shared" si="377"/>
        <v>OK</v>
      </c>
      <c r="O252" s="19">
        <f t="shared" si="378"/>
        <v>29211</v>
      </c>
      <c r="P252" s="19">
        <f t="shared" si="379"/>
        <v>47088</v>
      </c>
      <c r="Q252" s="13">
        <f t="shared" ca="1" si="380"/>
        <v>46</v>
      </c>
      <c r="R252" s="13" t="str">
        <f t="shared" si="381"/>
        <v>OK</v>
      </c>
      <c r="S252" s="13" t="str">
        <f t="shared" si="382"/>
        <v xml:space="preserve">+7 (903) 901-23-45</v>
      </c>
      <c r="T252" s="13" t="str">
        <f t="shared" si="383"/>
        <v>kashkarov@mail</v>
      </c>
      <c r="U252" s="18" t="str">
        <f t="shared" si="384"/>
        <v xml:space="preserve">Ошибка Email</v>
      </c>
      <c r="V252" s="13" t="str">
        <f>IFERROR(VLOOKUP(K252,Справочники!$K$6:$L$13,2,0),K252)</f>
        <v>Ставрополь</v>
      </c>
    </row>
    <row r="253" ht="15" customHeight="1">
      <c r="A253" s="10">
        <v>251</v>
      </c>
      <c r="B253" s="11" t="str">
        <f>RAW_Клиенты!A252</f>
        <v>C0251</v>
      </c>
      <c r="C253" s="11" t="str">
        <f>RAW_Клиенты!B252</f>
        <v xml:space="preserve">Любимова Анна Петровна</v>
      </c>
      <c r="D253" s="11" t="str">
        <f>RAW_Клиенты!C252</f>
        <v>26.03.1986</v>
      </c>
      <c r="E253" s="11" t="str">
        <f>RAW_Клиенты!D252</f>
        <v>8-903-901-23-45</v>
      </c>
      <c r="F253" s="11" t="str">
        <f>RAW_Клиенты!E252</f>
        <v>lyubimova@yandex</v>
      </c>
      <c r="G253" s="11" t="str">
        <f>RAW_Клиенты!F252</f>
        <v>Севастополь</v>
      </c>
      <c r="H253" s="11" t="str">
        <f>RAW_Клиенты!G252</f>
        <v>2028-12-10</v>
      </c>
      <c r="I253" s="12" t="str">
        <f t="shared" si="372"/>
        <v>89039012345</v>
      </c>
      <c r="J253" s="12" t="str">
        <f t="shared" si="373"/>
        <v>lyubimova@yandex</v>
      </c>
      <c r="K253" s="12" t="str">
        <f t="shared" si="374"/>
        <v>Севастополь</v>
      </c>
      <c r="L253" s="13" t="str">
        <f t="shared" si="375"/>
        <v>C0251</v>
      </c>
      <c r="M253" s="13" t="str">
        <f t="shared" si="376"/>
        <v xml:space="preserve">Любимова Анна Петровна</v>
      </c>
      <c r="N253" s="13" t="str">
        <f t="shared" si="377"/>
        <v>OK</v>
      </c>
      <c r="O253" s="19">
        <f t="shared" si="378"/>
        <v>31497</v>
      </c>
      <c r="P253" s="19">
        <f t="shared" si="379"/>
        <v>47097</v>
      </c>
      <c r="Q253" s="13">
        <f t="shared" ca="1" si="380"/>
        <v>40</v>
      </c>
      <c r="R253" s="13" t="str">
        <f t="shared" si="381"/>
        <v>OK</v>
      </c>
      <c r="S253" s="13" t="str">
        <f t="shared" si="382"/>
        <v xml:space="preserve">+7 (903) 901-23-45</v>
      </c>
      <c r="T253" s="13" t="str">
        <f t="shared" si="383"/>
        <v>lyubimova@yandex</v>
      </c>
      <c r="U253" s="18" t="str">
        <f t="shared" si="384"/>
        <v xml:space="preserve">Ошибка Email</v>
      </c>
      <c r="V253" s="13" t="str">
        <f>IFERROR(VLOOKUP(K253,Справочники!$K$6:$L$13,2,0),K253)</f>
        <v>Севастополь</v>
      </c>
    </row>
    <row r="254" ht="15" customHeight="1">
      <c r="A254" s="10">
        <v>252</v>
      </c>
      <c r="B254" s="11" t="str">
        <f>RAW_Клиенты!A253</f>
        <v>C0252</v>
      </c>
      <c r="C254" s="11" t="str">
        <f>RAW_Клиенты!B253</f>
        <v xml:space="preserve">Грачев Александр Сергеевич</v>
      </c>
      <c r="D254" s="11" t="str">
        <f>RAW_Клиенты!C253</f>
        <v>15.07.1990</v>
      </c>
      <c r="E254" s="11" t="str">
        <f>RAW_Клиенты!D253</f>
        <v xml:space="preserve">8 903 012 34 56</v>
      </c>
      <c r="F254" s="11" t="str">
        <f>RAW_Клиенты!E253</f>
        <v>grachev@gmail</v>
      </c>
      <c r="G254" s="11" t="str">
        <f>RAW_Клиенты!F253</f>
        <v>Сочи</v>
      </c>
      <c r="H254" s="11" t="str">
        <f>RAW_Клиенты!G253</f>
        <v>10.12.2028</v>
      </c>
      <c r="I254" s="12" t="str">
        <f t="shared" si="372"/>
        <v>89030123456</v>
      </c>
      <c r="J254" s="12" t="str">
        <f t="shared" si="373"/>
        <v>grachev@gmail</v>
      </c>
      <c r="K254" s="12" t="str">
        <f t="shared" si="374"/>
        <v>Сочи</v>
      </c>
      <c r="L254" s="13" t="str">
        <f t="shared" si="375"/>
        <v>C0252</v>
      </c>
      <c r="M254" s="13" t="str">
        <f t="shared" si="376"/>
        <v xml:space="preserve">Грачев Александр Сергеевич</v>
      </c>
      <c r="N254" s="13" t="str">
        <f t="shared" si="377"/>
        <v>OK</v>
      </c>
      <c r="O254" s="19">
        <f t="shared" si="378"/>
        <v>33069</v>
      </c>
      <c r="P254" s="19">
        <f t="shared" si="379"/>
        <v>47097</v>
      </c>
      <c r="Q254" s="13">
        <f t="shared" ca="1" si="380"/>
        <v>36</v>
      </c>
      <c r="R254" s="13" t="str">
        <f t="shared" si="381"/>
        <v>OK</v>
      </c>
      <c r="S254" s="13" t="str">
        <f t="shared" si="382"/>
        <v xml:space="preserve">+7 (903) 012-34-56</v>
      </c>
      <c r="T254" s="13" t="str">
        <f t="shared" si="383"/>
        <v>grachev@gmail</v>
      </c>
      <c r="U254" s="18" t="str">
        <f t="shared" si="384"/>
        <v xml:space="preserve">Ошибка Email</v>
      </c>
      <c r="V254" s="13" t="str">
        <f>IFERROR(VLOOKUP(K254,Справочники!$K$6:$L$13,2,0),K254)</f>
        <v>Сочи</v>
      </c>
    </row>
    <row r="255" ht="15" customHeight="1">
      <c r="A255" s="10">
        <v>253</v>
      </c>
      <c r="B255" s="11" t="str">
        <f>RAW_Клиенты!A254</f>
        <v>C0253</v>
      </c>
      <c r="C255" s="11" t="str">
        <f>RAW_Клиенты!B254</f>
        <v xml:space="preserve">Корнилов Владимир Олегович</v>
      </c>
      <c r="D255" s="11" t="str">
        <f>RAW_Клиенты!C254</f>
        <v>07.09.1975</v>
      </c>
      <c r="E255" s="11" t="str">
        <f>RAW_Клиенты!D254</f>
        <v>+79030123456</v>
      </c>
      <c r="F255" s="11" t="str">
        <f>RAW_Клиенты!E254</f>
        <v>kornilov@mail</v>
      </c>
      <c r="G255" s="11" t="str">
        <f>RAW_Клиенты!F254</f>
        <v>Симферополь</v>
      </c>
      <c r="H255" s="11" t="str">
        <f>RAW_Клиенты!G254</f>
        <v>01.01.2029</v>
      </c>
      <c r="I255" s="12" t="str">
        <f t="shared" si="372"/>
        <v>79030123456</v>
      </c>
      <c r="J255" s="12" t="str">
        <f t="shared" si="373"/>
        <v>kornilov@mail</v>
      </c>
      <c r="K255" s="12" t="str">
        <f t="shared" si="374"/>
        <v>Симферополь</v>
      </c>
      <c r="L255" s="13" t="str">
        <f t="shared" si="375"/>
        <v>C0253</v>
      </c>
      <c r="M255" s="13" t="str">
        <f t="shared" si="376"/>
        <v xml:space="preserve">Корнилов Владимир Олегович</v>
      </c>
      <c r="N255" s="13" t="str">
        <f t="shared" si="377"/>
        <v>OK</v>
      </c>
      <c r="O255" s="19">
        <f t="shared" si="378"/>
        <v>27644</v>
      </c>
      <c r="P255" s="19">
        <f t="shared" si="379"/>
        <v>47119</v>
      </c>
      <c r="Q255" s="13">
        <f t="shared" ca="1" si="380"/>
        <v>51</v>
      </c>
      <c r="R255" s="13" t="str">
        <f t="shared" si="381"/>
        <v>OK</v>
      </c>
      <c r="S255" s="13" t="str">
        <f t="shared" si="382"/>
        <v xml:space="preserve">+7 (903) 012-34-56</v>
      </c>
      <c r="T255" s="13" t="str">
        <f t="shared" si="383"/>
        <v>kornilov@mail</v>
      </c>
      <c r="U255" s="18" t="str">
        <f t="shared" si="384"/>
        <v xml:space="preserve">Ошибка Email</v>
      </c>
      <c r="V255" s="13" t="str">
        <f>IFERROR(VLOOKUP(K255,Справочники!$K$6:$L$13,2,0),K255)</f>
        <v>Симферополь</v>
      </c>
    </row>
    <row r="256" ht="15" customHeight="1">
      <c r="A256" s="10">
        <v>254</v>
      </c>
      <c r="B256" s="11" t="str">
        <f>RAW_Клиенты!A255</f>
        <v>C0254</v>
      </c>
      <c r="C256" s="11" t="str">
        <f>RAW_Клиенты!B255</f>
        <v xml:space="preserve">Филатова Наталья Игоревна</v>
      </c>
      <c r="D256" s="11" t="str">
        <f>RAW_Клиенты!C255</f>
        <v>18.04.1982</v>
      </c>
      <c r="E256" s="11" t="str">
        <f>RAW_Клиенты!D255</f>
        <v>8-903-012-34-56</v>
      </c>
      <c r="F256" s="11" t="str">
        <f>RAW_Клиенты!E255</f>
        <v>filatova@yandex</v>
      </c>
      <c r="G256" s="11" t="str">
        <f>RAW_Клиенты!F255</f>
        <v>Брянск</v>
      </c>
      <c r="H256" s="11" t="str">
        <f>RAW_Клиенты!G255</f>
        <v>2029-01-15</v>
      </c>
      <c r="I256" s="12" t="str">
        <f t="shared" si="372"/>
        <v>89030123456</v>
      </c>
      <c r="J256" s="12" t="str">
        <f t="shared" si="373"/>
        <v>filatova@yandex</v>
      </c>
      <c r="K256" s="12" t="str">
        <f t="shared" si="374"/>
        <v>Брянск</v>
      </c>
      <c r="L256" s="13" t="str">
        <f t="shared" si="375"/>
        <v>C0254</v>
      </c>
      <c r="M256" s="13" t="str">
        <f t="shared" si="376"/>
        <v xml:space="preserve">Филатова Наталья Игоревна</v>
      </c>
      <c r="N256" s="13" t="str">
        <f t="shared" si="377"/>
        <v>OK</v>
      </c>
      <c r="O256" s="19">
        <f t="shared" si="378"/>
        <v>30059</v>
      </c>
      <c r="P256" s="19">
        <f t="shared" si="379"/>
        <v>47133</v>
      </c>
      <c r="Q256" s="13">
        <f t="shared" ca="1" si="380"/>
        <v>44</v>
      </c>
      <c r="R256" s="13" t="str">
        <f t="shared" si="381"/>
        <v>OK</v>
      </c>
      <c r="S256" s="13" t="str">
        <f t="shared" si="382"/>
        <v xml:space="preserve">+7 (903) 012-34-56</v>
      </c>
      <c r="T256" s="13" t="str">
        <f t="shared" si="383"/>
        <v>filatova@yandex</v>
      </c>
      <c r="U256" s="18" t="str">
        <f t="shared" si="384"/>
        <v xml:space="preserve">Ошибка Email</v>
      </c>
      <c r="V256" s="13" t="str">
        <f>IFERROR(VLOOKUP(K256,Справочники!$K$6:$L$13,2,0),K256)</f>
        <v>Брянск</v>
      </c>
    </row>
    <row r="257" ht="15" customHeight="1">
      <c r="A257" s="10">
        <v>255</v>
      </c>
      <c r="B257" s="11" t="str">
        <f>RAW_Клиенты!A256</f>
        <v>C0255</v>
      </c>
      <c r="C257" s="11" t="str">
        <f>RAW_Клиенты!B256</f>
        <v xml:space="preserve">Бердникова Мария Владимировна</v>
      </c>
      <c r="D257" s="11" t="str">
        <f>RAW_Клиенты!C256</f>
        <v>31.10.1991</v>
      </c>
      <c r="E257" s="11" t="str">
        <f>RAW_Клиенты!D256</f>
        <v xml:space="preserve">8 903 123 45 67</v>
      </c>
      <c r="F257" s="11" t="str">
        <f>RAW_Клиенты!E256</f>
        <v>berdnikova@gmail</v>
      </c>
      <c r="G257" s="11" t="str">
        <f>RAW_Клиенты!F256</f>
        <v>Абакан</v>
      </c>
      <c r="H257" s="11" t="str">
        <f>RAW_Клиенты!G256</f>
        <v>15.01.2029</v>
      </c>
      <c r="I257" s="12" t="str">
        <f t="shared" si="372"/>
        <v>89031234567</v>
      </c>
      <c r="J257" s="12" t="str">
        <f t="shared" si="373"/>
        <v>berdnikova@gmail</v>
      </c>
      <c r="K257" s="12" t="str">
        <f t="shared" si="374"/>
        <v>Абакан</v>
      </c>
      <c r="L257" s="13" t="str">
        <f t="shared" si="375"/>
        <v>C0255</v>
      </c>
      <c r="M257" s="13" t="str">
        <f t="shared" si="376"/>
        <v xml:space="preserve">Бердникова Мария Владимировна</v>
      </c>
      <c r="N257" s="13" t="str">
        <f t="shared" si="377"/>
        <v>OK</v>
      </c>
      <c r="O257" s="19">
        <f t="shared" si="378"/>
        <v>33542</v>
      </c>
      <c r="P257" s="19">
        <f t="shared" si="379"/>
        <v>47133</v>
      </c>
      <c r="Q257" s="13">
        <f t="shared" ca="1" si="380"/>
        <v>34</v>
      </c>
      <c r="R257" s="13" t="str">
        <f t="shared" si="381"/>
        <v>OK</v>
      </c>
      <c r="S257" s="13" t="str">
        <f t="shared" si="382"/>
        <v xml:space="preserve">+7 (903) 123-45-67</v>
      </c>
      <c r="T257" s="13" t="str">
        <f t="shared" si="383"/>
        <v>berdnikova@gmail</v>
      </c>
      <c r="U257" s="18" t="str">
        <f t="shared" si="384"/>
        <v xml:space="preserve">Ошибка Email</v>
      </c>
      <c r="V257" s="13" t="str">
        <f>IFERROR(VLOOKUP(K257,Справочники!$K$6:$L$13,2,0),K257)</f>
        <v>Абакан</v>
      </c>
    </row>
    <row r="258" ht="15" customHeight="1">
      <c r="A258" s="10">
        <v>256</v>
      </c>
      <c r="B258" s="11" t="str">
        <f>RAW_Клиенты!A257</f>
        <v>C0256</v>
      </c>
      <c r="C258" s="11" t="str">
        <f>RAW_Клиенты!B257</f>
        <v xml:space="preserve">Мельниченко Андрей Павлович</v>
      </c>
      <c r="D258" s="11" t="str">
        <f>RAW_Клиенты!C257</f>
        <v>13.02.1977</v>
      </c>
      <c r="E258" s="11" t="str">
        <f>RAW_Клиенты!D257</f>
        <v>+79031234567</v>
      </c>
      <c r="F258" s="11" t="str">
        <f>RAW_Клиенты!E257</f>
        <v>melnichenko@mail</v>
      </c>
      <c r="G258" s="11" t="str">
        <f>RAW_Клиенты!F257</f>
        <v>Грозный</v>
      </c>
      <c r="H258" s="11" t="str">
        <f>RAW_Клиенты!G257</f>
        <v>01.02.2029</v>
      </c>
      <c r="I258" s="12" t="str">
        <f t="shared" si="372"/>
        <v>79031234567</v>
      </c>
      <c r="J258" s="12" t="str">
        <f t="shared" si="373"/>
        <v>melnichenko@mail</v>
      </c>
      <c r="K258" s="12" t="str">
        <f t="shared" si="374"/>
        <v>Грозный</v>
      </c>
      <c r="L258" s="13" t="str">
        <f t="shared" si="375"/>
        <v>C0256</v>
      </c>
      <c r="M258" s="13" t="str">
        <f t="shared" si="376"/>
        <v xml:space="preserve">Мельниченко Андрей Павлович</v>
      </c>
      <c r="N258" s="13" t="str">
        <f t="shared" si="377"/>
        <v>OK</v>
      </c>
      <c r="O258" s="19">
        <f t="shared" si="378"/>
        <v>28169</v>
      </c>
      <c r="P258" s="19">
        <f t="shared" si="379"/>
        <v>47150</v>
      </c>
      <c r="Q258" s="13">
        <f t="shared" ca="1" si="380"/>
        <v>49</v>
      </c>
      <c r="R258" s="13" t="str">
        <f t="shared" si="381"/>
        <v>OK</v>
      </c>
      <c r="S258" s="13" t="str">
        <f t="shared" si="382"/>
        <v xml:space="preserve">+7 (903) 123-45-67</v>
      </c>
      <c r="T258" s="13" t="str">
        <f t="shared" si="383"/>
        <v>melnichenko@mail</v>
      </c>
      <c r="U258" s="18" t="str">
        <f t="shared" si="384"/>
        <v xml:space="preserve">Ошибка Email</v>
      </c>
      <c r="V258" s="13" t="str">
        <f>IFERROR(VLOOKUP(K258,Справочники!$K$6:$L$13,2,0),K258)</f>
        <v>Грозный</v>
      </c>
    </row>
    <row r="259" ht="15" customHeight="1">
      <c r="A259" s="10">
        <v>257</v>
      </c>
      <c r="B259" s="11" t="str">
        <f>RAW_Клиенты!A258</f>
        <v>C0257</v>
      </c>
      <c r="C259" s="11" t="str">
        <f>RAW_Клиенты!B258</f>
        <v xml:space="preserve">Воронина Ольга Владиславовна</v>
      </c>
      <c r="D259" s="11" t="str">
        <f>RAW_Клиенты!C258</f>
        <v>22.06.1985</v>
      </c>
      <c r="E259" s="11" t="str">
        <f>RAW_Клиенты!D258</f>
        <v>8-903-123-45-67</v>
      </c>
      <c r="F259" s="11" t="str">
        <f>RAW_Клиенты!E258</f>
        <v>voronina@yandex</v>
      </c>
      <c r="G259" s="11" t="str">
        <f>RAW_Клиенты!F258</f>
        <v>Бийск</v>
      </c>
      <c r="H259" s="11" t="str">
        <f>RAW_Клиенты!G258</f>
        <v>2029-02-10</v>
      </c>
      <c r="I259" s="12" t="str">
        <f t="shared" si="372"/>
        <v>89031234567</v>
      </c>
      <c r="J259" s="12" t="str">
        <f t="shared" si="373"/>
        <v>voronina@yandex</v>
      </c>
      <c r="K259" s="12" t="str">
        <f t="shared" si="374"/>
        <v>Бийск</v>
      </c>
      <c r="L259" s="13" t="str">
        <f t="shared" si="375"/>
        <v>C0257</v>
      </c>
      <c r="M259" s="13" t="str">
        <f t="shared" si="376"/>
        <v xml:space="preserve">Воронина Ольга Владиславовна</v>
      </c>
      <c r="N259" s="13" t="str">
        <f t="shared" si="377"/>
        <v>OK</v>
      </c>
      <c r="O259" s="19">
        <f t="shared" si="378"/>
        <v>31220</v>
      </c>
      <c r="P259" s="19">
        <f t="shared" si="379"/>
        <v>47159</v>
      </c>
      <c r="Q259" s="13">
        <f t="shared" ca="1" si="380"/>
        <v>41</v>
      </c>
      <c r="R259" s="13" t="str">
        <f t="shared" si="381"/>
        <v>OK</v>
      </c>
      <c r="S259" s="13" t="str">
        <f t="shared" si="382"/>
        <v xml:space="preserve">+7 (903) 123-45-67</v>
      </c>
      <c r="T259" s="13" t="str">
        <f t="shared" si="383"/>
        <v>voronina@yandex</v>
      </c>
      <c r="U259" s="18" t="str">
        <f t="shared" si="384"/>
        <v xml:space="preserve">Ошибка Email</v>
      </c>
      <c r="V259" s="13" t="str">
        <f>IFERROR(VLOOKUP(K259,Справочники!$K$6:$L$13,2,0),K259)</f>
        <v>Бийск</v>
      </c>
    </row>
    <row r="260" ht="15" customHeight="1">
      <c r="A260" s="10">
        <v>258</v>
      </c>
      <c r="B260" s="11" t="str">
        <f>RAW_Клиенты!A259</f>
        <v>C0258</v>
      </c>
      <c r="C260" s="11" t="str">
        <f>RAW_Клиенты!B259</f>
        <v xml:space="preserve">Зеленов Кирилл Валерьевич</v>
      </c>
      <c r="D260" s="11" t="str">
        <f>RAW_Клиенты!C259</f>
        <v>08.12.1994</v>
      </c>
      <c r="E260" s="11" t="str">
        <f>RAW_Клиенты!D259</f>
        <v xml:space="preserve">8 903 234 56 78</v>
      </c>
      <c r="F260" s="11" t="str">
        <f>RAW_Клиенты!E259</f>
        <v>zelenov@gmail</v>
      </c>
      <c r="G260" s="11" t="str">
        <f>RAW_Клиенты!F259</f>
        <v>Йошкар-Ола</v>
      </c>
      <c r="H260" s="11" t="str">
        <f>RAW_Клиенты!G259</f>
        <v>10.02.2029</v>
      </c>
      <c r="I260" s="12" t="str">
        <f t="shared" si="372"/>
        <v>89032345678</v>
      </c>
      <c r="J260" s="12" t="str">
        <f t="shared" si="373"/>
        <v>zelenov@gmail</v>
      </c>
      <c r="K260" s="12" t="str">
        <f t="shared" si="374"/>
        <v>Йошкар-Ола</v>
      </c>
      <c r="L260" s="13" t="str">
        <f t="shared" si="375"/>
        <v>C0258</v>
      </c>
      <c r="M260" s="13" t="str">
        <f t="shared" si="376"/>
        <v xml:space="preserve">Зеленов Кирилл Валерьевич</v>
      </c>
      <c r="N260" s="13" t="str">
        <f t="shared" si="377"/>
        <v>OK</v>
      </c>
      <c r="O260" s="19">
        <f t="shared" si="378"/>
        <v>34676</v>
      </c>
      <c r="P260" s="19">
        <f t="shared" si="379"/>
        <v>47159</v>
      </c>
      <c r="Q260" s="13">
        <f t="shared" ca="1" si="380"/>
        <v>31</v>
      </c>
      <c r="R260" s="13" t="str">
        <f t="shared" si="381"/>
        <v>OK</v>
      </c>
      <c r="S260" s="13" t="str">
        <f t="shared" si="382"/>
        <v xml:space="preserve">+7 (903) 234-56-78</v>
      </c>
      <c r="T260" s="13" t="str">
        <f t="shared" si="383"/>
        <v>zelenov@gmail</v>
      </c>
      <c r="U260" s="18" t="str">
        <f t="shared" si="384"/>
        <v xml:space="preserve">Ошибка Email</v>
      </c>
      <c r="V260" s="13" t="str">
        <f>IFERROR(VLOOKUP(K260,Справочники!$K$6:$L$13,2,0),K260)</f>
        <v>Йошкар-Ола</v>
      </c>
    </row>
    <row r="261" ht="15" customHeight="1">
      <c r="A261" s="10">
        <v>259</v>
      </c>
      <c r="B261" s="11" t="str">
        <f>RAW_Клиенты!A260</f>
        <v>C0259</v>
      </c>
      <c r="C261" s="11" t="str">
        <f>RAW_Клиенты!B260</f>
        <v xml:space="preserve">Стручкова Екатерина Алексеевна</v>
      </c>
      <c r="D261" s="11" t="str">
        <f>RAW_Клиенты!C260</f>
        <v>17.08.1973</v>
      </c>
      <c r="E261" s="11" t="str">
        <f>RAW_Клиенты!D260</f>
        <v>+79032345678</v>
      </c>
      <c r="F261" s="11" t="str">
        <f>RAW_Клиенты!E260</f>
        <v>struchkova@mail</v>
      </c>
      <c r="G261" s="11" t="str">
        <f>RAW_Клиенты!F260</f>
        <v>Курган</v>
      </c>
      <c r="H261" s="11" t="str">
        <f>RAW_Клиенты!G260</f>
        <v>01.03.2029</v>
      </c>
      <c r="I261" s="12" t="str">
        <f t="shared" si="372"/>
        <v>79032345678</v>
      </c>
      <c r="J261" s="12" t="str">
        <f t="shared" si="373"/>
        <v>struchkova@mail</v>
      </c>
      <c r="K261" s="12" t="str">
        <f t="shared" si="374"/>
        <v>Курган</v>
      </c>
      <c r="L261" s="13" t="str">
        <f t="shared" si="375"/>
        <v>C0259</v>
      </c>
      <c r="M261" s="13" t="str">
        <f t="shared" si="376"/>
        <v xml:space="preserve">Стручкова Екатерина Алексеевна</v>
      </c>
      <c r="N261" s="13" t="str">
        <f t="shared" si="377"/>
        <v>OK</v>
      </c>
      <c r="O261" s="19">
        <f t="shared" si="378"/>
        <v>26893</v>
      </c>
      <c r="P261" s="19">
        <f t="shared" si="379"/>
        <v>47178</v>
      </c>
      <c r="Q261" s="13">
        <f t="shared" ca="1" si="380"/>
        <v>53</v>
      </c>
      <c r="R261" s="13" t="str">
        <f t="shared" si="381"/>
        <v>OK</v>
      </c>
      <c r="S261" s="13" t="str">
        <f t="shared" si="382"/>
        <v xml:space="preserve">+7 (903) 234-56-78</v>
      </c>
      <c r="T261" s="13" t="str">
        <f t="shared" si="383"/>
        <v>struchkova@mail</v>
      </c>
      <c r="U261" s="18" t="str">
        <f t="shared" si="384"/>
        <v xml:space="preserve">Ошибка Email</v>
      </c>
      <c r="V261" s="13" t="str">
        <f>IFERROR(VLOOKUP(K261,Справочники!$K$6:$L$13,2,0),K261)</f>
        <v>Курган</v>
      </c>
    </row>
    <row r="262" ht="15" customHeight="1">
      <c r="A262" s="10">
        <v>260</v>
      </c>
      <c r="B262" s="11" t="str">
        <f>RAW_Клиенты!A261</f>
        <v>C0260</v>
      </c>
      <c r="C262" s="11" t="str">
        <f>RAW_Клиенты!B261</f>
        <v xml:space="preserve">Шаламов Олег Игоревич</v>
      </c>
      <c r="D262" s="11" t="str">
        <f>RAW_Клиенты!C261</f>
        <v>19.03.1988</v>
      </c>
      <c r="E262" s="11" t="str">
        <f>RAW_Клиенты!D261</f>
        <v>8-903-234-56-78</v>
      </c>
      <c r="F262" s="11" t="str">
        <f>RAW_Клиенты!E261</f>
        <v>shalamov@yandex</v>
      </c>
      <c r="G262" s="11" t="str">
        <f>RAW_Клиенты!F261</f>
        <v>Архангельск</v>
      </c>
      <c r="H262" s="11" t="str">
        <f>RAW_Клиенты!G261</f>
        <v>2029-03-15</v>
      </c>
      <c r="I262" s="12" t="str">
        <f t="shared" si="372"/>
        <v>89032345678</v>
      </c>
      <c r="J262" s="12" t="str">
        <f t="shared" si="373"/>
        <v>shalamov@yandex</v>
      </c>
      <c r="K262" s="12" t="str">
        <f t="shared" si="374"/>
        <v>Архангельск</v>
      </c>
      <c r="L262" s="13" t="str">
        <f t="shared" si="375"/>
        <v>C0260</v>
      </c>
      <c r="M262" s="13" t="str">
        <f t="shared" si="376"/>
        <v xml:space="preserve">Шаламов Олег Игоревич</v>
      </c>
      <c r="N262" s="13" t="str">
        <f t="shared" si="377"/>
        <v>OK</v>
      </c>
      <c r="O262" s="19">
        <f t="shared" si="378"/>
        <v>32221</v>
      </c>
      <c r="P262" s="19">
        <f t="shared" si="379"/>
        <v>47192</v>
      </c>
      <c r="Q262" s="13">
        <f t="shared" ca="1" si="380"/>
        <v>38</v>
      </c>
      <c r="R262" s="13" t="str">
        <f t="shared" si="381"/>
        <v>OK</v>
      </c>
      <c r="S262" s="13" t="str">
        <f t="shared" si="382"/>
        <v xml:space="preserve">+7 (903) 234-56-78</v>
      </c>
      <c r="T262" s="13" t="str">
        <f t="shared" si="383"/>
        <v>shalamov@yandex</v>
      </c>
      <c r="U262" s="18" t="str">
        <f t="shared" si="384"/>
        <v xml:space="preserve">Ошибка Email</v>
      </c>
      <c r="V262" s="13" t="str">
        <f>IFERROR(VLOOKUP(K262,Справочники!$K$6:$L$13,2,0),K262)</f>
        <v>Архангельск</v>
      </c>
    </row>
    <row r="263" ht="15" customHeight="1">
      <c r="A263" s="10">
        <v>261</v>
      </c>
      <c r="B263" s="11" t="str">
        <f>RAW_Клиенты!A262</f>
        <v>C0261</v>
      </c>
      <c r="C263" s="11" t="str">
        <f>RAW_Клиенты!B262</f>
        <v xml:space="preserve">Алексеев Дмитрий Петрович</v>
      </c>
      <c r="D263" s="11" t="str">
        <f>RAW_Клиенты!C262</f>
        <v>11.11.1981</v>
      </c>
      <c r="E263" s="11" t="str">
        <f>RAW_Клиенты!D262</f>
        <v xml:space="preserve">8 903 345 67 89</v>
      </c>
      <c r="F263" s="11" t="str">
        <f>RAW_Клиенты!E262</f>
        <v>alekseev@gmail</v>
      </c>
      <c r="G263" s="11" t="str">
        <f>RAW_Клиенты!F262</f>
        <v>Благовещенск</v>
      </c>
      <c r="H263" s="11" t="str">
        <f>RAW_Клиенты!G262</f>
        <v>15.03.2029</v>
      </c>
      <c r="I263" s="12" t="str">
        <f t="shared" si="372"/>
        <v>89033456789</v>
      </c>
      <c r="J263" s="12" t="str">
        <f t="shared" si="373"/>
        <v>alekseev@gmail</v>
      </c>
      <c r="K263" s="12" t="str">
        <f t="shared" si="374"/>
        <v>Благовещенск</v>
      </c>
      <c r="L263" s="13" t="str">
        <f t="shared" si="375"/>
        <v>C0261</v>
      </c>
      <c r="M263" s="13" t="str">
        <f t="shared" si="376"/>
        <v xml:space="preserve">Алексеев Дмитрий Петрович</v>
      </c>
      <c r="N263" s="13" t="str">
        <f t="shared" si="377"/>
        <v>OK</v>
      </c>
      <c r="O263" s="19">
        <f t="shared" si="378"/>
        <v>29901</v>
      </c>
      <c r="P263" s="19">
        <f t="shared" si="379"/>
        <v>47192</v>
      </c>
      <c r="Q263" s="13">
        <f t="shared" ca="1" si="380"/>
        <v>44</v>
      </c>
      <c r="R263" s="13" t="str">
        <f t="shared" si="381"/>
        <v>OK</v>
      </c>
      <c r="S263" s="13" t="str">
        <f t="shared" si="382"/>
        <v xml:space="preserve">+7 (903) 345-67-89</v>
      </c>
      <c r="T263" s="13" t="str">
        <f t="shared" si="383"/>
        <v>alekseev@gmail</v>
      </c>
      <c r="U263" s="18" t="str">
        <f t="shared" si="384"/>
        <v xml:space="preserve">Ошибка Email</v>
      </c>
      <c r="V263" s="13" t="str">
        <f>IFERROR(VLOOKUP(K263,Справочники!$K$6:$L$13,2,0),K263)</f>
        <v>Благовещенск</v>
      </c>
    </row>
    <row r="264" ht="15" customHeight="1">
      <c r="A264" s="10">
        <v>262</v>
      </c>
      <c r="B264" s="11" t="str">
        <f>RAW_Клиенты!A263</f>
        <v>C0262</v>
      </c>
      <c r="C264" s="11" t="str">
        <f>RAW_Клиенты!B263</f>
        <v xml:space="preserve">Сорокина Татьяна Борисовна</v>
      </c>
      <c r="D264" s="11" t="str">
        <f>RAW_Клиенты!C263</f>
        <v>05.07.1976</v>
      </c>
      <c r="E264" s="11" t="str">
        <f>RAW_Клиенты!D263</f>
        <v>+79033456789</v>
      </c>
      <c r="F264" s="11" t="str">
        <f>RAW_Клиенты!E263</f>
        <v>sorokina@mail</v>
      </c>
      <c r="G264" s="11" t="str">
        <f>RAW_Клиенты!F263</f>
        <v>Майкоп</v>
      </c>
      <c r="H264" s="11" t="str">
        <f>RAW_Клиенты!G263</f>
        <v>01.04.2029</v>
      </c>
      <c r="I264" s="12" t="str">
        <f t="shared" si="372"/>
        <v>79033456789</v>
      </c>
      <c r="J264" s="12" t="str">
        <f t="shared" si="373"/>
        <v>sorokina@mail</v>
      </c>
      <c r="K264" s="12" t="str">
        <f t="shared" si="374"/>
        <v>Майкоп</v>
      </c>
      <c r="L264" s="13" t="str">
        <f t="shared" si="375"/>
        <v>C0262</v>
      </c>
      <c r="M264" s="13" t="str">
        <f t="shared" si="376"/>
        <v xml:space="preserve">Сорокина Татьяна Борисовна</v>
      </c>
      <c r="N264" s="13" t="str">
        <f t="shared" si="377"/>
        <v>OK</v>
      </c>
      <c r="O264" s="19">
        <f t="shared" si="378"/>
        <v>27946</v>
      </c>
      <c r="P264" s="19">
        <f t="shared" si="379"/>
        <v>47209</v>
      </c>
      <c r="Q264" s="13">
        <f t="shared" ca="1" si="380"/>
        <v>50</v>
      </c>
      <c r="R264" s="13" t="str">
        <f t="shared" si="381"/>
        <v>OK</v>
      </c>
      <c r="S264" s="13" t="str">
        <f t="shared" si="382"/>
        <v xml:space="preserve">+7 (903) 345-67-89</v>
      </c>
      <c r="T264" s="13" t="str">
        <f t="shared" si="383"/>
        <v>sorokina@mail</v>
      </c>
      <c r="U264" s="18" t="str">
        <f t="shared" si="384"/>
        <v xml:space="preserve">Ошибка Email</v>
      </c>
      <c r="V264" s="13" t="str">
        <f>IFERROR(VLOOKUP(K264,Справочники!$K$6:$L$13,2,0),K264)</f>
        <v>Майкоп</v>
      </c>
    </row>
    <row r="265" ht="15" customHeight="1">
      <c r="A265" s="10">
        <v>263</v>
      </c>
      <c r="B265" s="11" t="str">
        <f>RAW_Клиенты!A264</f>
        <v>C0263</v>
      </c>
      <c r="C265" s="11" t="str">
        <f>RAW_Клиенты!B264</f>
        <v xml:space="preserve">Пономарёв Сергей Александрович</v>
      </c>
      <c r="D265" s="11" t="str">
        <f>RAW_Клиенты!C264</f>
        <v>24.09.1992</v>
      </c>
      <c r="E265" s="11" t="str">
        <f>RAW_Клиенты!D264</f>
        <v>8-903-345-67-89</v>
      </c>
      <c r="F265" s="11" t="str">
        <f>RAW_Клиенты!E264</f>
        <v>ponomarev@yandex</v>
      </c>
      <c r="G265" s="11" t="str">
        <f>RAW_Клиенты!F264</f>
        <v>Уссурийск</v>
      </c>
      <c r="H265" s="11" t="str">
        <f>RAW_Клиенты!G264</f>
        <v>2029-04-10</v>
      </c>
      <c r="I265" s="12" t="str">
        <f t="shared" si="372"/>
        <v>89033456789</v>
      </c>
      <c r="J265" s="12" t="str">
        <f t="shared" si="373"/>
        <v>ponomarev@yandex</v>
      </c>
      <c r="K265" s="12" t="str">
        <f t="shared" si="374"/>
        <v>Уссурийск</v>
      </c>
      <c r="L265" s="13" t="str">
        <f t="shared" si="375"/>
        <v>C0263</v>
      </c>
      <c r="M265" s="13" t="str">
        <f t="shared" si="376"/>
        <v xml:space="preserve">Пономарёв Сергей Александрович</v>
      </c>
      <c r="N265" s="13" t="str">
        <f t="shared" si="377"/>
        <v>OK</v>
      </c>
      <c r="O265" s="19">
        <f t="shared" si="378"/>
        <v>33871</v>
      </c>
      <c r="P265" s="19">
        <f t="shared" si="379"/>
        <v>47218</v>
      </c>
      <c r="Q265" s="13">
        <f t="shared" ca="1" si="380"/>
        <v>33</v>
      </c>
      <c r="R265" s="13" t="str">
        <f t="shared" si="381"/>
        <v>OK</v>
      </c>
      <c r="S265" s="13" t="str">
        <f t="shared" si="382"/>
        <v xml:space="preserve">+7 (903) 345-67-89</v>
      </c>
      <c r="T265" s="13" t="str">
        <f t="shared" si="383"/>
        <v>ponomarev@yandex</v>
      </c>
      <c r="U265" s="18" t="str">
        <f t="shared" si="384"/>
        <v xml:space="preserve">Ошибка Email</v>
      </c>
      <c r="V265" s="13" t="str">
        <f>IFERROR(VLOOKUP(K265,Справочники!$K$6:$L$13,2,0),K265)</f>
        <v>Уссурийск</v>
      </c>
    </row>
    <row r="266" ht="15" customHeight="1">
      <c r="A266" s="10">
        <v>264</v>
      </c>
      <c r="B266" s="11" t="str">
        <f>RAW_Клиенты!A265</f>
        <v>C0264</v>
      </c>
      <c r="C266" s="11" t="str">
        <f>RAW_Клиенты!B265</f>
        <v xml:space="preserve">Репин Илья Васильевич</v>
      </c>
      <c r="D266" s="11" t="str">
        <f>RAW_Клиенты!C265</f>
        <v>16.05.1984</v>
      </c>
      <c r="E266" s="11" t="str">
        <f>RAW_Клиенты!D265</f>
        <v xml:space="preserve">8 903 456 78 90</v>
      </c>
      <c r="F266" s="11" t="str">
        <f>RAW_Клиенты!E265</f>
        <v>repin@gmail</v>
      </c>
      <c r="G266" s="11" t="str">
        <f>RAW_Клиенты!F265</f>
        <v>Миасс</v>
      </c>
      <c r="H266" s="11" t="str">
        <f>RAW_Клиенты!G265</f>
        <v>10.04.2029</v>
      </c>
      <c r="I266" s="12" t="str">
        <f t="shared" si="372"/>
        <v>89034567890</v>
      </c>
      <c r="J266" s="12" t="str">
        <f t="shared" si="373"/>
        <v>repin@gmail</v>
      </c>
      <c r="K266" s="12" t="str">
        <f t="shared" si="374"/>
        <v>Миасс</v>
      </c>
      <c r="L266" s="13" t="str">
        <f t="shared" si="375"/>
        <v>C0264</v>
      </c>
      <c r="M266" s="13" t="str">
        <f t="shared" si="376"/>
        <v xml:space="preserve">Репин Илья Васильевич</v>
      </c>
      <c r="N266" s="13" t="str">
        <f t="shared" si="377"/>
        <v>OK</v>
      </c>
      <c r="O266" s="19">
        <f t="shared" si="378"/>
        <v>30818</v>
      </c>
      <c r="P266" s="19">
        <f t="shared" si="379"/>
        <v>47218</v>
      </c>
      <c r="Q266" s="13">
        <f t="shared" ca="1" si="380"/>
        <v>42</v>
      </c>
      <c r="R266" s="13" t="str">
        <f t="shared" si="381"/>
        <v>OK</v>
      </c>
      <c r="S266" s="13" t="str">
        <f t="shared" si="382"/>
        <v xml:space="preserve">+7 (903) 456-78-90</v>
      </c>
      <c r="T266" s="13" t="str">
        <f t="shared" si="383"/>
        <v>repin@gmail</v>
      </c>
      <c r="U266" s="18" t="str">
        <f t="shared" si="384"/>
        <v xml:space="preserve">Ошибка Email</v>
      </c>
      <c r="V266" s="13" t="str">
        <f>IFERROR(VLOOKUP(K266,Справочники!$K$6:$L$13,2,0),K266)</f>
        <v>Миасс</v>
      </c>
    </row>
    <row r="267" ht="15" customHeight="1">
      <c r="A267" s="10">
        <v>265</v>
      </c>
      <c r="B267" s="11" t="str">
        <f>RAW_Клиенты!A266</f>
        <v>C0265</v>
      </c>
      <c r="C267" s="11" t="str">
        <f>RAW_Клиенты!B266</f>
        <v xml:space="preserve">Кудрявцева Оксана Юрьевна</v>
      </c>
      <c r="D267" s="11" t="str">
        <f>RAW_Клиенты!C266</f>
        <v>30.10.1979</v>
      </c>
      <c r="E267" s="11" t="str">
        <f>RAW_Клиенты!D266</f>
        <v>+79034567890</v>
      </c>
      <c r="F267" s="11" t="str">
        <f>RAW_Клиенты!E266</f>
        <v>kudryavtseva@mail</v>
      </c>
      <c r="G267" s="11" t="str">
        <f>RAW_Клиенты!F266</f>
        <v>Кызыл</v>
      </c>
      <c r="H267" s="11" t="str">
        <f>RAW_Клиенты!G266</f>
        <v>01.05.2029</v>
      </c>
      <c r="I267" s="12" t="str">
        <f t="shared" si="372"/>
        <v>79034567890</v>
      </c>
      <c r="J267" s="12" t="str">
        <f t="shared" si="373"/>
        <v>kudryavtseva@mail</v>
      </c>
      <c r="K267" s="12" t="str">
        <f t="shared" si="374"/>
        <v>Кызыл</v>
      </c>
      <c r="L267" s="13" t="str">
        <f t="shared" si="375"/>
        <v>C0265</v>
      </c>
      <c r="M267" s="13" t="str">
        <f t="shared" si="376"/>
        <v xml:space="preserve">Кудрявцева Оксана Юрьевна</v>
      </c>
      <c r="N267" s="13" t="str">
        <f t="shared" si="377"/>
        <v>OK</v>
      </c>
      <c r="O267" s="19">
        <f t="shared" si="378"/>
        <v>29158</v>
      </c>
      <c r="P267" s="19">
        <f t="shared" si="379"/>
        <v>47239</v>
      </c>
      <c r="Q267" s="13">
        <f t="shared" ca="1" si="380"/>
        <v>46</v>
      </c>
      <c r="R267" s="13" t="str">
        <f t="shared" si="381"/>
        <v>OK</v>
      </c>
      <c r="S267" s="13" t="str">
        <f t="shared" si="382"/>
        <v xml:space="preserve">+7 (903) 456-78-90</v>
      </c>
      <c r="T267" s="13" t="str">
        <f t="shared" si="383"/>
        <v>kudryavtseva@mail</v>
      </c>
      <c r="U267" s="18" t="str">
        <f t="shared" si="384"/>
        <v xml:space="preserve">Ошибка Email</v>
      </c>
      <c r="V267" s="13" t="str">
        <f>IFERROR(VLOOKUP(K267,Справочники!$K$6:$L$13,2,0),K267)</f>
        <v>Кызыл</v>
      </c>
    </row>
    <row r="268" ht="15" customHeight="1">
      <c r="A268" s="10">
        <v>266</v>
      </c>
      <c r="B268" s="11" t="str">
        <f>RAW_Клиенты!A267</f>
        <v>C0266</v>
      </c>
      <c r="C268" s="11" t="str">
        <f>RAW_Клиенты!B267</f>
        <v xml:space="preserve">Лыков Алексей Павлович</v>
      </c>
      <c r="D268" s="11" t="str">
        <f>RAW_Клиенты!C267</f>
        <v>14.01.1987</v>
      </c>
      <c r="E268" s="11" t="str">
        <f>RAW_Клиенты!D267</f>
        <v>8-903-456-78-90</v>
      </c>
      <c r="F268" s="11" t="str">
        <f>RAW_Клиенты!E267</f>
        <v>lykov@yandex</v>
      </c>
      <c r="G268" s="11" t="str">
        <f>RAW_Клиенты!F267</f>
        <v>Калининград</v>
      </c>
      <c r="H268" s="11" t="str">
        <f>RAW_Клиенты!G267</f>
        <v>2029-05-15</v>
      </c>
      <c r="I268" s="12" t="str">
        <f t="shared" si="372"/>
        <v>89034567890</v>
      </c>
      <c r="J268" s="12" t="str">
        <f t="shared" si="373"/>
        <v>lykov@yandex</v>
      </c>
      <c r="K268" s="12" t="str">
        <f t="shared" si="374"/>
        <v>Калининград</v>
      </c>
      <c r="L268" s="13" t="str">
        <f t="shared" si="375"/>
        <v>C0266</v>
      </c>
      <c r="M268" s="13" t="str">
        <f t="shared" si="376"/>
        <v xml:space="preserve">Лыков Алексей Павлович</v>
      </c>
      <c r="N268" s="13" t="str">
        <f t="shared" si="377"/>
        <v>OK</v>
      </c>
      <c r="O268" s="19">
        <f t="shared" si="378"/>
        <v>31791</v>
      </c>
      <c r="P268" s="19">
        <f t="shared" si="379"/>
        <v>47253</v>
      </c>
      <c r="Q268" s="13">
        <f t="shared" ca="1" si="380"/>
        <v>39</v>
      </c>
      <c r="R268" s="13" t="str">
        <f t="shared" si="381"/>
        <v>OK</v>
      </c>
      <c r="S268" s="13" t="str">
        <f t="shared" si="382"/>
        <v xml:space="preserve">+7 (903) 456-78-90</v>
      </c>
      <c r="T268" s="13" t="str">
        <f t="shared" si="383"/>
        <v>lykov@yandex</v>
      </c>
      <c r="U268" s="18" t="str">
        <f t="shared" si="384"/>
        <v xml:space="preserve">Ошибка Email</v>
      </c>
      <c r="V268" s="13" t="str">
        <f>IFERROR(VLOOKUP(K268,Справочники!$K$6:$L$13,2,0),K268)</f>
        <v>Калининград</v>
      </c>
    </row>
    <row r="269" ht="15" customHeight="1">
      <c r="A269" s="10">
        <v>267</v>
      </c>
      <c r="B269" s="11" t="str">
        <f>RAW_Клиенты!A268</f>
        <v>C0267</v>
      </c>
      <c r="C269" s="11" t="str">
        <f>RAW_Клиенты!B268</f>
        <v xml:space="preserve">Туманова Наталья Владимировна</v>
      </c>
      <c r="D269" s="11" t="str">
        <f>RAW_Клиенты!C268</f>
        <v>02.04.1993</v>
      </c>
      <c r="E269" s="11" t="str">
        <f>RAW_Клиенты!D268</f>
        <v xml:space="preserve">8 903 567 89 01</v>
      </c>
      <c r="F269" s="11" t="str">
        <f>RAW_Клиенты!E268</f>
        <v>tumanova@gmail</v>
      </c>
      <c r="G269" s="11" t="str">
        <f>RAW_Клиенты!F268</f>
        <v>Петрозаводск</v>
      </c>
      <c r="H269" s="11" t="str">
        <f>RAW_Клиенты!G268</f>
        <v>15.05.2029</v>
      </c>
      <c r="I269" s="12" t="str">
        <f t="shared" si="372"/>
        <v>89035678901</v>
      </c>
      <c r="J269" s="12" t="str">
        <f t="shared" si="373"/>
        <v>tumanova@gmail</v>
      </c>
      <c r="K269" s="12" t="str">
        <f t="shared" si="374"/>
        <v>Петрозаводск</v>
      </c>
      <c r="L269" s="13" t="str">
        <f t="shared" si="375"/>
        <v>C0267</v>
      </c>
      <c r="M269" s="13" t="str">
        <f t="shared" si="376"/>
        <v xml:space="preserve">Туманова Наталья Владимировна</v>
      </c>
      <c r="N269" s="13" t="str">
        <f t="shared" si="377"/>
        <v>OK</v>
      </c>
      <c r="O269" s="19">
        <f t="shared" si="378"/>
        <v>34061</v>
      </c>
      <c r="P269" s="19">
        <f t="shared" si="379"/>
        <v>47253</v>
      </c>
      <c r="Q269" s="13">
        <f t="shared" ca="1" si="380"/>
        <v>33</v>
      </c>
      <c r="R269" s="13" t="str">
        <f t="shared" si="381"/>
        <v>OK</v>
      </c>
      <c r="S269" s="13" t="str">
        <f t="shared" si="382"/>
        <v xml:space="preserve">+7 (903) 567-89-01</v>
      </c>
      <c r="T269" s="13" t="str">
        <f t="shared" si="383"/>
        <v>tumanova@gmail</v>
      </c>
      <c r="U269" s="18" t="str">
        <f t="shared" si="384"/>
        <v xml:space="preserve">Ошибка Email</v>
      </c>
      <c r="V269" s="13" t="str">
        <f>IFERROR(VLOOKUP(K269,Справочники!$K$6:$L$13,2,0),K269)</f>
        <v>Петрозаводск</v>
      </c>
    </row>
    <row r="270" ht="15" customHeight="1">
      <c r="A270" s="10">
        <v>268</v>
      </c>
      <c r="B270" s="11" t="str">
        <f>RAW_Клиенты!A269</f>
        <v>C0268</v>
      </c>
      <c r="C270" s="11" t="str">
        <f>RAW_Клиенты!B269</f>
        <v xml:space="preserve">Сапожников Владислав Евгеньевич</v>
      </c>
      <c r="D270" s="11" t="str">
        <f>RAW_Клиенты!C269</f>
        <v>21.07.1971</v>
      </c>
      <c r="E270" s="11" t="str">
        <f>RAW_Клиенты!D269</f>
        <v>+79035678901</v>
      </c>
      <c r="F270" s="11" t="str">
        <f>RAW_Клиенты!E269</f>
        <v>sapozhnikov@mail</v>
      </c>
      <c r="G270" s="11" t="str">
        <f>RAW_Клиенты!F269</f>
        <v>Рубцовск</v>
      </c>
      <c r="H270" s="11" t="str">
        <f>RAW_Клиенты!G269</f>
        <v>01.06.2029</v>
      </c>
      <c r="I270" s="12" t="str">
        <f t="shared" si="372"/>
        <v>79035678901</v>
      </c>
      <c r="J270" s="12" t="str">
        <f t="shared" si="373"/>
        <v>sapozhnikov@mail</v>
      </c>
      <c r="K270" s="12" t="str">
        <f t="shared" si="374"/>
        <v>Рубцовск</v>
      </c>
      <c r="L270" s="13" t="str">
        <f t="shared" si="375"/>
        <v>C0268</v>
      </c>
      <c r="M270" s="13" t="str">
        <f t="shared" si="376"/>
        <v xml:space="preserve">Сапожников Владислав Евгеньевич</v>
      </c>
      <c r="N270" s="13" t="str">
        <f t="shared" si="377"/>
        <v>OK</v>
      </c>
      <c r="O270" s="19">
        <f t="shared" si="378"/>
        <v>26135</v>
      </c>
      <c r="P270" s="19">
        <f t="shared" si="379"/>
        <v>47270</v>
      </c>
      <c r="Q270" s="13">
        <f t="shared" ca="1" si="380"/>
        <v>55</v>
      </c>
      <c r="R270" s="13" t="str">
        <f t="shared" si="381"/>
        <v>OK</v>
      </c>
      <c r="S270" s="13" t="str">
        <f t="shared" si="382"/>
        <v xml:space="preserve">+7 (903) 567-89-01</v>
      </c>
      <c r="T270" s="13" t="str">
        <f t="shared" si="383"/>
        <v>sapozhnikov@mail</v>
      </c>
      <c r="U270" s="18" t="str">
        <f t="shared" si="384"/>
        <v xml:space="preserve">Ошибка Email</v>
      </c>
      <c r="V270" s="13" t="str">
        <f>IFERROR(VLOOKUP(K270,Справочники!$K$6:$L$13,2,0),K270)</f>
        <v>Рубцовск</v>
      </c>
    </row>
    <row r="271" ht="15" customHeight="1">
      <c r="A271" s="10">
        <v>269</v>
      </c>
      <c r="B271" s="11" t="str">
        <f>RAW_Клиенты!A270</f>
        <v>C0269</v>
      </c>
      <c r="C271" s="11" t="str">
        <f>RAW_Клиенты!B270</f>
        <v xml:space="preserve">Куницына Елена Алексеевна</v>
      </c>
      <c r="D271" s="11" t="str">
        <f>RAW_Клиенты!C270</f>
        <v>13.12.1982</v>
      </c>
      <c r="E271" s="11" t="str">
        <f>RAW_Клиенты!D270</f>
        <v>8-903-567-89-01</v>
      </c>
      <c r="F271" s="11" t="str">
        <f>RAW_Клиенты!E270</f>
        <v>kunitsyna@yandex</v>
      </c>
      <c r="G271" s="11" t="str">
        <f>RAW_Клиенты!F270</f>
        <v>Элиста</v>
      </c>
      <c r="H271" s="11" t="str">
        <f>RAW_Клиенты!G270</f>
        <v>2029-06-10</v>
      </c>
      <c r="I271" s="12" t="str">
        <f t="shared" si="372"/>
        <v>89035678901</v>
      </c>
      <c r="J271" s="12" t="str">
        <f t="shared" si="373"/>
        <v>kunitsyna@yandex</v>
      </c>
      <c r="K271" s="12" t="str">
        <f t="shared" si="374"/>
        <v>Элиста</v>
      </c>
      <c r="L271" s="13" t="str">
        <f t="shared" si="375"/>
        <v>C0269</v>
      </c>
      <c r="M271" s="13" t="str">
        <f t="shared" si="376"/>
        <v xml:space="preserve">Куницына Елена Алексеевна</v>
      </c>
      <c r="N271" s="13" t="str">
        <f t="shared" si="377"/>
        <v>OK</v>
      </c>
      <c r="O271" s="19">
        <f t="shared" si="378"/>
        <v>30298</v>
      </c>
      <c r="P271" s="19">
        <f t="shared" si="379"/>
        <v>47279</v>
      </c>
      <c r="Q271" s="13">
        <f t="shared" ca="1" si="380"/>
        <v>43</v>
      </c>
      <c r="R271" s="13" t="str">
        <f t="shared" si="381"/>
        <v>OK</v>
      </c>
      <c r="S271" s="13" t="str">
        <f t="shared" si="382"/>
        <v xml:space="preserve">+7 (903) 567-89-01</v>
      </c>
      <c r="T271" s="13" t="str">
        <f t="shared" si="383"/>
        <v>kunitsyna@yandex</v>
      </c>
      <c r="U271" s="18" t="str">
        <f t="shared" si="384"/>
        <v xml:space="preserve">Ошибка Email</v>
      </c>
      <c r="V271" s="13" t="str">
        <f>IFERROR(VLOOKUP(K271,Справочники!$K$6:$L$13,2,0),K271)</f>
        <v>Элиста</v>
      </c>
    </row>
    <row r="272" ht="15" customHeight="1">
      <c r="A272" s="10">
        <v>270</v>
      </c>
      <c r="B272" s="11" t="str">
        <f>RAW_Клиенты!A271</f>
        <v>C0270</v>
      </c>
      <c r="C272" s="11" t="str">
        <f>RAW_Клиенты!B271</f>
        <v xml:space="preserve">Кондратьев Михаил Олегович</v>
      </c>
      <c r="D272" s="11" t="str">
        <f>RAW_Клиенты!C271</f>
        <v>27.08.1990</v>
      </c>
      <c r="E272" s="11" t="str">
        <f>RAW_Клиенты!D271</f>
        <v xml:space="preserve">8 903 678 90 12</v>
      </c>
      <c r="F272" s="11" t="str">
        <f>RAW_Клиенты!E271</f>
        <v>kondratiev@gmail</v>
      </c>
      <c r="G272" s="11" t="str">
        <f>RAW_Клиенты!F271</f>
        <v>Орск</v>
      </c>
      <c r="H272" s="11" t="str">
        <f>RAW_Клиенты!G271</f>
        <v>10.06.2029</v>
      </c>
      <c r="I272" s="12" t="str">
        <f t="shared" si="372"/>
        <v>89036789012</v>
      </c>
      <c r="J272" s="12" t="str">
        <f t="shared" si="373"/>
        <v>kondratiev@gmail</v>
      </c>
      <c r="K272" s="12" t="str">
        <f t="shared" si="374"/>
        <v>Орск</v>
      </c>
      <c r="L272" s="13" t="str">
        <f t="shared" si="375"/>
        <v>C0270</v>
      </c>
      <c r="M272" s="13" t="str">
        <f t="shared" si="376"/>
        <v xml:space="preserve">Кондратьев Михаил Олегович</v>
      </c>
      <c r="N272" s="13" t="str">
        <f t="shared" si="377"/>
        <v>OK</v>
      </c>
      <c r="O272" s="19">
        <f t="shared" si="378"/>
        <v>33112</v>
      </c>
      <c r="P272" s="19">
        <f t="shared" si="379"/>
        <v>47279</v>
      </c>
      <c r="Q272" s="13">
        <f t="shared" ca="1" si="380"/>
        <v>36</v>
      </c>
      <c r="R272" s="13" t="str">
        <f t="shared" si="381"/>
        <v>OK</v>
      </c>
      <c r="S272" s="13" t="str">
        <f t="shared" si="382"/>
        <v xml:space="preserve">+7 (903) 678-90-12</v>
      </c>
      <c r="T272" s="13" t="str">
        <f t="shared" si="383"/>
        <v>kondratiev@gmail</v>
      </c>
      <c r="U272" s="18" t="str">
        <f t="shared" si="384"/>
        <v xml:space="preserve">Ошибка Email</v>
      </c>
      <c r="V272" s="13" t="str">
        <f>IFERROR(VLOOKUP(K272,Справочники!$K$6:$L$13,2,0),K272)</f>
        <v>Орск</v>
      </c>
    </row>
    <row r="273" ht="15" customHeight="1">
      <c r="A273" s="10">
        <v>271</v>
      </c>
      <c r="B273" s="11" t="str">
        <f>RAW_Клиенты!A272</f>
        <v>C0271</v>
      </c>
      <c r="C273" s="11" t="str">
        <f>RAW_Клиенты!B272</f>
        <v xml:space="preserve">Горшкова Инна Сергеевна</v>
      </c>
      <c r="D273" s="11" t="str">
        <f>RAW_Клиенты!C272</f>
        <v>06.06.1978</v>
      </c>
      <c r="E273" s="11" t="str">
        <f>RAW_Клиенты!D272</f>
        <v>+79036789012</v>
      </c>
      <c r="F273" s="11" t="str">
        <f>RAW_Клиенты!E272</f>
        <v>gorshkova@mail</v>
      </c>
      <c r="G273" s="11" t="str">
        <f>RAW_Клиенты!F272</f>
        <v>Нижневартовск</v>
      </c>
      <c r="H273" s="11" t="str">
        <f>RAW_Клиенты!G272</f>
        <v>01.07.2029</v>
      </c>
      <c r="I273" s="12" t="str">
        <f t="shared" si="372"/>
        <v>79036789012</v>
      </c>
      <c r="J273" s="12" t="str">
        <f t="shared" si="373"/>
        <v>gorshkova@mail</v>
      </c>
      <c r="K273" s="12" t="str">
        <f t="shared" si="374"/>
        <v>Нижневартовск</v>
      </c>
      <c r="L273" s="13" t="str">
        <f t="shared" si="375"/>
        <v>C0271</v>
      </c>
      <c r="M273" s="13" t="str">
        <f t="shared" si="376"/>
        <v xml:space="preserve">Горшкова Инна Сергеевна</v>
      </c>
      <c r="N273" s="13" t="str">
        <f t="shared" si="377"/>
        <v>OK</v>
      </c>
      <c r="O273" s="19">
        <f t="shared" si="378"/>
        <v>28647</v>
      </c>
      <c r="P273" s="19">
        <f t="shared" si="379"/>
        <v>47300</v>
      </c>
      <c r="Q273" s="13">
        <f t="shared" ca="1" si="380"/>
        <v>48</v>
      </c>
      <c r="R273" s="13" t="str">
        <f t="shared" si="381"/>
        <v>OK</v>
      </c>
      <c r="S273" s="13" t="str">
        <f t="shared" si="382"/>
        <v xml:space="preserve">+7 (903) 678-90-12</v>
      </c>
      <c r="T273" s="13" t="str">
        <f t="shared" si="383"/>
        <v>gorshkova@mail</v>
      </c>
      <c r="U273" s="18" t="str">
        <f t="shared" si="384"/>
        <v xml:space="preserve">Ошибка Email</v>
      </c>
      <c r="V273" s="13" t="str">
        <f>IFERROR(VLOOKUP(K273,Справочники!$K$6:$L$13,2,0),K273)</f>
        <v>Нижневартовск</v>
      </c>
    </row>
    <row r="274" ht="15" customHeight="1">
      <c r="A274" s="10">
        <v>272</v>
      </c>
      <c r="B274" s="11" t="str">
        <f>RAW_Клиенты!A273</f>
        <v>C0272</v>
      </c>
      <c r="C274" s="11" t="str">
        <f>RAW_Клиенты!B273</f>
        <v xml:space="preserve">Якушев Андрей Николаевич</v>
      </c>
      <c r="D274" s="11" t="str">
        <f>RAW_Клиенты!C273</f>
        <v>18.11.1985</v>
      </c>
      <c r="E274" s="11" t="str">
        <f>RAW_Клиенты!D273</f>
        <v>8-903-678-90-12</v>
      </c>
      <c r="F274" s="11" t="str">
        <f>RAW_Клиенты!E273</f>
        <v>yakushev@yandex</v>
      </c>
      <c r="G274" s="11" t="str">
        <f>RAW_Клиенты!F273</f>
        <v>Новороссийск</v>
      </c>
      <c r="H274" s="11" t="str">
        <f>RAW_Клиенты!G273</f>
        <v>2029-07-15</v>
      </c>
      <c r="I274" s="12" t="str">
        <f t="shared" si="372"/>
        <v>89036789012</v>
      </c>
      <c r="J274" s="12" t="str">
        <f t="shared" si="373"/>
        <v>yakushev@yandex</v>
      </c>
      <c r="K274" s="12" t="str">
        <f t="shared" si="374"/>
        <v>Новороссийск</v>
      </c>
      <c r="L274" s="13" t="str">
        <f t="shared" si="375"/>
        <v>C0272</v>
      </c>
      <c r="M274" s="13" t="str">
        <f t="shared" si="376"/>
        <v xml:space="preserve">Якушев Андрей Николаевич</v>
      </c>
      <c r="N274" s="13" t="str">
        <f t="shared" si="377"/>
        <v>OK</v>
      </c>
      <c r="O274" s="19">
        <f t="shared" si="378"/>
        <v>31369</v>
      </c>
      <c r="P274" s="19">
        <f t="shared" si="379"/>
        <v>47314</v>
      </c>
      <c r="Q274" s="13">
        <f t="shared" ca="1" si="380"/>
        <v>40</v>
      </c>
      <c r="R274" s="13" t="str">
        <f t="shared" si="381"/>
        <v>OK</v>
      </c>
      <c r="S274" s="13" t="str">
        <f t="shared" si="382"/>
        <v xml:space="preserve">+7 (903) 678-90-12</v>
      </c>
      <c r="T274" s="13" t="str">
        <f t="shared" si="383"/>
        <v>yakushev@yandex</v>
      </c>
      <c r="U274" s="18" t="str">
        <f t="shared" si="384"/>
        <v xml:space="preserve">Ошибка Email</v>
      </c>
      <c r="V274" s="13" t="str">
        <f>IFERROR(VLOOKUP(K274,Справочники!$K$6:$L$13,2,0),K274)</f>
        <v>Новороссийск</v>
      </c>
    </row>
    <row r="275" ht="15" customHeight="1">
      <c r="A275" s="10">
        <v>273</v>
      </c>
      <c r="B275" s="11" t="str">
        <f>RAW_Клиенты!A274</f>
        <v>C0273</v>
      </c>
      <c r="C275" s="11" t="str">
        <f>RAW_Клиенты!B274</f>
        <v xml:space="preserve">Ермилова Ольга Викторовна</v>
      </c>
      <c r="D275" s="11" t="str">
        <f>RAW_Клиенты!C274</f>
        <v>29.09.1980</v>
      </c>
      <c r="E275" s="11" t="str">
        <f>RAW_Клиенты!D274</f>
        <v xml:space="preserve">8 903 789 01 23</v>
      </c>
      <c r="F275" s="11" t="str">
        <f>RAW_Клиенты!E274</f>
        <v>ermilova@gmail</v>
      </c>
      <c r="G275" s="11" t="str">
        <f>RAW_Клиенты!F274</f>
        <v>Химки</v>
      </c>
      <c r="H275" s="11" t="str">
        <f>RAW_Клиенты!G274</f>
        <v>15.07.2029</v>
      </c>
      <c r="I275" s="12" t="str">
        <f t="shared" si="372"/>
        <v>89037890123</v>
      </c>
      <c r="J275" s="12" t="str">
        <f t="shared" si="373"/>
        <v>ermilova@gmail</v>
      </c>
      <c r="K275" s="12" t="str">
        <f t="shared" si="374"/>
        <v>Химки</v>
      </c>
      <c r="L275" s="13" t="str">
        <f t="shared" si="375"/>
        <v>C0273</v>
      </c>
      <c r="M275" s="13" t="str">
        <f t="shared" si="376"/>
        <v xml:space="preserve">Ермилова Ольга Викторовна</v>
      </c>
      <c r="N275" s="13" t="str">
        <f t="shared" si="377"/>
        <v>OK</v>
      </c>
      <c r="O275" s="19">
        <f t="shared" si="378"/>
        <v>29493</v>
      </c>
      <c r="P275" s="19">
        <f t="shared" si="379"/>
        <v>47314</v>
      </c>
      <c r="Q275" s="13">
        <f t="shared" ca="1" si="380"/>
        <v>45</v>
      </c>
      <c r="R275" s="13" t="str">
        <f t="shared" si="381"/>
        <v>OK</v>
      </c>
      <c r="S275" s="13" t="str">
        <f t="shared" si="382"/>
        <v xml:space="preserve">+7 (903) 789-01-23</v>
      </c>
      <c r="T275" s="13" t="str">
        <f t="shared" si="383"/>
        <v>ermilova@gmail</v>
      </c>
      <c r="U275" s="18" t="str">
        <f t="shared" si="384"/>
        <v xml:space="preserve">Ошибка Email</v>
      </c>
      <c r="V275" s="13" t="str">
        <f>IFERROR(VLOOKUP(K275,Справочники!$K$6:$L$13,2,0),K275)</f>
        <v>Химки</v>
      </c>
    </row>
    <row r="276" ht="15" customHeight="1">
      <c r="A276" s="10">
        <v>274</v>
      </c>
      <c r="B276" s="11" t="str">
        <f>RAW_Клиенты!A275</f>
        <v>C0274</v>
      </c>
      <c r="C276" s="11" t="str">
        <f>RAW_Клиенты!B275</f>
        <v xml:space="preserve">Шестопалов Евгений Сергеевич</v>
      </c>
      <c r="D276" s="11" t="str">
        <f>RAW_Клиенты!C275</f>
        <v>12.04.1974</v>
      </c>
      <c r="E276" s="11" t="str">
        <f>RAW_Клиенты!D275</f>
        <v>+79037890123</v>
      </c>
      <c r="F276" s="11" t="str">
        <f>RAW_Клиенты!E275</f>
        <v>shestopalov@mail</v>
      </c>
      <c r="G276" s="11" t="str">
        <f>RAW_Клиенты!F275</f>
        <v>Подольск</v>
      </c>
      <c r="H276" s="11" t="str">
        <f>RAW_Клиенты!G275</f>
        <v>01.08.2029</v>
      </c>
      <c r="I276" s="12" t="str">
        <f t="shared" si="372"/>
        <v>79037890123</v>
      </c>
      <c r="J276" s="12" t="str">
        <f t="shared" si="373"/>
        <v>shestopalov@mail</v>
      </c>
      <c r="K276" s="12" t="str">
        <f t="shared" si="374"/>
        <v>Подольск</v>
      </c>
      <c r="L276" s="13" t="str">
        <f t="shared" si="375"/>
        <v>C0274</v>
      </c>
      <c r="M276" s="13" t="str">
        <f t="shared" si="376"/>
        <v xml:space="preserve">Шестопалов Евгений Сергеевич</v>
      </c>
      <c r="N276" s="13" t="str">
        <f t="shared" si="377"/>
        <v>OK</v>
      </c>
      <c r="O276" s="19">
        <f t="shared" si="378"/>
        <v>27131</v>
      </c>
      <c r="P276" s="19">
        <f t="shared" si="379"/>
        <v>47331</v>
      </c>
      <c r="Q276" s="13">
        <f t="shared" ca="1" si="380"/>
        <v>52</v>
      </c>
      <c r="R276" s="13" t="str">
        <f t="shared" si="381"/>
        <v>OK</v>
      </c>
      <c r="S276" s="13" t="str">
        <f t="shared" si="382"/>
        <v xml:space="preserve">+7 (903) 789-01-23</v>
      </c>
      <c r="T276" s="13" t="str">
        <f t="shared" si="383"/>
        <v>shestopalov@mail</v>
      </c>
      <c r="U276" s="18" t="str">
        <f t="shared" si="384"/>
        <v xml:space="preserve">Ошибка Email</v>
      </c>
      <c r="V276" s="13" t="str">
        <f>IFERROR(VLOOKUP(K276,Справочники!$K$6:$L$13,2,0),K276)</f>
        <v>Подольск</v>
      </c>
    </row>
    <row r="277" ht="15" customHeight="1">
      <c r="A277" s="10">
        <v>275</v>
      </c>
      <c r="B277" s="11" t="str">
        <f>RAW_Клиенты!A276</f>
        <v>C0275</v>
      </c>
      <c r="C277" s="11" t="str">
        <f>RAW_Клиенты!B276</f>
        <v xml:space="preserve">Ванюшина Мария Игоревна</v>
      </c>
      <c r="D277" s="11" t="str">
        <f>RAW_Клиенты!C276</f>
        <v>05.02.1989</v>
      </c>
      <c r="E277" s="11" t="str">
        <f>RAW_Клиенты!D276</f>
        <v>8-903-789-01-23</v>
      </c>
      <c r="F277" s="11" t="str">
        <f>RAW_Клиенты!E276</f>
        <v>vanyushina@yandex</v>
      </c>
      <c r="G277" s="11" t="str">
        <f>RAW_Клиенты!F276</f>
        <v>Балашиха</v>
      </c>
      <c r="H277" s="11" t="str">
        <f>RAW_Клиенты!G276</f>
        <v>2029-08-10</v>
      </c>
      <c r="I277" s="12" t="str">
        <f t="shared" si="372"/>
        <v>89037890123</v>
      </c>
      <c r="J277" s="12" t="str">
        <f t="shared" si="373"/>
        <v>vanyushina@yandex</v>
      </c>
      <c r="K277" s="12" t="str">
        <f t="shared" si="374"/>
        <v>Балашиха</v>
      </c>
      <c r="L277" s="13" t="str">
        <f t="shared" si="375"/>
        <v>C0275</v>
      </c>
      <c r="M277" s="13" t="str">
        <f t="shared" si="376"/>
        <v xml:space="preserve">Ванюшина Мария Игоревна</v>
      </c>
      <c r="N277" s="13" t="str">
        <f t="shared" si="377"/>
        <v>OK</v>
      </c>
      <c r="O277" s="19">
        <f t="shared" si="378"/>
        <v>32544</v>
      </c>
      <c r="P277" s="19">
        <f t="shared" si="379"/>
        <v>47340</v>
      </c>
      <c r="Q277" s="13">
        <f t="shared" ca="1" si="380"/>
        <v>37</v>
      </c>
      <c r="R277" s="13" t="str">
        <f t="shared" si="381"/>
        <v>OK</v>
      </c>
      <c r="S277" s="13" t="str">
        <f t="shared" si="382"/>
        <v xml:space="preserve">+7 (903) 789-01-23</v>
      </c>
      <c r="T277" s="13" t="str">
        <f t="shared" si="383"/>
        <v>vanyushina@yandex</v>
      </c>
      <c r="U277" s="18" t="str">
        <f t="shared" si="384"/>
        <v xml:space="preserve">Ошибка Email</v>
      </c>
      <c r="V277" s="13" t="str">
        <f>IFERROR(VLOOKUP(K277,Справочники!$K$6:$L$13,2,0),K277)</f>
        <v>Балашиха</v>
      </c>
    </row>
    <row r="278" ht="15" customHeight="1">
      <c r="A278" s="10">
        <v>276</v>
      </c>
      <c r="B278" s="11" t="str">
        <f>RAW_Клиенты!A277</f>
        <v>C0276</v>
      </c>
      <c r="C278" s="11" t="str">
        <f>RAW_Клиенты!B277</f>
        <v xml:space="preserve">Краснов Денис Александрович</v>
      </c>
      <c r="D278" s="11" t="str">
        <f>RAW_Клиенты!C277</f>
        <v>26.07.1994</v>
      </c>
      <c r="E278" s="11" t="str">
        <f>RAW_Клиенты!D277</f>
        <v xml:space="preserve">8 903 890 12 34</v>
      </c>
      <c r="F278" s="11" t="str">
        <f>RAW_Клиенты!E277</f>
        <v>krasnov@gmail</v>
      </c>
      <c r="G278" s="11" t="str">
        <f>RAW_Клиенты!F277</f>
        <v>Сургут</v>
      </c>
      <c r="H278" s="11" t="str">
        <f>RAW_Клиенты!G277</f>
        <v>10.08.2029</v>
      </c>
      <c r="I278" s="12" t="str">
        <f t="shared" si="372"/>
        <v>89038901234</v>
      </c>
      <c r="J278" s="12" t="str">
        <f t="shared" si="373"/>
        <v>krasnov@gmail</v>
      </c>
      <c r="K278" s="12" t="str">
        <f t="shared" si="374"/>
        <v>Сургут</v>
      </c>
      <c r="L278" s="13" t="str">
        <f t="shared" si="375"/>
        <v>C0276</v>
      </c>
      <c r="M278" s="13" t="str">
        <f t="shared" si="376"/>
        <v xml:space="preserve">Краснов Денис Александрович</v>
      </c>
      <c r="N278" s="13" t="str">
        <f t="shared" si="377"/>
        <v>OK</v>
      </c>
      <c r="O278" s="19">
        <f t="shared" si="378"/>
        <v>34541</v>
      </c>
      <c r="P278" s="19">
        <f t="shared" si="379"/>
        <v>47340</v>
      </c>
      <c r="Q278" s="13">
        <f t="shared" ca="1" si="380"/>
        <v>32</v>
      </c>
      <c r="R278" s="13" t="str">
        <f t="shared" si="381"/>
        <v>OK</v>
      </c>
      <c r="S278" s="13" t="str">
        <f t="shared" si="382"/>
        <v xml:space="preserve">+7 (903) 890-12-34</v>
      </c>
      <c r="T278" s="13" t="str">
        <f t="shared" si="383"/>
        <v>krasnov@gmail</v>
      </c>
      <c r="U278" s="18" t="str">
        <f t="shared" si="384"/>
        <v xml:space="preserve">Ошибка Email</v>
      </c>
      <c r="V278" s="13" t="str">
        <f>IFERROR(VLOOKUP(K278,Справочники!$K$6:$L$13,2,0),K278)</f>
        <v>Сургут</v>
      </c>
    </row>
    <row r="279" ht="15" customHeight="1">
      <c r="A279" s="10">
        <v>277</v>
      </c>
      <c r="B279" s="11" t="str">
        <f>RAW_Клиенты!A278</f>
        <v>C0277</v>
      </c>
      <c r="C279" s="11" t="str">
        <f>RAW_Клиенты!B278</f>
        <v xml:space="preserve">Мухина Татьяна Павловна</v>
      </c>
      <c r="D279" s="11" t="str">
        <f>RAW_Клиенты!C278</f>
        <v>15.10.1975</v>
      </c>
      <c r="E279" s="11" t="str">
        <f>RAW_Клиенты!D278</f>
        <v>+79038901234</v>
      </c>
      <c r="F279" s="11" t="str">
        <f>RAW_Клиенты!E278</f>
        <v>muhina@mail</v>
      </c>
      <c r="G279" s="11" t="str">
        <f>RAW_Клиенты!F278</f>
        <v>Армавир</v>
      </c>
      <c r="H279" s="11" t="str">
        <f>RAW_Клиенты!G278</f>
        <v>01.09.2029</v>
      </c>
      <c r="I279" s="12" t="str">
        <f t="shared" si="372"/>
        <v>79038901234</v>
      </c>
      <c r="J279" s="12" t="str">
        <f t="shared" si="373"/>
        <v>muhina@mail</v>
      </c>
      <c r="K279" s="12" t="str">
        <f t="shared" si="374"/>
        <v>Армавир</v>
      </c>
      <c r="L279" s="13" t="str">
        <f t="shared" si="375"/>
        <v>C0277</v>
      </c>
      <c r="M279" s="13" t="str">
        <f t="shared" si="376"/>
        <v xml:space="preserve">Мухина Татьяна Павловна</v>
      </c>
      <c r="N279" s="13" t="str">
        <f t="shared" si="377"/>
        <v>OK</v>
      </c>
      <c r="O279" s="19">
        <f t="shared" si="378"/>
        <v>27682</v>
      </c>
      <c r="P279" s="19">
        <f t="shared" si="379"/>
        <v>47362</v>
      </c>
      <c r="Q279" s="13">
        <f t="shared" ca="1" si="380"/>
        <v>50</v>
      </c>
      <c r="R279" s="13" t="str">
        <f t="shared" si="381"/>
        <v>OK</v>
      </c>
      <c r="S279" s="13" t="str">
        <f t="shared" si="382"/>
        <v xml:space="preserve">+7 (903) 890-12-34</v>
      </c>
      <c r="T279" s="13" t="str">
        <f t="shared" si="383"/>
        <v>muhina@mail</v>
      </c>
      <c r="U279" s="18" t="str">
        <f t="shared" si="384"/>
        <v xml:space="preserve">Ошибка Email</v>
      </c>
      <c r="V279" s="13" t="str">
        <f>IFERROR(VLOOKUP(K279,Справочники!$K$6:$L$13,2,0),K279)</f>
        <v>Армавир</v>
      </c>
    </row>
    <row r="280" ht="15" customHeight="1">
      <c r="A280" s="10">
        <v>278</v>
      </c>
      <c r="B280" s="11" t="str">
        <f>RAW_Клиенты!A279</f>
        <v>C0278</v>
      </c>
      <c r="C280" s="11" t="str">
        <f>RAW_Клиенты!B279</f>
        <v xml:space="preserve">Вакуленко Андрей Олегович</v>
      </c>
      <c r="D280" s="11" t="str">
        <f>RAW_Клиенты!C279</f>
        <v>19.12.1983</v>
      </c>
      <c r="E280" s="11" t="str">
        <f>RAW_Клиенты!D279</f>
        <v>8-903-890-12-34</v>
      </c>
      <c r="F280" s="11" t="str">
        <f>RAW_Клиенты!E279</f>
        <v>vakulenko@yandex</v>
      </c>
      <c r="G280" s="11" t="str">
        <f>RAW_Клиенты!F279</f>
        <v>Волжский</v>
      </c>
      <c r="H280" s="11" t="str">
        <f>RAW_Клиенты!G279</f>
        <v>2029-09-15</v>
      </c>
      <c r="I280" s="12" t="str">
        <f t="shared" si="372"/>
        <v>89038901234</v>
      </c>
      <c r="J280" s="12" t="str">
        <f t="shared" si="373"/>
        <v>vakulenko@yandex</v>
      </c>
      <c r="K280" s="12" t="str">
        <f t="shared" si="374"/>
        <v>Волжский</v>
      </c>
      <c r="L280" s="13" t="str">
        <f t="shared" si="375"/>
        <v>C0278</v>
      </c>
      <c r="M280" s="13" t="str">
        <f t="shared" si="376"/>
        <v xml:space="preserve">Вакуленко Андрей Олегович</v>
      </c>
      <c r="N280" s="13" t="str">
        <f t="shared" si="377"/>
        <v>OK</v>
      </c>
      <c r="O280" s="19">
        <f t="shared" si="378"/>
        <v>30669</v>
      </c>
      <c r="P280" s="19">
        <f t="shared" si="379"/>
        <v>47376</v>
      </c>
      <c r="Q280" s="13">
        <f t="shared" ca="1" si="380"/>
        <v>42</v>
      </c>
      <c r="R280" s="13" t="str">
        <f t="shared" si="381"/>
        <v>OK</v>
      </c>
      <c r="S280" s="13" t="str">
        <f t="shared" si="382"/>
        <v xml:space="preserve">+7 (903) 890-12-34</v>
      </c>
      <c r="T280" s="13" t="str">
        <f t="shared" si="383"/>
        <v>vakulenko@yandex</v>
      </c>
      <c r="U280" s="18" t="str">
        <f t="shared" si="384"/>
        <v xml:space="preserve">Ошибка Email</v>
      </c>
      <c r="V280" s="13" t="str">
        <f>IFERROR(VLOOKUP(K280,Справочники!$K$6:$L$13,2,0),K280)</f>
        <v>Волжский</v>
      </c>
    </row>
    <row r="281" ht="15" customHeight="1">
      <c r="A281" s="10">
        <v>279</v>
      </c>
      <c r="B281" s="11" t="str">
        <f>RAW_Клиенты!A280</f>
        <v>C0279</v>
      </c>
      <c r="C281" s="11" t="str">
        <f>RAW_Клиенты!B280</f>
        <v xml:space="preserve">Терехова Светлана Николаевна</v>
      </c>
      <c r="D281" s="11" t="str">
        <f>RAW_Клиенты!C280</f>
        <v>03.06.1991</v>
      </c>
      <c r="E281" s="11" t="str">
        <f>RAW_Клиенты!D280</f>
        <v xml:space="preserve">8 903 901 23 45</v>
      </c>
      <c r="F281" s="11" t="str">
        <f>RAW_Клиенты!E280</f>
        <v>terehova@gmail</v>
      </c>
      <c r="G281" s="11" t="str">
        <f>RAW_Клиенты!F280</f>
        <v>Шахты</v>
      </c>
      <c r="H281" s="11" t="str">
        <f>RAW_Клиенты!G280</f>
        <v>15.09.2029</v>
      </c>
      <c r="I281" s="12" t="str">
        <f t="shared" si="372"/>
        <v>89039012345</v>
      </c>
      <c r="J281" s="12" t="str">
        <f t="shared" si="373"/>
        <v>terehova@gmail</v>
      </c>
      <c r="K281" s="12" t="str">
        <f t="shared" si="374"/>
        <v>Шахты</v>
      </c>
      <c r="L281" s="13" t="str">
        <f t="shared" si="375"/>
        <v>C0279</v>
      </c>
      <c r="M281" s="13" t="str">
        <f t="shared" si="376"/>
        <v xml:space="preserve">Терехова Светлана Николаевна</v>
      </c>
      <c r="N281" s="13" t="str">
        <f t="shared" si="377"/>
        <v>OK</v>
      </c>
      <c r="O281" s="19">
        <f t="shared" si="378"/>
        <v>33392</v>
      </c>
      <c r="P281" s="19">
        <f t="shared" si="379"/>
        <v>47376</v>
      </c>
      <c r="Q281" s="13">
        <f t="shared" ca="1" si="380"/>
        <v>35</v>
      </c>
      <c r="R281" s="13" t="str">
        <f t="shared" si="381"/>
        <v>OK</v>
      </c>
      <c r="S281" s="13" t="str">
        <f t="shared" si="382"/>
        <v xml:space="preserve">+7 (903) 901-23-45</v>
      </c>
      <c r="T281" s="13" t="str">
        <f t="shared" si="383"/>
        <v>terehova@gmail</v>
      </c>
      <c r="U281" s="18" t="str">
        <f t="shared" si="384"/>
        <v xml:space="preserve">Ошибка Email</v>
      </c>
      <c r="V281" s="13" t="str">
        <f>IFERROR(VLOOKUP(K281,Справочники!$K$6:$L$13,2,0),K281)</f>
        <v>Шахты</v>
      </c>
    </row>
    <row r="282" ht="15" customHeight="1">
      <c r="A282" s="10">
        <v>280</v>
      </c>
      <c r="B282" s="11" t="str">
        <f>RAW_Клиенты!A281</f>
        <v>C0280</v>
      </c>
      <c r="C282" s="11" t="str">
        <f>RAW_Клиенты!B281</f>
        <v xml:space="preserve">Бобков Илья Алексеевич</v>
      </c>
      <c r="D282" s="11" t="str">
        <f>RAW_Клиенты!C281</f>
        <v>22.08.1972</v>
      </c>
      <c r="E282" s="11" t="str">
        <f>RAW_Клиенты!D281</f>
        <v>+79039012345</v>
      </c>
      <c r="F282" s="11" t="str">
        <f>RAW_Клиенты!E281</f>
        <v>bobkov@mail</v>
      </c>
      <c r="G282" s="11" t="str">
        <f>RAW_Клиенты!F281</f>
        <v>Златоуст</v>
      </c>
      <c r="H282" s="11" t="str">
        <f>RAW_Клиенты!G281</f>
        <v>01.10.2029</v>
      </c>
      <c r="I282" s="12" t="str">
        <f t="shared" si="372"/>
        <v>79039012345</v>
      </c>
      <c r="J282" s="12" t="str">
        <f t="shared" si="373"/>
        <v>bobkov@mail</v>
      </c>
      <c r="K282" s="12" t="str">
        <f t="shared" si="374"/>
        <v>Златоуст</v>
      </c>
      <c r="L282" s="13" t="str">
        <f t="shared" si="375"/>
        <v>C0280</v>
      </c>
      <c r="M282" s="13" t="str">
        <f t="shared" si="376"/>
        <v xml:space="preserve">Бобков Илья Алексеевич</v>
      </c>
      <c r="N282" s="13" t="str">
        <f t="shared" si="377"/>
        <v>OK</v>
      </c>
      <c r="O282" s="19">
        <f t="shared" si="378"/>
        <v>26533</v>
      </c>
      <c r="P282" s="19">
        <f t="shared" si="379"/>
        <v>47392</v>
      </c>
      <c r="Q282" s="13">
        <f t="shared" ca="1" si="380"/>
        <v>54</v>
      </c>
      <c r="R282" s="13" t="str">
        <f t="shared" si="381"/>
        <v>OK</v>
      </c>
      <c r="S282" s="13" t="str">
        <f t="shared" si="382"/>
        <v xml:space="preserve">+7 (903) 901-23-45</v>
      </c>
      <c r="T282" s="13" t="str">
        <f t="shared" si="383"/>
        <v>bobkov@mail</v>
      </c>
      <c r="U282" s="18" t="str">
        <f t="shared" si="384"/>
        <v xml:space="preserve">Ошибка Email</v>
      </c>
      <c r="V282" s="13" t="str">
        <f>IFERROR(VLOOKUP(K282,Справочники!$K$6:$L$13,2,0),K282)</f>
        <v>Златоуст</v>
      </c>
    </row>
    <row r="283" ht="15" customHeight="1">
      <c r="A283" s="10">
        <v>281</v>
      </c>
      <c r="B283" s="11" t="str">
        <f>RAW_Клиенты!A282</f>
        <v>C0281</v>
      </c>
      <c r="C283" s="11" t="str">
        <f>RAW_Клиенты!B282</f>
        <v xml:space="preserve">Ильина Анна Владимировна</v>
      </c>
      <c r="D283" s="11" t="str">
        <f>RAW_Клиенты!C282</f>
        <v>10.11.1986</v>
      </c>
      <c r="E283" s="11" t="str">
        <f>RAW_Клиенты!D282</f>
        <v>8-903-901-23-45</v>
      </c>
      <c r="F283" s="11" t="str">
        <f>RAW_Клиенты!E282</f>
        <v>ilina@yandex</v>
      </c>
      <c r="G283" s="11" t="str">
        <f>RAW_Клиенты!F282</f>
        <v>Ангарск</v>
      </c>
      <c r="H283" s="11" t="str">
        <f>RAW_Клиенты!G282</f>
        <v>2029-10-10</v>
      </c>
      <c r="I283" s="12" t="str">
        <f t="shared" si="372"/>
        <v>89039012345</v>
      </c>
      <c r="J283" s="12" t="str">
        <f t="shared" si="373"/>
        <v>ilina@yandex</v>
      </c>
      <c r="K283" s="12" t="str">
        <f t="shared" si="374"/>
        <v>Ангарск</v>
      </c>
      <c r="L283" s="13" t="str">
        <f t="shared" si="375"/>
        <v>C0281</v>
      </c>
      <c r="M283" s="13" t="str">
        <f t="shared" si="376"/>
        <v xml:space="preserve">Ильина Анна Владимировна</v>
      </c>
      <c r="N283" s="13" t="str">
        <f t="shared" si="377"/>
        <v>OK</v>
      </c>
      <c r="O283" s="19">
        <f t="shared" si="378"/>
        <v>31726</v>
      </c>
      <c r="P283" s="19">
        <f t="shared" si="379"/>
        <v>47401</v>
      </c>
      <c r="Q283" s="13">
        <f t="shared" ca="1" si="380"/>
        <v>39</v>
      </c>
      <c r="R283" s="13" t="str">
        <f t="shared" si="381"/>
        <v>OK</v>
      </c>
      <c r="S283" s="13" t="str">
        <f t="shared" si="382"/>
        <v xml:space="preserve">+7 (903) 901-23-45</v>
      </c>
      <c r="T283" s="13" t="str">
        <f t="shared" si="383"/>
        <v>ilina@yandex</v>
      </c>
      <c r="U283" s="18" t="str">
        <f t="shared" si="384"/>
        <v xml:space="preserve">Ошибка Email</v>
      </c>
      <c r="V283" s="13" t="str">
        <f>IFERROR(VLOOKUP(K283,Справочники!$K$6:$L$13,2,0),K283)</f>
        <v>Ангарск</v>
      </c>
    </row>
    <row r="284" ht="15" customHeight="1">
      <c r="A284" s="10">
        <v>282</v>
      </c>
      <c r="B284" s="11" t="str">
        <f>RAW_Клиенты!A283</f>
        <v>C0282</v>
      </c>
      <c r="C284" s="11" t="str">
        <f>RAW_Клиенты!B283</f>
        <v xml:space="preserve">Силин Олег Валериевич</v>
      </c>
      <c r="D284" s="11" t="str">
        <f>RAW_Клиенты!C283</f>
        <v>28.03.1982</v>
      </c>
      <c r="E284" s="11" t="str">
        <f>RAW_Клиенты!D283</f>
        <v xml:space="preserve">8 903 012 34 56</v>
      </c>
      <c r="F284" s="11" t="str">
        <f>RAW_Клиенты!E283</f>
        <v>silin@gmail</v>
      </c>
      <c r="G284" s="11" t="str">
        <f>RAW_Клиенты!F283</f>
        <v>Озёрск</v>
      </c>
      <c r="H284" s="11" t="str">
        <f>RAW_Клиенты!G283</f>
        <v>10.10.2029</v>
      </c>
      <c r="I284" s="12" t="str">
        <f t="shared" si="372"/>
        <v>89030123456</v>
      </c>
      <c r="J284" s="12" t="str">
        <f t="shared" si="373"/>
        <v>silin@gmail</v>
      </c>
      <c r="K284" s="12" t="str">
        <f t="shared" si="374"/>
        <v>Озёрск</v>
      </c>
      <c r="L284" s="13" t="str">
        <f t="shared" si="375"/>
        <v>C0282</v>
      </c>
      <c r="M284" s="13" t="str">
        <f t="shared" si="376"/>
        <v xml:space="preserve">Силин Олег Валериевич</v>
      </c>
      <c r="N284" s="13" t="str">
        <f t="shared" si="377"/>
        <v>OK</v>
      </c>
      <c r="O284" s="19">
        <f t="shared" si="378"/>
        <v>30038</v>
      </c>
      <c r="P284" s="19">
        <f t="shared" si="379"/>
        <v>47401</v>
      </c>
      <c r="Q284" s="13">
        <f t="shared" ca="1" si="380"/>
        <v>44</v>
      </c>
      <c r="R284" s="13" t="str">
        <f t="shared" si="381"/>
        <v>OK</v>
      </c>
      <c r="S284" s="13" t="str">
        <f t="shared" si="382"/>
        <v xml:space="preserve">+7 (903) 012-34-56</v>
      </c>
      <c r="T284" s="13" t="str">
        <f t="shared" si="383"/>
        <v>silin@gmail</v>
      </c>
      <c r="U284" s="18" t="str">
        <f t="shared" si="384"/>
        <v xml:space="preserve">Ошибка Email</v>
      </c>
      <c r="V284" s="13" t="str">
        <f>IFERROR(VLOOKUP(K284,Справочники!$K$6:$L$13,2,0),K284)</f>
        <v>Озёрск</v>
      </c>
    </row>
    <row r="285" ht="15" customHeight="1">
      <c r="A285" s="10">
        <v>283</v>
      </c>
      <c r="B285" s="11" t="str">
        <f>RAW_Клиенты!A284</f>
        <v>C0283</v>
      </c>
      <c r="C285" s="11" t="str">
        <f>RAW_Клиенты!B284</f>
        <v xml:space="preserve">Лобова Екатерина Петровна</v>
      </c>
      <c r="D285" s="11" t="str">
        <f>RAW_Клиенты!C284</f>
        <v>14.07.1977</v>
      </c>
      <c r="E285" s="11" t="str">
        <f>RAW_Клиенты!D284</f>
        <v>+79030123456</v>
      </c>
      <c r="F285" s="11" t="str">
        <f>RAW_Клиенты!E284</f>
        <v>lobova@mail</v>
      </c>
      <c r="G285" s="11" t="str">
        <f>RAW_Клиенты!F284</f>
        <v>Орел</v>
      </c>
      <c r="H285" s="11" t="str">
        <f>RAW_Клиенты!G284</f>
        <v>01.11.2029</v>
      </c>
      <c r="I285" s="12" t="str">
        <f t="shared" si="372"/>
        <v>79030123456</v>
      </c>
      <c r="J285" s="12" t="str">
        <f t="shared" si="373"/>
        <v>lobova@mail</v>
      </c>
      <c r="K285" s="12" t="str">
        <f t="shared" si="374"/>
        <v>Орел</v>
      </c>
      <c r="L285" s="13" t="str">
        <f t="shared" si="375"/>
        <v>C0283</v>
      </c>
      <c r="M285" s="13" t="str">
        <f t="shared" si="376"/>
        <v xml:space="preserve">Лобова Екатерина Петровна</v>
      </c>
      <c r="N285" s="13" t="str">
        <f t="shared" si="377"/>
        <v>OK</v>
      </c>
      <c r="O285" s="19">
        <f t="shared" si="378"/>
        <v>28320</v>
      </c>
      <c r="P285" s="19">
        <f t="shared" si="379"/>
        <v>47423</v>
      </c>
      <c r="Q285" s="13">
        <f t="shared" ca="1" si="380"/>
        <v>49</v>
      </c>
      <c r="R285" s="13" t="str">
        <f t="shared" si="381"/>
        <v>OK</v>
      </c>
      <c r="S285" s="13" t="str">
        <f t="shared" si="382"/>
        <v xml:space="preserve">+7 (903) 012-34-56</v>
      </c>
      <c r="T285" s="13" t="str">
        <f t="shared" si="383"/>
        <v>lobova@mail</v>
      </c>
      <c r="U285" s="18" t="str">
        <f t="shared" si="384"/>
        <v xml:space="preserve">Ошибка Email</v>
      </c>
      <c r="V285" s="13" t="str">
        <f>IFERROR(VLOOKUP(K285,Справочники!$K$6:$L$13,2,0),K285)</f>
        <v>Орел</v>
      </c>
    </row>
    <row r="286" ht="15" customHeight="1">
      <c r="A286" s="10">
        <v>284</v>
      </c>
      <c r="B286" s="11" t="str">
        <f>RAW_Клиенты!A285</f>
        <v>C0284</v>
      </c>
      <c r="C286" s="11" t="str">
        <f>RAW_Клиенты!B285</f>
        <v xml:space="preserve">Дубровин Вячеслав Николаевич</v>
      </c>
      <c r="D286" s="11" t="str">
        <f>RAW_Клиенты!C285</f>
        <v>05.01.1984</v>
      </c>
      <c r="E286" s="11" t="str">
        <f>RAW_Клиенты!D285</f>
        <v>8-903-012-34-56</v>
      </c>
      <c r="F286" s="11" t="str">
        <f>RAW_Клиенты!E285</f>
        <v>dubrovin@yandex</v>
      </c>
      <c r="G286" s="11" t="str">
        <f>RAW_Клиенты!F285</f>
        <v>Якутск</v>
      </c>
      <c r="H286" s="11" t="str">
        <f>RAW_Клиенты!G285</f>
        <v>2029-11-15</v>
      </c>
      <c r="I286" s="12" t="str">
        <f t="shared" si="372"/>
        <v>89030123456</v>
      </c>
      <c r="J286" s="12" t="str">
        <f t="shared" si="373"/>
        <v>dubrovin@yandex</v>
      </c>
      <c r="K286" s="12" t="str">
        <f t="shared" si="374"/>
        <v>Якутск</v>
      </c>
      <c r="L286" s="13" t="str">
        <f t="shared" si="375"/>
        <v>C0284</v>
      </c>
      <c r="M286" s="13" t="str">
        <f t="shared" si="376"/>
        <v xml:space="preserve">Дубровин Вячеслав Николаевич</v>
      </c>
      <c r="N286" s="13" t="str">
        <f t="shared" si="377"/>
        <v>OK</v>
      </c>
      <c r="O286" s="19">
        <f t="shared" si="378"/>
        <v>30686</v>
      </c>
      <c r="P286" s="19">
        <f t="shared" si="379"/>
        <v>47437</v>
      </c>
      <c r="Q286" s="13">
        <f t="shared" ca="1" si="380"/>
        <v>42</v>
      </c>
      <c r="R286" s="13" t="str">
        <f t="shared" si="381"/>
        <v>OK</v>
      </c>
      <c r="S286" s="13" t="str">
        <f t="shared" si="382"/>
        <v xml:space="preserve">+7 (903) 012-34-56</v>
      </c>
      <c r="T286" s="13" t="str">
        <f t="shared" si="383"/>
        <v>dubrovin@yandex</v>
      </c>
      <c r="U286" s="18" t="str">
        <f t="shared" si="384"/>
        <v xml:space="preserve">Ошибка Email</v>
      </c>
      <c r="V286" s="13" t="str">
        <f>IFERROR(VLOOKUP(K286,Справочники!$K$6:$L$13,2,0),K286)</f>
        <v>Якутск</v>
      </c>
    </row>
    <row r="287" ht="15" customHeight="1">
      <c r="A287" s="10">
        <v>285</v>
      </c>
      <c r="B287" s="11" t="str">
        <f>RAW_Клиенты!A286</f>
        <v>C0285</v>
      </c>
      <c r="C287" s="11" t="str">
        <f>RAW_Клиенты!B286</f>
        <v xml:space="preserve">Паршина Ольга Сергеевна</v>
      </c>
      <c r="D287" s="11" t="str">
        <f>RAW_Клиенты!C286</f>
        <v>17.09.1989</v>
      </c>
      <c r="E287" s="11" t="str">
        <f>RAW_Клиенты!D286</f>
        <v xml:space="preserve">8 903 123 45 67</v>
      </c>
      <c r="F287" s="11" t="str">
        <f>RAW_Клиенты!E286</f>
        <v>parshina@gmail</v>
      </c>
      <c r="G287" s="11" t="str">
        <f>RAW_Клиенты!F286</f>
        <v>Чебоксары</v>
      </c>
      <c r="H287" s="11" t="str">
        <f>RAW_Клиенты!G286</f>
        <v>15.11.2029</v>
      </c>
      <c r="I287" s="12" t="str">
        <f t="shared" si="372"/>
        <v>89031234567</v>
      </c>
      <c r="J287" s="12" t="str">
        <f t="shared" si="373"/>
        <v>parshina@gmail</v>
      </c>
      <c r="K287" s="12" t="str">
        <f t="shared" si="374"/>
        <v>Чебоксары</v>
      </c>
      <c r="L287" s="13" t="str">
        <f t="shared" si="375"/>
        <v>C0285</v>
      </c>
      <c r="M287" s="13" t="str">
        <f t="shared" si="376"/>
        <v xml:space="preserve">Паршина Ольга Сергеевна</v>
      </c>
      <c r="N287" s="13" t="str">
        <f t="shared" si="377"/>
        <v>OK</v>
      </c>
      <c r="O287" s="19">
        <f t="shared" si="378"/>
        <v>32768</v>
      </c>
      <c r="P287" s="19">
        <f t="shared" si="379"/>
        <v>47437</v>
      </c>
      <c r="Q287" s="13">
        <f t="shared" ca="1" si="380"/>
        <v>37</v>
      </c>
      <c r="R287" s="13" t="str">
        <f t="shared" si="381"/>
        <v>OK</v>
      </c>
      <c r="S287" s="13" t="str">
        <f t="shared" si="382"/>
        <v xml:space="preserve">+7 (903) 123-45-67</v>
      </c>
      <c r="T287" s="13" t="str">
        <f t="shared" si="383"/>
        <v>parshina@gmail</v>
      </c>
      <c r="U287" s="18" t="str">
        <f t="shared" si="384"/>
        <v xml:space="preserve">Ошибка Email</v>
      </c>
      <c r="V287" s="13" t="str">
        <f>IFERROR(VLOOKUP(K287,Справочники!$K$6:$L$13,2,0),K287)</f>
        <v>Чебоксары</v>
      </c>
    </row>
    <row r="288" ht="15" customHeight="1">
      <c r="A288" s="10">
        <v>286</v>
      </c>
      <c r="B288" s="11" t="str">
        <f>RAW_Клиенты!A287</f>
        <v>C0286</v>
      </c>
      <c r="C288" s="11" t="str">
        <f>RAW_Клиенты!B287</f>
        <v xml:space="preserve">Липатова Наталья Игоревна</v>
      </c>
      <c r="D288" s="11" t="str">
        <f>RAW_Клиенты!C287</f>
        <v>30.12.1970</v>
      </c>
      <c r="E288" s="11" t="str">
        <f>RAW_Клиенты!D287</f>
        <v>+79031234567</v>
      </c>
      <c r="F288" s="11" t="str">
        <f>RAW_Клиенты!E287</f>
        <v>lipatova@mail</v>
      </c>
      <c r="G288" s="11" t="str">
        <f>RAW_Клиенты!F287</f>
        <v>Мурманск</v>
      </c>
      <c r="H288" s="11" t="str">
        <f>RAW_Клиенты!G287</f>
        <v>01.12.2029</v>
      </c>
      <c r="I288" s="12" t="str">
        <f t="shared" si="372"/>
        <v>79031234567</v>
      </c>
      <c r="J288" s="12" t="str">
        <f t="shared" si="373"/>
        <v>lipatova@mail</v>
      </c>
      <c r="K288" s="12" t="str">
        <f t="shared" si="374"/>
        <v>Мурманск</v>
      </c>
      <c r="L288" s="13" t="str">
        <f t="shared" si="375"/>
        <v>C0286</v>
      </c>
      <c r="M288" s="13" t="str">
        <f t="shared" si="376"/>
        <v xml:space="preserve">Липатова Наталья Игоревна</v>
      </c>
      <c r="N288" s="13" t="str">
        <f t="shared" si="377"/>
        <v>OK</v>
      </c>
      <c r="O288" s="19">
        <f t="shared" si="378"/>
        <v>25932</v>
      </c>
      <c r="P288" s="19">
        <f t="shared" si="379"/>
        <v>47453</v>
      </c>
      <c r="Q288" s="13">
        <f t="shared" ca="1" si="380"/>
        <v>55</v>
      </c>
      <c r="R288" s="13" t="str">
        <f t="shared" si="381"/>
        <v>OK</v>
      </c>
      <c r="S288" s="13" t="str">
        <f t="shared" si="382"/>
        <v xml:space="preserve">+7 (903) 123-45-67</v>
      </c>
      <c r="T288" s="13" t="str">
        <f t="shared" si="383"/>
        <v>lipatova@mail</v>
      </c>
      <c r="U288" s="18" t="str">
        <f t="shared" si="384"/>
        <v xml:space="preserve">Ошибка Email</v>
      </c>
      <c r="V288" s="13" t="str">
        <f>IFERROR(VLOOKUP(K288,Справочники!$K$6:$L$13,2,0),K288)</f>
        <v>Мурманск</v>
      </c>
    </row>
    <row r="289" ht="15" customHeight="1">
      <c r="A289" s="10">
        <v>287</v>
      </c>
      <c r="B289" s="11" t="str">
        <f>RAW_Клиенты!A288</f>
        <v>C0287</v>
      </c>
      <c r="C289" s="11" t="str">
        <f>RAW_Клиенты!B288</f>
        <v xml:space="preserve">Губанов Андрей Викторович</v>
      </c>
      <c r="D289" s="11" t="str">
        <f>RAW_Клиенты!C288</f>
        <v>08.06.1987</v>
      </c>
      <c r="E289" s="11" t="str">
        <f>RAW_Клиенты!D288</f>
        <v>8-903-123-45-67</v>
      </c>
      <c r="F289" s="11" t="str">
        <f>RAW_Клиенты!E288</f>
        <v>gubanov@yandex</v>
      </c>
      <c r="G289" s="11" t="str">
        <f>RAW_Клиенты!F288</f>
        <v>Смоленск</v>
      </c>
      <c r="H289" s="11" t="str">
        <f>RAW_Клиенты!G288</f>
        <v>2029-12-10</v>
      </c>
      <c r="I289" s="12" t="str">
        <f t="shared" si="372"/>
        <v>89031234567</v>
      </c>
      <c r="J289" s="12" t="str">
        <f t="shared" si="373"/>
        <v>gubanov@yandex</v>
      </c>
      <c r="K289" s="12" t="str">
        <f t="shared" si="374"/>
        <v>Смоленск</v>
      </c>
      <c r="L289" s="13" t="str">
        <f t="shared" si="375"/>
        <v>C0287</v>
      </c>
      <c r="M289" s="13" t="str">
        <f t="shared" si="376"/>
        <v xml:space="preserve">Губанов Андрей Викторович</v>
      </c>
      <c r="N289" s="13" t="str">
        <f t="shared" si="377"/>
        <v>OK</v>
      </c>
      <c r="O289" s="19">
        <f t="shared" si="378"/>
        <v>31936</v>
      </c>
      <c r="P289" s="19">
        <f t="shared" si="379"/>
        <v>47462</v>
      </c>
      <c r="Q289" s="13">
        <f t="shared" ca="1" si="380"/>
        <v>39</v>
      </c>
      <c r="R289" s="13" t="str">
        <f t="shared" si="381"/>
        <v>OK</v>
      </c>
      <c r="S289" s="13" t="str">
        <f t="shared" si="382"/>
        <v xml:space="preserve">+7 (903) 123-45-67</v>
      </c>
      <c r="T289" s="13" t="str">
        <f t="shared" si="383"/>
        <v>gubanov@yandex</v>
      </c>
      <c r="U289" s="18" t="str">
        <f t="shared" si="384"/>
        <v xml:space="preserve">Ошибка Email</v>
      </c>
      <c r="V289" s="13" t="str">
        <f>IFERROR(VLOOKUP(K289,Справочники!$K$6:$L$13,2,0),K289)</f>
        <v>Смоленск</v>
      </c>
    </row>
    <row r="290" ht="15" customHeight="1">
      <c r="A290" s="10">
        <v>288</v>
      </c>
      <c r="B290" s="11" t="str">
        <f>RAW_Клиенты!A289</f>
        <v>C0288</v>
      </c>
      <c r="C290" s="11" t="str">
        <f>RAW_Клиенты!B289</f>
        <v xml:space="preserve">Богомолова Мария Александровна</v>
      </c>
      <c r="D290" s="11" t="str">
        <f>RAW_Клиенты!C289</f>
        <v>21.10.1976</v>
      </c>
      <c r="E290" s="11" t="str">
        <f>RAW_Клиенты!D289</f>
        <v xml:space="preserve">8 903 234 56 78</v>
      </c>
      <c r="F290" s="11" t="str">
        <f>RAW_Клиенты!E289</f>
        <v>bogomolova@gmail</v>
      </c>
      <c r="G290" s="11" t="str">
        <f>RAW_Клиенты!F289</f>
        <v>Тула</v>
      </c>
      <c r="H290" s="11" t="str">
        <f>RAW_Клиенты!G289</f>
        <v>10.12.2029</v>
      </c>
      <c r="I290" s="12" t="str">
        <f t="shared" si="372"/>
        <v>89032345678</v>
      </c>
      <c r="J290" s="12" t="str">
        <f t="shared" si="373"/>
        <v>bogomolova@gmail</v>
      </c>
      <c r="K290" s="12" t="str">
        <f t="shared" si="374"/>
        <v>Тула</v>
      </c>
      <c r="L290" s="13" t="str">
        <f t="shared" si="375"/>
        <v>C0288</v>
      </c>
      <c r="M290" s="13" t="str">
        <f t="shared" si="376"/>
        <v xml:space="preserve">Богомолова Мария Александровна</v>
      </c>
      <c r="N290" s="13" t="str">
        <f t="shared" si="377"/>
        <v>OK</v>
      </c>
      <c r="O290" s="19">
        <f t="shared" si="378"/>
        <v>28054</v>
      </c>
      <c r="P290" s="19">
        <f t="shared" si="379"/>
        <v>47462</v>
      </c>
      <c r="Q290" s="13">
        <f t="shared" ca="1" si="380"/>
        <v>49</v>
      </c>
      <c r="R290" s="13" t="str">
        <f t="shared" si="381"/>
        <v>OK</v>
      </c>
      <c r="S290" s="13" t="str">
        <f t="shared" si="382"/>
        <v xml:space="preserve">+7 (903) 234-56-78</v>
      </c>
      <c r="T290" s="13" t="str">
        <f t="shared" si="383"/>
        <v>bogomolova@gmail</v>
      </c>
      <c r="U290" s="18" t="str">
        <f t="shared" si="384"/>
        <v xml:space="preserve">Ошибка Email</v>
      </c>
      <c r="V290" s="13" t="str">
        <f>IFERROR(VLOOKUP(K290,Справочники!$K$6:$L$13,2,0),K290)</f>
        <v>Тула</v>
      </c>
    </row>
    <row r="291" ht="15" customHeight="1">
      <c r="A291" s="10">
        <v>289</v>
      </c>
      <c r="B291" s="11" t="str">
        <f>RAW_Клиенты!A290</f>
        <v>C0289</v>
      </c>
      <c r="C291" s="11" t="str">
        <f>RAW_Клиенты!B290</f>
        <v xml:space="preserve">Харитонов Алексей Павлович</v>
      </c>
      <c r="D291" s="11" t="str">
        <f>RAW_Клиенты!C290</f>
        <v>04.04.1992</v>
      </c>
      <c r="E291" s="11" t="str">
        <f>RAW_Клиенты!D290</f>
        <v>+79032345678</v>
      </c>
      <c r="F291" s="11" t="str">
        <f>RAW_Клиенты!E290</f>
        <v>haritonov@mail</v>
      </c>
      <c r="G291" s="11" t="str">
        <f>RAW_Клиенты!F290</f>
        <v>Калуга</v>
      </c>
      <c r="H291" s="11" t="str">
        <f>RAW_Клиенты!G290</f>
        <v>01.01.2030</v>
      </c>
      <c r="I291" s="12" t="str">
        <f t="shared" si="372"/>
        <v>79032345678</v>
      </c>
      <c r="J291" s="12" t="str">
        <f t="shared" si="373"/>
        <v>haritonov@mail</v>
      </c>
      <c r="K291" s="12" t="str">
        <f t="shared" si="374"/>
        <v>Калуга</v>
      </c>
      <c r="L291" s="13" t="str">
        <f t="shared" si="375"/>
        <v>C0289</v>
      </c>
      <c r="M291" s="13" t="str">
        <f t="shared" si="376"/>
        <v xml:space="preserve">Харитонов Алексей Павлович</v>
      </c>
      <c r="N291" s="13" t="str">
        <f t="shared" si="377"/>
        <v>OK</v>
      </c>
      <c r="O291" s="19">
        <f t="shared" si="378"/>
        <v>33698</v>
      </c>
      <c r="P291" s="19">
        <f t="shared" si="379"/>
        <v>47484</v>
      </c>
      <c r="Q291" s="13">
        <f t="shared" ca="1" si="380"/>
        <v>34</v>
      </c>
      <c r="R291" s="13" t="str">
        <f t="shared" si="381"/>
        <v>OK</v>
      </c>
      <c r="S291" s="13" t="str">
        <f t="shared" si="382"/>
        <v xml:space="preserve">+7 (903) 234-56-78</v>
      </c>
      <c r="T291" s="13" t="str">
        <f t="shared" si="383"/>
        <v>haritonov@mail</v>
      </c>
      <c r="U291" s="18" t="str">
        <f t="shared" si="384"/>
        <v xml:space="preserve">Ошибка Email</v>
      </c>
      <c r="V291" s="13" t="str">
        <f>IFERROR(VLOOKUP(K291,Справочники!$K$6:$L$13,2,0),K291)</f>
        <v>Калуга</v>
      </c>
    </row>
    <row r="292" ht="15" customHeight="1">
      <c r="A292" s="10">
        <v>290</v>
      </c>
      <c r="B292" s="11" t="str">
        <f>RAW_Клиенты!A291</f>
        <v>C0290</v>
      </c>
      <c r="C292" s="11" t="str">
        <f>RAW_Клиенты!B291</f>
        <v xml:space="preserve">Ким Олег Иванович</v>
      </c>
      <c r="D292" s="11" t="str">
        <f>RAW_Клиенты!C291</f>
        <v>27.12.1981</v>
      </c>
      <c r="E292" s="11" t="str">
        <f>RAW_Клиенты!D291</f>
        <v>8-903-234-56-78</v>
      </c>
      <c r="F292" s="11" t="str">
        <f>RAW_Клиенты!E291</f>
        <v>kim@yandex</v>
      </c>
      <c r="G292" s="11" t="str">
        <f>RAW_Клиенты!F291</f>
        <v>Владикавказ</v>
      </c>
      <c r="H292" s="11" t="str">
        <f>RAW_Клиенты!G291</f>
        <v>2030-01-15</v>
      </c>
      <c r="I292" s="12" t="str">
        <f t="shared" ref="I292:I355" si="385">SUBSTITUTE(SUBSTITUTE(SUBSTITUTE(SUBSTITUTE(SUBSTITUTE(SUBSTITUTE(E292," ",""),"-",""),"+",""),"(",""),")",""),CHAR(160),"")</f>
        <v>89032345678</v>
      </c>
      <c r="J292" s="12" t="str">
        <f t="shared" ref="J292:J355" si="386">SUBSTITUTE(SUBSTITUTE(TRIM(F292)," ",""),CHAR(160),"")</f>
        <v>kim@yandex</v>
      </c>
      <c r="K292" s="12" t="str">
        <f t="shared" ref="K292:K355" si="387">TRIM(SUBSTITUTE(SUBSTITUTE(TRIM(G292),"г.",""),"г ",""))</f>
        <v>Владикавказ</v>
      </c>
      <c r="L292" s="13" t="str">
        <f t="shared" ref="L292:L355" si="388">B292</f>
        <v>C0290</v>
      </c>
      <c r="M292" s="13" t="str">
        <f t="shared" ref="M292:M355" si="389">PROPER(TRIM(C292))</f>
        <v xml:space="preserve">Ким Олег Иванович</v>
      </c>
      <c r="N292" s="13" t="str">
        <f t="shared" ref="N292:N355" si="390">IF(ISNUMBER(FIND(".",C292)),"инициалы: проверить",IF(SUMPRODUCT(--ISNUMBER(FIND(MID("abcdefghijklmnopqrstuvwxyz",ROW(INDIRECT("1:26")),1),LOWER(C292))))&gt;0,"латиница: транслит","OK"))</f>
        <v>OK</v>
      </c>
      <c r="O292" s="19">
        <f t="shared" ref="O292:O355" si="391">IF(ISNUMBER(FIND("-",D292)),DATE(VALUE(LEFT(D292,4)),VALUE(MID(D292,6,2)),VALUE(MID(D292,9,2))),DATE(VALUE(MID(D292,7,4)),VALUE(MID(D292,4,2)),VALUE(LEFT(D292,2))))</f>
        <v>29947</v>
      </c>
      <c r="P292" s="19">
        <f t="shared" ref="P292:P355" si="392">IF(ISNUMBER(FIND("-",H292)),DATE(VALUE(LEFT(H292,4)),VALUE(MID(H292,6,2)),VALUE(MID(H292,9,2))),DATE(VALUE(MID(H292,7,4)),VALUE(MID(H292,4,2)),VALUE(LEFT(H292,2))))</f>
        <v>47498</v>
      </c>
      <c r="Q292" s="13">
        <f t="shared" ref="Q292:Q355" ca="1" si="393">DATEDIF(O292,TODAY(),"Y")</f>
        <v>44</v>
      </c>
      <c r="R292" s="13" t="str">
        <f t="shared" ref="R292:R355" si="394">IF(OR(Q292&lt;18,Q292&gt;120),"Ошибка даты рождения","OK")</f>
        <v>OK</v>
      </c>
      <c r="S292" s="13" t="str">
        <f t="shared" ref="S292:S355" si="395">IF(LEN(I292)&gt;=10,"+7 ("&amp;MID(I292,LEN(I292)-9,3)&amp;") "&amp;MID(I292,LEN(I292)-6,3)&amp;"-"&amp;MID(I292,LEN(I292)-3,2)&amp;"-"&amp;RIGHT(I292,2),"Ошибка телефона")</f>
        <v xml:space="preserve">+7 (903) 234-56-78</v>
      </c>
      <c r="T292" s="13" t="str">
        <f t="shared" ref="T292:T355" si="396">J292</f>
        <v>kim@yandex</v>
      </c>
      <c r="U292" s="18" t="str">
        <f t="shared" ref="U292:U355" si="397">IF(AND(ISNUMBER(FIND("@",J292)),ISNUMBER(FIND(".",MID(J292,FIND("@",J292),100)))),"OK","Ошибка Email")</f>
        <v xml:space="preserve">Ошибка Email</v>
      </c>
      <c r="V292" s="13" t="str">
        <f>IFERROR(VLOOKUP(K292,Справочники!$K$6:$L$13,2,0),K292)</f>
        <v>Владикавказ</v>
      </c>
    </row>
    <row r="293" ht="15" customHeight="1">
      <c r="A293" s="10">
        <v>291</v>
      </c>
      <c r="B293" s="11" t="str">
        <f>RAW_Клиенты!A292</f>
        <v>C0291</v>
      </c>
      <c r="C293" s="11" t="str">
        <f>RAW_Клиенты!B292</f>
        <v xml:space="preserve">Лаврова Елена Викторовна</v>
      </c>
      <c r="D293" s="11" t="str">
        <f>RAW_Клиенты!C292</f>
        <v>15.08.1975</v>
      </c>
      <c r="E293" s="11" t="str">
        <f>RAW_Клиенты!D292</f>
        <v xml:space="preserve">8 903 345 67 89</v>
      </c>
      <c r="F293" s="11" t="str">
        <f>RAW_Клиенты!E292</f>
        <v>lavrova@gmail</v>
      </c>
      <c r="G293" s="11" t="str">
        <f>RAW_Клиенты!F292</f>
        <v>Смоленск</v>
      </c>
      <c r="H293" s="11" t="str">
        <f>RAW_Клиенты!G292</f>
        <v>15.01.2030</v>
      </c>
      <c r="I293" s="12" t="str">
        <f t="shared" si="385"/>
        <v>89033456789</v>
      </c>
      <c r="J293" s="12" t="str">
        <f t="shared" si="386"/>
        <v>lavrova@gmail</v>
      </c>
      <c r="K293" s="12" t="str">
        <f t="shared" si="387"/>
        <v>Смоленск</v>
      </c>
      <c r="L293" s="13" t="str">
        <f t="shared" si="388"/>
        <v>C0291</v>
      </c>
      <c r="M293" s="13" t="str">
        <f t="shared" si="389"/>
        <v xml:space="preserve">Лаврова Елена Викторовна</v>
      </c>
      <c r="N293" s="13" t="str">
        <f t="shared" si="390"/>
        <v>OK</v>
      </c>
      <c r="O293" s="19">
        <f t="shared" si="391"/>
        <v>27621</v>
      </c>
      <c r="P293" s="19">
        <f t="shared" si="392"/>
        <v>47498</v>
      </c>
      <c r="Q293" s="13">
        <f t="shared" ca="1" si="393"/>
        <v>51</v>
      </c>
      <c r="R293" s="13" t="str">
        <f t="shared" si="394"/>
        <v>OK</v>
      </c>
      <c r="S293" s="13" t="str">
        <f t="shared" si="395"/>
        <v xml:space="preserve">+7 (903) 345-67-89</v>
      </c>
      <c r="T293" s="13" t="str">
        <f t="shared" si="396"/>
        <v>lavrova@gmail</v>
      </c>
      <c r="U293" s="18" t="str">
        <f t="shared" si="397"/>
        <v xml:space="preserve">Ошибка Email</v>
      </c>
      <c r="V293" s="13" t="str">
        <f>IFERROR(VLOOKUP(K293,Справочники!$K$6:$L$13,2,0),K293)</f>
        <v>Смоленск</v>
      </c>
    </row>
    <row r="294" ht="15" customHeight="1">
      <c r="A294" s="10">
        <v>292</v>
      </c>
      <c r="B294" s="11" t="str">
        <f>RAW_Клиенты!A293</f>
        <v>C0292</v>
      </c>
      <c r="C294" s="11" t="str">
        <f>RAW_Клиенты!B293</f>
        <v xml:space="preserve">Завьялов Владимир Сергеевич</v>
      </c>
      <c r="D294" s="11" t="str">
        <f>RAW_Клиенты!C293</f>
        <v>13.03.1983</v>
      </c>
      <c r="E294" s="11" t="str">
        <f>RAW_Клиенты!D293</f>
        <v>+79033456789</v>
      </c>
      <c r="F294" s="11" t="str">
        <f>RAW_Клиенты!E293</f>
        <v>zavyalov@mail</v>
      </c>
      <c r="G294" s="11" t="str">
        <f>RAW_Клиенты!F293</f>
        <v>Белгород</v>
      </c>
      <c r="H294" s="11" t="str">
        <f>RAW_Клиенты!G293</f>
        <v>01.02.2030</v>
      </c>
      <c r="I294" s="12" t="str">
        <f t="shared" si="385"/>
        <v>79033456789</v>
      </c>
      <c r="J294" s="12" t="str">
        <f t="shared" si="386"/>
        <v>zavyalov@mail</v>
      </c>
      <c r="K294" s="12" t="str">
        <f t="shared" si="387"/>
        <v>Белгород</v>
      </c>
      <c r="L294" s="13" t="str">
        <f t="shared" si="388"/>
        <v>C0292</v>
      </c>
      <c r="M294" s="13" t="str">
        <f t="shared" si="389"/>
        <v xml:space="preserve">Завьялов Владимир Сергеевич</v>
      </c>
      <c r="N294" s="13" t="str">
        <f t="shared" si="390"/>
        <v>OK</v>
      </c>
      <c r="O294" s="19">
        <f t="shared" si="391"/>
        <v>30388</v>
      </c>
      <c r="P294" s="19">
        <f t="shared" si="392"/>
        <v>47515</v>
      </c>
      <c r="Q294" s="13">
        <f t="shared" ca="1" si="393"/>
        <v>43</v>
      </c>
      <c r="R294" s="13" t="str">
        <f t="shared" si="394"/>
        <v>OK</v>
      </c>
      <c r="S294" s="13" t="str">
        <f t="shared" si="395"/>
        <v xml:space="preserve">+7 (903) 345-67-89</v>
      </c>
      <c r="T294" s="13" t="str">
        <f t="shared" si="396"/>
        <v>zavyalov@mail</v>
      </c>
      <c r="U294" s="18" t="str">
        <f t="shared" si="397"/>
        <v xml:space="preserve">Ошибка Email</v>
      </c>
      <c r="V294" s="13" t="str">
        <f>IFERROR(VLOOKUP(K294,Справочники!$K$6:$L$13,2,0),K294)</f>
        <v>Белгород</v>
      </c>
    </row>
    <row r="295" ht="15" customHeight="1">
      <c r="A295" s="10">
        <v>293</v>
      </c>
      <c r="B295" s="11" t="str">
        <f>RAW_Клиенты!A294</f>
        <v>C0293</v>
      </c>
      <c r="C295" s="11" t="str">
        <f>RAW_Клиенты!B294</f>
        <v xml:space="preserve">Костин Денис Алексеевич</v>
      </c>
      <c r="D295" s="11" t="str">
        <f>RAW_Клиенты!C294</f>
        <v>06.11.1990</v>
      </c>
      <c r="E295" s="11" t="str">
        <f>RAW_Клиенты!D294</f>
        <v>8-903-345-67-89</v>
      </c>
      <c r="F295" s="11" t="str">
        <f>RAW_Клиенты!E294</f>
        <v>kostin@yandex</v>
      </c>
      <c r="G295" s="11" t="str">
        <f>RAW_Клиенты!F294</f>
        <v>Мурманск</v>
      </c>
      <c r="H295" s="11" t="str">
        <f>RAW_Клиенты!G294</f>
        <v>2030-02-10</v>
      </c>
      <c r="I295" s="12" t="str">
        <f t="shared" si="385"/>
        <v>89033456789</v>
      </c>
      <c r="J295" s="12" t="str">
        <f t="shared" si="386"/>
        <v>kostin@yandex</v>
      </c>
      <c r="K295" s="12" t="str">
        <f t="shared" si="387"/>
        <v>Мурманск</v>
      </c>
      <c r="L295" s="13" t="str">
        <f t="shared" si="388"/>
        <v>C0293</v>
      </c>
      <c r="M295" s="13" t="str">
        <f t="shared" si="389"/>
        <v xml:space="preserve">Костин Денис Алексеевич</v>
      </c>
      <c r="N295" s="13" t="str">
        <f t="shared" si="390"/>
        <v>OK</v>
      </c>
      <c r="O295" s="19">
        <f t="shared" si="391"/>
        <v>33183</v>
      </c>
      <c r="P295" s="19">
        <f t="shared" si="392"/>
        <v>47524</v>
      </c>
      <c r="Q295" s="13">
        <f t="shared" ca="1" si="393"/>
        <v>35</v>
      </c>
      <c r="R295" s="13" t="str">
        <f t="shared" si="394"/>
        <v>OK</v>
      </c>
      <c r="S295" s="13" t="str">
        <f t="shared" si="395"/>
        <v xml:space="preserve">+7 (903) 345-67-89</v>
      </c>
      <c r="T295" s="13" t="str">
        <f t="shared" si="396"/>
        <v>kostin@yandex</v>
      </c>
      <c r="U295" s="18" t="str">
        <f t="shared" si="397"/>
        <v xml:space="preserve">Ошибка Email</v>
      </c>
      <c r="V295" s="13" t="str">
        <f>IFERROR(VLOOKUP(K295,Справочники!$K$6:$L$13,2,0),K295)</f>
        <v>Мурманск</v>
      </c>
    </row>
    <row r="296" ht="15" customHeight="1">
      <c r="A296" s="10">
        <v>294</v>
      </c>
      <c r="B296" s="11" t="str">
        <f>RAW_Клиенты!A295</f>
        <v>C0294</v>
      </c>
      <c r="C296" s="11" t="str">
        <f>RAW_Клиенты!B295</f>
        <v xml:space="preserve">Арсеньева Ирина Павловна</v>
      </c>
      <c r="D296" s="11" t="str">
        <f>RAW_Клиенты!C295</f>
        <v>19.09.1977</v>
      </c>
      <c r="E296" s="11" t="str">
        <f>RAW_Клиенты!D295</f>
        <v xml:space="preserve">8 903 456 78 90</v>
      </c>
      <c r="F296" s="11" t="str">
        <f>RAW_Клиенты!E295</f>
        <v>arsenieva@gmail</v>
      </c>
      <c r="G296" s="11" t="str">
        <f>RAW_Клиенты!F295</f>
        <v>Ставрополь</v>
      </c>
      <c r="H296" s="11" t="str">
        <f>RAW_Клиенты!G295</f>
        <v>10.02.2030</v>
      </c>
      <c r="I296" s="12" t="str">
        <f t="shared" si="385"/>
        <v>89034567890</v>
      </c>
      <c r="J296" s="12" t="str">
        <f t="shared" si="386"/>
        <v>arsenieva@gmail</v>
      </c>
      <c r="K296" s="12" t="str">
        <f t="shared" si="387"/>
        <v>Ставрополь</v>
      </c>
      <c r="L296" s="13" t="str">
        <f t="shared" si="388"/>
        <v>C0294</v>
      </c>
      <c r="M296" s="13" t="str">
        <f t="shared" si="389"/>
        <v xml:space="preserve">Арсеньева Ирина Павловна</v>
      </c>
      <c r="N296" s="13" t="str">
        <f t="shared" si="390"/>
        <v>OK</v>
      </c>
      <c r="O296" s="19">
        <f t="shared" si="391"/>
        <v>28387</v>
      </c>
      <c r="P296" s="19">
        <f t="shared" si="392"/>
        <v>47524</v>
      </c>
      <c r="Q296" s="13">
        <f t="shared" ca="1" si="393"/>
        <v>49</v>
      </c>
      <c r="R296" s="13" t="str">
        <f t="shared" si="394"/>
        <v>OK</v>
      </c>
      <c r="S296" s="13" t="str">
        <f t="shared" si="395"/>
        <v xml:space="preserve">+7 (903) 456-78-90</v>
      </c>
      <c r="T296" s="13" t="str">
        <f t="shared" si="396"/>
        <v>arsenieva@gmail</v>
      </c>
      <c r="U296" s="18" t="str">
        <f t="shared" si="397"/>
        <v xml:space="preserve">Ошибка Email</v>
      </c>
      <c r="V296" s="13" t="str">
        <f>IFERROR(VLOOKUP(K296,Справочники!$K$6:$L$13,2,0),K296)</f>
        <v>Ставрополь</v>
      </c>
    </row>
    <row r="297" ht="15" customHeight="1">
      <c r="A297" s="10">
        <v>295</v>
      </c>
      <c r="B297" s="11" t="str">
        <f>RAW_Клиенты!A296</f>
        <v>C0295</v>
      </c>
      <c r="C297" s="11" t="str">
        <f>RAW_Клиенты!B296</f>
        <v xml:space="preserve">Крутиков Александр Игоревич</v>
      </c>
      <c r="D297" s="11" t="str">
        <f>RAW_Клиенты!C296</f>
        <v>22.05.1984</v>
      </c>
      <c r="E297" s="11" t="str">
        <f>RAW_Клиенты!D296</f>
        <v>+79034567890</v>
      </c>
      <c r="F297" s="11" t="str">
        <f>RAW_Клиенты!E296</f>
        <v>krutikov@mail</v>
      </c>
      <c r="G297" s="11" t="str">
        <f>RAW_Клиенты!F296</f>
        <v>Севастополь</v>
      </c>
      <c r="H297" s="11" t="str">
        <f>RAW_Клиенты!G296</f>
        <v>01.03.2030</v>
      </c>
      <c r="I297" s="12" t="str">
        <f t="shared" si="385"/>
        <v>79034567890</v>
      </c>
      <c r="J297" s="12" t="str">
        <f t="shared" si="386"/>
        <v>krutikov@mail</v>
      </c>
      <c r="K297" s="12" t="str">
        <f t="shared" si="387"/>
        <v>Севастополь</v>
      </c>
      <c r="L297" s="13" t="str">
        <f t="shared" si="388"/>
        <v>C0295</v>
      </c>
      <c r="M297" s="13" t="str">
        <f t="shared" si="389"/>
        <v xml:space="preserve">Крутиков Александр Игоревич</v>
      </c>
      <c r="N297" s="13" t="str">
        <f t="shared" si="390"/>
        <v>OK</v>
      </c>
      <c r="O297" s="19">
        <f t="shared" si="391"/>
        <v>30824</v>
      </c>
      <c r="P297" s="19">
        <f t="shared" si="392"/>
        <v>47543</v>
      </c>
      <c r="Q297" s="13">
        <f t="shared" ca="1" si="393"/>
        <v>42</v>
      </c>
      <c r="R297" s="13" t="str">
        <f t="shared" si="394"/>
        <v>OK</v>
      </c>
      <c r="S297" s="13" t="str">
        <f t="shared" si="395"/>
        <v xml:space="preserve">+7 (903) 456-78-90</v>
      </c>
      <c r="T297" s="13" t="str">
        <f t="shared" si="396"/>
        <v>krutikov@mail</v>
      </c>
      <c r="U297" s="18" t="str">
        <f t="shared" si="397"/>
        <v xml:space="preserve">Ошибка Email</v>
      </c>
      <c r="V297" s="13" t="str">
        <f>IFERROR(VLOOKUP(K297,Справочники!$K$6:$L$13,2,0),K297)</f>
        <v>Севастополь</v>
      </c>
    </row>
    <row r="298" ht="15" customHeight="1">
      <c r="A298" s="10">
        <v>296</v>
      </c>
      <c r="B298" s="11" t="str">
        <f>RAW_Клиенты!A297</f>
        <v>C0296</v>
      </c>
      <c r="C298" s="11" t="str">
        <f>RAW_Клиенты!B297</f>
        <v xml:space="preserve">Озерова Светлана Владимировна</v>
      </c>
      <c r="D298" s="11" t="str">
        <f>RAW_Клиенты!C297</f>
        <v>14.01.1991</v>
      </c>
      <c r="E298" s="11" t="str">
        <f>RAW_Клиенты!D297</f>
        <v>8-903-456-78-90</v>
      </c>
      <c r="F298" s="11" t="str">
        <f>RAW_Клиенты!E297</f>
        <v>ozerova@yandex</v>
      </c>
      <c r="G298" s="11" t="str">
        <f>RAW_Клиенты!F297</f>
        <v>Сочи</v>
      </c>
      <c r="H298" s="11" t="str">
        <f>RAW_Клиенты!G297</f>
        <v>2030-03-15</v>
      </c>
      <c r="I298" s="12" t="str">
        <f t="shared" si="385"/>
        <v>89034567890</v>
      </c>
      <c r="J298" s="12" t="str">
        <f t="shared" si="386"/>
        <v>ozerova@yandex</v>
      </c>
      <c r="K298" s="12" t="str">
        <f t="shared" si="387"/>
        <v>Сочи</v>
      </c>
      <c r="L298" s="13" t="str">
        <f t="shared" si="388"/>
        <v>C0296</v>
      </c>
      <c r="M298" s="13" t="str">
        <f t="shared" si="389"/>
        <v xml:space="preserve">Озерова Светлана Владимировна</v>
      </c>
      <c r="N298" s="13" t="str">
        <f t="shared" si="390"/>
        <v>OK</v>
      </c>
      <c r="O298" s="19">
        <f t="shared" si="391"/>
        <v>33252</v>
      </c>
      <c r="P298" s="19">
        <f t="shared" si="392"/>
        <v>47557</v>
      </c>
      <c r="Q298" s="13">
        <f t="shared" ca="1" si="393"/>
        <v>35</v>
      </c>
      <c r="R298" s="13" t="str">
        <f t="shared" si="394"/>
        <v>OK</v>
      </c>
      <c r="S298" s="13" t="str">
        <f t="shared" si="395"/>
        <v xml:space="preserve">+7 (903) 456-78-90</v>
      </c>
      <c r="T298" s="13" t="str">
        <f t="shared" si="396"/>
        <v>ozerova@yandex</v>
      </c>
      <c r="U298" s="18" t="str">
        <f t="shared" si="397"/>
        <v xml:space="preserve">Ошибка Email</v>
      </c>
      <c r="V298" s="13" t="str">
        <f>IFERROR(VLOOKUP(K298,Справочники!$K$6:$L$13,2,0),K298)</f>
        <v>Сочи</v>
      </c>
    </row>
    <row r="299" ht="15" customHeight="1">
      <c r="A299" s="10">
        <v>297</v>
      </c>
      <c r="B299" s="11" t="str">
        <f>RAW_Клиенты!A298</f>
        <v>C0297</v>
      </c>
      <c r="C299" s="11" t="str">
        <f>RAW_Клиенты!B298</f>
        <v xml:space="preserve">Литвинова Ольга Николаевна</v>
      </c>
      <c r="D299" s="11" t="str">
        <f>RAW_Клиенты!C298</f>
        <v>02.07.1972</v>
      </c>
      <c r="E299" s="11" t="str">
        <f>RAW_Клиенты!D298</f>
        <v xml:space="preserve">8 903 567 89 01</v>
      </c>
      <c r="F299" s="11" t="str">
        <f>RAW_Клиенты!E298</f>
        <v>litvinova@gmail</v>
      </c>
      <c r="G299" s="11" t="str">
        <f>RAW_Клиенты!F298</f>
        <v>Симферополь</v>
      </c>
      <c r="H299" s="11" t="str">
        <f>RAW_Клиенты!G298</f>
        <v>15.03.2030</v>
      </c>
      <c r="I299" s="12" t="str">
        <f t="shared" si="385"/>
        <v>89035678901</v>
      </c>
      <c r="J299" s="12" t="str">
        <f t="shared" si="386"/>
        <v>litvinova@gmail</v>
      </c>
      <c r="K299" s="12" t="str">
        <f t="shared" si="387"/>
        <v>Симферополь</v>
      </c>
      <c r="L299" s="13" t="str">
        <f t="shared" si="388"/>
        <v>C0297</v>
      </c>
      <c r="M299" s="13" t="str">
        <f t="shared" si="389"/>
        <v xml:space="preserve">Литвинова Ольга Николаевна</v>
      </c>
      <c r="N299" s="13" t="str">
        <f t="shared" si="390"/>
        <v>OK</v>
      </c>
      <c r="O299" s="19">
        <f t="shared" si="391"/>
        <v>26482</v>
      </c>
      <c r="P299" s="19">
        <f t="shared" si="392"/>
        <v>47557</v>
      </c>
      <c r="Q299" s="13">
        <f t="shared" ca="1" si="393"/>
        <v>54</v>
      </c>
      <c r="R299" s="13" t="str">
        <f t="shared" si="394"/>
        <v>OK</v>
      </c>
      <c r="S299" s="13" t="str">
        <f t="shared" si="395"/>
        <v xml:space="preserve">+7 (903) 567-89-01</v>
      </c>
      <c r="T299" s="13" t="str">
        <f t="shared" si="396"/>
        <v>litvinova@gmail</v>
      </c>
      <c r="U299" s="18" t="str">
        <f t="shared" si="397"/>
        <v xml:space="preserve">Ошибка Email</v>
      </c>
      <c r="V299" s="13" t="str">
        <f>IFERROR(VLOOKUP(K299,Справочники!$K$6:$L$13,2,0),K299)</f>
        <v>Симферополь</v>
      </c>
    </row>
    <row r="300" ht="15" customHeight="1">
      <c r="A300" s="10">
        <v>298</v>
      </c>
      <c r="B300" s="11" t="str">
        <f>RAW_Клиенты!A299</f>
        <v>C0298</v>
      </c>
      <c r="C300" s="11" t="str">
        <f>RAW_Клиенты!B299</f>
        <v xml:space="preserve">Аксенов Илья Евгеньевич</v>
      </c>
      <c r="D300" s="11" t="str">
        <f>RAW_Клиенты!C299</f>
        <v>28.12.1988</v>
      </c>
      <c r="E300" s="11" t="str">
        <f>RAW_Клиенты!D299</f>
        <v>+79035678901</v>
      </c>
      <c r="F300" s="11" t="str">
        <f>RAW_Клиенты!E299</f>
        <v>aksenov@mail</v>
      </c>
      <c r="G300" s="11" t="str">
        <f>RAW_Клиенты!F299</f>
        <v>Брянск</v>
      </c>
      <c r="H300" s="11" t="str">
        <f>RAW_Клиенты!G299</f>
        <v>01.04.2030</v>
      </c>
      <c r="I300" s="12" t="str">
        <f t="shared" si="385"/>
        <v>79035678901</v>
      </c>
      <c r="J300" s="12" t="str">
        <f t="shared" si="386"/>
        <v>aksenov@mail</v>
      </c>
      <c r="K300" s="12" t="str">
        <f t="shared" si="387"/>
        <v>Брянск</v>
      </c>
      <c r="L300" s="13" t="str">
        <f t="shared" si="388"/>
        <v>C0298</v>
      </c>
      <c r="M300" s="13" t="str">
        <f t="shared" si="389"/>
        <v xml:space="preserve">Аксенов Илья Евгеньевич</v>
      </c>
      <c r="N300" s="13" t="str">
        <f t="shared" si="390"/>
        <v>OK</v>
      </c>
      <c r="O300" s="19">
        <f t="shared" si="391"/>
        <v>32505</v>
      </c>
      <c r="P300" s="19">
        <f t="shared" si="392"/>
        <v>47574</v>
      </c>
      <c r="Q300" s="13">
        <f t="shared" ca="1" si="393"/>
        <v>37</v>
      </c>
      <c r="R300" s="13" t="str">
        <f t="shared" si="394"/>
        <v>OK</v>
      </c>
      <c r="S300" s="13" t="str">
        <f t="shared" si="395"/>
        <v xml:space="preserve">+7 (903) 567-89-01</v>
      </c>
      <c r="T300" s="13" t="str">
        <f t="shared" si="396"/>
        <v>aksenov@mail</v>
      </c>
      <c r="U300" s="18" t="str">
        <f t="shared" si="397"/>
        <v xml:space="preserve">Ошибка Email</v>
      </c>
      <c r="V300" s="13" t="str">
        <f>IFERROR(VLOOKUP(K300,Справочники!$K$6:$L$13,2,0),K300)</f>
        <v>Брянск</v>
      </c>
    </row>
    <row r="301" ht="15" customHeight="1">
      <c r="A301" s="10">
        <v>299</v>
      </c>
      <c r="B301" s="11" t="str">
        <f>RAW_Клиенты!A300</f>
        <v>C0299</v>
      </c>
      <c r="C301" s="11" t="str">
        <f>RAW_Клиенты!B300</f>
        <v xml:space="preserve">Сычев Андрей Александрович</v>
      </c>
      <c r="D301" s="11" t="str">
        <f>RAW_Клиенты!C300</f>
        <v>17.04.1979</v>
      </c>
      <c r="E301" s="11" t="str">
        <f>RAW_Клиенты!D300</f>
        <v>8-903-567-89-01</v>
      </c>
      <c r="F301" s="11" t="str">
        <f>RAW_Клиенты!E300</f>
        <v>sychev@yandex</v>
      </c>
      <c r="G301" s="11" t="str">
        <f>RAW_Клиенты!F300</f>
        <v>Абакан</v>
      </c>
      <c r="H301" s="11" t="str">
        <f>RAW_Клиенты!G300</f>
        <v>2030-04-10</v>
      </c>
      <c r="I301" s="12" t="str">
        <f t="shared" si="385"/>
        <v>89035678901</v>
      </c>
      <c r="J301" s="12" t="str">
        <f t="shared" si="386"/>
        <v>sychev@yandex</v>
      </c>
      <c r="K301" s="12" t="str">
        <f t="shared" si="387"/>
        <v>Абакан</v>
      </c>
      <c r="L301" s="13" t="str">
        <f t="shared" si="388"/>
        <v>C0299</v>
      </c>
      <c r="M301" s="13" t="str">
        <f t="shared" si="389"/>
        <v xml:space="preserve">Сычев Андрей Александрович</v>
      </c>
      <c r="N301" s="13" t="str">
        <f t="shared" si="390"/>
        <v>OK</v>
      </c>
      <c r="O301" s="19">
        <f t="shared" si="391"/>
        <v>28962</v>
      </c>
      <c r="P301" s="19">
        <f t="shared" si="392"/>
        <v>47583</v>
      </c>
      <c r="Q301" s="13">
        <f t="shared" ca="1" si="393"/>
        <v>47</v>
      </c>
      <c r="R301" s="13" t="str">
        <f t="shared" si="394"/>
        <v>OK</v>
      </c>
      <c r="S301" s="13" t="str">
        <f t="shared" si="395"/>
        <v xml:space="preserve">+7 (903) 567-89-01</v>
      </c>
      <c r="T301" s="13" t="str">
        <f t="shared" si="396"/>
        <v>sychev@yandex</v>
      </c>
      <c r="U301" s="18" t="str">
        <f t="shared" si="397"/>
        <v xml:space="preserve">Ошибка Email</v>
      </c>
      <c r="V301" s="13" t="str">
        <f>IFERROR(VLOOKUP(K301,Справочники!$K$6:$L$13,2,0),K301)</f>
        <v>Абакан</v>
      </c>
    </row>
    <row r="302" ht="15" customHeight="1">
      <c r="A302" s="10">
        <v>300</v>
      </c>
      <c r="B302" s="11" t="str">
        <f>RAW_Клиенты!A301</f>
        <v>C0300</v>
      </c>
      <c r="C302" s="11" t="str">
        <f>RAW_Клиенты!B301</f>
        <v xml:space="preserve">Пименова Татьяна Сергеевна</v>
      </c>
      <c r="D302" s="11" t="str">
        <f>RAW_Клиенты!C301</f>
        <v>05.08.1986</v>
      </c>
      <c r="E302" s="11" t="str">
        <f>RAW_Клиенты!D301</f>
        <v xml:space="preserve">8 903 678 90 12</v>
      </c>
      <c r="F302" s="11" t="str">
        <f>RAW_Клиенты!E301</f>
        <v>pimenova@gmail</v>
      </c>
      <c r="G302" s="11" t="str">
        <f>RAW_Клиенты!F301</f>
        <v>Грозный</v>
      </c>
      <c r="H302" s="11" t="str">
        <f>RAW_Клиенты!G301</f>
        <v>10.04.2030</v>
      </c>
      <c r="I302" s="12" t="str">
        <f t="shared" si="385"/>
        <v>89036789012</v>
      </c>
      <c r="J302" s="12" t="str">
        <f t="shared" si="386"/>
        <v>pimenova@gmail</v>
      </c>
      <c r="K302" s="12" t="str">
        <f t="shared" si="387"/>
        <v>Грозный</v>
      </c>
      <c r="L302" s="13" t="str">
        <f t="shared" si="388"/>
        <v>C0300</v>
      </c>
      <c r="M302" s="13" t="str">
        <f t="shared" si="389"/>
        <v xml:space="preserve">Пименова Татьяна Сергеевна</v>
      </c>
      <c r="N302" s="13" t="str">
        <f t="shared" si="390"/>
        <v>OK</v>
      </c>
      <c r="O302" s="19">
        <f t="shared" si="391"/>
        <v>31629</v>
      </c>
      <c r="P302" s="19">
        <f t="shared" si="392"/>
        <v>47583</v>
      </c>
      <c r="Q302" s="13">
        <f t="shared" ca="1" si="393"/>
        <v>40</v>
      </c>
      <c r="R302" s="13" t="str">
        <f t="shared" si="394"/>
        <v>OK</v>
      </c>
      <c r="S302" s="13" t="str">
        <f t="shared" si="395"/>
        <v xml:space="preserve">+7 (903) 678-90-12</v>
      </c>
      <c r="T302" s="13" t="str">
        <f t="shared" si="396"/>
        <v>pimenova@gmail</v>
      </c>
      <c r="U302" s="18" t="str">
        <f t="shared" si="397"/>
        <v xml:space="preserve">Ошибка Email</v>
      </c>
      <c r="V302" s="13" t="str">
        <f>IFERROR(VLOOKUP(K302,Справочники!$K$6:$L$13,2,0),K302)</f>
        <v>Грозный</v>
      </c>
    </row>
    <row r="303" ht="15" customHeight="1">
      <c r="A303" s="10">
        <v>301</v>
      </c>
      <c r="B303" s="11" t="str">
        <f>RAW_Клиенты!A302</f>
        <v>C0301</v>
      </c>
      <c r="C303" s="11" t="str">
        <f>RAW_Клиенты!B302</f>
        <v xml:space="preserve">Блохин Денис Викторович</v>
      </c>
      <c r="D303" s="11" t="str">
        <f>RAW_Клиенты!C302</f>
        <v>10.10.1974</v>
      </c>
      <c r="E303" s="11" t="str">
        <f>RAW_Клиенты!D302</f>
        <v>+79036789012</v>
      </c>
      <c r="F303" s="11" t="str">
        <f>RAW_Клиенты!E302</f>
        <v>blohin@mail</v>
      </c>
      <c r="G303" s="11" t="str">
        <f>RAW_Клиенты!F302</f>
        <v>Бийск</v>
      </c>
      <c r="H303" s="11" t="str">
        <f>RAW_Клиенты!G302</f>
        <v>01.05.2030</v>
      </c>
      <c r="I303" s="12" t="str">
        <f t="shared" si="385"/>
        <v>79036789012</v>
      </c>
      <c r="J303" s="12" t="str">
        <f t="shared" si="386"/>
        <v>blohin@mail</v>
      </c>
      <c r="K303" s="12" t="str">
        <f t="shared" si="387"/>
        <v>Бийск</v>
      </c>
      <c r="L303" s="13" t="str">
        <f t="shared" si="388"/>
        <v>C0301</v>
      </c>
      <c r="M303" s="13" t="str">
        <f t="shared" si="389"/>
        <v xml:space="preserve">Блохин Денис Викторович</v>
      </c>
      <c r="N303" s="13" t="str">
        <f t="shared" si="390"/>
        <v>OK</v>
      </c>
      <c r="O303" s="19">
        <f t="shared" si="391"/>
        <v>27312</v>
      </c>
      <c r="P303" s="19">
        <f t="shared" si="392"/>
        <v>47604</v>
      </c>
      <c r="Q303" s="13">
        <f t="shared" ca="1" si="393"/>
        <v>51</v>
      </c>
      <c r="R303" s="13" t="str">
        <f t="shared" si="394"/>
        <v>OK</v>
      </c>
      <c r="S303" s="13" t="str">
        <f t="shared" si="395"/>
        <v xml:space="preserve">+7 (903) 678-90-12</v>
      </c>
      <c r="T303" s="13" t="str">
        <f t="shared" si="396"/>
        <v>blohin@mail</v>
      </c>
      <c r="U303" s="18" t="str">
        <f t="shared" si="397"/>
        <v xml:space="preserve">Ошибка Email</v>
      </c>
      <c r="V303" s="13" t="str">
        <f>IFERROR(VLOOKUP(K303,Справочники!$K$6:$L$13,2,0),K303)</f>
        <v>Бийск</v>
      </c>
    </row>
    <row r="304" ht="15" customHeight="1">
      <c r="A304" s="10">
        <v>302</v>
      </c>
      <c r="B304" s="11" t="str">
        <f>RAW_Клиенты!A303</f>
        <v>C0302</v>
      </c>
      <c r="C304" s="11" t="str">
        <f>RAW_Клиенты!B303</f>
        <v xml:space="preserve">Майорова Мария Павловна</v>
      </c>
      <c r="D304" s="11" t="str">
        <f>RAW_Клиенты!C303</f>
        <v>23.06.1982</v>
      </c>
      <c r="E304" s="11" t="str">
        <f>RAW_Клиенты!D303</f>
        <v>8-903-678-90-12</v>
      </c>
      <c r="F304" s="11" t="str">
        <f>RAW_Клиенты!E303</f>
        <v>mayorova@yandex</v>
      </c>
      <c r="G304" s="11" t="str">
        <f>RAW_Клиенты!F303</f>
        <v>Йошкар-Ола</v>
      </c>
      <c r="H304" s="11" t="str">
        <f>RAW_Клиенты!G303</f>
        <v>2030-05-15</v>
      </c>
      <c r="I304" s="12" t="str">
        <f t="shared" si="385"/>
        <v>89036789012</v>
      </c>
      <c r="J304" s="12" t="str">
        <f t="shared" si="386"/>
        <v>mayorova@yandex</v>
      </c>
      <c r="K304" s="12" t="str">
        <f t="shared" si="387"/>
        <v>Йошкар-Ола</v>
      </c>
      <c r="L304" s="13" t="str">
        <f t="shared" si="388"/>
        <v>C0302</v>
      </c>
      <c r="M304" s="13" t="str">
        <f t="shared" si="389"/>
        <v xml:space="preserve">Майорова Мария Павловна</v>
      </c>
      <c r="N304" s="13" t="str">
        <f t="shared" si="390"/>
        <v>OK</v>
      </c>
      <c r="O304" s="19">
        <f t="shared" si="391"/>
        <v>30125</v>
      </c>
      <c r="P304" s="19">
        <f t="shared" si="392"/>
        <v>47618</v>
      </c>
      <c r="Q304" s="13">
        <f t="shared" ca="1" si="393"/>
        <v>44</v>
      </c>
      <c r="R304" s="13" t="str">
        <f t="shared" si="394"/>
        <v>OK</v>
      </c>
      <c r="S304" s="13" t="str">
        <f t="shared" si="395"/>
        <v xml:space="preserve">+7 (903) 678-90-12</v>
      </c>
      <c r="T304" s="13" t="str">
        <f t="shared" si="396"/>
        <v>mayorova@yandex</v>
      </c>
      <c r="U304" s="18" t="str">
        <f t="shared" si="397"/>
        <v xml:space="preserve">Ошибка Email</v>
      </c>
      <c r="V304" s="13" t="str">
        <f>IFERROR(VLOOKUP(K304,Справочники!$K$6:$L$13,2,0),K304)</f>
        <v>Йошкар-Ола</v>
      </c>
    </row>
    <row r="305" ht="15" customHeight="1">
      <c r="A305" s="10">
        <v>303</v>
      </c>
      <c r="B305" s="11" t="str">
        <f>RAW_Клиенты!A304</f>
        <v>C0303</v>
      </c>
      <c r="C305" s="11" t="str">
        <f>RAW_Клиенты!B304</f>
        <v xml:space="preserve">Кравчук Алексей Олегович</v>
      </c>
      <c r="D305" s="11" t="str">
        <f>RAW_Клиенты!C304</f>
        <v>02.02.1990</v>
      </c>
      <c r="E305" s="11" t="str">
        <f>RAW_Клиенты!D304</f>
        <v xml:space="preserve">8 903 789 01 23</v>
      </c>
      <c r="F305" s="11" t="str">
        <f>RAW_Клиенты!E304</f>
        <v>kravchuk@gmail</v>
      </c>
      <c r="G305" s="11" t="str">
        <f>RAW_Клиенты!F304</f>
        <v>Курган</v>
      </c>
      <c r="H305" s="11" t="str">
        <f>RAW_Клиенты!G304</f>
        <v>15.05.2030</v>
      </c>
      <c r="I305" s="12" t="str">
        <f t="shared" si="385"/>
        <v>89037890123</v>
      </c>
      <c r="J305" s="12" t="str">
        <f t="shared" si="386"/>
        <v>kravchuk@gmail</v>
      </c>
      <c r="K305" s="12" t="str">
        <f t="shared" si="387"/>
        <v>Курган</v>
      </c>
      <c r="L305" s="13" t="str">
        <f t="shared" si="388"/>
        <v>C0303</v>
      </c>
      <c r="M305" s="13" t="str">
        <f t="shared" si="389"/>
        <v xml:space="preserve">Кравчук Алексей Олегович</v>
      </c>
      <c r="N305" s="13" t="str">
        <f t="shared" si="390"/>
        <v>OK</v>
      </c>
      <c r="O305" s="19">
        <f t="shared" si="391"/>
        <v>32906</v>
      </c>
      <c r="P305" s="19">
        <f t="shared" si="392"/>
        <v>47618</v>
      </c>
      <c r="Q305" s="13">
        <f t="shared" ca="1" si="393"/>
        <v>36</v>
      </c>
      <c r="R305" s="13" t="str">
        <f t="shared" si="394"/>
        <v>OK</v>
      </c>
      <c r="S305" s="13" t="str">
        <f t="shared" si="395"/>
        <v xml:space="preserve">+7 (903) 789-01-23</v>
      </c>
      <c r="T305" s="13" t="str">
        <f t="shared" si="396"/>
        <v>kravchuk@gmail</v>
      </c>
      <c r="U305" s="18" t="str">
        <f t="shared" si="397"/>
        <v xml:space="preserve">Ошибка Email</v>
      </c>
      <c r="V305" s="13" t="str">
        <f>IFERROR(VLOOKUP(K305,Справочники!$K$6:$L$13,2,0),K305)</f>
        <v>Курган</v>
      </c>
    </row>
    <row r="306" ht="15" customHeight="1">
      <c r="A306" s="10">
        <v>304</v>
      </c>
      <c r="B306" s="11" t="str">
        <f>RAW_Клиенты!A305</f>
        <v>C0304</v>
      </c>
      <c r="C306" s="11" t="str">
        <f>RAW_Клиенты!B305</f>
        <v xml:space="preserve">Черкасова Наталья Игоревна</v>
      </c>
      <c r="D306" s="11" t="str">
        <f>RAW_Клиенты!C305</f>
        <v>19.11.1976</v>
      </c>
      <c r="E306" s="11" t="str">
        <f>RAW_Клиенты!D305</f>
        <v>+79037890123</v>
      </c>
      <c r="F306" s="11" t="str">
        <f>RAW_Клиенты!E305</f>
        <v>cherkasova@mail</v>
      </c>
      <c r="G306" s="11" t="str">
        <f>RAW_Клиенты!F305</f>
        <v>Архангельск</v>
      </c>
      <c r="H306" s="11" t="str">
        <f>RAW_Клиенты!G305</f>
        <v>01.06.2030</v>
      </c>
      <c r="I306" s="12" t="str">
        <f t="shared" si="385"/>
        <v>79037890123</v>
      </c>
      <c r="J306" s="12" t="str">
        <f t="shared" si="386"/>
        <v>cherkasova@mail</v>
      </c>
      <c r="K306" s="12" t="str">
        <f t="shared" si="387"/>
        <v>Архангельск</v>
      </c>
      <c r="L306" s="13" t="str">
        <f t="shared" si="388"/>
        <v>C0304</v>
      </c>
      <c r="M306" s="13" t="str">
        <f t="shared" si="389"/>
        <v xml:space="preserve">Черкасова Наталья Игоревна</v>
      </c>
      <c r="N306" s="13" t="str">
        <f t="shared" si="390"/>
        <v>OK</v>
      </c>
      <c r="O306" s="19">
        <f t="shared" si="391"/>
        <v>28083</v>
      </c>
      <c r="P306" s="19">
        <f t="shared" si="392"/>
        <v>47635</v>
      </c>
      <c r="Q306" s="13">
        <f t="shared" ca="1" si="393"/>
        <v>49</v>
      </c>
      <c r="R306" s="13" t="str">
        <f t="shared" si="394"/>
        <v>OK</v>
      </c>
      <c r="S306" s="13" t="str">
        <f t="shared" si="395"/>
        <v xml:space="preserve">+7 (903) 789-01-23</v>
      </c>
      <c r="T306" s="13" t="str">
        <f t="shared" si="396"/>
        <v>cherkasova@mail</v>
      </c>
      <c r="U306" s="18" t="str">
        <f t="shared" si="397"/>
        <v xml:space="preserve">Ошибка Email</v>
      </c>
      <c r="V306" s="13" t="str">
        <f>IFERROR(VLOOKUP(K306,Справочники!$K$6:$L$13,2,0),K306)</f>
        <v>Архангельск</v>
      </c>
    </row>
    <row r="307" ht="15" customHeight="1">
      <c r="A307" s="10">
        <v>305</v>
      </c>
      <c r="B307" s="11" t="str">
        <f>RAW_Клиенты!A306</f>
        <v>C0305</v>
      </c>
      <c r="C307" s="11" t="str">
        <f>RAW_Клиенты!B306</f>
        <v xml:space="preserve">Шаповалов Андрей Николаевич</v>
      </c>
      <c r="D307" s="11" t="str">
        <f>RAW_Клиенты!C306</f>
        <v>16.09.1985</v>
      </c>
      <c r="E307" s="11" t="str">
        <f>RAW_Клиенты!D306</f>
        <v>8-903-789-01-23</v>
      </c>
      <c r="F307" s="11" t="str">
        <f>RAW_Клиенты!E306</f>
        <v>shapovalov@yandex</v>
      </c>
      <c r="G307" s="11" t="str">
        <f>RAW_Клиенты!F306</f>
        <v>Благовещенск</v>
      </c>
      <c r="H307" s="11" t="str">
        <f>RAW_Клиенты!G306</f>
        <v>2030-06-10</v>
      </c>
      <c r="I307" s="12" t="str">
        <f t="shared" si="385"/>
        <v>89037890123</v>
      </c>
      <c r="J307" s="12" t="str">
        <f t="shared" si="386"/>
        <v>shapovalov@yandex</v>
      </c>
      <c r="K307" s="12" t="str">
        <f t="shared" si="387"/>
        <v>Благовещенск</v>
      </c>
      <c r="L307" s="13" t="str">
        <f t="shared" si="388"/>
        <v>C0305</v>
      </c>
      <c r="M307" s="13" t="str">
        <f t="shared" si="389"/>
        <v xml:space="preserve">Шаповалов Андрей Николаевич</v>
      </c>
      <c r="N307" s="13" t="str">
        <f t="shared" si="390"/>
        <v>OK</v>
      </c>
      <c r="O307" s="19">
        <f t="shared" si="391"/>
        <v>31306</v>
      </c>
      <c r="P307" s="19">
        <f t="shared" si="392"/>
        <v>47644</v>
      </c>
      <c r="Q307" s="13">
        <f t="shared" ca="1" si="393"/>
        <v>41</v>
      </c>
      <c r="R307" s="13" t="str">
        <f t="shared" si="394"/>
        <v>OK</v>
      </c>
      <c r="S307" s="13" t="str">
        <f t="shared" si="395"/>
        <v xml:space="preserve">+7 (903) 789-01-23</v>
      </c>
      <c r="T307" s="13" t="str">
        <f t="shared" si="396"/>
        <v>shapovalov@yandex</v>
      </c>
      <c r="U307" s="18" t="str">
        <f t="shared" si="397"/>
        <v xml:space="preserve">Ошибка Email</v>
      </c>
      <c r="V307" s="13" t="str">
        <f>IFERROR(VLOOKUP(K307,Справочники!$K$6:$L$13,2,0),K307)</f>
        <v>Благовещенск</v>
      </c>
    </row>
    <row r="308" ht="15" customHeight="1">
      <c r="A308" s="10">
        <v>306</v>
      </c>
      <c r="B308" s="11" t="str">
        <f>RAW_Клиенты!A307</f>
        <v>C0306</v>
      </c>
      <c r="C308" s="11" t="str">
        <f>RAW_Клиенты!B307</f>
        <v xml:space="preserve">Козырева Елена Станиславовна</v>
      </c>
      <c r="D308" s="11" t="str">
        <f>RAW_Клиенты!C307</f>
        <v>31.05.1981</v>
      </c>
      <c r="E308" s="11" t="str">
        <f>RAW_Клиенты!D307</f>
        <v xml:space="preserve">8 903 890 12 34</v>
      </c>
      <c r="F308" s="11" t="str">
        <f>RAW_Клиенты!E307</f>
        <v>kozyreva@gmail</v>
      </c>
      <c r="G308" s="11" t="str">
        <f>RAW_Клиенты!F307</f>
        <v>Майкоп</v>
      </c>
      <c r="H308" s="11" t="str">
        <f>RAW_Клиенты!G307</f>
        <v>10.06.2030</v>
      </c>
      <c r="I308" s="12" t="str">
        <f t="shared" si="385"/>
        <v>89038901234</v>
      </c>
      <c r="J308" s="12" t="str">
        <f t="shared" si="386"/>
        <v>kozyreva@gmail</v>
      </c>
      <c r="K308" s="12" t="str">
        <f t="shared" si="387"/>
        <v>Майкоп</v>
      </c>
      <c r="L308" s="13" t="str">
        <f t="shared" si="388"/>
        <v>C0306</v>
      </c>
      <c r="M308" s="13" t="str">
        <f t="shared" si="389"/>
        <v xml:space="preserve">Козырева Елена Станиславовна</v>
      </c>
      <c r="N308" s="13" t="str">
        <f t="shared" si="390"/>
        <v>OK</v>
      </c>
      <c r="O308" s="19">
        <f t="shared" si="391"/>
        <v>29737</v>
      </c>
      <c r="P308" s="19">
        <f t="shared" si="392"/>
        <v>47644</v>
      </c>
      <c r="Q308" s="13">
        <f t="shared" ca="1" si="393"/>
        <v>45</v>
      </c>
      <c r="R308" s="13" t="str">
        <f t="shared" si="394"/>
        <v>OK</v>
      </c>
      <c r="S308" s="13" t="str">
        <f t="shared" si="395"/>
        <v xml:space="preserve">+7 (903) 890-12-34</v>
      </c>
      <c r="T308" s="13" t="str">
        <f t="shared" si="396"/>
        <v>kozyreva@gmail</v>
      </c>
      <c r="U308" s="18" t="str">
        <f t="shared" si="397"/>
        <v xml:space="preserve">Ошибка Email</v>
      </c>
      <c r="V308" s="13" t="str">
        <f>IFERROR(VLOOKUP(K308,Справочники!$K$6:$L$13,2,0),K308)</f>
        <v>Майкоп</v>
      </c>
    </row>
    <row r="309" ht="15" customHeight="1">
      <c r="A309" s="10">
        <v>307</v>
      </c>
      <c r="B309" s="11" t="str">
        <f>RAW_Клиенты!A308</f>
        <v>C0307</v>
      </c>
      <c r="C309" s="11" t="str">
        <f>RAW_Клиенты!B308</f>
        <v xml:space="preserve">Сысоев Игорь Викторович</v>
      </c>
      <c r="D309" s="11" t="str">
        <f>RAW_Клиенты!C308</f>
        <v>12.12.1973</v>
      </c>
      <c r="E309" s="11" t="str">
        <f>RAW_Клиенты!D308</f>
        <v>+79038901234</v>
      </c>
      <c r="F309" s="11" t="str">
        <f>RAW_Клиенты!E308</f>
        <v>sysoev@mail</v>
      </c>
      <c r="G309" s="11" t="str">
        <f>RAW_Клиенты!F308</f>
        <v>Уссурийск</v>
      </c>
      <c r="H309" s="11" t="str">
        <f>RAW_Клиенты!G308</f>
        <v>01.07.2030</v>
      </c>
      <c r="I309" s="12" t="str">
        <f t="shared" si="385"/>
        <v>79038901234</v>
      </c>
      <c r="J309" s="12" t="str">
        <f t="shared" si="386"/>
        <v>sysoev@mail</v>
      </c>
      <c r="K309" s="12" t="str">
        <f t="shared" si="387"/>
        <v>Уссурийск</v>
      </c>
      <c r="L309" s="13" t="str">
        <f t="shared" si="388"/>
        <v>C0307</v>
      </c>
      <c r="M309" s="13" t="str">
        <f t="shared" si="389"/>
        <v xml:space="preserve">Сысоев Игорь Викторович</v>
      </c>
      <c r="N309" s="13" t="str">
        <f t="shared" si="390"/>
        <v>OK</v>
      </c>
      <c r="O309" s="19">
        <f t="shared" si="391"/>
        <v>27010</v>
      </c>
      <c r="P309" s="19">
        <f t="shared" si="392"/>
        <v>47665</v>
      </c>
      <c r="Q309" s="13">
        <f t="shared" ca="1" si="393"/>
        <v>52</v>
      </c>
      <c r="R309" s="13" t="str">
        <f t="shared" si="394"/>
        <v>OK</v>
      </c>
      <c r="S309" s="13" t="str">
        <f t="shared" si="395"/>
        <v xml:space="preserve">+7 (903) 890-12-34</v>
      </c>
      <c r="T309" s="13" t="str">
        <f t="shared" si="396"/>
        <v>sysoev@mail</v>
      </c>
      <c r="U309" s="18" t="str">
        <f t="shared" si="397"/>
        <v xml:space="preserve">Ошибка Email</v>
      </c>
      <c r="V309" s="13" t="str">
        <f>IFERROR(VLOOKUP(K309,Справочники!$K$6:$L$13,2,0),K309)</f>
        <v>Уссурийск</v>
      </c>
    </row>
    <row r="310" ht="15" customHeight="1">
      <c r="A310" s="10">
        <v>308</v>
      </c>
      <c r="B310" s="11" t="str">
        <f>RAW_Клиенты!A309</f>
        <v>C0308</v>
      </c>
      <c r="C310" s="11" t="str">
        <f>RAW_Клиенты!B309</f>
        <v xml:space="preserve">Орешкин Олег Сергеевич</v>
      </c>
      <c r="D310" s="11" t="str">
        <f>RAW_Клиенты!C309</f>
        <v>07.03.1988</v>
      </c>
      <c r="E310" s="11" t="str">
        <f>RAW_Клиенты!D309</f>
        <v>8-903-890-12-34</v>
      </c>
      <c r="F310" s="11" t="str">
        <f>RAW_Клиенты!E309</f>
        <v>oreshkin@yandex</v>
      </c>
      <c r="G310" s="11" t="str">
        <f>RAW_Клиенты!F309</f>
        <v>Миасс</v>
      </c>
      <c r="H310" s="11" t="str">
        <f>RAW_Клиенты!G309</f>
        <v>2030-07-15</v>
      </c>
      <c r="I310" s="12" t="str">
        <f t="shared" si="385"/>
        <v>89038901234</v>
      </c>
      <c r="J310" s="12" t="str">
        <f t="shared" si="386"/>
        <v>oreshkin@yandex</v>
      </c>
      <c r="K310" s="12" t="str">
        <f t="shared" si="387"/>
        <v>Миасс</v>
      </c>
      <c r="L310" s="13" t="str">
        <f t="shared" si="388"/>
        <v>C0308</v>
      </c>
      <c r="M310" s="13" t="str">
        <f t="shared" si="389"/>
        <v xml:space="preserve">Орешкин Олег Сергеевич</v>
      </c>
      <c r="N310" s="13" t="str">
        <f t="shared" si="390"/>
        <v>OK</v>
      </c>
      <c r="O310" s="19">
        <f t="shared" si="391"/>
        <v>32209</v>
      </c>
      <c r="P310" s="19">
        <f t="shared" si="392"/>
        <v>47679</v>
      </c>
      <c r="Q310" s="13">
        <f t="shared" ca="1" si="393"/>
        <v>38</v>
      </c>
      <c r="R310" s="13" t="str">
        <f t="shared" si="394"/>
        <v>OK</v>
      </c>
      <c r="S310" s="13" t="str">
        <f t="shared" si="395"/>
        <v xml:space="preserve">+7 (903) 890-12-34</v>
      </c>
      <c r="T310" s="13" t="str">
        <f t="shared" si="396"/>
        <v>oreshkin@yandex</v>
      </c>
      <c r="U310" s="18" t="str">
        <f t="shared" si="397"/>
        <v xml:space="preserve">Ошибка Email</v>
      </c>
      <c r="V310" s="13" t="str">
        <f>IFERROR(VLOOKUP(K310,Справочники!$K$6:$L$13,2,0),K310)</f>
        <v>Миасс</v>
      </c>
    </row>
    <row r="311" ht="15" customHeight="1">
      <c r="A311" s="10">
        <v>309</v>
      </c>
      <c r="B311" s="11" t="str">
        <f>RAW_Клиенты!A310</f>
        <v>C0309</v>
      </c>
      <c r="C311" s="11" t="str">
        <f>RAW_Клиенты!B310</f>
        <v xml:space="preserve">Котлярова Ольга Валерьевна</v>
      </c>
      <c r="D311" s="11" t="str">
        <f>RAW_Клиенты!C310</f>
        <v>24.08.1992</v>
      </c>
      <c r="E311" s="11" t="str">
        <f>RAW_Клиенты!D310</f>
        <v xml:space="preserve">8 903 901 23 45</v>
      </c>
      <c r="F311" s="11" t="str">
        <f>RAW_Клиенты!E310</f>
        <v>kotlyarova@gmail</v>
      </c>
      <c r="G311" s="11" t="str">
        <f>RAW_Клиенты!F310</f>
        <v>Кызыл</v>
      </c>
      <c r="H311" s="11" t="str">
        <f>RAW_Клиенты!G310</f>
        <v>15.07.2030</v>
      </c>
      <c r="I311" s="12" t="str">
        <f t="shared" si="385"/>
        <v>89039012345</v>
      </c>
      <c r="J311" s="12" t="str">
        <f t="shared" si="386"/>
        <v>kotlyarova@gmail</v>
      </c>
      <c r="K311" s="12" t="str">
        <f t="shared" si="387"/>
        <v>Кызыл</v>
      </c>
      <c r="L311" s="13" t="str">
        <f t="shared" si="388"/>
        <v>C0309</v>
      </c>
      <c r="M311" s="13" t="str">
        <f t="shared" si="389"/>
        <v xml:space="preserve">Котлярова Ольга Валерьевна</v>
      </c>
      <c r="N311" s="13" t="str">
        <f t="shared" si="390"/>
        <v>OK</v>
      </c>
      <c r="O311" s="19">
        <f t="shared" si="391"/>
        <v>33840</v>
      </c>
      <c r="P311" s="19">
        <f t="shared" si="392"/>
        <v>47679</v>
      </c>
      <c r="Q311" s="13">
        <f t="shared" ca="1" si="393"/>
        <v>34</v>
      </c>
      <c r="R311" s="13" t="str">
        <f t="shared" si="394"/>
        <v>OK</v>
      </c>
      <c r="S311" s="13" t="str">
        <f t="shared" si="395"/>
        <v xml:space="preserve">+7 (903) 901-23-45</v>
      </c>
      <c r="T311" s="13" t="str">
        <f t="shared" si="396"/>
        <v>kotlyarova@gmail</v>
      </c>
      <c r="U311" s="18" t="str">
        <f t="shared" si="397"/>
        <v xml:space="preserve">Ошибка Email</v>
      </c>
      <c r="V311" s="13" t="str">
        <f>IFERROR(VLOOKUP(K311,Справочники!$K$6:$L$13,2,0),K311)</f>
        <v>Кызыл</v>
      </c>
    </row>
    <row r="312" ht="15" customHeight="1">
      <c r="A312" s="10">
        <v>310</v>
      </c>
      <c r="B312" s="11" t="str">
        <f>RAW_Клиенты!A311</f>
        <v>C0310</v>
      </c>
      <c r="C312" s="11" t="str">
        <f>RAW_Клиенты!B311</f>
        <v xml:space="preserve">Неклюдов Александр Петрович</v>
      </c>
      <c r="D312" s="11" t="str">
        <f>RAW_Клиенты!C311</f>
        <v>15.10.1975</v>
      </c>
      <c r="E312" s="11" t="str">
        <f>RAW_Клиенты!D311</f>
        <v>+79039012345</v>
      </c>
      <c r="F312" s="11" t="str">
        <f>RAW_Клиенты!E311</f>
        <v>neklyudov@mail</v>
      </c>
      <c r="G312" s="11" t="str">
        <f>RAW_Клиенты!F311</f>
        <v>Калининград</v>
      </c>
      <c r="H312" s="11" t="str">
        <f>RAW_Клиенты!G311</f>
        <v>01.08.2030</v>
      </c>
      <c r="I312" s="12" t="str">
        <f t="shared" si="385"/>
        <v>79039012345</v>
      </c>
      <c r="J312" s="12" t="str">
        <f t="shared" si="386"/>
        <v>neklyudov@mail</v>
      </c>
      <c r="K312" s="12" t="str">
        <f t="shared" si="387"/>
        <v>Калининград</v>
      </c>
      <c r="L312" s="13" t="str">
        <f t="shared" si="388"/>
        <v>C0310</v>
      </c>
      <c r="M312" s="13" t="str">
        <f t="shared" si="389"/>
        <v xml:space="preserve">Неклюдов Александр Петрович</v>
      </c>
      <c r="N312" s="13" t="str">
        <f t="shared" si="390"/>
        <v>OK</v>
      </c>
      <c r="O312" s="19">
        <f t="shared" si="391"/>
        <v>27682</v>
      </c>
      <c r="P312" s="19">
        <f t="shared" si="392"/>
        <v>47696</v>
      </c>
      <c r="Q312" s="13">
        <f t="shared" ca="1" si="393"/>
        <v>50</v>
      </c>
      <c r="R312" s="13" t="str">
        <f t="shared" si="394"/>
        <v>OK</v>
      </c>
      <c r="S312" s="13" t="str">
        <f t="shared" si="395"/>
        <v xml:space="preserve">+7 (903) 901-23-45</v>
      </c>
      <c r="T312" s="13" t="str">
        <f t="shared" si="396"/>
        <v>neklyudov@mail</v>
      </c>
      <c r="U312" s="18" t="str">
        <f t="shared" si="397"/>
        <v xml:space="preserve">Ошибка Email</v>
      </c>
      <c r="V312" s="13" t="str">
        <f>IFERROR(VLOOKUP(K312,Справочники!$K$6:$L$13,2,0),K312)</f>
        <v>Калининград</v>
      </c>
    </row>
    <row r="313" ht="15" customHeight="1">
      <c r="A313" s="10">
        <v>311</v>
      </c>
      <c r="B313" s="11" t="str">
        <f>RAW_Клиенты!A312</f>
        <v>C0311</v>
      </c>
      <c r="C313" s="11" t="str">
        <f>RAW_Клиенты!B312</f>
        <v xml:space="preserve">Савченко Екатерина Алексеевна</v>
      </c>
      <c r="D313" s="11" t="str">
        <f>RAW_Клиенты!C312</f>
        <v>27.04.1987</v>
      </c>
      <c r="E313" s="11" t="str">
        <f>RAW_Клиенты!D312</f>
        <v>8-903-901-23-45</v>
      </c>
      <c r="F313" s="11" t="str">
        <f>RAW_Клиенты!E312</f>
        <v>savchenko@yandex</v>
      </c>
      <c r="G313" s="11" t="str">
        <f>RAW_Клиенты!F312</f>
        <v>Петрозаводск</v>
      </c>
      <c r="H313" s="11" t="str">
        <f>RAW_Клиенты!G312</f>
        <v>2030-08-10</v>
      </c>
      <c r="I313" s="12" t="str">
        <f t="shared" si="385"/>
        <v>89039012345</v>
      </c>
      <c r="J313" s="12" t="str">
        <f t="shared" si="386"/>
        <v>savchenko@yandex</v>
      </c>
      <c r="K313" s="12" t="str">
        <f t="shared" si="387"/>
        <v>Петрозаводск</v>
      </c>
      <c r="L313" s="13" t="str">
        <f t="shared" si="388"/>
        <v>C0311</v>
      </c>
      <c r="M313" s="13" t="str">
        <f t="shared" si="389"/>
        <v xml:space="preserve">Савченко Екатерина Алексеевна</v>
      </c>
      <c r="N313" s="13" t="str">
        <f t="shared" si="390"/>
        <v>OK</v>
      </c>
      <c r="O313" s="19">
        <f t="shared" si="391"/>
        <v>31894</v>
      </c>
      <c r="P313" s="19">
        <f t="shared" si="392"/>
        <v>47705</v>
      </c>
      <c r="Q313" s="13">
        <f t="shared" ca="1" si="393"/>
        <v>39</v>
      </c>
      <c r="R313" s="13" t="str">
        <f t="shared" si="394"/>
        <v>OK</v>
      </c>
      <c r="S313" s="13" t="str">
        <f t="shared" si="395"/>
        <v xml:space="preserve">+7 (903) 901-23-45</v>
      </c>
      <c r="T313" s="13" t="str">
        <f t="shared" si="396"/>
        <v>savchenko@yandex</v>
      </c>
      <c r="U313" s="18" t="str">
        <f t="shared" si="397"/>
        <v xml:space="preserve">Ошибка Email</v>
      </c>
      <c r="V313" s="13" t="str">
        <f>IFERROR(VLOOKUP(K313,Справочники!$K$6:$L$13,2,0),K313)</f>
        <v>Петрозаводск</v>
      </c>
    </row>
    <row r="314" ht="15" customHeight="1">
      <c r="A314" s="10">
        <v>312</v>
      </c>
      <c r="B314" s="11" t="str">
        <f>RAW_Клиенты!A313</f>
        <v>C0312</v>
      </c>
      <c r="C314" s="11" t="str">
        <f>RAW_Клиенты!B313</f>
        <v xml:space="preserve">Колесник Илья Дмитриевич</v>
      </c>
      <c r="D314" s="11" t="str">
        <f>RAW_Клиенты!C313</f>
        <v>03.12.1994</v>
      </c>
      <c r="E314" s="11" t="str">
        <f>RAW_Клиенты!D313</f>
        <v xml:space="preserve">8 903 012 34 56</v>
      </c>
      <c r="F314" s="11" t="str">
        <f>RAW_Клиенты!E313</f>
        <v>kolesnik@gmail</v>
      </c>
      <c r="G314" s="11" t="str">
        <f>RAW_Клиенты!F313</f>
        <v>Рубцовск</v>
      </c>
      <c r="H314" s="11" t="str">
        <f>RAW_Клиенты!G313</f>
        <v>10.08.2030</v>
      </c>
      <c r="I314" s="12" t="str">
        <f t="shared" si="385"/>
        <v>89030123456</v>
      </c>
      <c r="J314" s="12" t="str">
        <f t="shared" si="386"/>
        <v>kolesnik@gmail</v>
      </c>
      <c r="K314" s="12" t="str">
        <f t="shared" si="387"/>
        <v>Рубцовск</v>
      </c>
      <c r="L314" s="13" t="str">
        <f t="shared" si="388"/>
        <v>C0312</v>
      </c>
      <c r="M314" s="13" t="str">
        <f t="shared" si="389"/>
        <v xml:space="preserve">Колесник Илья Дмитриевич</v>
      </c>
      <c r="N314" s="13" t="str">
        <f t="shared" si="390"/>
        <v>OK</v>
      </c>
      <c r="O314" s="19">
        <f t="shared" si="391"/>
        <v>34671</v>
      </c>
      <c r="P314" s="19">
        <f t="shared" si="392"/>
        <v>47705</v>
      </c>
      <c r="Q314" s="13">
        <f t="shared" ca="1" si="393"/>
        <v>31</v>
      </c>
      <c r="R314" s="13" t="str">
        <f t="shared" si="394"/>
        <v>OK</v>
      </c>
      <c r="S314" s="13" t="str">
        <f t="shared" si="395"/>
        <v xml:space="preserve">+7 (903) 012-34-56</v>
      </c>
      <c r="T314" s="13" t="str">
        <f t="shared" si="396"/>
        <v>kolesnik@gmail</v>
      </c>
      <c r="U314" s="18" t="str">
        <f t="shared" si="397"/>
        <v xml:space="preserve">Ошибка Email</v>
      </c>
      <c r="V314" s="13" t="str">
        <f>IFERROR(VLOOKUP(K314,Справочники!$K$6:$L$13,2,0),K314)</f>
        <v>Рубцовск</v>
      </c>
    </row>
    <row r="315" ht="15" customHeight="1">
      <c r="A315" s="10">
        <v>313</v>
      </c>
      <c r="B315" s="11" t="str">
        <f>RAW_Клиенты!A314</f>
        <v>C0313</v>
      </c>
      <c r="C315" s="11" t="str">
        <f>RAW_Клиенты!B314</f>
        <v xml:space="preserve">Гладкова Мария Владимировна</v>
      </c>
      <c r="D315" s="11" t="str">
        <f>RAW_Клиенты!C314</f>
        <v>22.06.1978</v>
      </c>
      <c r="E315" s="11" t="str">
        <f>RAW_Клиенты!D314</f>
        <v>+79030123456</v>
      </c>
      <c r="F315" s="11" t="str">
        <f>RAW_Клиенты!E314</f>
        <v>gladkova@mail</v>
      </c>
      <c r="G315" s="11" t="str">
        <f>RAW_Клиенты!F314</f>
        <v>Элиста</v>
      </c>
      <c r="H315" s="11" t="str">
        <f>RAW_Клиенты!G314</f>
        <v>01.09.2030</v>
      </c>
      <c r="I315" s="12" t="str">
        <f t="shared" si="385"/>
        <v>79030123456</v>
      </c>
      <c r="J315" s="12" t="str">
        <f t="shared" si="386"/>
        <v>gladkova@mail</v>
      </c>
      <c r="K315" s="12" t="str">
        <f t="shared" si="387"/>
        <v>Элиста</v>
      </c>
      <c r="L315" s="13" t="str">
        <f t="shared" si="388"/>
        <v>C0313</v>
      </c>
      <c r="M315" s="13" t="str">
        <f t="shared" si="389"/>
        <v xml:space="preserve">Гладкова Мария Владимировна</v>
      </c>
      <c r="N315" s="13" t="str">
        <f t="shared" si="390"/>
        <v>OK</v>
      </c>
      <c r="O315" s="19">
        <f t="shared" si="391"/>
        <v>28663</v>
      </c>
      <c r="P315" s="19">
        <f t="shared" si="392"/>
        <v>47727</v>
      </c>
      <c r="Q315" s="13">
        <f t="shared" ca="1" si="393"/>
        <v>48</v>
      </c>
      <c r="R315" s="13" t="str">
        <f t="shared" si="394"/>
        <v>OK</v>
      </c>
      <c r="S315" s="13" t="str">
        <f t="shared" si="395"/>
        <v xml:space="preserve">+7 (903) 012-34-56</v>
      </c>
      <c r="T315" s="13" t="str">
        <f t="shared" si="396"/>
        <v>gladkova@mail</v>
      </c>
      <c r="U315" s="18" t="str">
        <f t="shared" si="397"/>
        <v xml:space="preserve">Ошибка Email</v>
      </c>
      <c r="V315" s="13" t="str">
        <f>IFERROR(VLOOKUP(K315,Справочники!$K$6:$L$13,2,0),K315)</f>
        <v>Элиста</v>
      </c>
    </row>
    <row r="316" ht="15" customHeight="1">
      <c r="A316" s="10">
        <v>314</v>
      </c>
      <c r="B316" s="11" t="str">
        <f>RAW_Клиенты!A315</f>
        <v>C0314</v>
      </c>
      <c r="C316" s="11" t="str">
        <f>RAW_Клиенты!B315</f>
        <v xml:space="preserve">Снигирев Сергей Олегович</v>
      </c>
      <c r="D316" s="11" t="str">
        <f>RAW_Клиенты!C315</f>
        <v>14.07.1983</v>
      </c>
      <c r="E316" s="11" t="str">
        <f>RAW_Клиенты!D315</f>
        <v>8-903-012-34-56</v>
      </c>
      <c r="F316" s="11" t="str">
        <f>RAW_Клиенты!E315</f>
        <v>snigirev@yandex</v>
      </c>
      <c r="G316" s="11" t="str">
        <f>RAW_Клиенты!F315</f>
        <v>Орск</v>
      </c>
      <c r="H316" s="11" t="str">
        <f>RAW_Клиенты!G315</f>
        <v>2030-09-15</v>
      </c>
      <c r="I316" s="12" t="str">
        <f t="shared" si="385"/>
        <v>89030123456</v>
      </c>
      <c r="J316" s="12" t="str">
        <f t="shared" si="386"/>
        <v>snigirev@yandex</v>
      </c>
      <c r="K316" s="12" t="str">
        <f t="shared" si="387"/>
        <v>Орск</v>
      </c>
      <c r="L316" s="13" t="str">
        <f t="shared" si="388"/>
        <v>C0314</v>
      </c>
      <c r="M316" s="13" t="str">
        <f t="shared" si="389"/>
        <v xml:space="preserve">Снигирев Сергей Олегович</v>
      </c>
      <c r="N316" s="13" t="str">
        <f t="shared" si="390"/>
        <v>OK</v>
      </c>
      <c r="O316" s="19">
        <f t="shared" si="391"/>
        <v>30511</v>
      </c>
      <c r="P316" s="19">
        <f t="shared" si="392"/>
        <v>47741</v>
      </c>
      <c r="Q316" s="13">
        <f t="shared" ca="1" si="393"/>
        <v>43</v>
      </c>
      <c r="R316" s="13" t="str">
        <f t="shared" si="394"/>
        <v>OK</v>
      </c>
      <c r="S316" s="13" t="str">
        <f t="shared" si="395"/>
        <v xml:space="preserve">+7 (903) 012-34-56</v>
      </c>
      <c r="T316" s="13" t="str">
        <f t="shared" si="396"/>
        <v>snigirev@yandex</v>
      </c>
      <c r="U316" s="18" t="str">
        <f t="shared" si="397"/>
        <v xml:space="preserve">Ошибка Email</v>
      </c>
      <c r="V316" s="13" t="str">
        <f>IFERROR(VLOOKUP(K316,Справочники!$K$6:$L$13,2,0),K316)</f>
        <v>Орск</v>
      </c>
    </row>
    <row r="317" ht="15" customHeight="1">
      <c r="A317" s="10">
        <v>315</v>
      </c>
      <c r="B317" s="11" t="str">
        <f>RAW_Клиенты!A316</f>
        <v>C0315</v>
      </c>
      <c r="C317" s="11" t="str">
        <f>RAW_Клиенты!B316</f>
        <v xml:space="preserve">Яшина Татьяна Николаевна</v>
      </c>
      <c r="D317" s="11" t="str">
        <f>RAW_Клиенты!C316</f>
        <v>19.02.1991</v>
      </c>
      <c r="E317" s="11" t="str">
        <f>RAW_Клиенты!D316</f>
        <v xml:space="preserve">8 903 123 45 67</v>
      </c>
      <c r="F317" s="11" t="str">
        <f>RAW_Клиенты!E316</f>
        <v>yashina@gmail</v>
      </c>
      <c r="G317" s="11" t="str">
        <f>RAW_Клиенты!F316</f>
        <v>Нижневартовск</v>
      </c>
      <c r="H317" s="11" t="str">
        <f>RAW_Клиенты!G316</f>
        <v>15.09.2030</v>
      </c>
      <c r="I317" s="12" t="str">
        <f t="shared" si="385"/>
        <v>89031234567</v>
      </c>
      <c r="J317" s="12" t="str">
        <f t="shared" si="386"/>
        <v>yashina@gmail</v>
      </c>
      <c r="K317" s="12" t="str">
        <f t="shared" si="387"/>
        <v>Нижневартовск</v>
      </c>
      <c r="L317" s="13" t="str">
        <f t="shared" si="388"/>
        <v>C0315</v>
      </c>
      <c r="M317" s="13" t="str">
        <f t="shared" si="389"/>
        <v xml:space="preserve">Яшина Татьяна Николаевна</v>
      </c>
      <c r="N317" s="13" t="str">
        <f t="shared" si="390"/>
        <v>OK</v>
      </c>
      <c r="O317" s="19">
        <f t="shared" si="391"/>
        <v>33288</v>
      </c>
      <c r="P317" s="19">
        <f t="shared" si="392"/>
        <v>47741</v>
      </c>
      <c r="Q317" s="13">
        <f t="shared" ca="1" si="393"/>
        <v>35</v>
      </c>
      <c r="R317" s="13" t="str">
        <f t="shared" si="394"/>
        <v>OK</v>
      </c>
      <c r="S317" s="13" t="str">
        <f t="shared" si="395"/>
        <v xml:space="preserve">+7 (903) 123-45-67</v>
      </c>
      <c r="T317" s="13" t="str">
        <f t="shared" si="396"/>
        <v>yashina@gmail</v>
      </c>
      <c r="U317" s="18" t="str">
        <f t="shared" si="397"/>
        <v xml:space="preserve">Ошибка Email</v>
      </c>
      <c r="V317" s="13" t="str">
        <f>IFERROR(VLOOKUP(K317,Справочники!$K$6:$L$13,2,0),K317)</f>
        <v>Нижневартовск</v>
      </c>
    </row>
    <row r="318" ht="15" customHeight="1">
      <c r="A318" s="10">
        <v>316</v>
      </c>
      <c r="B318" s="11" t="str">
        <f>RAW_Клиенты!A317</f>
        <v>C0316</v>
      </c>
      <c r="C318" s="11" t="str">
        <f>RAW_Клиенты!B317</f>
        <v xml:space="preserve">Суворов Алексей Александрович</v>
      </c>
      <c r="D318" s="11" t="str">
        <f>RAW_Клиенты!C317</f>
        <v>06.11.1976</v>
      </c>
      <c r="E318" s="11" t="str">
        <f>RAW_Клиенты!D317</f>
        <v>+79031234567</v>
      </c>
      <c r="F318" s="11" t="str">
        <f>RAW_Клиенты!E317</f>
        <v>suvorov@mail</v>
      </c>
      <c r="G318" s="11" t="str">
        <f>RAW_Клиенты!F317</f>
        <v>Новороссийск</v>
      </c>
      <c r="H318" s="11" t="str">
        <f>RAW_Клиенты!G317</f>
        <v>01.10.2030</v>
      </c>
      <c r="I318" s="12" t="str">
        <f t="shared" si="385"/>
        <v>79031234567</v>
      </c>
      <c r="J318" s="12" t="str">
        <f t="shared" si="386"/>
        <v>suvorov@mail</v>
      </c>
      <c r="K318" s="12" t="str">
        <f t="shared" si="387"/>
        <v>Новороссийск</v>
      </c>
      <c r="L318" s="13" t="str">
        <f t="shared" si="388"/>
        <v>C0316</v>
      </c>
      <c r="M318" s="13" t="str">
        <f t="shared" si="389"/>
        <v xml:space="preserve">Суворов Алексей Александрович</v>
      </c>
      <c r="N318" s="13" t="str">
        <f t="shared" si="390"/>
        <v>OK</v>
      </c>
      <c r="O318" s="19">
        <f t="shared" si="391"/>
        <v>28070</v>
      </c>
      <c r="P318" s="19">
        <f t="shared" si="392"/>
        <v>47757</v>
      </c>
      <c r="Q318" s="13">
        <f t="shared" ca="1" si="393"/>
        <v>49</v>
      </c>
      <c r="R318" s="13" t="str">
        <f t="shared" si="394"/>
        <v>OK</v>
      </c>
      <c r="S318" s="13" t="str">
        <f t="shared" si="395"/>
        <v xml:space="preserve">+7 (903) 123-45-67</v>
      </c>
      <c r="T318" s="13" t="str">
        <f t="shared" si="396"/>
        <v>suvorov@mail</v>
      </c>
      <c r="U318" s="18" t="str">
        <f t="shared" si="397"/>
        <v xml:space="preserve">Ошибка Email</v>
      </c>
      <c r="V318" s="13" t="str">
        <f>IFERROR(VLOOKUP(K318,Справочники!$K$6:$L$13,2,0),K318)</f>
        <v>Новороссийск</v>
      </c>
    </row>
    <row r="319" ht="15" customHeight="1">
      <c r="A319" s="10">
        <v>317</v>
      </c>
      <c r="B319" s="11" t="str">
        <f>RAW_Клиенты!A318</f>
        <v>C0317</v>
      </c>
      <c r="C319" s="11" t="str">
        <f>RAW_Клиенты!B318</f>
        <v xml:space="preserve">Бабенко Инна Олеговна</v>
      </c>
      <c r="D319" s="11" t="str">
        <f>RAW_Клиенты!C318</f>
        <v>28.09.1984</v>
      </c>
      <c r="E319" s="11" t="str">
        <f>RAW_Клиенты!D318</f>
        <v>8-903-123-45-67</v>
      </c>
      <c r="F319" s="11" t="str">
        <f>RAW_Клиенты!E318</f>
        <v>babenko@yandex</v>
      </c>
      <c r="G319" s="11" t="str">
        <f>RAW_Клиенты!F318</f>
        <v>Химки</v>
      </c>
      <c r="H319" s="11" t="str">
        <f>RAW_Клиенты!G318</f>
        <v>2030-10-10</v>
      </c>
      <c r="I319" s="12" t="str">
        <f t="shared" si="385"/>
        <v>89031234567</v>
      </c>
      <c r="J319" s="12" t="str">
        <f t="shared" si="386"/>
        <v>babenko@yandex</v>
      </c>
      <c r="K319" s="12" t="str">
        <f t="shared" si="387"/>
        <v>Химки</v>
      </c>
      <c r="L319" s="13" t="str">
        <f t="shared" si="388"/>
        <v>C0317</v>
      </c>
      <c r="M319" s="13" t="str">
        <f t="shared" si="389"/>
        <v xml:space="preserve">Бабенко Инна Олеговна</v>
      </c>
      <c r="N319" s="13" t="str">
        <f t="shared" si="390"/>
        <v>OK</v>
      </c>
      <c r="O319" s="19">
        <f t="shared" si="391"/>
        <v>30953</v>
      </c>
      <c r="P319" s="19">
        <f t="shared" si="392"/>
        <v>47766</v>
      </c>
      <c r="Q319" s="13">
        <f t="shared" ca="1" si="393"/>
        <v>41</v>
      </c>
      <c r="R319" s="13" t="str">
        <f t="shared" si="394"/>
        <v>OK</v>
      </c>
      <c r="S319" s="13" t="str">
        <f t="shared" si="395"/>
        <v xml:space="preserve">+7 (903) 123-45-67</v>
      </c>
      <c r="T319" s="13" t="str">
        <f t="shared" si="396"/>
        <v>babenko@yandex</v>
      </c>
      <c r="U319" s="18" t="str">
        <f t="shared" si="397"/>
        <v xml:space="preserve">Ошибка Email</v>
      </c>
      <c r="V319" s="13" t="str">
        <f>IFERROR(VLOOKUP(K319,Справочники!$K$6:$L$13,2,0),K319)</f>
        <v>Химки</v>
      </c>
    </row>
    <row r="320" ht="15" customHeight="1">
      <c r="A320" s="10">
        <v>318</v>
      </c>
      <c r="B320" s="11" t="str">
        <f>RAW_Клиенты!A319</f>
        <v>C0318</v>
      </c>
      <c r="C320" s="11" t="str">
        <f>RAW_Клиенты!B319</f>
        <v xml:space="preserve">Кислов Денис Павлович</v>
      </c>
      <c r="D320" s="11" t="str">
        <f>RAW_Клиенты!C319</f>
        <v>17.12.1970</v>
      </c>
      <c r="E320" s="11" t="str">
        <f>RAW_Клиенты!D319</f>
        <v xml:space="preserve">8 903 234 56 78</v>
      </c>
      <c r="F320" s="11" t="str">
        <f>RAW_Клиенты!E319</f>
        <v>kislov@gmail</v>
      </c>
      <c r="G320" s="11" t="str">
        <f>RAW_Клиенты!F319</f>
        <v>Подольск</v>
      </c>
      <c r="H320" s="11" t="str">
        <f>RAW_Клиенты!G319</f>
        <v>10.10.2030</v>
      </c>
      <c r="I320" s="12" t="str">
        <f t="shared" si="385"/>
        <v>89032345678</v>
      </c>
      <c r="J320" s="12" t="str">
        <f t="shared" si="386"/>
        <v>kislov@gmail</v>
      </c>
      <c r="K320" s="12" t="str">
        <f t="shared" si="387"/>
        <v>Подольск</v>
      </c>
      <c r="L320" s="13" t="str">
        <f t="shared" si="388"/>
        <v>C0318</v>
      </c>
      <c r="M320" s="13" t="str">
        <f t="shared" si="389"/>
        <v xml:space="preserve">Кислов Денис Павлович</v>
      </c>
      <c r="N320" s="13" t="str">
        <f t="shared" si="390"/>
        <v>OK</v>
      </c>
      <c r="O320" s="19">
        <f t="shared" si="391"/>
        <v>25919</v>
      </c>
      <c r="P320" s="19">
        <f t="shared" si="392"/>
        <v>47766</v>
      </c>
      <c r="Q320" s="13">
        <f t="shared" ca="1" si="393"/>
        <v>55</v>
      </c>
      <c r="R320" s="13" t="str">
        <f t="shared" si="394"/>
        <v>OK</v>
      </c>
      <c r="S320" s="13" t="str">
        <f t="shared" si="395"/>
        <v xml:space="preserve">+7 (903) 234-56-78</v>
      </c>
      <c r="T320" s="13" t="str">
        <f t="shared" si="396"/>
        <v>kislov@gmail</v>
      </c>
      <c r="U320" s="18" t="str">
        <f t="shared" si="397"/>
        <v xml:space="preserve">Ошибка Email</v>
      </c>
      <c r="V320" s="13" t="str">
        <f>IFERROR(VLOOKUP(K320,Справочники!$K$6:$L$13,2,0),K320)</f>
        <v>Подольск</v>
      </c>
    </row>
    <row r="321" ht="15" customHeight="1">
      <c r="A321" s="10">
        <v>319</v>
      </c>
      <c r="B321" s="11" t="str">
        <f>RAW_Клиенты!A320</f>
        <v>C0319</v>
      </c>
      <c r="C321" s="11" t="str">
        <f>RAW_Клиенты!B320</f>
        <v xml:space="preserve">Серикова Ольга Михайловна</v>
      </c>
      <c r="D321" s="11" t="str">
        <f>RAW_Клиенты!C320</f>
        <v>05.05.1988</v>
      </c>
      <c r="E321" s="11" t="str">
        <f>RAW_Клиенты!D320</f>
        <v>+79032345678</v>
      </c>
      <c r="F321" s="11" t="str">
        <f>RAW_Клиенты!E320</f>
        <v>serikova@mail</v>
      </c>
      <c r="G321" s="11" t="str">
        <f>RAW_Клиенты!F320</f>
        <v>Балашиха</v>
      </c>
      <c r="H321" s="11" t="str">
        <f>RAW_Клиенты!G320</f>
        <v>01.11.2030</v>
      </c>
      <c r="I321" s="12" t="str">
        <f t="shared" si="385"/>
        <v>79032345678</v>
      </c>
      <c r="J321" s="12" t="str">
        <f t="shared" si="386"/>
        <v>serikova@mail</v>
      </c>
      <c r="K321" s="12" t="str">
        <f t="shared" si="387"/>
        <v>Балашиха</v>
      </c>
      <c r="L321" s="13" t="str">
        <f t="shared" si="388"/>
        <v>C0319</v>
      </c>
      <c r="M321" s="13" t="str">
        <f t="shared" si="389"/>
        <v xml:space="preserve">Серикова Ольга Михайловна</v>
      </c>
      <c r="N321" s="13" t="str">
        <f t="shared" si="390"/>
        <v>OK</v>
      </c>
      <c r="O321" s="19">
        <f t="shared" si="391"/>
        <v>32268</v>
      </c>
      <c r="P321" s="19">
        <f t="shared" si="392"/>
        <v>47788</v>
      </c>
      <c r="Q321" s="13">
        <f t="shared" ca="1" si="393"/>
        <v>38</v>
      </c>
      <c r="R321" s="13" t="str">
        <f t="shared" si="394"/>
        <v>OK</v>
      </c>
      <c r="S321" s="13" t="str">
        <f t="shared" si="395"/>
        <v xml:space="preserve">+7 (903) 234-56-78</v>
      </c>
      <c r="T321" s="13" t="str">
        <f t="shared" si="396"/>
        <v>serikova@mail</v>
      </c>
      <c r="U321" s="18" t="str">
        <f t="shared" si="397"/>
        <v xml:space="preserve">Ошибка Email</v>
      </c>
      <c r="V321" s="13" t="str">
        <f>IFERROR(VLOOKUP(K321,Справочники!$K$6:$L$13,2,0),K321)</f>
        <v>Балашиха</v>
      </c>
    </row>
    <row r="322" ht="15" customHeight="1">
      <c r="A322" s="10">
        <v>320</v>
      </c>
      <c r="B322" s="11" t="str">
        <f>RAW_Клиенты!A321</f>
        <v>C0320</v>
      </c>
      <c r="C322" s="11" t="str">
        <f>RAW_Клиенты!B321</f>
        <v xml:space="preserve">Мокрушин Илья Валентинович</v>
      </c>
      <c r="D322" s="11" t="str">
        <f>RAW_Клиенты!C321</f>
        <v>23.08.1993</v>
      </c>
      <c r="E322" s="11" t="str">
        <f>RAW_Клиенты!D321</f>
        <v>8-903-234-56-78</v>
      </c>
      <c r="F322" s="11" t="str">
        <f>RAW_Клиенты!E321</f>
        <v>mokrushin@yandex</v>
      </c>
      <c r="G322" s="11" t="str">
        <f>RAW_Клиенты!F321</f>
        <v>Сургут</v>
      </c>
      <c r="H322" s="11" t="str">
        <f>RAW_Клиенты!G321</f>
        <v>2030-11-15</v>
      </c>
      <c r="I322" s="12" t="str">
        <f t="shared" si="385"/>
        <v>89032345678</v>
      </c>
      <c r="J322" s="12" t="str">
        <f t="shared" si="386"/>
        <v>mokrushin@yandex</v>
      </c>
      <c r="K322" s="12" t="str">
        <f t="shared" si="387"/>
        <v>Сургут</v>
      </c>
      <c r="L322" s="13" t="str">
        <f t="shared" si="388"/>
        <v>C0320</v>
      </c>
      <c r="M322" s="13" t="str">
        <f t="shared" si="389"/>
        <v xml:space="preserve">Мокрушин Илья Валентинович</v>
      </c>
      <c r="N322" s="13" t="str">
        <f t="shared" si="390"/>
        <v>OK</v>
      </c>
      <c r="O322" s="19">
        <f t="shared" si="391"/>
        <v>34204</v>
      </c>
      <c r="P322" s="19">
        <f t="shared" si="392"/>
        <v>47802</v>
      </c>
      <c r="Q322" s="13">
        <f t="shared" ca="1" si="393"/>
        <v>33</v>
      </c>
      <c r="R322" s="13" t="str">
        <f t="shared" si="394"/>
        <v>OK</v>
      </c>
      <c r="S322" s="13" t="str">
        <f t="shared" si="395"/>
        <v xml:space="preserve">+7 (903) 234-56-78</v>
      </c>
      <c r="T322" s="13" t="str">
        <f t="shared" si="396"/>
        <v>mokrushin@yandex</v>
      </c>
      <c r="U322" s="18" t="str">
        <f t="shared" si="397"/>
        <v xml:space="preserve">Ошибка Email</v>
      </c>
      <c r="V322" s="13" t="str">
        <f>IFERROR(VLOOKUP(K322,Справочники!$K$6:$L$13,2,0),K322)</f>
        <v>Сургут</v>
      </c>
    </row>
    <row r="323" ht="15" customHeight="1">
      <c r="A323" s="10">
        <v>321</v>
      </c>
      <c r="B323" s="11" t="str">
        <f>RAW_Клиенты!A322</f>
        <v>C0321</v>
      </c>
      <c r="C323" s="11" t="str">
        <f>RAW_Клиенты!B322</f>
        <v xml:space="preserve">Гуреева Елена Александровна</v>
      </c>
      <c r="D323" s="11" t="str">
        <f>RAW_Клиенты!C322</f>
        <v>13.03.1977</v>
      </c>
      <c r="E323" s="11" t="str">
        <f>RAW_Клиенты!D322</f>
        <v xml:space="preserve">8 903 345 67 89</v>
      </c>
      <c r="F323" s="11" t="str">
        <f>RAW_Клиенты!E322</f>
        <v>gureeva@gmail</v>
      </c>
      <c r="G323" s="11" t="str">
        <f>RAW_Клиенты!F322</f>
        <v>Армавир</v>
      </c>
      <c r="H323" s="11" t="str">
        <f>RAW_Клиенты!G322</f>
        <v>15.11.2030</v>
      </c>
      <c r="I323" s="12" t="str">
        <f t="shared" si="385"/>
        <v>89033456789</v>
      </c>
      <c r="J323" s="12" t="str">
        <f t="shared" si="386"/>
        <v>gureeva@gmail</v>
      </c>
      <c r="K323" s="12" t="str">
        <f t="shared" si="387"/>
        <v>Армавир</v>
      </c>
      <c r="L323" s="13" t="str">
        <f t="shared" si="388"/>
        <v>C0321</v>
      </c>
      <c r="M323" s="13" t="str">
        <f t="shared" si="389"/>
        <v xml:space="preserve">Гуреева Елена Александровна</v>
      </c>
      <c r="N323" s="13" t="str">
        <f t="shared" si="390"/>
        <v>OK</v>
      </c>
      <c r="O323" s="19">
        <f t="shared" si="391"/>
        <v>28197</v>
      </c>
      <c r="P323" s="19">
        <f t="shared" si="392"/>
        <v>47802</v>
      </c>
      <c r="Q323" s="13">
        <f t="shared" ca="1" si="393"/>
        <v>49</v>
      </c>
      <c r="R323" s="13" t="str">
        <f t="shared" si="394"/>
        <v>OK</v>
      </c>
      <c r="S323" s="13" t="str">
        <f t="shared" si="395"/>
        <v xml:space="preserve">+7 (903) 345-67-89</v>
      </c>
      <c r="T323" s="13" t="str">
        <f t="shared" si="396"/>
        <v>gureeva@gmail</v>
      </c>
      <c r="U323" s="18" t="str">
        <f t="shared" si="397"/>
        <v xml:space="preserve">Ошибка Email</v>
      </c>
      <c r="V323" s="13" t="str">
        <f>IFERROR(VLOOKUP(K323,Справочники!$K$6:$L$13,2,0),K323)</f>
        <v>Армавир</v>
      </c>
    </row>
    <row r="324" ht="15" customHeight="1">
      <c r="A324" s="10">
        <v>322</v>
      </c>
      <c r="B324" s="11" t="str">
        <f>RAW_Клиенты!A323</f>
        <v>C0322</v>
      </c>
      <c r="C324" s="11" t="str">
        <f>RAW_Клиенты!B323</f>
        <v xml:space="preserve">Синицын Виталий Олегович</v>
      </c>
      <c r="D324" s="11" t="str">
        <f>RAW_Клиенты!C323</f>
        <v>20.10.1981</v>
      </c>
      <c r="E324" s="11" t="str">
        <f>RAW_Клиенты!D323</f>
        <v>+79033456789</v>
      </c>
      <c r="F324" s="11" t="str">
        <f>RAW_Клиенты!E323</f>
        <v>sinitsin@mail</v>
      </c>
      <c r="G324" s="11" t="str">
        <f>RAW_Клиенты!F323</f>
        <v>Волжский</v>
      </c>
      <c r="H324" s="11" t="str">
        <f>RAW_Клиенты!G323</f>
        <v>01.12.2030</v>
      </c>
      <c r="I324" s="12" t="str">
        <f t="shared" si="385"/>
        <v>79033456789</v>
      </c>
      <c r="J324" s="12" t="str">
        <f t="shared" si="386"/>
        <v>sinitsin@mail</v>
      </c>
      <c r="K324" s="12" t="str">
        <f t="shared" si="387"/>
        <v>Волжский</v>
      </c>
      <c r="L324" s="13" t="str">
        <f t="shared" si="388"/>
        <v>C0322</v>
      </c>
      <c r="M324" s="13" t="str">
        <f t="shared" si="389"/>
        <v xml:space="preserve">Синицын Виталий Олегович</v>
      </c>
      <c r="N324" s="13" t="str">
        <f t="shared" si="390"/>
        <v>OK</v>
      </c>
      <c r="O324" s="19">
        <f t="shared" si="391"/>
        <v>29879</v>
      </c>
      <c r="P324" s="19">
        <f t="shared" si="392"/>
        <v>47818</v>
      </c>
      <c r="Q324" s="13">
        <f t="shared" ca="1" si="393"/>
        <v>44</v>
      </c>
      <c r="R324" s="13" t="str">
        <f t="shared" si="394"/>
        <v>OK</v>
      </c>
      <c r="S324" s="13" t="str">
        <f t="shared" si="395"/>
        <v xml:space="preserve">+7 (903) 345-67-89</v>
      </c>
      <c r="T324" s="13" t="str">
        <f t="shared" si="396"/>
        <v>sinitsin@mail</v>
      </c>
      <c r="U324" s="18" t="str">
        <f t="shared" si="397"/>
        <v xml:space="preserve">Ошибка Email</v>
      </c>
      <c r="V324" s="13" t="str">
        <f>IFERROR(VLOOKUP(K324,Справочники!$K$6:$L$13,2,0),K324)</f>
        <v>Волжский</v>
      </c>
    </row>
    <row r="325" ht="15" customHeight="1">
      <c r="A325" s="10">
        <v>323</v>
      </c>
      <c r="B325" s="11" t="str">
        <f>RAW_Клиенты!A324</f>
        <v>C0323</v>
      </c>
      <c r="C325" s="11" t="str">
        <f>RAW_Клиенты!B324</f>
        <v xml:space="preserve">Чернова Анна Игоревна</v>
      </c>
      <c r="D325" s="11" t="str">
        <f>RAW_Клиенты!C324</f>
        <v>18.01.1990</v>
      </c>
      <c r="E325" s="11" t="str">
        <f>RAW_Клиенты!D324</f>
        <v>8-903-345-67-89</v>
      </c>
      <c r="F325" s="11" t="str">
        <f>RAW_Клиенты!E324</f>
        <v>chernova@yandex</v>
      </c>
      <c r="G325" s="11" t="str">
        <f>RAW_Клиенты!F324</f>
        <v>Шахты</v>
      </c>
      <c r="H325" s="11" t="str">
        <f>RAW_Клиенты!G324</f>
        <v>2030-12-10</v>
      </c>
      <c r="I325" s="12" t="str">
        <f t="shared" si="385"/>
        <v>89033456789</v>
      </c>
      <c r="J325" s="12" t="str">
        <f t="shared" si="386"/>
        <v>chernova@yandex</v>
      </c>
      <c r="K325" s="12" t="str">
        <f t="shared" si="387"/>
        <v>Шахты</v>
      </c>
      <c r="L325" s="13" t="str">
        <f t="shared" si="388"/>
        <v>C0323</v>
      </c>
      <c r="M325" s="13" t="str">
        <f t="shared" si="389"/>
        <v xml:space="preserve">Чернова Анна Игоревна</v>
      </c>
      <c r="N325" s="13" t="str">
        <f t="shared" si="390"/>
        <v>OK</v>
      </c>
      <c r="O325" s="19">
        <f t="shared" si="391"/>
        <v>32891</v>
      </c>
      <c r="P325" s="19">
        <f t="shared" si="392"/>
        <v>47827</v>
      </c>
      <c r="Q325" s="13">
        <f t="shared" ca="1" si="393"/>
        <v>36</v>
      </c>
      <c r="R325" s="13" t="str">
        <f t="shared" si="394"/>
        <v>OK</v>
      </c>
      <c r="S325" s="13" t="str">
        <f t="shared" si="395"/>
        <v xml:space="preserve">+7 (903) 345-67-89</v>
      </c>
      <c r="T325" s="13" t="str">
        <f t="shared" si="396"/>
        <v>chernova@yandex</v>
      </c>
      <c r="U325" s="18" t="str">
        <f t="shared" si="397"/>
        <v xml:space="preserve">Ошибка Email</v>
      </c>
      <c r="V325" s="13" t="str">
        <f>IFERROR(VLOOKUP(K325,Справочники!$K$6:$L$13,2,0),K325)</f>
        <v>Шахты</v>
      </c>
    </row>
    <row r="326" ht="15" customHeight="1">
      <c r="A326" s="10">
        <v>324</v>
      </c>
      <c r="B326" s="11" t="str">
        <f>RAW_Клиенты!A325</f>
        <v>C0324</v>
      </c>
      <c r="C326" s="11" t="str">
        <f>RAW_Клиенты!B325</f>
        <v xml:space="preserve">Ширяев Андрей Викторович</v>
      </c>
      <c r="D326" s="11" t="str">
        <f>RAW_Клиенты!C325</f>
        <v>07.06.1974</v>
      </c>
      <c r="E326" s="11" t="str">
        <f>RAW_Клиенты!D325</f>
        <v xml:space="preserve">8 903 456 78 90</v>
      </c>
      <c r="F326" s="11" t="str">
        <f>RAW_Клиенты!E325</f>
        <v>shiryaev@gmail</v>
      </c>
      <c r="G326" s="11" t="str">
        <f>RAW_Клиенты!F325</f>
        <v>Златоуст</v>
      </c>
      <c r="H326" s="11" t="str">
        <f>RAW_Клиенты!G325</f>
        <v>10.12.2030</v>
      </c>
      <c r="I326" s="12" t="str">
        <f t="shared" si="385"/>
        <v>89034567890</v>
      </c>
      <c r="J326" s="12" t="str">
        <f t="shared" si="386"/>
        <v>shiryaev@gmail</v>
      </c>
      <c r="K326" s="12" t="str">
        <f t="shared" si="387"/>
        <v>Златоуст</v>
      </c>
      <c r="L326" s="13" t="str">
        <f t="shared" si="388"/>
        <v>C0324</v>
      </c>
      <c r="M326" s="13" t="str">
        <f t="shared" si="389"/>
        <v xml:space="preserve">Ширяев Андрей Викторович</v>
      </c>
      <c r="N326" s="13" t="str">
        <f t="shared" si="390"/>
        <v>OK</v>
      </c>
      <c r="O326" s="19">
        <f t="shared" si="391"/>
        <v>27187</v>
      </c>
      <c r="P326" s="19">
        <f t="shared" si="392"/>
        <v>47827</v>
      </c>
      <c r="Q326" s="13">
        <f t="shared" ca="1" si="393"/>
        <v>52</v>
      </c>
      <c r="R326" s="13" t="str">
        <f t="shared" si="394"/>
        <v>OK</v>
      </c>
      <c r="S326" s="13" t="str">
        <f t="shared" si="395"/>
        <v xml:space="preserve">+7 (903) 456-78-90</v>
      </c>
      <c r="T326" s="13" t="str">
        <f t="shared" si="396"/>
        <v>shiryaev@gmail</v>
      </c>
      <c r="U326" s="18" t="str">
        <f t="shared" si="397"/>
        <v xml:space="preserve">Ошибка Email</v>
      </c>
      <c r="V326" s="13" t="str">
        <f>IFERROR(VLOOKUP(K326,Справочники!$K$6:$L$13,2,0),K326)</f>
        <v>Златоуст</v>
      </c>
    </row>
    <row r="327" ht="15" customHeight="1">
      <c r="A327" s="10">
        <v>325</v>
      </c>
      <c r="B327" s="11" t="str">
        <f>RAW_Клиенты!A326</f>
        <v>C0325</v>
      </c>
      <c r="C327" s="11" t="str">
        <f>RAW_Клиенты!B326</f>
        <v xml:space="preserve">Казанцев Дмитрий Сергеевич</v>
      </c>
      <c r="D327" s="11" t="str">
        <f>RAW_Клиенты!C326</f>
        <v>26.09.1986</v>
      </c>
      <c r="E327" s="11" t="str">
        <f>RAW_Клиенты!D326</f>
        <v>+79034567890</v>
      </c>
      <c r="F327" s="11" t="str">
        <f>RAW_Клиенты!E326</f>
        <v>kazantsev@mail</v>
      </c>
      <c r="G327" s="11" t="str">
        <f>RAW_Клиенты!F326</f>
        <v>Ангарск</v>
      </c>
      <c r="H327" s="11" t="str">
        <f>RAW_Клиенты!G326</f>
        <v>01.01.2031</v>
      </c>
      <c r="I327" s="12" t="str">
        <f t="shared" si="385"/>
        <v>79034567890</v>
      </c>
      <c r="J327" s="12" t="str">
        <f t="shared" si="386"/>
        <v>kazantsev@mail</v>
      </c>
      <c r="K327" s="12" t="str">
        <f t="shared" si="387"/>
        <v>Ангарск</v>
      </c>
      <c r="L327" s="13" t="str">
        <f t="shared" si="388"/>
        <v>C0325</v>
      </c>
      <c r="M327" s="13" t="str">
        <f t="shared" si="389"/>
        <v xml:space="preserve">Казанцев Дмитрий Сергеевич</v>
      </c>
      <c r="N327" s="13" t="str">
        <f t="shared" si="390"/>
        <v>OK</v>
      </c>
      <c r="O327" s="19">
        <f t="shared" si="391"/>
        <v>31681</v>
      </c>
      <c r="P327" s="19">
        <f t="shared" si="392"/>
        <v>47849</v>
      </c>
      <c r="Q327" s="13">
        <f t="shared" ca="1" si="393"/>
        <v>39</v>
      </c>
      <c r="R327" s="13" t="str">
        <f t="shared" si="394"/>
        <v>OK</v>
      </c>
      <c r="S327" s="13" t="str">
        <f t="shared" si="395"/>
        <v xml:space="preserve">+7 (903) 456-78-90</v>
      </c>
      <c r="T327" s="13" t="str">
        <f t="shared" si="396"/>
        <v>kazantsev@mail</v>
      </c>
      <c r="U327" s="18" t="str">
        <f t="shared" si="397"/>
        <v xml:space="preserve">Ошибка Email</v>
      </c>
      <c r="V327" s="13" t="str">
        <f>IFERROR(VLOOKUP(K327,Справочники!$K$6:$L$13,2,0),K327)</f>
        <v>Ангарск</v>
      </c>
    </row>
    <row r="328" ht="15" customHeight="1">
      <c r="A328" s="10">
        <v>326</v>
      </c>
      <c r="B328" s="11" t="str">
        <f>RAW_Клиенты!A327</f>
        <v>C0326</v>
      </c>
      <c r="C328" s="11" t="str">
        <f>RAW_Клиенты!B327</f>
        <v xml:space="preserve">Медведев Артем Павлович</v>
      </c>
      <c r="D328" s="11" t="str">
        <f>RAW_Клиенты!C327</f>
        <v>14.12.1992</v>
      </c>
      <c r="E328" s="11" t="str">
        <f>RAW_Клиенты!D327</f>
        <v>8-903-456-78-90</v>
      </c>
      <c r="F328" s="11" t="str">
        <f>RAW_Клиенты!E327</f>
        <v>medvedev@yandex</v>
      </c>
      <c r="G328" s="11" t="str">
        <f>RAW_Клиенты!F327</f>
        <v>Озёрск</v>
      </c>
      <c r="H328" s="11" t="str">
        <f>RAW_Клиенты!G327</f>
        <v>2031-01-15</v>
      </c>
      <c r="I328" s="12" t="str">
        <f t="shared" si="385"/>
        <v>89034567890</v>
      </c>
      <c r="J328" s="12" t="str">
        <f t="shared" si="386"/>
        <v>medvedev@yandex</v>
      </c>
      <c r="K328" s="12" t="str">
        <f t="shared" si="387"/>
        <v>Озёрск</v>
      </c>
      <c r="L328" s="13" t="str">
        <f t="shared" si="388"/>
        <v>C0326</v>
      </c>
      <c r="M328" s="13" t="str">
        <f t="shared" si="389"/>
        <v xml:space="preserve">Медведев Артем Павлович</v>
      </c>
      <c r="N328" s="13" t="str">
        <f t="shared" si="390"/>
        <v>OK</v>
      </c>
      <c r="O328" s="19">
        <f t="shared" si="391"/>
        <v>33952</v>
      </c>
      <c r="P328" s="19">
        <f t="shared" si="392"/>
        <v>47863</v>
      </c>
      <c r="Q328" s="13">
        <f t="shared" ca="1" si="393"/>
        <v>33</v>
      </c>
      <c r="R328" s="13" t="str">
        <f t="shared" si="394"/>
        <v>OK</v>
      </c>
      <c r="S328" s="13" t="str">
        <f t="shared" si="395"/>
        <v xml:space="preserve">+7 (903) 456-78-90</v>
      </c>
      <c r="T328" s="13" t="str">
        <f t="shared" si="396"/>
        <v>medvedev@yandex</v>
      </c>
      <c r="U328" s="18" t="str">
        <f t="shared" si="397"/>
        <v xml:space="preserve">Ошибка Email</v>
      </c>
      <c r="V328" s="13" t="str">
        <f>IFERROR(VLOOKUP(K328,Справочники!$K$6:$L$13,2,0),K328)</f>
        <v>Озёрск</v>
      </c>
    </row>
    <row r="329" ht="15" customHeight="1">
      <c r="A329" s="10">
        <v>327</v>
      </c>
      <c r="B329" s="11" t="str">
        <f>RAW_Клиенты!A328</f>
        <v>C0327</v>
      </c>
      <c r="C329" s="11" t="str">
        <f>RAW_Клиенты!B328</f>
        <v xml:space="preserve">Широкова Светлана Николаевна</v>
      </c>
      <c r="D329" s="11" t="str">
        <f>RAW_Клиенты!C328</f>
        <v>09.04.1978</v>
      </c>
      <c r="E329" s="11" t="str">
        <f>RAW_Клиенты!D328</f>
        <v xml:space="preserve">8 903 567 89 01</v>
      </c>
      <c r="F329" s="11" t="str">
        <f>RAW_Клиенты!E328</f>
        <v>shirokova@gmail</v>
      </c>
      <c r="G329" s="11" t="str">
        <f>RAW_Клиенты!F328</f>
        <v>Орел</v>
      </c>
      <c r="H329" s="11" t="str">
        <f>RAW_Клиенты!G328</f>
        <v>15.01.2031</v>
      </c>
      <c r="I329" s="12" t="str">
        <f t="shared" si="385"/>
        <v>89035678901</v>
      </c>
      <c r="J329" s="12" t="str">
        <f t="shared" si="386"/>
        <v>shirokova@gmail</v>
      </c>
      <c r="K329" s="12" t="str">
        <f t="shared" si="387"/>
        <v>Орел</v>
      </c>
      <c r="L329" s="13" t="str">
        <f t="shared" si="388"/>
        <v>C0327</v>
      </c>
      <c r="M329" s="13" t="str">
        <f t="shared" si="389"/>
        <v xml:space="preserve">Широкова Светлана Николаевна</v>
      </c>
      <c r="N329" s="13" t="str">
        <f t="shared" si="390"/>
        <v>OK</v>
      </c>
      <c r="O329" s="19">
        <f t="shared" si="391"/>
        <v>28589</v>
      </c>
      <c r="P329" s="19">
        <f t="shared" si="392"/>
        <v>47863</v>
      </c>
      <c r="Q329" s="13">
        <f t="shared" ca="1" si="393"/>
        <v>48</v>
      </c>
      <c r="R329" s="13" t="str">
        <f t="shared" si="394"/>
        <v>OK</v>
      </c>
      <c r="S329" s="13" t="str">
        <f t="shared" si="395"/>
        <v xml:space="preserve">+7 (903) 567-89-01</v>
      </c>
      <c r="T329" s="13" t="str">
        <f t="shared" si="396"/>
        <v>shirokova@gmail</v>
      </c>
      <c r="U329" s="18" t="str">
        <f t="shared" si="397"/>
        <v xml:space="preserve">Ошибка Email</v>
      </c>
      <c r="V329" s="13" t="str">
        <f>IFERROR(VLOOKUP(K329,Справочники!$K$6:$L$13,2,0),K329)</f>
        <v>Орел</v>
      </c>
    </row>
    <row r="330" ht="15" customHeight="1">
      <c r="A330" s="10">
        <v>328</v>
      </c>
      <c r="B330" s="11" t="str">
        <f>RAW_Клиенты!A329</f>
        <v>C0328</v>
      </c>
      <c r="C330" s="11" t="str">
        <f>RAW_Клиенты!B329</f>
        <v xml:space="preserve">Анищенко Владимир Игоревич</v>
      </c>
      <c r="D330" s="11" t="str">
        <f>RAW_Клиенты!C329</f>
        <v>23.08.1983</v>
      </c>
      <c r="E330" s="11" t="str">
        <f>RAW_Клиенты!D329</f>
        <v>+79035678901</v>
      </c>
      <c r="F330" s="11" t="str">
        <f>RAW_Клиенты!E329</f>
        <v>anischenko@mail</v>
      </c>
      <c r="G330" s="11" t="str">
        <f>RAW_Клиенты!F329</f>
        <v>Магнитогорск</v>
      </c>
      <c r="H330" s="11" t="str">
        <f>RAW_Клиенты!G329</f>
        <v>01.02.2031</v>
      </c>
      <c r="I330" s="12" t="str">
        <f t="shared" si="385"/>
        <v>79035678901</v>
      </c>
      <c r="J330" s="12" t="str">
        <f t="shared" si="386"/>
        <v>anischenko@mail</v>
      </c>
      <c r="K330" s="12" t="str">
        <f t="shared" si="387"/>
        <v>Магнитогорск</v>
      </c>
      <c r="L330" s="13" t="str">
        <f t="shared" si="388"/>
        <v>C0328</v>
      </c>
      <c r="M330" s="13" t="str">
        <f t="shared" si="389"/>
        <v xml:space="preserve">Анищенко Владимир Игоревич</v>
      </c>
      <c r="N330" s="13" t="str">
        <f t="shared" si="390"/>
        <v>OK</v>
      </c>
      <c r="O330" s="19">
        <f t="shared" si="391"/>
        <v>30551</v>
      </c>
      <c r="P330" s="19">
        <f t="shared" si="392"/>
        <v>47880</v>
      </c>
      <c r="Q330" s="13">
        <f t="shared" ca="1" si="393"/>
        <v>43</v>
      </c>
      <c r="R330" s="13" t="str">
        <f t="shared" si="394"/>
        <v>OK</v>
      </c>
      <c r="S330" s="13" t="str">
        <f t="shared" si="395"/>
        <v xml:space="preserve">+7 (903) 567-89-01</v>
      </c>
      <c r="T330" s="13" t="str">
        <f t="shared" si="396"/>
        <v>anischenko@mail</v>
      </c>
      <c r="U330" s="18" t="str">
        <f t="shared" si="397"/>
        <v xml:space="preserve">Ошибка Email</v>
      </c>
      <c r="V330" s="13" t="str">
        <f>IFERROR(VLOOKUP(K330,Справочники!$K$6:$L$13,2,0),K330)</f>
        <v>Магнитогорск</v>
      </c>
    </row>
    <row r="331" ht="15" customHeight="1">
      <c r="A331" s="10">
        <v>329</v>
      </c>
      <c r="B331" s="11" t="str">
        <f>RAW_Клиенты!A330</f>
        <v>C0329</v>
      </c>
      <c r="C331" s="11" t="str">
        <f>RAW_Клиенты!B330</f>
        <v xml:space="preserve">Стукалова Ольга Сергеевна</v>
      </c>
      <c r="D331" s="11" t="str">
        <f>RAW_Клиенты!C330</f>
        <v>12.11.1989</v>
      </c>
      <c r="E331" s="11" t="str">
        <f>RAW_Клиенты!D330</f>
        <v>8-903-567-89-01</v>
      </c>
      <c r="F331" s="11" t="str">
        <f>RAW_Клиенты!E330</f>
        <v>stukalova@yandex</v>
      </c>
      <c r="G331" s="11" t="str">
        <f>RAW_Клиенты!F330</f>
        <v>Якутск</v>
      </c>
      <c r="H331" s="11" t="str">
        <f>RAW_Клиенты!G330</f>
        <v>2031-02-10</v>
      </c>
      <c r="I331" s="12" t="str">
        <f t="shared" si="385"/>
        <v>89035678901</v>
      </c>
      <c r="J331" s="12" t="str">
        <f t="shared" si="386"/>
        <v>stukalova@yandex</v>
      </c>
      <c r="K331" s="12" t="str">
        <f t="shared" si="387"/>
        <v>Якутск</v>
      </c>
      <c r="L331" s="13" t="str">
        <f t="shared" si="388"/>
        <v>C0329</v>
      </c>
      <c r="M331" s="13" t="str">
        <f t="shared" si="389"/>
        <v xml:space="preserve">Стукалова Ольга Сергеевна</v>
      </c>
      <c r="N331" s="13" t="str">
        <f t="shared" si="390"/>
        <v>OK</v>
      </c>
      <c r="O331" s="19">
        <f t="shared" si="391"/>
        <v>32824</v>
      </c>
      <c r="P331" s="19">
        <f t="shared" si="392"/>
        <v>47889</v>
      </c>
      <c r="Q331" s="13">
        <f t="shared" ca="1" si="393"/>
        <v>36</v>
      </c>
      <c r="R331" s="13" t="str">
        <f t="shared" si="394"/>
        <v>OK</v>
      </c>
      <c r="S331" s="13" t="str">
        <f t="shared" si="395"/>
        <v xml:space="preserve">+7 (903) 567-89-01</v>
      </c>
      <c r="T331" s="13" t="str">
        <f t="shared" si="396"/>
        <v>stukalova@yandex</v>
      </c>
      <c r="U331" s="18" t="str">
        <f t="shared" si="397"/>
        <v xml:space="preserve">Ошибка Email</v>
      </c>
      <c r="V331" s="13" t="str">
        <f>IFERROR(VLOOKUP(K331,Справочники!$K$6:$L$13,2,0),K331)</f>
        <v>Якутск</v>
      </c>
    </row>
    <row r="332" ht="15" customHeight="1">
      <c r="A332" s="10">
        <v>330</v>
      </c>
      <c r="B332" s="11" t="str">
        <f>RAW_Клиенты!A331</f>
        <v>C0330</v>
      </c>
      <c r="C332" s="11" t="str">
        <f>RAW_Клиенты!B331</f>
        <v xml:space="preserve">Панков Андрей Владимирович</v>
      </c>
      <c r="D332" s="11" t="str">
        <f>RAW_Клиенты!C331</f>
        <v>05.02.1971</v>
      </c>
      <c r="E332" s="11" t="str">
        <f>RAW_Клиенты!D331</f>
        <v xml:space="preserve">8 903 678 90 12</v>
      </c>
      <c r="F332" s="11" t="str">
        <f>RAW_Клиенты!E331</f>
        <v>pankov@gmail</v>
      </c>
      <c r="G332" s="11" t="str">
        <f>RAW_Клиенты!F331</f>
        <v>Чебоксары</v>
      </c>
      <c r="H332" s="11" t="str">
        <f>RAW_Клиенты!G331</f>
        <v>10.02.2031</v>
      </c>
      <c r="I332" s="12" t="str">
        <f t="shared" si="385"/>
        <v>89036789012</v>
      </c>
      <c r="J332" s="12" t="str">
        <f t="shared" si="386"/>
        <v>pankov@gmail</v>
      </c>
      <c r="K332" s="12" t="str">
        <f t="shared" si="387"/>
        <v>Чебоксары</v>
      </c>
      <c r="L332" s="13" t="str">
        <f t="shared" si="388"/>
        <v>C0330</v>
      </c>
      <c r="M332" s="13" t="str">
        <f t="shared" si="389"/>
        <v xml:space="preserve">Панков Андрей Владимирович</v>
      </c>
      <c r="N332" s="13" t="str">
        <f t="shared" si="390"/>
        <v>OK</v>
      </c>
      <c r="O332" s="19">
        <f t="shared" si="391"/>
        <v>25969</v>
      </c>
      <c r="P332" s="19">
        <f t="shared" si="392"/>
        <v>47889</v>
      </c>
      <c r="Q332" s="13">
        <f t="shared" ca="1" si="393"/>
        <v>55</v>
      </c>
      <c r="R332" s="13" t="str">
        <f t="shared" si="394"/>
        <v>OK</v>
      </c>
      <c r="S332" s="13" t="str">
        <f t="shared" si="395"/>
        <v xml:space="preserve">+7 (903) 678-90-12</v>
      </c>
      <c r="T332" s="13" t="str">
        <f t="shared" si="396"/>
        <v>pankov@gmail</v>
      </c>
      <c r="U332" s="18" t="str">
        <f t="shared" si="397"/>
        <v xml:space="preserve">Ошибка Email</v>
      </c>
      <c r="V332" s="13" t="str">
        <f>IFERROR(VLOOKUP(K332,Справочники!$K$6:$L$13,2,0),K332)</f>
        <v>Чебоксары</v>
      </c>
    </row>
    <row r="333" ht="15" customHeight="1">
      <c r="A333" s="10">
        <v>331</v>
      </c>
      <c r="B333" s="11" t="str">
        <f>RAW_Клиенты!A332</f>
        <v>C0331</v>
      </c>
      <c r="C333" s="11" t="str">
        <f>RAW_Клиенты!B332</f>
        <v xml:space="preserve">Коршунова Елена Петровна</v>
      </c>
      <c r="D333" s="11" t="str">
        <f>RAW_Клиенты!C332</f>
        <v>19.07.1985</v>
      </c>
      <c r="E333" s="11" t="str">
        <f>RAW_Клиенты!D332</f>
        <v>+79036789012</v>
      </c>
      <c r="F333" s="11" t="str">
        <f>RAW_Клиенты!E332</f>
        <v>korshunova@mail</v>
      </c>
      <c r="G333" s="11" t="str">
        <f>RAW_Клиенты!F332</f>
        <v>Мурманск</v>
      </c>
      <c r="H333" s="11" t="str">
        <f>RAW_Клиенты!G332</f>
        <v>01.03.2031</v>
      </c>
      <c r="I333" s="12" t="str">
        <f t="shared" si="385"/>
        <v>79036789012</v>
      </c>
      <c r="J333" s="12" t="str">
        <f t="shared" si="386"/>
        <v>korshunova@mail</v>
      </c>
      <c r="K333" s="12" t="str">
        <f t="shared" si="387"/>
        <v>Мурманск</v>
      </c>
      <c r="L333" s="13" t="str">
        <f t="shared" si="388"/>
        <v>C0331</v>
      </c>
      <c r="M333" s="13" t="str">
        <f t="shared" si="389"/>
        <v xml:space="preserve">Коршунова Елена Петровна</v>
      </c>
      <c r="N333" s="13" t="str">
        <f t="shared" si="390"/>
        <v>OK</v>
      </c>
      <c r="O333" s="19">
        <f t="shared" si="391"/>
        <v>31247</v>
      </c>
      <c r="P333" s="19">
        <f t="shared" si="392"/>
        <v>47908</v>
      </c>
      <c r="Q333" s="13">
        <f t="shared" ca="1" si="393"/>
        <v>41</v>
      </c>
      <c r="R333" s="13" t="str">
        <f t="shared" si="394"/>
        <v>OK</v>
      </c>
      <c r="S333" s="13" t="str">
        <f t="shared" si="395"/>
        <v xml:space="preserve">+7 (903) 678-90-12</v>
      </c>
      <c r="T333" s="13" t="str">
        <f t="shared" si="396"/>
        <v>korshunova@mail</v>
      </c>
      <c r="U333" s="18" t="str">
        <f t="shared" si="397"/>
        <v xml:space="preserve">Ошибка Email</v>
      </c>
      <c r="V333" s="13" t="str">
        <f>IFERROR(VLOOKUP(K333,Справочники!$K$6:$L$13,2,0),K333)</f>
        <v>Мурманск</v>
      </c>
    </row>
    <row r="334" ht="15" customHeight="1">
      <c r="A334" s="10">
        <v>332</v>
      </c>
      <c r="B334" s="11" t="str">
        <f>RAW_Клиенты!A333</f>
        <v>C0332</v>
      </c>
      <c r="C334" s="11" t="str">
        <f>RAW_Клиенты!B333</f>
        <v xml:space="preserve">Гордеев Сергей Александрович</v>
      </c>
      <c r="D334" s="11" t="str">
        <f>RAW_Клиенты!C333</f>
        <v>28.10.1994</v>
      </c>
      <c r="E334" s="11" t="str">
        <f>RAW_Клиенты!D333</f>
        <v>8-903-678-90-12</v>
      </c>
      <c r="F334" s="11" t="str">
        <f>RAW_Клиенты!E333</f>
        <v>gordeev@yandex</v>
      </c>
      <c r="G334" s="11" t="str">
        <f>RAW_Клиенты!F333</f>
        <v>Смоленск</v>
      </c>
      <c r="H334" s="11" t="str">
        <f>RAW_Клиенты!G333</f>
        <v>2031-03-15</v>
      </c>
      <c r="I334" s="12" t="str">
        <f t="shared" si="385"/>
        <v>89036789012</v>
      </c>
      <c r="J334" s="12" t="str">
        <f t="shared" si="386"/>
        <v>gordeev@yandex</v>
      </c>
      <c r="K334" s="12" t="str">
        <f t="shared" si="387"/>
        <v>Смоленск</v>
      </c>
      <c r="L334" s="13" t="str">
        <f t="shared" si="388"/>
        <v>C0332</v>
      </c>
      <c r="M334" s="13" t="str">
        <f t="shared" si="389"/>
        <v xml:space="preserve">Гордеев Сергей Александрович</v>
      </c>
      <c r="N334" s="13" t="str">
        <f t="shared" si="390"/>
        <v>OK</v>
      </c>
      <c r="O334" s="19">
        <f t="shared" si="391"/>
        <v>34635</v>
      </c>
      <c r="P334" s="19">
        <f t="shared" si="392"/>
        <v>47922</v>
      </c>
      <c r="Q334" s="13">
        <f t="shared" ca="1" si="393"/>
        <v>31</v>
      </c>
      <c r="R334" s="13" t="str">
        <f t="shared" si="394"/>
        <v>OK</v>
      </c>
      <c r="S334" s="13" t="str">
        <f t="shared" si="395"/>
        <v xml:space="preserve">+7 (903) 678-90-12</v>
      </c>
      <c r="T334" s="13" t="str">
        <f t="shared" si="396"/>
        <v>gordeev@yandex</v>
      </c>
      <c r="U334" s="18" t="str">
        <f t="shared" si="397"/>
        <v xml:space="preserve">Ошибка Email</v>
      </c>
      <c r="V334" s="13" t="str">
        <f>IFERROR(VLOOKUP(K334,Справочники!$K$6:$L$13,2,0),K334)</f>
        <v>Смоленск</v>
      </c>
    </row>
    <row r="335" ht="15" customHeight="1">
      <c r="A335" s="10">
        <v>333</v>
      </c>
      <c r="B335" s="11" t="str">
        <f>RAW_Клиенты!A334</f>
        <v>C0333</v>
      </c>
      <c r="C335" s="11" t="str">
        <f>RAW_Клиенты!B334</f>
        <v xml:space="preserve">Новикова Татьяна Владимировна</v>
      </c>
      <c r="D335" s="11" t="str">
        <f>RAW_Клиенты!C334</f>
        <v>16.06.1976</v>
      </c>
      <c r="E335" s="11" t="str">
        <f>RAW_Клиенты!D334</f>
        <v xml:space="preserve">8 903 789 01 23</v>
      </c>
      <c r="F335" s="11" t="str">
        <f>RAW_Клиенты!E334</f>
        <v>novikova@gmail</v>
      </c>
      <c r="G335" s="11" t="str">
        <f>RAW_Клиенты!F334</f>
        <v>Тула</v>
      </c>
      <c r="H335" s="11" t="str">
        <f>RAW_Клиенты!G334</f>
        <v>15.03.2031</v>
      </c>
      <c r="I335" s="12" t="str">
        <f t="shared" si="385"/>
        <v>89037890123</v>
      </c>
      <c r="J335" s="12" t="str">
        <f t="shared" si="386"/>
        <v>novikova@gmail</v>
      </c>
      <c r="K335" s="12" t="str">
        <f t="shared" si="387"/>
        <v>Тула</v>
      </c>
      <c r="L335" s="13" t="str">
        <f t="shared" si="388"/>
        <v>C0333</v>
      </c>
      <c r="M335" s="13" t="str">
        <f t="shared" si="389"/>
        <v xml:space="preserve">Новикова Татьяна Владимировна</v>
      </c>
      <c r="N335" s="13" t="str">
        <f t="shared" si="390"/>
        <v>OK</v>
      </c>
      <c r="O335" s="19">
        <f t="shared" si="391"/>
        <v>27927</v>
      </c>
      <c r="P335" s="19">
        <f t="shared" si="392"/>
        <v>47922</v>
      </c>
      <c r="Q335" s="13">
        <f t="shared" ca="1" si="393"/>
        <v>50</v>
      </c>
      <c r="R335" s="13" t="str">
        <f t="shared" si="394"/>
        <v>OK</v>
      </c>
      <c r="S335" s="13" t="str">
        <f t="shared" si="395"/>
        <v xml:space="preserve">+7 (903) 789-01-23</v>
      </c>
      <c r="T335" s="13" t="str">
        <f t="shared" si="396"/>
        <v>novikova@gmail</v>
      </c>
      <c r="U335" s="18" t="str">
        <f t="shared" si="397"/>
        <v xml:space="preserve">Ошибка Email</v>
      </c>
      <c r="V335" s="13" t="str">
        <f>IFERROR(VLOOKUP(K335,Справочники!$K$6:$L$13,2,0),K335)</f>
        <v>Тула</v>
      </c>
    </row>
    <row r="336" ht="15" customHeight="1">
      <c r="A336" s="10">
        <v>334</v>
      </c>
      <c r="B336" s="11" t="str">
        <f>RAW_Клиенты!A335</f>
        <v>C0334</v>
      </c>
      <c r="C336" s="11" t="str">
        <f>RAW_Клиенты!B335</f>
        <v xml:space="preserve">Меркулова Ирина Алексеевна</v>
      </c>
      <c r="D336" s="11" t="str">
        <f>RAW_Клиенты!C335</f>
        <v>03.03.1982</v>
      </c>
      <c r="E336" s="11" t="str">
        <f>RAW_Клиенты!D335</f>
        <v>+79037890123</v>
      </c>
      <c r="F336" s="11" t="str">
        <f>RAW_Клиенты!E335</f>
        <v>merkulova@mail</v>
      </c>
      <c r="G336" s="11" t="str">
        <f>RAW_Клиенты!F335</f>
        <v>Калуга</v>
      </c>
      <c r="H336" s="11" t="str">
        <f>RAW_Клиенты!G335</f>
        <v>01.04.2031</v>
      </c>
      <c r="I336" s="12" t="str">
        <f t="shared" si="385"/>
        <v>79037890123</v>
      </c>
      <c r="J336" s="12" t="str">
        <f t="shared" si="386"/>
        <v>merkulova@mail</v>
      </c>
      <c r="K336" s="12" t="str">
        <f t="shared" si="387"/>
        <v>Калуга</v>
      </c>
      <c r="L336" s="13" t="str">
        <f t="shared" si="388"/>
        <v>C0334</v>
      </c>
      <c r="M336" s="13" t="str">
        <f t="shared" si="389"/>
        <v xml:space="preserve">Меркулова Ирина Алексеевна</v>
      </c>
      <c r="N336" s="13" t="str">
        <f t="shared" si="390"/>
        <v>OK</v>
      </c>
      <c r="O336" s="19">
        <f t="shared" si="391"/>
        <v>30013</v>
      </c>
      <c r="P336" s="19">
        <f t="shared" si="392"/>
        <v>47939</v>
      </c>
      <c r="Q336" s="13">
        <f t="shared" ca="1" si="393"/>
        <v>44</v>
      </c>
      <c r="R336" s="13" t="str">
        <f t="shared" si="394"/>
        <v>OK</v>
      </c>
      <c r="S336" s="13" t="str">
        <f t="shared" si="395"/>
        <v xml:space="preserve">+7 (903) 789-01-23</v>
      </c>
      <c r="T336" s="13" t="str">
        <f t="shared" si="396"/>
        <v>merkulova@mail</v>
      </c>
      <c r="U336" s="18" t="str">
        <f t="shared" si="397"/>
        <v xml:space="preserve">Ошибка Email</v>
      </c>
      <c r="V336" s="13" t="str">
        <f>IFERROR(VLOOKUP(K336,Справочники!$K$6:$L$13,2,0),K336)</f>
        <v>Калуга</v>
      </c>
    </row>
    <row r="337" ht="15" customHeight="1">
      <c r="A337" s="10">
        <v>335</v>
      </c>
      <c r="B337" s="11" t="str">
        <f>RAW_Клиенты!A336</f>
        <v>C0335</v>
      </c>
      <c r="C337" s="11" t="str">
        <f>RAW_Клиенты!B336</f>
        <v xml:space="preserve">Ланской Илья Евгеньевич</v>
      </c>
      <c r="D337" s="11" t="str">
        <f>RAW_Клиенты!C336</f>
        <v>24.12.1990</v>
      </c>
      <c r="E337" s="11" t="str">
        <f>RAW_Клиенты!D336</f>
        <v>8-903-789-01-23</v>
      </c>
      <c r="F337" s="11" t="str">
        <f>RAW_Клиенты!E336</f>
        <v>lanskoy@yandex</v>
      </c>
      <c r="G337" s="11" t="str">
        <f>RAW_Клиенты!F336</f>
        <v>Владикавказ</v>
      </c>
      <c r="H337" s="11" t="str">
        <f>RAW_Клиенты!G336</f>
        <v>2031-04-10</v>
      </c>
      <c r="I337" s="12" t="str">
        <f t="shared" si="385"/>
        <v>89037890123</v>
      </c>
      <c r="J337" s="12" t="str">
        <f t="shared" si="386"/>
        <v>lanskoy@yandex</v>
      </c>
      <c r="K337" s="12" t="str">
        <f t="shared" si="387"/>
        <v>Владикавказ</v>
      </c>
      <c r="L337" s="13" t="str">
        <f t="shared" si="388"/>
        <v>C0335</v>
      </c>
      <c r="M337" s="13" t="str">
        <f t="shared" si="389"/>
        <v xml:space="preserve">Ланской Илья Евгеньевич</v>
      </c>
      <c r="N337" s="13" t="str">
        <f t="shared" si="390"/>
        <v>OK</v>
      </c>
      <c r="O337" s="19">
        <f t="shared" si="391"/>
        <v>33231</v>
      </c>
      <c r="P337" s="19">
        <f t="shared" si="392"/>
        <v>47948</v>
      </c>
      <c r="Q337" s="13">
        <f t="shared" ca="1" si="393"/>
        <v>35</v>
      </c>
      <c r="R337" s="13" t="str">
        <f t="shared" si="394"/>
        <v>OK</v>
      </c>
      <c r="S337" s="13" t="str">
        <f t="shared" si="395"/>
        <v xml:space="preserve">+7 (903) 789-01-23</v>
      </c>
      <c r="T337" s="13" t="str">
        <f t="shared" si="396"/>
        <v>lanskoy@yandex</v>
      </c>
      <c r="U337" s="18" t="str">
        <f t="shared" si="397"/>
        <v xml:space="preserve">Ошибка Email</v>
      </c>
      <c r="V337" s="13" t="str">
        <f>IFERROR(VLOOKUP(K337,Справочники!$K$6:$L$13,2,0),K337)</f>
        <v>Владикавказ</v>
      </c>
    </row>
    <row r="338" ht="15" customHeight="1">
      <c r="A338" s="10">
        <v>336</v>
      </c>
      <c r="B338" s="11" t="str">
        <f>RAW_Клиенты!A337</f>
        <v>C0336</v>
      </c>
      <c r="C338" s="11" t="str">
        <f>RAW_Клиенты!B337</f>
        <v xml:space="preserve">Карельский Денис Олегович</v>
      </c>
      <c r="D338" s="11" t="str">
        <f>RAW_Клиенты!C337</f>
        <v>11.08.1973</v>
      </c>
      <c r="E338" s="11" t="str">
        <f>RAW_Клиенты!D337</f>
        <v xml:space="preserve">8 903 890 12 34</v>
      </c>
      <c r="F338" s="11" t="str">
        <f>RAW_Клиенты!E337</f>
        <v>karelsky@gmail</v>
      </c>
      <c r="G338" s="11" t="str">
        <f>RAW_Клиенты!F337</f>
        <v>Смоленск</v>
      </c>
      <c r="H338" s="11" t="str">
        <f>RAW_Клиенты!G337</f>
        <v>10.04.2031</v>
      </c>
      <c r="I338" s="12" t="str">
        <f t="shared" si="385"/>
        <v>89038901234</v>
      </c>
      <c r="J338" s="12" t="str">
        <f t="shared" si="386"/>
        <v>karelsky@gmail</v>
      </c>
      <c r="K338" s="12" t="str">
        <f t="shared" si="387"/>
        <v>Смоленск</v>
      </c>
      <c r="L338" s="13" t="str">
        <f t="shared" si="388"/>
        <v>C0336</v>
      </c>
      <c r="M338" s="13" t="str">
        <f t="shared" si="389"/>
        <v xml:space="preserve">Карельский Денис Олегович</v>
      </c>
      <c r="N338" s="13" t="str">
        <f t="shared" si="390"/>
        <v>OK</v>
      </c>
      <c r="O338" s="19">
        <f t="shared" si="391"/>
        <v>26887</v>
      </c>
      <c r="P338" s="19">
        <f t="shared" si="392"/>
        <v>47948</v>
      </c>
      <c r="Q338" s="13">
        <f t="shared" ca="1" si="393"/>
        <v>53</v>
      </c>
      <c r="R338" s="13" t="str">
        <f t="shared" si="394"/>
        <v>OK</v>
      </c>
      <c r="S338" s="13" t="str">
        <f t="shared" si="395"/>
        <v xml:space="preserve">+7 (903) 890-12-34</v>
      </c>
      <c r="T338" s="13" t="str">
        <f t="shared" si="396"/>
        <v>karelsky@gmail</v>
      </c>
      <c r="U338" s="18" t="str">
        <f t="shared" si="397"/>
        <v xml:space="preserve">Ошибка Email</v>
      </c>
      <c r="V338" s="13" t="str">
        <f>IFERROR(VLOOKUP(K338,Справочники!$K$6:$L$13,2,0),K338)</f>
        <v>Смоленск</v>
      </c>
    </row>
    <row r="339" ht="15" customHeight="1">
      <c r="A339" s="10">
        <v>337</v>
      </c>
      <c r="B339" s="11" t="str">
        <f>RAW_Клиенты!A338</f>
        <v>C0337</v>
      </c>
      <c r="C339" s="11" t="str">
        <f>RAW_Клиенты!B338</f>
        <v xml:space="preserve">Шилова Оксана Викторовна</v>
      </c>
      <c r="D339" s="11" t="str">
        <f>RAW_Клиенты!C338</f>
        <v>29.05.1984</v>
      </c>
      <c r="E339" s="11" t="str">
        <f>RAW_Клиенты!D338</f>
        <v>+79038901234</v>
      </c>
      <c r="F339" s="11" t="str">
        <f>RAW_Клиенты!E338</f>
        <v>shilova@mail</v>
      </c>
      <c r="G339" s="11" t="str">
        <f>RAW_Клиенты!F338</f>
        <v>Белгород</v>
      </c>
      <c r="H339" s="11" t="str">
        <f>RAW_Клиенты!G338</f>
        <v>01.05.2031</v>
      </c>
      <c r="I339" s="12" t="str">
        <f t="shared" si="385"/>
        <v>79038901234</v>
      </c>
      <c r="J339" s="12" t="str">
        <f t="shared" si="386"/>
        <v>shilova@mail</v>
      </c>
      <c r="K339" s="12" t="str">
        <f t="shared" si="387"/>
        <v>Белгород</v>
      </c>
      <c r="L339" s="13" t="str">
        <f t="shared" si="388"/>
        <v>C0337</v>
      </c>
      <c r="M339" s="13" t="str">
        <f t="shared" si="389"/>
        <v xml:space="preserve">Шилова Оксана Викторовна</v>
      </c>
      <c r="N339" s="13" t="str">
        <f t="shared" si="390"/>
        <v>OK</v>
      </c>
      <c r="O339" s="19">
        <f t="shared" si="391"/>
        <v>30831</v>
      </c>
      <c r="P339" s="19">
        <f t="shared" si="392"/>
        <v>47969</v>
      </c>
      <c r="Q339" s="13">
        <f t="shared" ca="1" si="393"/>
        <v>42</v>
      </c>
      <c r="R339" s="13" t="str">
        <f t="shared" si="394"/>
        <v>OK</v>
      </c>
      <c r="S339" s="13" t="str">
        <f t="shared" si="395"/>
        <v xml:space="preserve">+7 (903) 890-12-34</v>
      </c>
      <c r="T339" s="13" t="str">
        <f t="shared" si="396"/>
        <v>shilova@mail</v>
      </c>
      <c r="U339" s="18" t="str">
        <f t="shared" si="397"/>
        <v xml:space="preserve">Ошибка Email</v>
      </c>
      <c r="V339" s="13" t="str">
        <f>IFERROR(VLOOKUP(K339,Справочники!$K$6:$L$13,2,0),K339)</f>
        <v>Белгород</v>
      </c>
    </row>
    <row r="340" ht="15" customHeight="1">
      <c r="A340" s="10">
        <v>338</v>
      </c>
      <c r="B340" s="11" t="str">
        <f>RAW_Клиенты!A339</f>
        <v>C0338</v>
      </c>
      <c r="C340" s="11" t="str">
        <f>RAW_Клиенты!B339</f>
        <v xml:space="preserve">Козырев Никита Павлович</v>
      </c>
      <c r="D340" s="11" t="str">
        <f>RAW_Клиенты!C339</f>
        <v>22.09.1991</v>
      </c>
      <c r="E340" s="11" t="str">
        <f>RAW_Клиенты!D339</f>
        <v>8-903-890-12-34</v>
      </c>
      <c r="F340" s="11" t="str">
        <f>RAW_Клиенты!E339</f>
        <v>kozyrev@yandex</v>
      </c>
      <c r="G340" s="11" t="str">
        <f>RAW_Клиенты!F339</f>
        <v>Мурманск</v>
      </c>
      <c r="H340" s="11" t="str">
        <f>RAW_Клиенты!G339</f>
        <v>2031-05-15</v>
      </c>
      <c r="I340" s="12" t="str">
        <f t="shared" si="385"/>
        <v>89038901234</v>
      </c>
      <c r="J340" s="12" t="str">
        <f t="shared" si="386"/>
        <v>kozyrev@yandex</v>
      </c>
      <c r="K340" s="12" t="str">
        <f t="shared" si="387"/>
        <v>Мурманск</v>
      </c>
      <c r="L340" s="13" t="str">
        <f t="shared" si="388"/>
        <v>C0338</v>
      </c>
      <c r="M340" s="13" t="str">
        <f t="shared" si="389"/>
        <v xml:space="preserve">Козырев Никита Павлович</v>
      </c>
      <c r="N340" s="13" t="str">
        <f t="shared" si="390"/>
        <v>OK</v>
      </c>
      <c r="O340" s="19">
        <f t="shared" si="391"/>
        <v>33503</v>
      </c>
      <c r="P340" s="19">
        <f t="shared" si="392"/>
        <v>47983</v>
      </c>
      <c r="Q340" s="13">
        <f t="shared" ca="1" si="393"/>
        <v>35</v>
      </c>
      <c r="R340" s="13" t="str">
        <f t="shared" si="394"/>
        <v>OK</v>
      </c>
      <c r="S340" s="13" t="str">
        <f t="shared" si="395"/>
        <v xml:space="preserve">+7 (903) 890-12-34</v>
      </c>
      <c r="T340" s="13" t="str">
        <f t="shared" si="396"/>
        <v>kozyrev@yandex</v>
      </c>
      <c r="U340" s="18" t="str">
        <f t="shared" si="397"/>
        <v xml:space="preserve">Ошибка Email</v>
      </c>
      <c r="V340" s="13" t="str">
        <f>IFERROR(VLOOKUP(K340,Справочники!$K$6:$L$13,2,0),K340)</f>
        <v>Мурманск</v>
      </c>
    </row>
    <row r="341" ht="15" customHeight="1">
      <c r="A341" s="10">
        <v>339</v>
      </c>
      <c r="B341" s="11" t="str">
        <f>RAW_Клиенты!A340</f>
        <v>C0339</v>
      </c>
      <c r="C341" s="11" t="str">
        <f>RAW_Клиенты!B340</f>
        <v xml:space="preserve">Купреева Мария Александровна</v>
      </c>
      <c r="D341" s="11" t="str">
        <f>RAW_Клиенты!C340</f>
        <v>06.01.1979</v>
      </c>
      <c r="E341" s="11" t="str">
        <f>RAW_Клиенты!D340</f>
        <v xml:space="preserve">8 903 901 23 45</v>
      </c>
      <c r="F341" s="11" t="str">
        <f>RAW_Клиенты!E340</f>
        <v>kupreeva@gmail</v>
      </c>
      <c r="G341" s="11" t="str">
        <f>RAW_Клиенты!F340</f>
        <v>Ставрополь</v>
      </c>
      <c r="H341" s="11" t="str">
        <f>RAW_Клиенты!G340</f>
        <v>15.05.2031</v>
      </c>
      <c r="I341" s="12" t="str">
        <f t="shared" si="385"/>
        <v>89039012345</v>
      </c>
      <c r="J341" s="12" t="str">
        <f t="shared" si="386"/>
        <v>kupreeva@gmail</v>
      </c>
      <c r="K341" s="12" t="str">
        <f t="shared" si="387"/>
        <v>Ставрополь</v>
      </c>
      <c r="L341" s="13" t="str">
        <f t="shared" si="388"/>
        <v>C0339</v>
      </c>
      <c r="M341" s="13" t="str">
        <f t="shared" si="389"/>
        <v xml:space="preserve">Купреева Мария Александровна</v>
      </c>
      <c r="N341" s="13" t="str">
        <f t="shared" si="390"/>
        <v>OK</v>
      </c>
      <c r="O341" s="19">
        <f t="shared" si="391"/>
        <v>28861</v>
      </c>
      <c r="P341" s="19">
        <f t="shared" si="392"/>
        <v>47983</v>
      </c>
      <c r="Q341" s="13">
        <f t="shared" ca="1" si="393"/>
        <v>47</v>
      </c>
      <c r="R341" s="13" t="str">
        <f t="shared" si="394"/>
        <v>OK</v>
      </c>
      <c r="S341" s="13" t="str">
        <f t="shared" si="395"/>
        <v xml:space="preserve">+7 (903) 901-23-45</v>
      </c>
      <c r="T341" s="13" t="str">
        <f t="shared" si="396"/>
        <v>kupreeva@gmail</v>
      </c>
      <c r="U341" s="18" t="str">
        <f t="shared" si="397"/>
        <v xml:space="preserve">Ошибка Email</v>
      </c>
      <c r="V341" s="13" t="str">
        <f>IFERROR(VLOOKUP(K341,Справочники!$K$6:$L$13,2,0),K341)</f>
        <v>Ставрополь</v>
      </c>
    </row>
    <row r="342" ht="15" customHeight="1">
      <c r="A342" s="10">
        <v>340</v>
      </c>
      <c r="B342" s="11" t="str">
        <f>RAW_Клиенты!A341</f>
        <v>C0340</v>
      </c>
      <c r="C342" s="11" t="str">
        <f>RAW_Клиенты!B341</f>
        <v xml:space="preserve">Разумовский Олег Сергеевич</v>
      </c>
      <c r="D342" s="11" t="str">
        <f>RAW_Клиенты!C341</f>
        <v>17.11.1986</v>
      </c>
      <c r="E342" s="11" t="str">
        <f>RAW_Клиенты!D341</f>
        <v>+79039012345</v>
      </c>
      <c r="F342" s="11" t="str">
        <f>RAW_Клиенты!E341</f>
        <v>razumovsky@mail</v>
      </c>
      <c r="G342" s="11" t="str">
        <f>RAW_Клиенты!F341</f>
        <v>Севастополь</v>
      </c>
      <c r="H342" s="11" t="str">
        <f>RAW_Клиенты!G341</f>
        <v>01.06.2031</v>
      </c>
      <c r="I342" s="12" t="str">
        <f t="shared" si="385"/>
        <v>79039012345</v>
      </c>
      <c r="J342" s="12" t="str">
        <f t="shared" si="386"/>
        <v>razumovsky@mail</v>
      </c>
      <c r="K342" s="12" t="str">
        <f t="shared" si="387"/>
        <v>Севастополь</v>
      </c>
      <c r="L342" s="13" t="str">
        <f t="shared" si="388"/>
        <v>C0340</v>
      </c>
      <c r="M342" s="13" t="str">
        <f t="shared" si="389"/>
        <v xml:space="preserve">Разумовский Олег Сергеевич</v>
      </c>
      <c r="N342" s="13" t="str">
        <f t="shared" si="390"/>
        <v>OK</v>
      </c>
      <c r="O342" s="19">
        <f t="shared" si="391"/>
        <v>31733</v>
      </c>
      <c r="P342" s="19">
        <f t="shared" si="392"/>
        <v>48000</v>
      </c>
      <c r="Q342" s="13">
        <f t="shared" ca="1" si="393"/>
        <v>39</v>
      </c>
      <c r="R342" s="13" t="str">
        <f t="shared" si="394"/>
        <v>OK</v>
      </c>
      <c r="S342" s="13" t="str">
        <f t="shared" si="395"/>
        <v xml:space="preserve">+7 (903) 901-23-45</v>
      </c>
      <c r="T342" s="13" t="str">
        <f t="shared" si="396"/>
        <v>razumovsky@mail</v>
      </c>
      <c r="U342" s="18" t="str">
        <f t="shared" si="397"/>
        <v xml:space="preserve">Ошибка Email</v>
      </c>
      <c r="V342" s="13" t="str">
        <f>IFERROR(VLOOKUP(K342,Справочники!$K$6:$L$13,2,0),K342)</f>
        <v>Севастополь</v>
      </c>
    </row>
    <row r="343" ht="15" customHeight="1">
      <c r="A343" s="10">
        <v>341</v>
      </c>
      <c r="B343" s="11" t="str">
        <f>RAW_Клиенты!A342</f>
        <v>C0341</v>
      </c>
      <c r="C343" s="11" t="str">
        <f>RAW_Клиенты!B342</f>
        <v xml:space="preserve">Майорова Анастасия Игоревна</v>
      </c>
      <c r="D343" s="11" t="str">
        <f>RAW_Клиенты!C342</f>
        <v>15.07.1983</v>
      </c>
      <c r="E343" s="11" t="str">
        <f>RAW_Клиенты!D342</f>
        <v>8-903-901-23-45</v>
      </c>
      <c r="F343" s="11" t="str">
        <f>RAW_Клиенты!E342</f>
        <v>mayorova@yandex</v>
      </c>
      <c r="G343" s="11" t="str">
        <f>RAW_Клиенты!F342</f>
        <v>Сочи</v>
      </c>
      <c r="H343" s="11" t="str">
        <f>RAW_Клиенты!G342</f>
        <v>2031-06-10</v>
      </c>
      <c r="I343" s="12" t="str">
        <f t="shared" si="385"/>
        <v>89039012345</v>
      </c>
      <c r="J343" s="12" t="str">
        <f t="shared" si="386"/>
        <v>mayorova@yandex</v>
      </c>
      <c r="K343" s="12" t="str">
        <f t="shared" si="387"/>
        <v>Сочи</v>
      </c>
      <c r="L343" s="13" t="str">
        <f t="shared" si="388"/>
        <v>C0341</v>
      </c>
      <c r="M343" s="13" t="str">
        <f t="shared" si="389"/>
        <v xml:space="preserve">Майорова Анастасия Игоревна</v>
      </c>
      <c r="N343" s="13" t="str">
        <f t="shared" si="390"/>
        <v>OK</v>
      </c>
      <c r="O343" s="19">
        <f t="shared" si="391"/>
        <v>30512</v>
      </c>
      <c r="P343" s="19">
        <f t="shared" si="392"/>
        <v>48009</v>
      </c>
      <c r="Q343" s="13">
        <f t="shared" ca="1" si="393"/>
        <v>43</v>
      </c>
      <c r="R343" s="13" t="str">
        <f t="shared" si="394"/>
        <v>OK</v>
      </c>
      <c r="S343" s="13" t="str">
        <f t="shared" si="395"/>
        <v xml:space="preserve">+7 (903) 901-23-45</v>
      </c>
      <c r="T343" s="13" t="str">
        <f t="shared" si="396"/>
        <v>mayorova@yandex</v>
      </c>
      <c r="U343" s="18" t="str">
        <f t="shared" si="397"/>
        <v xml:space="preserve">Ошибка Email</v>
      </c>
      <c r="V343" s="13" t="str">
        <f>IFERROR(VLOOKUP(K343,Справочники!$K$6:$L$13,2,0),K343)</f>
        <v>Сочи</v>
      </c>
    </row>
    <row r="344" ht="15" customHeight="1">
      <c r="A344" s="10">
        <v>342</v>
      </c>
      <c r="B344" s="11" t="str">
        <f>RAW_Клиенты!A343</f>
        <v>C0342</v>
      </c>
      <c r="C344" s="11" t="str">
        <f>RAW_Клиенты!B343</f>
        <v xml:space="preserve">Скуратов Илья Владимирович</v>
      </c>
      <c r="D344" s="11" t="str">
        <f>RAW_Клиенты!C343</f>
        <v>26.04.1975</v>
      </c>
      <c r="E344" s="11" t="str">
        <f>RAW_Клиенты!D343</f>
        <v xml:space="preserve">8 903 012 34 56</v>
      </c>
      <c r="F344" s="11" t="str">
        <f>RAW_Клиенты!E343</f>
        <v>skuratov@gmail</v>
      </c>
      <c r="G344" s="11" t="str">
        <f>RAW_Клиенты!F343</f>
        <v>Симферополь</v>
      </c>
      <c r="H344" s="11" t="str">
        <f>RAW_Клиенты!G343</f>
        <v>10.06.2031</v>
      </c>
      <c r="I344" s="12" t="str">
        <f t="shared" si="385"/>
        <v>89030123456</v>
      </c>
      <c r="J344" s="12" t="str">
        <f t="shared" si="386"/>
        <v>skuratov@gmail</v>
      </c>
      <c r="K344" s="12" t="str">
        <f t="shared" si="387"/>
        <v>Симферополь</v>
      </c>
      <c r="L344" s="13" t="str">
        <f t="shared" si="388"/>
        <v>C0342</v>
      </c>
      <c r="M344" s="13" t="str">
        <f t="shared" si="389"/>
        <v xml:space="preserve">Скуратов Илья Владимирович</v>
      </c>
      <c r="N344" s="13" t="str">
        <f t="shared" si="390"/>
        <v>OK</v>
      </c>
      <c r="O344" s="19">
        <f t="shared" si="391"/>
        <v>27510</v>
      </c>
      <c r="P344" s="19">
        <f t="shared" si="392"/>
        <v>48009</v>
      </c>
      <c r="Q344" s="13">
        <f t="shared" ca="1" si="393"/>
        <v>51</v>
      </c>
      <c r="R344" s="13" t="str">
        <f t="shared" si="394"/>
        <v>OK</v>
      </c>
      <c r="S344" s="13" t="str">
        <f t="shared" si="395"/>
        <v xml:space="preserve">+7 (903) 012-34-56</v>
      </c>
      <c r="T344" s="13" t="str">
        <f t="shared" si="396"/>
        <v>skuratov@gmail</v>
      </c>
      <c r="U344" s="18" t="str">
        <f t="shared" si="397"/>
        <v xml:space="preserve">Ошибка Email</v>
      </c>
      <c r="V344" s="13" t="str">
        <f>IFERROR(VLOOKUP(K344,Справочники!$K$6:$L$13,2,0),K344)</f>
        <v>Симферополь</v>
      </c>
    </row>
    <row r="345" ht="15" customHeight="1">
      <c r="A345" s="10">
        <v>343</v>
      </c>
      <c r="B345" s="11" t="str">
        <f>RAW_Клиенты!A344</f>
        <v>C0343</v>
      </c>
      <c r="C345" s="11" t="str">
        <f>RAW_Клиенты!B344</f>
        <v xml:space="preserve">Кузовлева Елена Сергеевна</v>
      </c>
      <c r="D345" s="11" t="str">
        <f>RAW_Клиенты!C344</f>
        <v>23.10.1988</v>
      </c>
      <c r="E345" s="11" t="str">
        <f>RAW_Клиенты!D344</f>
        <v>+79030123456</v>
      </c>
      <c r="F345" s="11" t="str">
        <f>RAW_Клиенты!E344</f>
        <v>kuzovleva@mail</v>
      </c>
      <c r="G345" s="11" t="str">
        <f>RAW_Клиенты!F344</f>
        <v>Брянск</v>
      </c>
      <c r="H345" s="11" t="str">
        <f>RAW_Клиенты!G344</f>
        <v>01.07.2031</v>
      </c>
      <c r="I345" s="12" t="str">
        <f t="shared" si="385"/>
        <v>79030123456</v>
      </c>
      <c r="J345" s="12" t="str">
        <f t="shared" si="386"/>
        <v>kuzovleva@mail</v>
      </c>
      <c r="K345" s="12" t="str">
        <f t="shared" si="387"/>
        <v>Брянск</v>
      </c>
      <c r="L345" s="13" t="str">
        <f t="shared" si="388"/>
        <v>C0343</v>
      </c>
      <c r="M345" s="13" t="str">
        <f t="shared" si="389"/>
        <v xml:space="preserve">Кузовлева Елена Сергеевна</v>
      </c>
      <c r="N345" s="13" t="str">
        <f t="shared" si="390"/>
        <v>OK</v>
      </c>
      <c r="O345" s="19">
        <f t="shared" si="391"/>
        <v>32439</v>
      </c>
      <c r="P345" s="19">
        <f t="shared" si="392"/>
        <v>48030</v>
      </c>
      <c r="Q345" s="13">
        <f t="shared" ca="1" si="393"/>
        <v>37</v>
      </c>
      <c r="R345" s="13" t="str">
        <f t="shared" si="394"/>
        <v>OK</v>
      </c>
      <c r="S345" s="13" t="str">
        <f t="shared" si="395"/>
        <v xml:space="preserve">+7 (903) 012-34-56</v>
      </c>
      <c r="T345" s="13" t="str">
        <f t="shared" si="396"/>
        <v>kuzovleva@mail</v>
      </c>
      <c r="U345" s="18" t="str">
        <f t="shared" si="397"/>
        <v xml:space="preserve">Ошибка Email</v>
      </c>
      <c r="V345" s="13" t="str">
        <f>IFERROR(VLOOKUP(K345,Справочники!$K$6:$L$13,2,0),K345)</f>
        <v>Брянск</v>
      </c>
    </row>
    <row r="346" ht="15" customHeight="1">
      <c r="A346" s="10">
        <v>344</v>
      </c>
      <c r="B346" s="11" t="str">
        <f>RAW_Клиенты!A345</f>
        <v>C0344</v>
      </c>
      <c r="C346" s="11" t="str">
        <f>RAW_Клиенты!B345</f>
        <v xml:space="preserve">Станкевич Артем Николаевич</v>
      </c>
      <c r="D346" s="11" t="str">
        <f>RAW_Клиенты!C345</f>
        <v>14.02.1981</v>
      </c>
      <c r="E346" s="11" t="str">
        <f>RAW_Клиенты!D345</f>
        <v>8-903-012-34-56</v>
      </c>
      <c r="F346" s="11" t="str">
        <f>RAW_Клиенты!E345</f>
        <v>stankevich@yandex</v>
      </c>
      <c r="G346" s="11" t="str">
        <f>RAW_Клиенты!F345</f>
        <v>Абакан</v>
      </c>
      <c r="H346" s="11" t="str">
        <f>RAW_Клиенты!G345</f>
        <v>2031-07-15</v>
      </c>
      <c r="I346" s="12" t="str">
        <f t="shared" si="385"/>
        <v>89030123456</v>
      </c>
      <c r="J346" s="12" t="str">
        <f t="shared" si="386"/>
        <v>stankevich@yandex</v>
      </c>
      <c r="K346" s="12" t="str">
        <f t="shared" si="387"/>
        <v>Абакан</v>
      </c>
      <c r="L346" s="13" t="str">
        <f t="shared" si="388"/>
        <v>C0344</v>
      </c>
      <c r="M346" s="13" t="str">
        <f t="shared" si="389"/>
        <v xml:space="preserve">Станкевич Артем Николаевич</v>
      </c>
      <c r="N346" s="13" t="str">
        <f t="shared" si="390"/>
        <v>OK</v>
      </c>
      <c r="O346" s="19">
        <f t="shared" si="391"/>
        <v>29631</v>
      </c>
      <c r="P346" s="19">
        <f t="shared" si="392"/>
        <v>48044</v>
      </c>
      <c r="Q346" s="13">
        <f t="shared" ca="1" si="393"/>
        <v>45</v>
      </c>
      <c r="R346" s="13" t="str">
        <f t="shared" si="394"/>
        <v>OK</v>
      </c>
      <c r="S346" s="13" t="str">
        <f t="shared" si="395"/>
        <v xml:space="preserve">+7 (903) 012-34-56</v>
      </c>
      <c r="T346" s="13" t="str">
        <f t="shared" si="396"/>
        <v>stankevich@yandex</v>
      </c>
      <c r="U346" s="18" t="str">
        <f t="shared" si="397"/>
        <v xml:space="preserve">Ошибка Email</v>
      </c>
      <c r="V346" s="13" t="str">
        <f>IFERROR(VLOOKUP(K346,Справочники!$K$6:$L$13,2,0),K346)</f>
        <v>Абакан</v>
      </c>
    </row>
    <row r="347" ht="15" customHeight="1">
      <c r="A347" s="10">
        <v>345</v>
      </c>
      <c r="B347" s="11" t="str">
        <f>RAW_Клиенты!A346</f>
        <v>C0345</v>
      </c>
      <c r="C347" s="11" t="str">
        <f>RAW_Клиенты!B346</f>
        <v xml:space="preserve">Милютина Ольга Валерьевна</v>
      </c>
      <c r="D347" s="11" t="str">
        <f>RAW_Клиенты!C346</f>
        <v>08.06.1992</v>
      </c>
      <c r="E347" s="11" t="str">
        <f>RAW_Клиенты!D346</f>
        <v xml:space="preserve">8 903 123 45 67</v>
      </c>
      <c r="F347" s="11" t="str">
        <f>RAW_Клиенты!E346</f>
        <v>milyutina@gmail</v>
      </c>
      <c r="G347" s="11" t="str">
        <f>RAW_Клиенты!F346</f>
        <v>Грозный</v>
      </c>
      <c r="H347" s="11" t="str">
        <f>RAW_Клиенты!G346</f>
        <v>15.07.2031</v>
      </c>
      <c r="I347" s="12" t="str">
        <f t="shared" si="385"/>
        <v>89031234567</v>
      </c>
      <c r="J347" s="12" t="str">
        <f t="shared" si="386"/>
        <v>milyutina@gmail</v>
      </c>
      <c r="K347" s="12" t="str">
        <f t="shared" si="387"/>
        <v>Грозный</v>
      </c>
      <c r="L347" s="13" t="str">
        <f t="shared" si="388"/>
        <v>C0345</v>
      </c>
      <c r="M347" s="13" t="str">
        <f t="shared" si="389"/>
        <v xml:space="preserve">Милютина Ольга Валерьевна</v>
      </c>
      <c r="N347" s="13" t="str">
        <f t="shared" si="390"/>
        <v>OK</v>
      </c>
      <c r="O347" s="19">
        <f t="shared" si="391"/>
        <v>33763</v>
      </c>
      <c r="P347" s="19">
        <f t="shared" si="392"/>
        <v>48044</v>
      </c>
      <c r="Q347" s="13">
        <f t="shared" ca="1" si="393"/>
        <v>34</v>
      </c>
      <c r="R347" s="13" t="str">
        <f t="shared" si="394"/>
        <v>OK</v>
      </c>
      <c r="S347" s="13" t="str">
        <f t="shared" si="395"/>
        <v xml:space="preserve">+7 (903) 123-45-67</v>
      </c>
      <c r="T347" s="13" t="str">
        <f t="shared" si="396"/>
        <v>milyutina@gmail</v>
      </c>
      <c r="U347" s="18" t="str">
        <f t="shared" si="397"/>
        <v xml:space="preserve">Ошибка Email</v>
      </c>
      <c r="V347" s="13" t="str">
        <f>IFERROR(VLOOKUP(K347,Справочники!$K$6:$L$13,2,0),K347)</f>
        <v>Грозный</v>
      </c>
    </row>
    <row r="348" ht="15" customHeight="1">
      <c r="A348" s="10">
        <v>346</v>
      </c>
      <c r="B348" s="11" t="str">
        <f>RAW_Клиенты!A347</f>
        <v>C0346</v>
      </c>
      <c r="C348" s="11" t="str">
        <f>RAW_Клиенты!B347</f>
        <v xml:space="preserve">Белоусов Андрей Павлович</v>
      </c>
      <c r="D348" s="11" t="str">
        <f>RAW_Клиенты!C347</f>
        <v>29.12.1977</v>
      </c>
      <c r="E348" s="11" t="str">
        <f>RAW_Клиенты!D347</f>
        <v>+79031234567</v>
      </c>
      <c r="F348" s="11" t="str">
        <f>RAW_Клиенты!E347</f>
        <v>belousov@mail</v>
      </c>
      <c r="G348" s="11" t="str">
        <f>RAW_Клиенты!F347</f>
        <v>Бийск</v>
      </c>
      <c r="H348" s="11" t="str">
        <f>RAW_Клиенты!G347</f>
        <v>01.08.2031</v>
      </c>
      <c r="I348" s="12" t="str">
        <f t="shared" si="385"/>
        <v>79031234567</v>
      </c>
      <c r="J348" s="12" t="str">
        <f t="shared" si="386"/>
        <v>belousov@mail</v>
      </c>
      <c r="K348" s="12" t="str">
        <f t="shared" si="387"/>
        <v>Бийск</v>
      </c>
      <c r="L348" s="13" t="str">
        <f t="shared" si="388"/>
        <v>C0346</v>
      </c>
      <c r="M348" s="13" t="str">
        <f t="shared" si="389"/>
        <v xml:space="preserve">Белоусов Андрей Павлович</v>
      </c>
      <c r="N348" s="13" t="str">
        <f t="shared" si="390"/>
        <v>OK</v>
      </c>
      <c r="O348" s="19">
        <f t="shared" si="391"/>
        <v>28488</v>
      </c>
      <c r="P348" s="19">
        <f t="shared" si="392"/>
        <v>48061</v>
      </c>
      <c r="Q348" s="13">
        <f t="shared" ca="1" si="393"/>
        <v>48</v>
      </c>
      <c r="R348" s="13" t="str">
        <f t="shared" si="394"/>
        <v>OK</v>
      </c>
      <c r="S348" s="13" t="str">
        <f t="shared" si="395"/>
        <v xml:space="preserve">+7 (903) 123-45-67</v>
      </c>
      <c r="T348" s="13" t="str">
        <f t="shared" si="396"/>
        <v>belousov@mail</v>
      </c>
      <c r="U348" s="18" t="str">
        <f t="shared" si="397"/>
        <v xml:space="preserve">Ошибка Email</v>
      </c>
      <c r="V348" s="13" t="str">
        <f>IFERROR(VLOOKUP(K348,Справочники!$K$6:$L$13,2,0),K348)</f>
        <v>Бийск</v>
      </c>
    </row>
    <row r="349" ht="15" customHeight="1">
      <c r="A349" s="10">
        <v>347</v>
      </c>
      <c r="B349" s="11" t="str">
        <f>RAW_Клиенты!A348</f>
        <v>C0347</v>
      </c>
      <c r="C349" s="11" t="str">
        <f>RAW_Клиенты!B348</f>
        <v xml:space="preserve">Рябчинская Наталья Юрьевна</v>
      </c>
      <c r="D349" s="11" t="str">
        <f>RAW_Клиенты!C348</f>
        <v>19.09.1985</v>
      </c>
      <c r="E349" s="11" t="str">
        <f>RAW_Клиенты!D348</f>
        <v>8-903-123-45-67</v>
      </c>
      <c r="F349" s="11" t="str">
        <f>RAW_Клиенты!E348</f>
        <v>ryabchinskaya@yandex</v>
      </c>
      <c r="G349" s="11" t="str">
        <f>RAW_Клиенты!F348</f>
        <v>Йошкар-Ола</v>
      </c>
      <c r="H349" s="11" t="str">
        <f>RAW_Клиенты!G348</f>
        <v>2031-08-10</v>
      </c>
      <c r="I349" s="12" t="str">
        <f t="shared" si="385"/>
        <v>89031234567</v>
      </c>
      <c r="J349" s="12" t="str">
        <f t="shared" si="386"/>
        <v>ryabchinskaya@yandex</v>
      </c>
      <c r="K349" s="12" t="str">
        <f t="shared" si="387"/>
        <v>Йошкар-Ола</v>
      </c>
      <c r="L349" s="13" t="str">
        <f t="shared" si="388"/>
        <v>C0347</v>
      </c>
      <c r="M349" s="13" t="str">
        <f t="shared" si="389"/>
        <v xml:space="preserve">Рябчинская Наталья Юрьевна</v>
      </c>
      <c r="N349" s="13" t="str">
        <f t="shared" si="390"/>
        <v>OK</v>
      </c>
      <c r="O349" s="19">
        <f t="shared" si="391"/>
        <v>31309</v>
      </c>
      <c r="P349" s="19">
        <f t="shared" si="392"/>
        <v>48070</v>
      </c>
      <c r="Q349" s="13">
        <f t="shared" ca="1" si="393"/>
        <v>41</v>
      </c>
      <c r="R349" s="13" t="str">
        <f t="shared" si="394"/>
        <v>OK</v>
      </c>
      <c r="S349" s="13" t="str">
        <f t="shared" si="395"/>
        <v xml:space="preserve">+7 (903) 123-45-67</v>
      </c>
      <c r="T349" s="13" t="str">
        <f t="shared" si="396"/>
        <v>ryabchinskaya@yandex</v>
      </c>
      <c r="U349" s="18" t="str">
        <f t="shared" si="397"/>
        <v xml:space="preserve">Ошибка Email</v>
      </c>
      <c r="V349" s="13" t="str">
        <f>IFERROR(VLOOKUP(K349,Справочники!$K$6:$L$13,2,0),K349)</f>
        <v>Йошкар-Ола</v>
      </c>
    </row>
    <row r="350" ht="15" customHeight="1">
      <c r="A350" s="10">
        <v>348</v>
      </c>
      <c r="B350" s="11" t="str">
        <f>RAW_Клиенты!A349</f>
        <v>C0348</v>
      </c>
      <c r="C350" s="11" t="str">
        <f>RAW_Клиенты!B349</f>
        <v xml:space="preserve">Толстиков Денис Алексеевич</v>
      </c>
      <c r="D350" s="11" t="str">
        <f>RAW_Клиенты!C349</f>
        <v>31.05.1980</v>
      </c>
      <c r="E350" s="11" t="str">
        <f>RAW_Клиенты!D349</f>
        <v xml:space="preserve">8 903 234 56 78</v>
      </c>
      <c r="F350" s="11" t="str">
        <f>RAW_Клиенты!E349</f>
        <v>tolstikov@gmail</v>
      </c>
      <c r="G350" s="11" t="str">
        <f>RAW_Клиенты!F349</f>
        <v>Курган</v>
      </c>
      <c r="H350" s="11" t="str">
        <f>RAW_Клиенты!G349</f>
        <v>10.08.2031</v>
      </c>
      <c r="I350" s="12" t="str">
        <f t="shared" si="385"/>
        <v>89032345678</v>
      </c>
      <c r="J350" s="12" t="str">
        <f t="shared" si="386"/>
        <v>tolstikov@gmail</v>
      </c>
      <c r="K350" s="12" t="str">
        <f t="shared" si="387"/>
        <v>Курган</v>
      </c>
      <c r="L350" s="13" t="str">
        <f t="shared" si="388"/>
        <v>C0348</v>
      </c>
      <c r="M350" s="13" t="str">
        <f t="shared" si="389"/>
        <v xml:space="preserve">Толстиков Денис Алексеевич</v>
      </c>
      <c r="N350" s="13" t="str">
        <f t="shared" si="390"/>
        <v>OK</v>
      </c>
      <c r="O350" s="19">
        <f t="shared" si="391"/>
        <v>29372</v>
      </c>
      <c r="P350" s="19">
        <f t="shared" si="392"/>
        <v>48070</v>
      </c>
      <c r="Q350" s="13">
        <f t="shared" ca="1" si="393"/>
        <v>46</v>
      </c>
      <c r="R350" s="13" t="str">
        <f t="shared" si="394"/>
        <v>OK</v>
      </c>
      <c r="S350" s="13" t="str">
        <f t="shared" si="395"/>
        <v xml:space="preserve">+7 (903) 234-56-78</v>
      </c>
      <c r="T350" s="13" t="str">
        <f t="shared" si="396"/>
        <v>tolstikov@gmail</v>
      </c>
      <c r="U350" s="18" t="str">
        <f t="shared" si="397"/>
        <v xml:space="preserve">Ошибка Email</v>
      </c>
      <c r="V350" s="13" t="str">
        <f>IFERROR(VLOOKUP(K350,Справочники!$K$6:$L$13,2,0),K350)</f>
        <v>Курган</v>
      </c>
    </row>
    <row r="351" ht="15" customHeight="1">
      <c r="A351" s="10">
        <v>349</v>
      </c>
      <c r="B351" s="11" t="str">
        <f>RAW_Клиенты!A350</f>
        <v>C0349</v>
      </c>
      <c r="C351" s="11" t="str">
        <f>RAW_Клиенты!B350</f>
        <v xml:space="preserve">Скворцова Мария Игоревна</v>
      </c>
      <c r="D351" s="11" t="str">
        <f>RAW_Клиенты!C350</f>
        <v>20.03.1987</v>
      </c>
      <c r="E351" s="11" t="str">
        <f>RAW_Клиенты!D350</f>
        <v>+79032345678</v>
      </c>
      <c r="F351" s="11" t="str">
        <f>RAW_Клиенты!E350</f>
        <v>skvortsova@mail</v>
      </c>
      <c r="G351" s="11" t="str">
        <f>RAW_Клиенты!F350</f>
        <v>Архангельск</v>
      </c>
      <c r="H351" s="11" t="str">
        <f>RAW_Клиенты!G350</f>
        <v>01.09.2031</v>
      </c>
      <c r="I351" s="12" t="str">
        <f t="shared" si="385"/>
        <v>79032345678</v>
      </c>
      <c r="J351" s="12" t="str">
        <f t="shared" si="386"/>
        <v>skvortsova@mail</v>
      </c>
      <c r="K351" s="12" t="str">
        <f t="shared" si="387"/>
        <v>Архангельск</v>
      </c>
      <c r="L351" s="13" t="str">
        <f t="shared" si="388"/>
        <v>C0349</v>
      </c>
      <c r="M351" s="13" t="str">
        <f t="shared" si="389"/>
        <v xml:space="preserve">Скворцова Мария Игоревна</v>
      </c>
      <c r="N351" s="13" t="str">
        <f t="shared" si="390"/>
        <v>OK</v>
      </c>
      <c r="O351" s="19">
        <f t="shared" si="391"/>
        <v>31856</v>
      </c>
      <c r="P351" s="19">
        <f t="shared" si="392"/>
        <v>48092</v>
      </c>
      <c r="Q351" s="13">
        <f t="shared" ca="1" si="393"/>
        <v>39</v>
      </c>
      <c r="R351" s="13" t="str">
        <f t="shared" si="394"/>
        <v>OK</v>
      </c>
      <c r="S351" s="13" t="str">
        <f t="shared" si="395"/>
        <v xml:space="preserve">+7 (903) 234-56-78</v>
      </c>
      <c r="T351" s="13" t="str">
        <f t="shared" si="396"/>
        <v>skvortsova@mail</v>
      </c>
      <c r="U351" s="18" t="str">
        <f t="shared" si="397"/>
        <v xml:space="preserve">Ошибка Email</v>
      </c>
      <c r="V351" s="13" t="str">
        <f>IFERROR(VLOOKUP(K351,Справочники!$K$6:$L$13,2,0),K351)</f>
        <v>Архангельск</v>
      </c>
    </row>
    <row r="352" ht="15" customHeight="1">
      <c r="A352" s="10">
        <v>350</v>
      </c>
      <c r="B352" s="11" t="str">
        <f>RAW_Клиенты!A351</f>
        <v>C0350</v>
      </c>
      <c r="C352" s="11" t="str">
        <f>RAW_Клиенты!B351</f>
        <v xml:space="preserve">Данильчук Алексей Олегович</v>
      </c>
      <c r="D352" s="11" t="str">
        <f>RAW_Клиенты!C351</f>
        <v>12.11.1991</v>
      </c>
      <c r="E352" s="11" t="str">
        <f>RAW_Клиенты!D351</f>
        <v>8-903-234-56-78</v>
      </c>
      <c r="F352" s="11" t="str">
        <f>RAW_Клиенты!E351</f>
        <v>danilchuk@yandex</v>
      </c>
      <c r="G352" s="11" t="str">
        <f>RAW_Клиенты!F351</f>
        <v>Благовещенск</v>
      </c>
      <c r="H352" s="11" t="str">
        <f>RAW_Клиенты!G351</f>
        <v>2031-09-15</v>
      </c>
      <c r="I352" s="12" t="str">
        <f t="shared" si="385"/>
        <v>89032345678</v>
      </c>
      <c r="J352" s="12" t="str">
        <f t="shared" si="386"/>
        <v>danilchuk@yandex</v>
      </c>
      <c r="K352" s="12" t="str">
        <f t="shared" si="387"/>
        <v>Благовещенск</v>
      </c>
      <c r="L352" s="13" t="str">
        <f t="shared" si="388"/>
        <v>C0350</v>
      </c>
      <c r="M352" s="13" t="str">
        <f t="shared" si="389"/>
        <v xml:space="preserve">Данильчук Алексей Олегович</v>
      </c>
      <c r="N352" s="13" t="str">
        <f t="shared" si="390"/>
        <v>OK</v>
      </c>
      <c r="O352" s="19">
        <f t="shared" si="391"/>
        <v>33554</v>
      </c>
      <c r="P352" s="19">
        <f t="shared" si="392"/>
        <v>48106</v>
      </c>
      <c r="Q352" s="13">
        <f t="shared" ca="1" si="393"/>
        <v>34</v>
      </c>
      <c r="R352" s="13" t="str">
        <f t="shared" si="394"/>
        <v>OK</v>
      </c>
      <c r="S352" s="13" t="str">
        <f t="shared" si="395"/>
        <v xml:space="preserve">+7 (903) 234-56-78</v>
      </c>
      <c r="T352" s="13" t="str">
        <f t="shared" si="396"/>
        <v>danilchuk@yandex</v>
      </c>
      <c r="U352" s="18" t="str">
        <f t="shared" si="397"/>
        <v xml:space="preserve">Ошибка Email</v>
      </c>
      <c r="V352" s="13" t="str">
        <f>IFERROR(VLOOKUP(K352,Справочники!$K$6:$L$13,2,0),K352)</f>
        <v>Благовещенск</v>
      </c>
    </row>
    <row r="353" ht="15" customHeight="1">
      <c r="A353" s="10">
        <v>351</v>
      </c>
      <c r="B353" s="11" t="str">
        <f>RAW_Клиенты!A352</f>
        <v>C0351</v>
      </c>
      <c r="C353" s="11" t="str">
        <f>RAW_Клиенты!B352</f>
        <v xml:space="preserve">Протасова Елена Владимировна</v>
      </c>
      <c r="D353" s="11" t="str">
        <f>RAW_Клиенты!C352</f>
        <v>27.07.1974</v>
      </c>
      <c r="E353" s="11" t="str">
        <f>RAW_Клиенты!D352</f>
        <v xml:space="preserve">8 903 345 67 89</v>
      </c>
      <c r="F353" s="11" t="str">
        <f>RAW_Клиенты!E352</f>
        <v>protasova@gmail</v>
      </c>
      <c r="G353" s="11" t="str">
        <f>RAW_Клиенты!F352</f>
        <v>Майкоп</v>
      </c>
      <c r="H353" s="11" t="str">
        <f>RAW_Клиенты!G352</f>
        <v>15.09.2031</v>
      </c>
      <c r="I353" s="12" t="str">
        <f t="shared" si="385"/>
        <v>89033456789</v>
      </c>
      <c r="J353" s="12" t="str">
        <f t="shared" si="386"/>
        <v>protasova@gmail</v>
      </c>
      <c r="K353" s="12" t="str">
        <f t="shared" si="387"/>
        <v>Майкоп</v>
      </c>
      <c r="L353" s="13" t="str">
        <f t="shared" si="388"/>
        <v>C0351</v>
      </c>
      <c r="M353" s="13" t="str">
        <f t="shared" si="389"/>
        <v xml:space="preserve">Протасова Елена Владимировна</v>
      </c>
      <c r="N353" s="13" t="str">
        <f t="shared" si="390"/>
        <v>OK</v>
      </c>
      <c r="O353" s="19">
        <f t="shared" si="391"/>
        <v>27237</v>
      </c>
      <c r="P353" s="19">
        <f t="shared" si="392"/>
        <v>48106</v>
      </c>
      <c r="Q353" s="13">
        <f t="shared" ca="1" si="393"/>
        <v>52</v>
      </c>
      <c r="R353" s="13" t="str">
        <f t="shared" si="394"/>
        <v>OK</v>
      </c>
      <c r="S353" s="13" t="str">
        <f t="shared" si="395"/>
        <v xml:space="preserve">+7 (903) 345-67-89</v>
      </c>
      <c r="T353" s="13" t="str">
        <f t="shared" si="396"/>
        <v>protasova@gmail</v>
      </c>
      <c r="U353" s="18" t="str">
        <f t="shared" si="397"/>
        <v xml:space="preserve">Ошибка Email</v>
      </c>
      <c r="V353" s="13" t="str">
        <f>IFERROR(VLOOKUP(K353,Справочники!$K$6:$L$13,2,0),K353)</f>
        <v>Майкоп</v>
      </c>
    </row>
    <row r="354" ht="15" customHeight="1">
      <c r="A354" s="10">
        <v>352</v>
      </c>
      <c r="B354" s="11" t="str">
        <f>RAW_Клиенты!A353</f>
        <v>C0352</v>
      </c>
      <c r="C354" s="11" t="str">
        <f>RAW_Клиенты!B353</f>
        <v xml:space="preserve">Кувшинов Илья Николаевич</v>
      </c>
      <c r="D354" s="11" t="str">
        <f>RAW_Клиенты!C353</f>
        <v>16.01.1983</v>
      </c>
      <c r="E354" s="11" t="str">
        <f>RAW_Клиенты!D353</f>
        <v>+79033456789</v>
      </c>
      <c r="F354" s="11" t="str">
        <f>RAW_Клиенты!E353</f>
        <v>kuvshinov@mail</v>
      </c>
      <c r="G354" s="11" t="str">
        <f>RAW_Клиенты!F353</f>
        <v>Уссурийск</v>
      </c>
      <c r="H354" s="11" t="str">
        <f>RAW_Клиенты!G353</f>
        <v>01.10.2031</v>
      </c>
      <c r="I354" s="12" t="str">
        <f t="shared" si="385"/>
        <v>79033456789</v>
      </c>
      <c r="J354" s="12" t="str">
        <f t="shared" si="386"/>
        <v>kuvshinov@mail</v>
      </c>
      <c r="K354" s="12" t="str">
        <f t="shared" si="387"/>
        <v>Уссурийск</v>
      </c>
      <c r="L354" s="13" t="str">
        <f t="shared" si="388"/>
        <v>C0352</v>
      </c>
      <c r="M354" s="13" t="str">
        <f t="shared" si="389"/>
        <v xml:space="preserve">Кувшинов Илья Николаевич</v>
      </c>
      <c r="N354" s="13" t="str">
        <f t="shared" si="390"/>
        <v>OK</v>
      </c>
      <c r="O354" s="19">
        <f t="shared" si="391"/>
        <v>30332</v>
      </c>
      <c r="P354" s="19">
        <f t="shared" si="392"/>
        <v>48122</v>
      </c>
      <c r="Q354" s="13">
        <f t="shared" ca="1" si="393"/>
        <v>43</v>
      </c>
      <c r="R354" s="13" t="str">
        <f t="shared" si="394"/>
        <v>OK</v>
      </c>
      <c r="S354" s="13" t="str">
        <f t="shared" si="395"/>
        <v xml:space="preserve">+7 (903) 345-67-89</v>
      </c>
      <c r="T354" s="13" t="str">
        <f t="shared" si="396"/>
        <v>kuvshinov@mail</v>
      </c>
      <c r="U354" s="18" t="str">
        <f t="shared" si="397"/>
        <v xml:space="preserve">Ошибка Email</v>
      </c>
      <c r="V354" s="13" t="str">
        <f>IFERROR(VLOOKUP(K354,Справочники!$K$6:$L$13,2,0),K354)</f>
        <v>Уссурийск</v>
      </c>
    </row>
    <row r="355" ht="15" customHeight="1">
      <c r="A355" s="10">
        <v>353</v>
      </c>
      <c r="B355" s="11" t="str">
        <f>RAW_Клиенты!A354</f>
        <v>C0353</v>
      </c>
      <c r="C355" s="11" t="str">
        <f>RAW_Клиенты!B354</f>
        <v xml:space="preserve">Шумилова Оксана Павловна</v>
      </c>
      <c r="D355" s="11" t="str">
        <f>RAW_Клиенты!C354</f>
        <v>05.10.1988</v>
      </c>
      <c r="E355" s="11" t="str">
        <f>RAW_Клиенты!D354</f>
        <v>8-903-345-67-89</v>
      </c>
      <c r="F355" s="11" t="str">
        <f>RAW_Клиенты!E354</f>
        <v>shumilova@yandex</v>
      </c>
      <c r="G355" s="11" t="str">
        <f>RAW_Клиенты!F354</f>
        <v>Миасс</v>
      </c>
      <c r="H355" s="11" t="str">
        <f>RAW_Клиенты!G354</f>
        <v>2031-10-10</v>
      </c>
      <c r="I355" s="12" t="str">
        <f t="shared" si="385"/>
        <v>89033456789</v>
      </c>
      <c r="J355" s="12" t="str">
        <f t="shared" si="386"/>
        <v>shumilova@yandex</v>
      </c>
      <c r="K355" s="12" t="str">
        <f t="shared" si="387"/>
        <v>Миасс</v>
      </c>
      <c r="L355" s="13" t="str">
        <f t="shared" si="388"/>
        <v>C0353</v>
      </c>
      <c r="M355" s="13" t="str">
        <f t="shared" si="389"/>
        <v xml:space="preserve">Шумилова Оксана Павловна</v>
      </c>
      <c r="N355" s="13" t="str">
        <f t="shared" si="390"/>
        <v>OK</v>
      </c>
      <c r="O355" s="19">
        <f t="shared" si="391"/>
        <v>32421</v>
      </c>
      <c r="P355" s="19">
        <f t="shared" si="392"/>
        <v>48131</v>
      </c>
      <c r="Q355" s="13">
        <f t="shared" ca="1" si="393"/>
        <v>37</v>
      </c>
      <c r="R355" s="13" t="str">
        <f t="shared" si="394"/>
        <v>OK</v>
      </c>
      <c r="S355" s="13" t="str">
        <f t="shared" si="395"/>
        <v xml:space="preserve">+7 (903) 345-67-89</v>
      </c>
      <c r="T355" s="13" t="str">
        <f t="shared" si="396"/>
        <v>shumilova@yandex</v>
      </c>
      <c r="U355" s="18" t="str">
        <f t="shared" si="397"/>
        <v xml:space="preserve">Ошибка Email</v>
      </c>
      <c r="V355" s="13" t="str">
        <f>IFERROR(VLOOKUP(K355,Справочники!$K$6:$L$13,2,0),K355)</f>
        <v>Миасс</v>
      </c>
    </row>
    <row r="356" ht="15" customHeight="1">
      <c r="A356" s="10">
        <v>354</v>
      </c>
      <c r="B356" s="11" t="str">
        <f>RAW_Клиенты!A355</f>
        <v>C0354</v>
      </c>
      <c r="C356" s="11" t="str">
        <f>RAW_Клиенты!B355</f>
        <v xml:space="preserve">Михайличенко Денис Сергеевич</v>
      </c>
      <c r="D356" s="11" t="str">
        <f>RAW_Клиенты!C355</f>
        <v>28.12.1970</v>
      </c>
      <c r="E356" s="11" t="str">
        <f>RAW_Клиенты!D355</f>
        <v xml:space="preserve">8 903 456 78 90</v>
      </c>
      <c r="F356" s="11" t="str">
        <f>RAW_Клиенты!E355</f>
        <v>mihaylichenko@gmail</v>
      </c>
      <c r="G356" s="11" t="str">
        <f>RAW_Клиенты!F355</f>
        <v>Кызыл</v>
      </c>
      <c r="H356" s="11" t="str">
        <f>RAW_Клиенты!G355</f>
        <v>10.10.2031</v>
      </c>
      <c r="I356" s="12" t="str">
        <f t="shared" ref="I356:I419" si="398">SUBSTITUTE(SUBSTITUTE(SUBSTITUTE(SUBSTITUTE(SUBSTITUTE(SUBSTITUTE(E356," ",""),"-",""),"+",""),"(",""),")",""),CHAR(160),"")</f>
        <v>89034567890</v>
      </c>
      <c r="J356" s="12" t="str">
        <f t="shared" ref="J356:J419" si="399">SUBSTITUTE(SUBSTITUTE(TRIM(F356)," ",""),CHAR(160),"")</f>
        <v>mihaylichenko@gmail</v>
      </c>
      <c r="K356" s="12" t="str">
        <f t="shared" ref="K356:K419" si="400">TRIM(SUBSTITUTE(SUBSTITUTE(TRIM(G356),"г.",""),"г ",""))</f>
        <v>Кызыл</v>
      </c>
      <c r="L356" s="13" t="str">
        <f t="shared" ref="L356:L419" si="401">B356</f>
        <v>C0354</v>
      </c>
      <c r="M356" s="13" t="str">
        <f t="shared" ref="M356:M419" si="402">PROPER(TRIM(C356))</f>
        <v xml:space="preserve">Михайличенко Денис Сергеевич</v>
      </c>
      <c r="N356" s="13" t="str">
        <f t="shared" ref="N356:N419" si="403">IF(ISNUMBER(FIND(".",C356)),"инициалы: проверить",IF(SUMPRODUCT(--ISNUMBER(FIND(MID("abcdefghijklmnopqrstuvwxyz",ROW(INDIRECT("1:26")),1),LOWER(C356))))&gt;0,"латиница: транслит","OK"))</f>
        <v>OK</v>
      </c>
      <c r="O356" s="19">
        <f t="shared" ref="O356:O419" si="404">IF(ISNUMBER(FIND("-",D356)),DATE(VALUE(LEFT(D356,4)),VALUE(MID(D356,6,2)),VALUE(MID(D356,9,2))),DATE(VALUE(MID(D356,7,4)),VALUE(MID(D356,4,2)),VALUE(LEFT(D356,2))))</f>
        <v>25930</v>
      </c>
      <c r="P356" s="19">
        <f t="shared" ref="P356:P419" si="405">IF(ISNUMBER(FIND("-",H356)),DATE(VALUE(LEFT(H356,4)),VALUE(MID(H356,6,2)),VALUE(MID(H356,9,2))),DATE(VALUE(MID(H356,7,4)),VALUE(MID(H356,4,2)),VALUE(LEFT(H356,2))))</f>
        <v>48131</v>
      </c>
      <c r="Q356" s="13">
        <f t="shared" ref="Q356:Q419" ca="1" si="406">DATEDIF(O356,TODAY(),"Y")</f>
        <v>55</v>
      </c>
      <c r="R356" s="13" t="str">
        <f t="shared" ref="R356:R419" si="407">IF(OR(Q356&lt;18,Q356&gt;120),"Ошибка даты рождения","OK")</f>
        <v>OK</v>
      </c>
      <c r="S356" s="13" t="str">
        <f t="shared" ref="S356:S419" si="408">IF(LEN(I356)&gt;=10,"+7 ("&amp;MID(I356,LEN(I356)-9,3)&amp;") "&amp;MID(I356,LEN(I356)-6,3)&amp;"-"&amp;MID(I356,LEN(I356)-3,2)&amp;"-"&amp;RIGHT(I356,2),"Ошибка телефона")</f>
        <v xml:space="preserve">+7 (903) 456-78-90</v>
      </c>
      <c r="T356" s="13" t="str">
        <f t="shared" ref="T356:T419" si="409">J356</f>
        <v>mihaylichenko@gmail</v>
      </c>
      <c r="U356" s="18" t="str">
        <f t="shared" ref="U356:U419" si="410">IF(AND(ISNUMBER(FIND("@",J356)),ISNUMBER(FIND(".",MID(J356,FIND("@",J356),100)))),"OK","Ошибка Email")</f>
        <v xml:space="preserve">Ошибка Email</v>
      </c>
      <c r="V356" s="13" t="str">
        <f>IFERROR(VLOOKUP(K356,Справочники!$K$6:$L$13,2,0),K356)</f>
        <v>Кызыл</v>
      </c>
    </row>
    <row r="357" ht="15" customHeight="1">
      <c r="A357" s="10">
        <v>355</v>
      </c>
      <c r="B357" s="11" t="str">
        <f>RAW_Клиенты!A356</f>
        <v>C0355</v>
      </c>
      <c r="C357" s="11" t="str">
        <f>RAW_Клиенты!B356</f>
        <v xml:space="preserve">Лысенко Татьяна Александровна</v>
      </c>
      <c r="D357" s="11" t="str">
        <f>RAW_Клиенты!C356</f>
        <v>21.06.1979</v>
      </c>
      <c r="E357" s="11" t="str">
        <f>RAW_Клиенты!D356</f>
        <v>+79034567890</v>
      </c>
      <c r="F357" s="11" t="str">
        <f>RAW_Клиенты!E356</f>
        <v>lysenko@mail</v>
      </c>
      <c r="G357" s="11" t="str">
        <f>RAW_Клиенты!F356</f>
        <v>Калининград</v>
      </c>
      <c r="H357" s="11" t="str">
        <f>RAW_Клиенты!G356</f>
        <v>01.11.2031</v>
      </c>
      <c r="I357" s="12" t="str">
        <f t="shared" si="398"/>
        <v>79034567890</v>
      </c>
      <c r="J357" s="12" t="str">
        <f t="shared" si="399"/>
        <v>lysenko@mail</v>
      </c>
      <c r="K357" s="12" t="str">
        <f t="shared" si="400"/>
        <v>Калининград</v>
      </c>
      <c r="L357" s="13" t="str">
        <f t="shared" si="401"/>
        <v>C0355</v>
      </c>
      <c r="M357" s="13" t="str">
        <f t="shared" si="402"/>
        <v xml:space="preserve">Лысенко Татьяна Александровна</v>
      </c>
      <c r="N357" s="13" t="str">
        <f t="shared" si="403"/>
        <v>OK</v>
      </c>
      <c r="O357" s="19">
        <f t="shared" si="404"/>
        <v>29027</v>
      </c>
      <c r="P357" s="19">
        <f t="shared" si="405"/>
        <v>48153</v>
      </c>
      <c r="Q357" s="13">
        <f t="shared" ca="1" si="406"/>
        <v>47</v>
      </c>
      <c r="R357" s="13" t="str">
        <f t="shared" si="407"/>
        <v>OK</v>
      </c>
      <c r="S357" s="13" t="str">
        <f t="shared" si="408"/>
        <v xml:space="preserve">+7 (903) 456-78-90</v>
      </c>
      <c r="T357" s="13" t="str">
        <f t="shared" si="409"/>
        <v>lysenko@mail</v>
      </c>
      <c r="U357" s="18" t="str">
        <f t="shared" si="410"/>
        <v xml:space="preserve">Ошибка Email</v>
      </c>
      <c r="V357" s="13" t="str">
        <f>IFERROR(VLOOKUP(K357,Справочники!$K$6:$L$13,2,0),K357)</f>
        <v>Калининград</v>
      </c>
    </row>
    <row r="358" ht="15" customHeight="1">
      <c r="A358" s="10">
        <v>356</v>
      </c>
      <c r="B358" s="11" t="str">
        <f>RAW_Клиенты!A357</f>
        <v>C0356</v>
      </c>
      <c r="C358" s="11" t="str">
        <f>RAW_Клиенты!B357</f>
        <v xml:space="preserve">Назарчук Андрей Викторович</v>
      </c>
      <c r="D358" s="11" t="str">
        <f>RAW_Клиенты!C357</f>
        <v>14.09.1990</v>
      </c>
      <c r="E358" s="11" t="str">
        <f>RAW_Клиенты!D357</f>
        <v>8-903-456-78-90</v>
      </c>
      <c r="F358" s="11" t="str">
        <f>RAW_Клиенты!E357</f>
        <v>nazarchuk@yandex</v>
      </c>
      <c r="G358" s="11" t="str">
        <f>RAW_Клиенты!F357</f>
        <v>Петрозаводск</v>
      </c>
      <c r="H358" s="11" t="str">
        <f>RAW_Клиенты!G357</f>
        <v>2031-11-15</v>
      </c>
      <c r="I358" s="12" t="str">
        <f t="shared" si="398"/>
        <v>89034567890</v>
      </c>
      <c r="J358" s="12" t="str">
        <f t="shared" si="399"/>
        <v>nazarchuk@yandex</v>
      </c>
      <c r="K358" s="12" t="str">
        <f t="shared" si="400"/>
        <v>Петрозаводск</v>
      </c>
      <c r="L358" s="13" t="str">
        <f t="shared" si="401"/>
        <v>C0356</v>
      </c>
      <c r="M358" s="13" t="str">
        <f t="shared" si="402"/>
        <v xml:space="preserve">Назарчук Андрей Викторович</v>
      </c>
      <c r="N358" s="13" t="str">
        <f t="shared" si="403"/>
        <v>OK</v>
      </c>
      <c r="O358" s="19">
        <f t="shared" si="404"/>
        <v>33130</v>
      </c>
      <c r="P358" s="19">
        <f t="shared" si="405"/>
        <v>48167</v>
      </c>
      <c r="Q358" s="13">
        <f t="shared" ca="1" si="406"/>
        <v>36</v>
      </c>
      <c r="R358" s="13" t="str">
        <f t="shared" si="407"/>
        <v>OK</v>
      </c>
      <c r="S358" s="13" t="str">
        <f t="shared" si="408"/>
        <v xml:space="preserve">+7 (903) 456-78-90</v>
      </c>
      <c r="T358" s="13" t="str">
        <f t="shared" si="409"/>
        <v>nazarchuk@yandex</v>
      </c>
      <c r="U358" s="18" t="str">
        <f t="shared" si="410"/>
        <v xml:space="preserve">Ошибка Email</v>
      </c>
      <c r="V358" s="13" t="str">
        <f>IFERROR(VLOOKUP(K358,Справочники!$K$6:$L$13,2,0),K358)</f>
        <v>Петрозаводск</v>
      </c>
    </row>
    <row r="359" ht="15" customHeight="1">
      <c r="A359" s="10">
        <v>357</v>
      </c>
      <c r="B359" s="11" t="str">
        <f>RAW_Клиенты!A358</f>
        <v>C0357</v>
      </c>
      <c r="C359" s="11" t="str">
        <f>RAW_Клиенты!B358</f>
        <v xml:space="preserve">Скачкова Мария Игоревна</v>
      </c>
      <c r="D359" s="11" t="str">
        <f>RAW_Клиенты!C358</f>
        <v>02.02.1986</v>
      </c>
      <c r="E359" s="11" t="str">
        <f>RAW_Клиенты!D358</f>
        <v xml:space="preserve">8 903 567 89 01</v>
      </c>
      <c r="F359" s="11" t="str">
        <f>RAW_Клиенты!E358</f>
        <v>skachkova@gmail</v>
      </c>
      <c r="G359" s="11" t="str">
        <f>RAW_Клиенты!F358</f>
        <v>Рубцовск</v>
      </c>
      <c r="H359" s="11" t="str">
        <f>RAW_Клиенты!G358</f>
        <v>15.11.2031</v>
      </c>
      <c r="I359" s="12" t="str">
        <f t="shared" si="398"/>
        <v>89035678901</v>
      </c>
      <c r="J359" s="12" t="str">
        <f t="shared" si="399"/>
        <v>skachkova@gmail</v>
      </c>
      <c r="K359" s="12" t="str">
        <f t="shared" si="400"/>
        <v>Рубцовск</v>
      </c>
      <c r="L359" s="13" t="str">
        <f t="shared" si="401"/>
        <v>C0357</v>
      </c>
      <c r="M359" s="13" t="str">
        <f t="shared" si="402"/>
        <v xml:space="preserve">Скачкова Мария Игоревна</v>
      </c>
      <c r="N359" s="13" t="str">
        <f t="shared" si="403"/>
        <v>OK</v>
      </c>
      <c r="O359" s="19">
        <f t="shared" si="404"/>
        <v>31445</v>
      </c>
      <c r="P359" s="19">
        <f t="shared" si="405"/>
        <v>48167</v>
      </c>
      <c r="Q359" s="13">
        <f t="shared" ca="1" si="406"/>
        <v>40</v>
      </c>
      <c r="R359" s="13" t="str">
        <f t="shared" si="407"/>
        <v>OK</v>
      </c>
      <c r="S359" s="13" t="str">
        <f t="shared" si="408"/>
        <v xml:space="preserve">+7 (903) 567-89-01</v>
      </c>
      <c r="T359" s="13" t="str">
        <f t="shared" si="409"/>
        <v>skachkova@gmail</v>
      </c>
      <c r="U359" s="18" t="str">
        <f t="shared" si="410"/>
        <v xml:space="preserve">Ошибка Email</v>
      </c>
      <c r="V359" s="13" t="str">
        <f>IFERROR(VLOOKUP(K359,Справочники!$K$6:$L$13,2,0),K359)</f>
        <v>Рубцовск</v>
      </c>
    </row>
    <row r="360" ht="15" customHeight="1">
      <c r="A360" s="10">
        <v>358</v>
      </c>
      <c r="B360" s="11" t="str">
        <f>RAW_Клиенты!A359</f>
        <v>C0358</v>
      </c>
      <c r="C360" s="11" t="str">
        <f>RAW_Клиенты!B359</f>
        <v xml:space="preserve">Чернышев Олег Павлович</v>
      </c>
      <c r="D360" s="11" t="str">
        <f>RAW_Клиенты!C359</f>
        <v>23.05.1982</v>
      </c>
      <c r="E360" s="11" t="str">
        <f>RAW_Клиенты!D359</f>
        <v>+79035678901</v>
      </c>
      <c r="F360" s="11" t="str">
        <f>RAW_Клиенты!E359</f>
        <v>chernyshev@mail</v>
      </c>
      <c r="G360" s="11" t="str">
        <f>RAW_Клиенты!F359</f>
        <v>Элиста</v>
      </c>
      <c r="H360" s="11" t="str">
        <f>RAW_Клиенты!G359</f>
        <v>01.12.2031</v>
      </c>
      <c r="I360" s="12" t="str">
        <f t="shared" si="398"/>
        <v>79035678901</v>
      </c>
      <c r="J360" s="12" t="str">
        <f t="shared" si="399"/>
        <v>chernyshev@mail</v>
      </c>
      <c r="K360" s="12" t="str">
        <f t="shared" si="400"/>
        <v>Элиста</v>
      </c>
      <c r="L360" s="13" t="str">
        <f t="shared" si="401"/>
        <v>C0358</v>
      </c>
      <c r="M360" s="13" t="str">
        <f t="shared" si="402"/>
        <v xml:space="preserve">Чернышев Олег Павлович</v>
      </c>
      <c r="N360" s="13" t="str">
        <f t="shared" si="403"/>
        <v>OK</v>
      </c>
      <c r="O360" s="19">
        <f t="shared" si="404"/>
        <v>30094</v>
      </c>
      <c r="P360" s="19">
        <f t="shared" si="405"/>
        <v>48183</v>
      </c>
      <c r="Q360" s="13">
        <f t="shared" ca="1" si="406"/>
        <v>44</v>
      </c>
      <c r="R360" s="13" t="str">
        <f t="shared" si="407"/>
        <v>OK</v>
      </c>
      <c r="S360" s="13" t="str">
        <f t="shared" si="408"/>
        <v xml:space="preserve">+7 (903) 567-89-01</v>
      </c>
      <c r="T360" s="13" t="str">
        <f t="shared" si="409"/>
        <v>chernyshev@mail</v>
      </c>
      <c r="U360" s="18" t="str">
        <f t="shared" si="410"/>
        <v xml:space="preserve">Ошибка Email</v>
      </c>
      <c r="V360" s="13" t="str">
        <f>IFERROR(VLOOKUP(K360,Справочники!$K$6:$L$13,2,0),K360)</f>
        <v>Элиста</v>
      </c>
    </row>
    <row r="361" ht="15" customHeight="1">
      <c r="A361" s="10">
        <v>359</v>
      </c>
      <c r="B361" s="11" t="str">
        <f>RAW_Клиенты!A360</f>
        <v>C0359</v>
      </c>
      <c r="C361" s="11" t="str">
        <f>RAW_Клиенты!B360</f>
        <v xml:space="preserve">Покровская Елена Владимировна</v>
      </c>
      <c r="D361" s="11" t="str">
        <f>RAW_Клиенты!C360</f>
        <v>10.08.1975</v>
      </c>
      <c r="E361" s="11" t="str">
        <f>RAW_Клиенты!D360</f>
        <v>8-903-567-89-01</v>
      </c>
      <c r="F361" s="11" t="str">
        <f>RAW_Клиенты!E360</f>
        <v>pokrovskaya@yandex</v>
      </c>
      <c r="G361" s="11" t="str">
        <f>RAW_Клиенты!F360</f>
        <v>Орск</v>
      </c>
      <c r="H361" s="11" t="str">
        <f>RAW_Клиенты!G360</f>
        <v>2031-12-10</v>
      </c>
      <c r="I361" s="12" t="str">
        <f t="shared" si="398"/>
        <v>89035678901</v>
      </c>
      <c r="J361" s="12" t="str">
        <f t="shared" si="399"/>
        <v>pokrovskaya@yandex</v>
      </c>
      <c r="K361" s="12" t="str">
        <f t="shared" si="400"/>
        <v>Орск</v>
      </c>
      <c r="L361" s="13" t="str">
        <f t="shared" si="401"/>
        <v>C0359</v>
      </c>
      <c r="M361" s="13" t="str">
        <f t="shared" si="402"/>
        <v xml:space="preserve">Покровская Елена Владимировна</v>
      </c>
      <c r="N361" s="13" t="str">
        <f t="shared" si="403"/>
        <v>OK</v>
      </c>
      <c r="O361" s="19">
        <f t="shared" si="404"/>
        <v>27616</v>
      </c>
      <c r="P361" s="19">
        <f t="shared" si="405"/>
        <v>48192</v>
      </c>
      <c r="Q361" s="13">
        <f t="shared" ca="1" si="406"/>
        <v>51</v>
      </c>
      <c r="R361" s="13" t="str">
        <f t="shared" si="407"/>
        <v>OK</v>
      </c>
      <c r="S361" s="13" t="str">
        <f t="shared" si="408"/>
        <v xml:space="preserve">+7 (903) 567-89-01</v>
      </c>
      <c r="T361" s="13" t="str">
        <f t="shared" si="409"/>
        <v>pokrovskaya@yandex</v>
      </c>
      <c r="U361" s="18" t="str">
        <f t="shared" si="410"/>
        <v xml:space="preserve">Ошибка Email</v>
      </c>
      <c r="V361" s="13" t="str">
        <f>IFERROR(VLOOKUP(K361,Справочники!$K$6:$L$13,2,0),K361)</f>
        <v>Орск</v>
      </c>
    </row>
    <row r="362" ht="15" customHeight="1">
      <c r="A362" s="10">
        <v>360</v>
      </c>
      <c r="B362" s="11" t="str">
        <f>RAW_Клиенты!A361</f>
        <v>C0360</v>
      </c>
      <c r="C362" s="11" t="str">
        <f>RAW_Клиенты!B361</f>
        <v xml:space="preserve">Шабалин Илья Олегович</v>
      </c>
      <c r="D362" s="11" t="str">
        <f>RAW_Клиенты!C361</f>
        <v>19.11.1993</v>
      </c>
      <c r="E362" s="11" t="str">
        <f>RAW_Клиенты!D361</f>
        <v xml:space="preserve">8 903 678 90 12</v>
      </c>
      <c r="F362" s="11" t="str">
        <f>RAW_Клиенты!E361</f>
        <v>shabalin@gmail</v>
      </c>
      <c r="G362" s="11" t="str">
        <f>RAW_Клиенты!F361</f>
        <v>Нижневартовск</v>
      </c>
      <c r="H362" s="11" t="str">
        <f>RAW_Клиенты!G361</f>
        <v>10.12.2031</v>
      </c>
      <c r="I362" s="12" t="str">
        <f t="shared" si="398"/>
        <v>89036789012</v>
      </c>
      <c r="J362" s="12" t="str">
        <f t="shared" si="399"/>
        <v>shabalin@gmail</v>
      </c>
      <c r="K362" s="12" t="str">
        <f t="shared" si="400"/>
        <v>Нижневартовск</v>
      </c>
      <c r="L362" s="13" t="str">
        <f t="shared" si="401"/>
        <v>C0360</v>
      </c>
      <c r="M362" s="13" t="str">
        <f t="shared" si="402"/>
        <v xml:space="preserve">Шабалин Илья Олегович</v>
      </c>
      <c r="N362" s="13" t="str">
        <f t="shared" si="403"/>
        <v>OK</v>
      </c>
      <c r="O362" s="19">
        <f t="shared" si="404"/>
        <v>34292</v>
      </c>
      <c r="P362" s="19">
        <f t="shared" si="405"/>
        <v>48192</v>
      </c>
      <c r="Q362" s="13">
        <f t="shared" ca="1" si="406"/>
        <v>32</v>
      </c>
      <c r="R362" s="13" t="str">
        <f t="shared" si="407"/>
        <v>OK</v>
      </c>
      <c r="S362" s="13" t="str">
        <f t="shared" si="408"/>
        <v xml:space="preserve">+7 (903) 678-90-12</v>
      </c>
      <c r="T362" s="13" t="str">
        <f t="shared" si="409"/>
        <v>shabalin@gmail</v>
      </c>
      <c r="U362" s="18" t="str">
        <f t="shared" si="410"/>
        <v xml:space="preserve">Ошибка Email</v>
      </c>
      <c r="V362" s="13" t="str">
        <f>IFERROR(VLOOKUP(K362,Справочники!$K$6:$L$13,2,0),K362)</f>
        <v>Нижневартовск</v>
      </c>
    </row>
    <row r="363" ht="15" customHeight="1">
      <c r="A363" s="10">
        <v>361</v>
      </c>
      <c r="B363" s="11" t="str">
        <f>RAW_Клиенты!A362</f>
        <v>C0361</v>
      </c>
      <c r="C363" s="11" t="str">
        <f>RAW_Клиенты!B362</f>
        <v xml:space="preserve">Кубасова Наталья Алексеевна</v>
      </c>
      <c r="D363" s="11" t="str">
        <f>RAW_Клиенты!C362</f>
        <v>31.12.1978</v>
      </c>
      <c r="E363" s="11" t="str">
        <f>RAW_Клиенты!D362</f>
        <v>+79036789012</v>
      </c>
      <c r="F363" s="11" t="str">
        <f>RAW_Клиенты!E362</f>
        <v>kubasova@mail</v>
      </c>
      <c r="G363" s="11" t="str">
        <f>RAW_Клиенты!F362</f>
        <v>Новороссийск</v>
      </c>
      <c r="H363" s="11" t="str">
        <f>RAW_Клиенты!G362</f>
        <v>01.01.2032</v>
      </c>
      <c r="I363" s="12" t="str">
        <f t="shared" si="398"/>
        <v>79036789012</v>
      </c>
      <c r="J363" s="12" t="str">
        <f t="shared" si="399"/>
        <v>kubasova@mail</v>
      </c>
      <c r="K363" s="12" t="str">
        <f t="shared" si="400"/>
        <v>Новороссийск</v>
      </c>
      <c r="L363" s="13" t="str">
        <f t="shared" si="401"/>
        <v>C0361</v>
      </c>
      <c r="M363" s="13" t="str">
        <f t="shared" si="402"/>
        <v xml:space="preserve">Кубасова Наталья Алексеевна</v>
      </c>
      <c r="N363" s="13" t="str">
        <f t="shared" si="403"/>
        <v>OK</v>
      </c>
      <c r="O363" s="19">
        <f t="shared" si="404"/>
        <v>28855</v>
      </c>
      <c r="P363" s="19">
        <f t="shared" si="405"/>
        <v>48214</v>
      </c>
      <c r="Q363" s="13">
        <f t="shared" ca="1" si="406"/>
        <v>47</v>
      </c>
      <c r="R363" s="13" t="str">
        <f t="shared" si="407"/>
        <v>OK</v>
      </c>
      <c r="S363" s="13" t="str">
        <f t="shared" si="408"/>
        <v xml:space="preserve">+7 (903) 678-90-12</v>
      </c>
      <c r="T363" s="13" t="str">
        <f t="shared" si="409"/>
        <v>kubasova@mail</v>
      </c>
      <c r="U363" s="18" t="str">
        <f t="shared" si="410"/>
        <v xml:space="preserve">Ошибка Email</v>
      </c>
      <c r="V363" s="13" t="str">
        <f>IFERROR(VLOOKUP(K363,Справочники!$K$6:$L$13,2,0),K363)</f>
        <v>Новороссийск</v>
      </c>
    </row>
    <row r="364" ht="15" customHeight="1">
      <c r="A364" s="10">
        <v>362</v>
      </c>
      <c r="B364" s="11" t="str">
        <f>RAW_Клиенты!A363</f>
        <v>C0362</v>
      </c>
      <c r="C364" s="11" t="str">
        <f>RAW_Клиенты!B363</f>
        <v xml:space="preserve">Логунов Андрей Сергеевич</v>
      </c>
      <c r="D364" s="11" t="str">
        <f>RAW_Клиенты!C363</f>
        <v>16.04.1987</v>
      </c>
      <c r="E364" s="11" t="str">
        <f>RAW_Клиенты!D363</f>
        <v>8-903-678-90-12</v>
      </c>
      <c r="F364" s="11" t="str">
        <f>RAW_Клиенты!E363</f>
        <v>logunov@yandex</v>
      </c>
      <c r="G364" s="11" t="str">
        <f>RAW_Клиенты!F363</f>
        <v>Химки</v>
      </c>
      <c r="H364" s="11" t="str">
        <f>RAW_Клиенты!G363</f>
        <v>2032-01-15</v>
      </c>
      <c r="I364" s="12" t="str">
        <f t="shared" si="398"/>
        <v>89036789012</v>
      </c>
      <c r="J364" s="12" t="str">
        <f t="shared" si="399"/>
        <v>logunov@yandex</v>
      </c>
      <c r="K364" s="12" t="str">
        <f t="shared" si="400"/>
        <v>Химки</v>
      </c>
      <c r="L364" s="13" t="str">
        <f t="shared" si="401"/>
        <v>C0362</v>
      </c>
      <c r="M364" s="13" t="str">
        <f t="shared" si="402"/>
        <v xml:space="preserve">Логунов Андрей Сергеевич</v>
      </c>
      <c r="N364" s="13" t="str">
        <f t="shared" si="403"/>
        <v>OK</v>
      </c>
      <c r="O364" s="19">
        <f t="shared" si="404"/>
        <v>31883</v>
      </c>
      <c r="P364" s="19">
        <f t="shared" si="405"/>
        <v>48228</v>
      </c>
      <c r="Q364" s="13">
        <f t="shared" ca="1" si="406"/>
        <v>39</v>
      </c>
      <c r="R364" s="13" t="str">
        <f t="shared" si="407"/>
        <v>OK</v>
      </c>
      <c r="S364" s="13" t="str">
        <f t="shared" si="408"/>
        <v xml:space="preserve">+7 (903) 678-90-12</v>
      </c>
      <c r="T364" s="13" t="str">
        <f t="shared" si="409"/>
        <v>logunov@yandex</v>
      </c>
      <c r="U364" s="18" t="str">
        <f t="shared" si="410"/>
        <v xml:space="preserve">Ошибка Email</v>
      </c>
      <c r="V364" s="13" t="str">
        <f>IFERROR(VLOOKUP(K364,Справочники!$K$6:$L$13,2,0),K364)</f>
        <v>Химки</v>
      </c>
    </row>
    <row r="365" ht="15" customHeight="1">
      <c r="A365" s="10">
        <v>363</v>
      </c>
      <c r="B365" s="11" t="str">
        <f>RAW_Клиенты!A364</f>
        <v>C0363</v>
      </c>
      <c r="C365" s="11" t="str">
        <f>RAW_Клиенты!B364</f>
        <v xml:space="preserve">Топоркова Ольга Владимировна</v>
      </c>
      <c r="D365" s="11" t="str">
        <f>RAW_Клиенты!C364</f>
        <v>28.07.1984</v>
      </c>
      <c r="E365" s="11" t="str">
        <f>RAW_Клиенты!D364</f>
        <v xml:space="preserve">8 903 789 01 23</v>
      </c>
      <c r="F365" s="11" t="str">
        <f>RAW_Клиенты!E364</f>
        <v>toporkova@gmail</v>
      </c>
      <c r="G365" s="11" t="str">
        <f>RAW_Клиенты!F364</f>
        <v>Подольск</v>
      </c>
      <c r="H365" s="11" t="str">
        <f>RAW_Клиенты!G364</f>
        <v>15.01.2032</v>
      </c>
      <c r="I365" s="12" t="str">
        <f t="shared" si="398"/>
        <v>89037890123</v>
      </c>
      <c r="J365" s="12" t="str">
        <f t="shared" si="399"/>
        <v>toporkova@gmail</v>
      </c>
      <c r="K365" s="12" t="str">
        <f t="shared" si="400"/>
        <v>Подольск</v>
      </c>
      <c r="L365" s="13" t="str">
        <f t="shared" si="401"/>
        <v>C0363</v>
      </c>
      <c r="M365" s="13" t="str">
        <f t="shared" si="402"/>
        <v xml:space="preserve">Топоркова Ольга Владимировна</v>
      </c>
      <c r="N365" s="13" t="str">
        <f t="shared" si="403"/>
        <v>OK</v>
      </c>
      <c r="O365" s="19">
        <f t="shared" si="404"/>
        <v>30891</v>
      </c>
      <c r="P365" s="19">
        <f t="shared" si="405"/>
        <v>48228</v>
      </c>
      <c r="Q365" s="13">
        <f t="shared" ca="1" si="406"/>
        <v>42</v>
      </c>
      <c r="R365" s="13" t="str">
        <f t="shared" si="407"/>
        <v>OK</v>
      </c>
      <c r="S365" s="13" t="str">
        <f t="shared" si="408"/>
        <v xml:space="preserve">+7 (903) 789-01-23</v>
      </c>
      <c r="T365" s="13" t="str">
        <f t="shared" si="409"/>
        <v>toporkova@gmail</v>
      </c>
      <c r="U365" s="18" t="str">
        <f t="shared" si="410"/>
        <v xml:space="preserve">Ошибка Email</v>
      </c>
      <c r="V365" s="13" t="str">
        <f>IFERROR(VLOOKUP(K365,Справочники!$K$6:$L$13,2,0),K365)</f>
        <v>Подольск</v>
      </c>
    </row>
    <row r="366" ht="15" customHeight="1">
      <c r="A366" s="10">
        <v>364</v>
      </c>
      <c r="B366" s="11" t="str">
        <f>RAW_Клиенты!A365</f>
        <v>C0364</v>
      </c>
      <c r="C366" s="11" t="str">
        <f>RAW_Клиенты!B365</f>
        <v xml:space="preserve">Кирьянов Денис Павлович</v>
      </c>
      <c r="D366" s="11" t="str">
        <f>RAW_Клиенты!C365</f>
        <v>13.02.1976</v>
      </c>
      <c r="E366" s="11" t="str">
        <f>RAW_Клиенты!D365</f>
        <v>+79037890123</v>
      </c>
      <c r="F366" s="11" t="str">
        <f>RAW_Клиенты!E365</f>
        <v>kiryanov@mail</v>
      </c>
      <c r="G366" s="11" t="str">
        <f>RAW_Клиенты!F365</f>
        <v>Балашиха</v>
      </c>
      <c r="H366" s="11" t="str">
        <f>RAW_Клиенты!G365</f>
        <v>01.02.2032</v>
      </c>
      <c r="I366" s="12" t="str">
        <f t="shared" si="398"/>
        <v>79037890123</v>
      </c>
      <c r="J366" s="12" t="str">
        <f t="shared" si="399"/>
        <v>kiryanov@mail</v>
      </c>
      <c r="K366" s="12" t="str">
        <f t="shared" si="400"/>
        <v>Балашиха</v>
      </c>
      <c r="L366" s="13" t="str">
        <f t="shared" si="401"/>
        <v>C0364</v>
      </c>
      <c r="M366" s="13" t="str">
        <f t="shared" si="402"/>
        <v xml:space="preserve">Кирьянов Денис Павлович</v>
      </c>
      <c r="N366" s="13" t="str">
        <f t="shared" si="403"/>
        <v>OK</v>
      </c>
      <c r="O366" s="19">
        <f t="shared" si="404"/>
        <v>27803</v>
      </c>
      <c r="P366" s="19">
        <f t="shared" si="405"/>
        <v>48245</v>
      </c>
      <c r="Q366" s="13">
        <f t="shared" ca="1" si="406"/>
        <v>50</v>
      </c>
      <c r="R366" s="13" t="str">
        <f t="shared" si="407"/>
        <v>OK</v>
      </c>
      <c r="S366" s="13" t="str">
        <f t="shared" si="408"/>
        <v xml:space="preserve">+7 (903) 789-01-23</v>
      </c>
      <c r="T366" s="13" t="str">
        <f t="shared" si="409"/>
        <v>kiryanov@mail</v>
      </c>
      <c r="U366" s="18" t="str">
        <f t="shared" si="410"/>
        <v xml:space="preserve">Ошибка Email</v>
      </c>
      <c r="V366" s="13" t="str">
        <f>IFERROR(VLOOKUP(K366,Справочники!$K$6:$L$13,2,0),K366)</f>
        <v>Балашиха</v>
      </c>
    </row>
    <row r="367" ht="15" customHeight="1">
      <c r="A367" s="10">
        <v>365</v>
      </c>
      <c r="B367" s="11" t="str">
        <f>RAW_Клиенты!A366</f>
        <v>C0365</v>
      </c>
      <c r="C367" s="11" t="str">
        <f>RAW_Клиенты!B366</f>
        <v xml:space="preserve">Басырова Ирина Сергеевна</v>
      </c>
      <c r="D367" s="11" t="str">
        <f>RAW_Клиенты!C366</f>
        <v>24.10.1989</v>
      </c>
      <c r="E367" s="11" t="str">
        <f>RAW_Клиенты!D366</f>
        <v>8-903-789-01-23</v>
      </c>
      <c r="F367" s="11" t="str">
        <f>RAW_Клиенты!E366</f>
        <v>basyrova@yandex</v>
      </c>
      <c r="G367" s="11" t="str">
        <f>RAW_Клиенты!F366</f>
        <v>Сургут</v>
      </c>
      <c r="H367" s="11" t="str">
        <f>RAW_Клиенты!G366</f>
        <v>2032-02-10</v>
      </c>
      <c r="I367" s="12" t="str">
        <f t="shared" si="398"/>
        <v>89037890123</v>
      </c>
      <c r="J367" s="12" t="str">
        <f t="shared" si="399"/>
        <v>basyrova@yandex</v>
      </c>
      <c r="K367" s="12" t="str">
        <f t="shared" si="400"/>
        <v>Сургут</v>
      </c>
      <c r="L367" s="13" t="str">
        <f t="shared" si="401"/>
        <v>C0365</v>
      </c>
      <c r="M367" s="13" t="str">
        <f t="shared" si="402"/>
        <v xml:space="preserve">Басырова Ирина Сергеевна</v>
      </c>
      <c r="N367" s="13" t="str">
        <f t="shared" si="403"/>
        <v>OK</v>
      </c>
      <c r="O367" s="19">
        <f t="shared" si="404"/>
        <v>32805</v>
      </c>
      <c r="P367" s="19">
        <f t="shared" si="405"/>
        <v>48254</v>
      </c>
      <c r="Q367" s="13">
        <f t="shared" ca="1" si="406"/>
        <v>36</v>
      </c>
      <c r="R367" s="13" t="str">
        <f t="shared" si="407"/>
        <v>OK</v>
      </c>
      <c r="S367" s="13" t="str">
        <f t="shared" si="408"/>
        <v xml:space="preserve">+7 (903) 789-01-23</v>
      </c>
      <c r="T367" s="13" t="str">
        <f t="shared" si="409"/>
        <v>basyrova@yandex</v>
      </c>
      <c r="U367" s="18" t="str">
        <f t="shared" si="410"/>
        <v xml:space="preserve">Ошибка Email</v>
      </c>
      <c r="V367" s="13" t="str">
        <f>IFERROR(VLOOKUP(K367,Справочники!$K$6:$L$13,2,0),K367)</f>
        <v>Сургут</v>
      </c>
    </row>
    <row r="368" ht="15" customHeight="1">
      <c r="A368" s="10">
        <v>366</v>
      </c>
      <c r="B368" s="11" t="str">
        <f>RAW_Клиенты!A367</f>
        <v>C0366</v>
      </c>
      <c r="C368" s="11" t="str">
        <f>RAW_Клиенты!B367</f>
        <v xml:space="preserve">Фокин Александр Николаевич</v>
      </c>
      <c r="D368" s="11" t="str">
        <f>RAW_Клиенты!C367</f>
        <v>06.08.1981</v>
      </c>
      <c r="E368" s="11" t="str">
        <f>RAW_Клиенты!D367</f>
        <v xml:space="preserve">8 903 890 12 34</v>
      </c>
      <c r="F368" s="11" t="str">
        <f>RAW_Клиенты!E367</f>
        <v>fokin@gmail</v>
      </c>
      <c r="G368" s="11" t="str">
        <f>RAW_Клиенты!F367</f>
        <v>Армавир</v>
      </c>
      <c r="H368" s="11" t="str">
        <f>RAW_Клиенты!G367</f>
        <v>10.02.2032</v>
      </c>
      <c r="I368" s="12" t="str">
        <f t="shared" si="398"/>
        <v>89038901234</v>
      </c>
      <c r="J368" s="12" t="str">
        <f t="shared" si="399"/>
        <v>fokin@gmail</v>
      </c>
      <c r="K368" s="12" t="str">
        <f t="shared" si="400"/>
        <v>Армавир</v>
      </c>
      <c r="L368" s="13" t="str">
        <f t="shared" si="401"/>
        <v>C0366</v>
      </c>
      <c r="M368" s="13" t="str">
        <f t="shared" si="402"/>
        <v xml:space="preserve">Фокин Александр Николаевич</v>
      </c>
      <c r="N368" s="13" t="str">
        <f t="shared" si="403"/>
        <v>OK</v>
      </c>
      <c r="O368" s="19">
        <f t="shared" si="404"/>
        <v>29804</v>
      </c>
      <c r="P368" s="19">
        <f t="shared" si="405"/>
        <v>48254</v>
      </c>
      <c r="Q368" s="13">
        <f t="shared" ca="1" si="406"/>
        <v>45</v>
      </c>
      <c r="R368" s="13" t="str">
        <f t="shared" si="407"/>
        <v>OK</v>
      </c>
      <c r="S368" s="13" t="str">
        <f t="shared" si="408"/>
        <v xml:space="preserve">+7 (903) 890-12-34</v>
      </c>
      <c r="T368" s="13" t="str">
        <f t="shared" si="409"/>
        <v>fokin@gmail</v>
      </c>
      <c r="U368" s="18" t="str">
        <f t="shared" si="410"/>
        <v xml:space="preserve">Ошибка Email</v>
      </c>
      <c r="V368" s="13" t="str">
        <f>IFERROR(VLOOKUP(K368,Справочники!$K$6:$L$13,2,0),K368)</f>
        <v>Армавир</v>
      </c>
    </row>
    <row r="369" ht="15" customHeight="1">
      <c r="A369" s="10">
        <v>367</v>
      </c>
      <c r="B369" s="11" t="str">
        <f>RAW_Клиенты!A368</f>
        <v>C0367</v>
      </c>
      <c r="C369" s="11" t="str">
        <f>RAW_Клиенты!B368</f>
        <v xml:space="preserve">Рябинина Екатерина Алексеевна</v>
      </c>
      <c r="D369" s="11" t="str">
        <f>RAW_Клиенты!C368</f>
        <v>18.12.1972</v>
      </c>
      <c r="E369" s="11" t="str">
        <f>RAW_Клиенты!D368</f>
        <v>+79038901234</v>
      </c>
      <c r="F369" s="11" t="str">
        <f>RAW_Клиенты!E368</f>
        <v>ryabinina@mail</v>
      </c>
      <c r="G369" s="11" t="str">
        <f>RAW_Клиенты!F368</f>
        <v>Волжский</v>
      </c>
      <c r="H369" s="11" t="str">
        <f>RAW_Клиенты!G368</f>
        <v>01.03.2032</v>
      </c>
      <c r="I369" s="12" t="str">
        <f t="shared" si="398"/>
        <v>79038901234</v>
      </c>
      <c r="J369" s="12" t="str">
        <f t="shared" si="399"/>
        <v>ryabinina@mail</v>
      </c>
      <c r="K369" s="12" t="str">
        <f t="shared" si="400"/>
        <v>Волжский</v>
      </c>
      <c r="L369" s="13" t="str">
        <f t="shared" si="401"/>
        <v>C0367</v>
      </c>
      <c r="M369" s="13" t="str">
        <f t="shared" si="402"/>
        <v xml:space="preserve">Рябинина Екатерина Алексеевна</v>
      </c>
      <c r="N369" s="13" t="str">
        <f t="shared" si="403"/>
        <v>OK</v>
      </c>
      <c r="O369" s="19">
        <f t="shared" si="404"/>
        <v>26651</v>
      </c>
      <c r="P369" s="19">
        <f t="shared" si="405"/>
        <v>48274</v>
      </c>
      <c r="Q369" s="13">
        <f t="shared" ca="1" si="406"/>
        <v>53</v>
      </c>
      <c r="R369" s="13" t="str">
        <f t="shared" si="407"/>
        <v>OK</v>
      </c>
      <c r="S369" s="13" t="str">
        <f t="shared" si="408"/>
        <v xml:space="preserve">+7 (903) 890-12-34</v>
      </c>
      <c r="T369" s="13" t="str">
        <f t="shared" si="409"/>
        <v>ryabinina@mail</v>
      </c>
      <c r="U369" s="18" t="str">
        <f t="shared" si="410"/>
        <v xml:space="preserve">Ошибка Email</v>
      </c>
      <c r="V369" s="13" t="str">
        <f>IFERROR(VLOOKUP(K369,Справочники!$K$6:$L$13,2,0),K369)</f>
        <v>Волжский</v>
      </c>
    </row>
    <row r="370" ht="15" customHeight="1">
      <c r="A370" s="10">
        <v>368</v>
      </c>
      <c r="B370" s="11" t="str">
        <f>RAW_Клиенты!A369</f>
        <v>C0368</v>
      </c>
      <c r="C370" s="11" t="str">
        <f>RAW_Клиенты!B369</f>
        <v xml:space="preserve">Смолин Илья Викторович</v>
      </c>
      <c r="D370" s="11" t="str">
        <f>RAW_Клиенты!C369</f>
        <v>09.06.1985</v>
      </c>
      <c r="E370" s="11" t="str">
        <f>RAW_Клиенты!D369</f>
        <v>8-903-890-12-34</v>
      </c>
      <c r="F370" s="11" t="str">
        <f>RAW_Клиенты!E369</f>
        <v>smolin@yandex</v>
      </c>
      <c r="G370" s="11" t="str">
        <f>RAW_Клиенты!F369</f>
        <v>Шахты</v>
      </c>
      <c r="H370" s="11" t="str">
        <f>RAW_Клиенты!G369</f>
        <v>2032-03-15</v>
      </c>
      <c r="I370" s="12" t="str">
        <f t="shared" si="398"/>
        <v>89038901234</v>
      </c>
      <c r="J370" s="12" t="str">
        <f t="shared" si="399"/>
        <v>smolin@yandex</v>
      </c>
      <c r="K370" s="12" t="str">
        <f t="shared" si="400"/>
        <v>Шахты</v>
      </c>
      <c r="L370" s="13" t="str">
        <f t="shared" si="401"/>
        <v>C0368</v>
      </c>
      <c r="M370" s="13" t="str">
        <f t="shared" si="402"/>
        <v xml:space="preserve">Смолин Илья Викторович</v>
      </c>
      <c r="N370" s="13" t="str">
        <f t="shared" si="403"/>
        <v>OK</v>
      </c>
      <c r="O370" s="19">
        <f t="shared" si="404"/>
        <v>31207</v>
      </c>
      <c r="P370" s="19">
        <f t="shared" si="405"/>
        <v>48288</v>
      </c>
      <c r="Q370" s="13">
        <f t="shared" ca="1" si="406"/>
        <v>41</v>
      </c>
      <c r="R370" s="13" t="str">
        <f t="shared" si="407"/>
        <v>OK</v>
      </c>
      <c r="S370" s="13" t="str">
        <f t="shared" si="408"/>
        <v xml:space="preserve">+7 (903) 890-12-34</v>
      </c>
      <c r="T370" s="13" t="str">
        <f t="shared" si="409"/>
        <v>smolin@yandex</v>
      </c>
      <c r="U370" s="18" t="str">
        <f t="shared" si="410"/>
        <v xml:space="preserve">Ошибка Email</v>
      </c>
      <c r="V370" s="13" t="str">
        <f>IFERROR(VLOOKUP(K370,Справочники!$K$6:$L$13,2,0),K370)</f>
        <v>Шахты</v>
      </c>
    </row>
    <row r="371" ht="15" customHeight="1">
      <c r="A371" s="10">
        <v>369</v>
      </c>
      <c r="B371" s="11" t="str">
        <f>RAW_Клиенты!A370</f>
        <v>C0369</v>
      </c>
      <c r="C371" s="11" t="str">
        <f>RAW_Клиенты!B370</f>
        <v xml:space="preserve">Труфанова Мария Сергеевна</v>
      </c>
      <c r="D371" s="11" t="str">
        <f>RAW_Клиенты!C370</f>
        <v>22.01.1991</v>
      </c>
      <c r="E371" s="11" t="str">
        <f>RAW_Клиенты!D370</f>
        <v xml:space="preserve">8 903 901 23 45</v>
      </c>
      <c r="F371" s="11" t="str">
        <f>RAW_Клиенты!E370</f>
        <v>trufanova@gmail</v>
      </c>
      <c r="G371" s="11" t="str">
        <f>RAW_Клиенты!F370</f>
        <v>Златоуст</v>
      </c>
      <c r="H371" s="11" t="str">
        <f>RAW_Клиенты!G370</f>
        <v>15.03.2032</v>
      </c>
      <c r="I371" s="12" t="str">
        <f t="shared" si="398"/>
        <v>89039012345</v>
      </c>
      <c r="J371" s="12" t="str">
        <f t="shared" si="399"/>
        <v>trufanova@gmail</v>
      </c>
      <c r="K371" s="12" t="str">
        <f t="shared" si="400"/>
        <v>Златоуст</v>
      </c>
      <c r="L371" s="13" t="str">
        <f t="shared" si="401"/>
        <v>C0369</v>
      </c>
      <c r="M371" s="13" t="str">
        <f t="shared" si="402"/>
        <v xml:space="preserve">Труфанова Мария Сергеевна</v>
      </c>
      <c r="N371" s="13" t="str">
        <f t="shared" si="403"/>
        <v>OK</v>
      </c>
      <c r="O371" s="19">
        <f t="shared" si="404"/>
        <v>33260</v>
      </c>
      <c r="P371" s="19">
        <f t="shared" si="405"/>
        <v>48288</v>
      </c>
      <c r="Q371" s="13">
        <f t="shared" ca="1" si="406"/>
        <v>35</v>
      </c>
      <c r="R371" s="13" t="str">
        <f t="shared" si="407"/>
        <v>OK</v>
      </c>
      <c r="S371" s="13" t="str">
        <f t="shared" si="408"/>
        <v xml:space="preserve">+7 (903) 901-23-45</v>
      </c>
      <c r="T371" s="13" t="str">
        <f t="shared" si="409"/>
        <v>trufanova@gmail</v>
      </c>
      <c r="U371" s="18" t="str">
        <f t="shared" si="410"/>
        <v xml:space="preserve">Ошибка Email</v>
      </c>
      <c r="V371" s="13" t="str">
        <f>IFERROR(VLOOKUP(K371,Справочники!$K$6:$L$13,2,0),K371)</f>
        <v>Златоуст</v>
      </c>
    </row>
    <row r="372" ht="15" customHeight="1">
      <c r="A372" s="10">
        <v>370</v>
      </c>
      <c r="B372" s="11" t="str">
        <f>RAW_Клиенты!A371</f>
        <v>C0370</v>
      </c>
      <c r="C372" s="11" t="str">
        <f>RAW_Клиенты!B371</f>
        <v xml:space="preserve">Кулиш Андрей Олегович</v>
      </c>
      <c r="D372" s="11" t="str">
        <f>RAW_Клиенты!C371</f>
        <v>14.09.1977</v>
      </c>
      <c r="E372" s="11" t="str">
        <f>RAW_Клиенты!D371</f>
        <v>+79039012345</v>
      </c>
      <c r="F372" s="11" t="str">
        <f>RAW_Клиенты!E371</f>
        <v>kulish@mail</v>
      </c>
      <c r="G372" s="11" t="str">
        <f>RAW_Клиенты!F371</f>
        <v>Ангарск</v>
      </c>
      <c r="H372" s="11" t="str">
        <f>RAW_Клиенты!G371</f>
        <v>01.04.2032</v>
      </c>
      <c r="I372" s="12" t="str">
        <f t="shared" si="398"/>
        <v>79039012345</v>
      </c>
      <c r="J372" s="12" t="str">
        <f t="shared" si="399"/>
        <v>kulish@mail</v>
      </c>
      <c r="K372" s="12" t="str">
        <f t="shared" si="400"/>
        <v>Ангарск</v>
      </c>
      <c r="L372" s="13" t="str">
        <f t="shared" si="401"/>
        <v>C0370</v>
      </c>
      <c r="M372" s="13" t="str">
        <f t="shared" si="402"/>
        <v xml:space="preserve">Кулиш Андрей Олегович</v>
      </c>
      <c r="N372" s="13" t="str">
        <f t="shared" si="403"/>
        <v>OK</v>
      </c>
      <c r="O372" s="19">
        <f t="shared" si="404"/>
        <v>28382</v>
      </c>
      <c r="P372" s="19">
        <f t="shared" si="405"/>
        <v>48305</v>
      </c>
      <c r="Q372" s="13">
        <f t="shared" ca="1" si="406"/>
        <v>49</v>
      </c>
      <c r="R372" s="13" t="str">
        <f t="shared" si="407"/>
        <v>OK</v>
      </c>
      <c r="S372" s="13" t="str">
        <f t="shared" si="408"/>
        <v xml:space="preserve">+7 (903) 901-23-45</v>
      </c>
      <c r="T372" s="13" t="str">
        <f t="shared" si="409"/>
        <v>kulish@mail</v>
      </c>
      <c r="U372" s="18" t="str">
        <f t="shared" si="410"/>
        <v xml:space="preserve">Ошибка Email</v>
      </c>
      <c r="V372" s="13" t="str">
        <f>IFERROR(VLOOKUP(K372,Справочники!$K$6:$L$13,2,0),K372)</f>
        <v>Ангарск</v>
      </c>
    </row>
    <row r="373" ht="15" customHeight="1">
      <c r="A373" s="10">
        <v>371</v>
      </c>
      <c r="B373" s="11" t="str">
        <f>RAW_Клиенты!A372</f>
        <v>C0371</v>
      </c>
      <c r="C373" s="11" t="str">
        <f>RAW_Клиенты!B372</f>
        <v xml:space="preserve">Евсеева Ольга Павловна</v>
      </c>
      <c r="D373" s="11" t="str">
        <f>RAW_Клиенты!C372</f>
        <v>26.04.1988</v>
      </c>
      <c r="E373" s="11" t="str">
        <f>RAW_Клиенты!D372</f>
        <v>8-903-901-23-45</v>
      </c>
      <c r="F373" s="11" t="str">
        <f>RAW_Клиенты!E372</f>
        <v>evseeva@yandex</v>
      </c>
      <c r="G373" s="11" t="str">
        <f>RAW_Клиенты!F372</f>
        <v>Озёрск</v>
      </c>
      <c r="H373" s="11" t="str">
        <f>RAW_Клиенты!G372</f>
        <v>2032-04-10</v>
      </c>
      <c r="I373" s="12" t="str">
        <f t="shared" si="398"/>
        <v>89039012345</v>
      </c>
      <c r="J373" s="12" t="str">
        <f t="shared" si="399"/>
        <v>evseeva@yandex</v>
      </c>
      <c r="K373" s="12" t="str">
        <f t="shared" si="400"/>
        <v>Озёрск</v>
      </c>
      <c r="L373" s="13" t="str">
        <f t="shared" si="401"/>
        <v>C0371</v>
      </c>
      <c r="M373" s="13" t="str">
        <f t="shared" si="402"/>
        <v xml:space="preserve">Евсеева Ольга Павловна</v>
      </c>
      <c r="N373" s="13" t="str">
        <f t="shared" si="403"/>
        <v>OK</v>
      </c>
      <c r="O373" s="19">
        <f t="shared" si="404"/>
        <v>32259</v>
      </c>
      <c r="P373" s="19">
        <f t="shared" si="405"/>
        <v>48314</v>
      </c>
      <c r="Q373" s="13">
        <f t="shared" ca="1" si="406"/>
        <v>38</v>
      </c>
      <c r="R373" s="13" t="str">
        <f t="shared" si="407"/>
        <v>OK</v>
      </c>
      <c r="S373" s="13" t="str">
        <f t="shared" si="408"/>
        <v xml:space="preserve">+7 (903) 901-23-45</v>
      </c>
      <c r="T373" s="13" t="str">
        <f t="shared" si="409"/>
        <v>evseeva@yandex</v>
      </c>
      <c r="U373" s="18" t="str">
        <f t="shared" si="410"/>
        <v xml:space="preserve">Ошибка Email</v>
      </c>
      <c r="V373" s="13" t="str">
        <f>IFERROR(VLOOKUP(K373,Справочники!$K$6:$L$13,2,0),K373)</f>
        <v>Озёрск</v>
      </c>
    </row>
    <row r="374" ht="15" customHeight="1">
      <c r="A374" s="10">
        <v>372</v>
      </c>
      <c r="B374" s="11" t="str">
        <f>RAW_Клиенты!A373</f>
        <v>C0372</v>
      </c>
      <c r="C374" s="11" t="str">
        <f>RAW_Клиенты!B373</f>
        <v xml:space="preserve">Малков Денис Александрович</v>
      </c>
      <c r="D374" s="11" t="str">
        <f>RAW_Клиенты!C373</f>
        <v>30.11.1980</v>
      </c>
      <c r="E374" s="11" t="str">
        <f>RAW_Клиенты!D373</f>
        <v xml:space="preserve">8 903 012 34 56</v>
      </c>
      <c r="F374" s="11" t="str">
        <f>RAW_Клиенты!E373</f>
        <v>malkov@gmail</v>
      </c>
      <c r="G374" s="11" t="str">
        <f>RAW_Клиенты!F373</f>
        <v>Орел</v>
      </c>
      <c r="H374" s="11" t="str">
        <f>RAW_Клиенты!G373</f>
        <v>10.04.2032</v>
      </c>
      <c r="I374" s="12" t="str">
        <f t="shared" si="398"/>
        <v>89030123456</v>
      </c>
      <c r="J374" s="12" t="str">
        <f t="shared" si="399"/>
        <v>malkov@gmail</v>
      </c>
      <c r="K374" s="12" t="str">
        <f t="shared" si="400"/>
        <v>Орел</v>
      </c>
      <c r="L374" s="13" t="str">
        <f t="shared" si="401"/>
        <v>C0372</v>
      </c>
      <c r="M374" s="13" t="str">
        <f t="shared" si="402"/>
        <v xml:space="preserve">Малков Денис Александрович</v>
      </c>
      <c r="N374" s="13" t="str">
        <f t="shared" si="403"/>
        <v>OK</v>
      </c>
      <c r="O374" s="19">
        <f t="shared" si="404"/>
        <v>29555</v>
      </c>
      <c r="P374" s="19">
        <f t="shared" si="405"/>
        <v>48314</v>
      </c>
      <c r="Q374" s="13">
        <f t="shared" ca="1" si="406"/>
        <v>45</v>
      </c>
      <c r="R374" s="13" t="str">
        <f t="shared" si="407"/>
        <v>OK</v>
      </c>
      <c r="S374" s="13" t="str">
        <f t="shared" si="408"/>
        <v xml:space="preserve">+7 (903) 012-34-56</v>
      </c>
      <c r="T374" s="13" t="str">
        <f t="shared" si="409"/>
        <v>malkov@gmail</v>
      </c>
      <c r="U374" s="18" t="str">
        <f t="shared" si="410"/>
        <v xml:space="preserve">Ошибка Email</v>
      </c>
      <c r="V374" s="13" t="str">
        <f>IFERROR(VLOOKUP(K374,Справочники!$K$6:$L$13,2,0),K374)</f>
        <v>Орел</v>
      </c>
    </row>
    <row r="375" ht="15" customHeight="1">
      <c r="A375" s="10">
        <v>373</v>
      </c>
      <c r="B375" s="11" t="str">
        <f>RAW_Клиенты!A374</f>
        <v>C0373</v>
      </c>
      <c r="C375" s="11" t="str">
        <f>RAW_Клиенты!B374</f>
        <v xml:space="preserve">Курепина Наталья Владимировна</v>
      </c>
      <c r="D375" s="11" t="str">
        <f>RAW_Клиенты!C374</f>
        <v>11.07.1974</v>
      </c>
      <c r="E375" s="11" t="str">
        <f>RAW_Клиенты!D374</f>
        <v>+79030123456</v>
      </c>
      <c r="F375" s="11" t="str">
        <f>RAW_Клиенты!E374</f>
        <v>kurepina@mail</v>
      </c>
      <c r="G375" s="11" t="str">
        <f>RAW_Клиенты!F374</f>
        <v>Якутск</v>
      </c>
      <c r="H375" s="11" t="str">
        <f>RAW_Клиенты!G374</f>
        <v>01.05.2032</v>
      </c>
      <c r="I375" s="12" t="str">
        <f t="shared" si="398"/>
        <v>79030123456</v>
      </c>
      <c r="J375" s="12" t="str">
        <f t="shared" si="399"/>
        <v>kurepina@mail</v>
      </c>
      <c r="K375" s="12" t="str">
        <f t="shared" si="400"/>
        <v>Якутск</v>
      </c>
      <c r="L375" s="13" t="str">
        <f t="shared" si="401"/>
        <v>C0373</v>
      </c>
      <c r="M375" s="13" t="str">
        <f t="shared" si="402"/>
        <v xml:space="preserve">Курепина Наталья Владимировна</v>
      </c>
      <c r="N375" s="13" t="str">
        <f t="shared" si="403"/>
        <v>OK</v>
      </c>
      <c r="O375" s="19">
        <f t="shared" si="404"/>
        <v>27221</v>
      </c>
      <c r="P375" s="19">
        <f t="shared" si="405"/>
        <v>48335</v>
      </c>
      <c r="Q375" s="13">
        <f t="shared" ca="1" si="406"/>
        <v>52</v>
      </c>
      <c r="R375" s="13" t="str">
        <f t="shared" si="407"/>
        <v>OK</v>
      </c>
      <c r="S375" s="13" t="str">
        <f t="shared" si="408"/>
        <v xml:space="preserve">+7 (903) 012-34-56</v>
      </c>
      <c r="T375" s="13" t="str">
        <f t="shared" si="409"/>
        <v>kurepina@mail</v>
      </c>
      <c r="U375" s="18" t="str">
        <f t="shared" si="410"/>
        <v xml:space="preserve">Ошибка Email</v>
      </c>
      <c r="V375" s="13" t="str">
        <f>IFERROR(VLOOKUP(K375,Справочники!$K$6:$L$13,2,0),K375)</f>
        <v>Якутск</v>
      </c>
    </row>
    <row r="376" ht="15" customHeight="1">
      <c r="A376" s="10">
        <v>374</v>
      </c>
      <c r="B376" s="11" t="str">
        <f>RAW_Клиенты!A375</f>
        <v>C0374</v>
      </c>
      <c r="C376" s="11" t="str">
        <f>RAW_Клиенты!B375</f>
        <v xml:space="preserve">Меркушев Илья Юрьевич</v>
      </c>
      <c r="D376" s="11" t="str">
        <f>RAW_Клиенты!C375</f>
        <v>05.03.1986</v>
      </c>
      <c r="E376" s="11" t="str">
        <f>RAW_Клиенты!D375</f>
        <v>8-903-012-34-56</v>
      </c>
      <c r="F376" s="11" t="str">
        <f>RAW_Клиенты!E375</f>
        <v>merkushev@yandex</v>
      </c>
      <c r="G376" s="11" t="str">
        <f>RAW_Клиенты!F375</f>
        <v>Чебоксары</v>
      </c>
      <c r="H376" s="11" t="str">
        <f>RAW_Клиенты!G375</f>
        <v>2032-05-15</v>
      </c>
      <c r="I376" s="12" t="str">
        <f t="shared" si="398"/>
        <v>89030123456</v>
      </c>
      <c r="J376" s="12" t="str">
        <f t="shared" si="399"/>
        <v>merkushev@yandex</v>
      </c>
      <c r="K376" s="12" t="str">
        <f t="shared" si="400"/>
        <v>Чебоксары</v>
      </c>
      <c r="L376" s="13" t="str">
        <f t="shared" si="401"/>
        <v>C0374</v>
      </c>
      <c r="M376" s="13" t="str">
        <f t="shared" si="402"/>
        <v xml:space="preserve">Меркушев Илья Юрьевич</v>
      </c>
      <c r="N376" s="13" t="str">
        <f t="shared" si="403"/>
        <v>OK</v>
      </c>
      <c r="O376" s="19">
        <f t="shared" si="404"/>
        <v>31476</v>
      </c>
      <c r="P376" s="19">
        <f t="shared" si="405"/>
        <v>48349</v>
      </c>
      <c r="Q376" s="13">
        <f t="shared" ca="1" si="406"/>
        <v>40</v>
      </c>
      <c r="R376" s="13" t="str">
        <f t="shared" si="407"/>
        <v>OK</v>
      </c>
      <c r="S376" s="13" t="str">
        <f t="shared" si="408"/>
        <v xml:space="preserve">+7 (903) 012-34-56</v>
      </c>
      <c r="T376" s="13" t="str">
        <f t="shared" si="409"/>
        <v>merkushev@yandex</v>
      </c>
      <c r="U376" s="18" t="str">
        <f t="shared" si="410"/>
        <v xml:space="preserve">Ошибка Email</v>
      </c>
      <c r="V376" s="13" t="str">
        <f>IFERROR(VLOOKUP(K376,Справочники!$K$6:$L$13,2,0),K376)</f>
        <v>Чебоксары</v>
      </c>
    </row>
    <row r="377" ht="15" customHeight="1">
      <c r="A377" s="10">
        <v>375</v>
      </c>
      <c r="B377" s="11" t="str">
        <f>RAW_Клиенты!A376</f>
        <v>C0375</v>
      </c>
      <c r="C377" s="11" t="str">
        <f>RAW_Клиенты!B376</f>
        <v xml:space="preserve">Панкратова Елена Игоревна</v>
      </c>
      <c r="D377" s="11" t="str">
        <f>RAW_Клиенты!C376</f>
        <v>23.08.1992</v>
      </c>
      <c r="E377" s="11" t="str">
        <f>RAW_Клиенты!D376</f>
        <v xml:space="preserve">8 903 123 45 67</v>
      </c>
      <c r="F377" s="11" t="str">
        <f>RAW_Клиенты!E376</f>
        <v>pankratova@gmail</v>
      </c>
      <c r="G377" s="11" t="str">
        <f>RAW_Клиенты!F376</f>
        <v>Мурманск</v>
      </c>
      <c r="H377" s="11" t="str">
        <f>RAW_Клиенты!G376</f>
        <v>15.05.2032</v>
      </c>
      <c r="I377" s="12" t="str">
        <f t="shared" si="398"/>
        <v>89031234567</v>
      </c>
      <c r="J377" s="12" t="str">
        <f t="shared" si="399"/>
        <v>pankratova@gmail</v>
      </c>
      <c r="K377" s="12" t="str">
        <f t="shared" si="400"/>
        <v>Мурманск</v>
      </c>
      <c r="L377" s="13" t="str">
        <f t="shared" si="401"/>
        <v>C0375</v>
      </c>
      <c r="M377" s="13" t="str">
        <f t="shared" si="402"/>
        <v xml:space="preserve">Панкратова Елена Игоревна</v>
      </c>
      <c r="N377" s="13" t="str">
        <f t="shared" si="403"/>
        <v>OK</v>
      </c>
      <c r="O377" s="19">
        <f t="shared" si="404"/>
        <v>33839</v>
      </c>
      <c r="P377" s="19">
        <f t="shared" si="405"/>
        <v>48349</v>
      </c>
      <c r="Q377" s="13">
        <f t="shared" ca="1" si="406"/>
        <v>34</v>
      </c>
      <c r="R377" s="13" t="str">
        <f t="shared" si="407"/>
        <v>OK</v>
      </c>
      <c r="S377" s="13" t="str">
        <f t="shared" si="408"/>
        <v xml:space="preserve">+7 (903) 123-45-67</v>
      </c>
      <c r="T377" s="13" t="str">
        <f t="shared" si="409"/>
        <v>pankratova@gmail</v>
      </c>
      <c r="U377" s="18" t="str">
        <f t="shared" si="410"/>
        <v xml:space="preserve">Ошибка Email</v>
      </c>
      <c r="V377" s="13" t="str">
        <f>IFERROR(VLOOKUP(K377,Справочники!$K$6:$L$13,2,0),K377)</f>
        <v>Мурманск</v>
      </c>
    </row>
    <row r="378" ht="15" customHeight="1">
      <c r="A378" s="10">
        <v>376</v>
      </c>
      <c r="B378" s="11" t="str">
        <f>RAW_Клиенты!A377</f>
        <v>C0376</v>
      </c>
      <c r="C378" s="11" t="str">
        <f>RAW_Клиенты!B377</f>
        <v xml:space="preserve">Сазонов Олег Викторович</v>
      </c>
      <c r="D378" s="11" t="str">
        <f>RAW_Клиенты!C377</f>
        <v>16.12.1975</v>
      </c>
      <c r="E378" s="11" t="str">
        <f>RAW_Клиенты!D377</f>
        <v>+79031234567</v>
      </c>
      <c r="F378" s="11" t="str">
        <f>RAW_Клиенты!E377</f>
        <v>sazonov@mail</v>
      </c>
      <c r="G378" s="11" t="str">
        <f>RAW_Клиенты!F377</f>
        <v>Смоленск</v>
      </c>
      <c r="H378" s="11" t="str">
        <f>RAW_Клиенты!G377</f>
        <v>01.06.2032</v>
      </c>
      <c r="I378" s="12" t="str">
        <f t="shared" si="398"/>
        <v>79031234567</v>
      </c>
      <c r="J378" s="12" t="str">
        <f t="shared" si="399"/>
        <v>sazonov@mail</v>
      </c>
      <c r="K378" s="12" t="str">
        <f t="shared" si="400"/>
        <v>Смоленск</v>
      </c>
      <c r="L378" s="13" t="str">
        <f t="shared" si="401"/>
        <v>C0376</v>
      </c>
      <c r="M378" s="13" t="str">
        <f t="shared" si="402"/>
        <v xml:space="preserve">Сазонов Олег Викторович</v>
      </c>
      <c r="N378" s="13" t="str">
        <f t="shared" si="403"/>
        <v>OK</v>
      </c>
      <c r="O378" s="19">
        <f t="shared" si="404"/>
        <v>27744</v>
      </c>
      <c r="P378" s="19">
        <f t="shared" si="405"/>
        <v>48366</v>
      </c>
      <c r="Q378" s="13">
        <f t="shared" ca="1" si="406"/>
        <v>50</v>
      </c>
      <c r="R378" s="13" t="str">
        <f t="shared" si="407"/>
        <v>OK</v>
      </c>
      <c r="S378" s="13" t="str">
        <f t="shared" si="408"/>
        <v xml:space="preserve">+7 (903) 123-45-67</v>
      </c>
      <c r="T378" s="13" t="str">
        <f t="shared" si="409"/>
        <v>sazonov@mail</v>
      </c>
      <c r="U378" s="18" t="str">
        <f t="shared" si="410"/>
        <v xml:space="preserve">Ошибка Email</v>
      </c>
      <c r="V378" s="13" t="str">
        <f>IFERROR(VLOOKUP(K378,Справочники!$K$6:$L$13,2,0),K378)</f>
        <v>Смоленск</v>
      </c>
    </row>
    <row r="379" ht="15" customHeight="1">
      <c r="A379" s="10">
        <v>377</v>
      </c>
      <c r="B379" s="11" t="str">
        <f>RAW_Клиенты!A378</f>
        <v>C0377</v>
      </c>
      <c r="C379" s="11" t="str">
        <f>RAW_Клиенты!B378</f>
        <v xml:space="preserve">Князева Светлана Николаевна</v>
      </c>
      <c r="D379" s="11" t="str">
        <f>RAW_Клиенты!C378</f>
        <v>27.10.1983</v>
      </c>
      <c r="E379" s="11" t="str">
        <f>RAW_Клиенты!D378</f>
        <v>8-903-123-45-67</v>
      </c>
      <c r="F379" s="11" t="str">
        <f>RAW_Клиенты!E378</f>
        <v>knyazeva@yandex</v>
      </c>
      <c r="G379" s="11" t="str">
        <f>RAW_Клиенты!F378</f>
        <v>Тула</v>
      </c>
      <c r="H379" s="11" t="str">
        <f>RAW_Клиенты!G378</f>
        <v>2032-06-10</v>
      </c>
      <c r="I379" s="12" t="str">
        <f t="shared" si="398"/>
        <v>89031234567</v>
      </c>
      <c r="J379" s="12" t="str">
        <f t="shared" si="399"/>
        <v>knyazeva@yandex</v>
      </c>
      <c r="K379" s="12" t="str">
        <f t="shared" si="400"/>
        <v>Тула</v>
      </c>
      <c r="L379" s="13" t="str">
        <f t="shared" si="401"/>
        <v>C0377</v>
      </c>
      <c r="M379" s="13" t="str">
        <f t="shared" si="402"/>
        <v xml:space="preserve">Князева Светлана Николаевна</v>
      </c>
      <c r="N379" s="13" t="str">
        <f t="shared" si="403"/>
        <v>OK</v>
      </c>
      <c r="O379" s="19">
        <f t="shared" si="404"/>
        <v>30616</v>
      </c>
      <c r="P379" s="19">
        <f t="shared" si="405"/>
        <v>48375</v>
      </c>
      <c r="Q379" s="13">
        <f t="shared" ca="1" si="406"/>
        <v>42</v>
      </c>
      <c r="R379" s="13" t="str">
        <f t="shared" si="407"/>
        <v>OK</v>
      </c>
      <c r="S379" s="13" t="str">
        <f t="shared" si="408"/>
        <v xml:space="preserve">+7 (903) 123-45-67</v>
      </c>
      <c r="T379" s="13" t="str">
        <f t="shared" si="409"/>
        <v>knyazeva@yandex</v>
      </c>
      <c r="U379" s="18" t="str">
        <f t="shared" si="410"/>
        <v xml:space="preserve">Ошибка Email</v>
      </c>
      <c r="V379" s="13" t="str">
        <f>IFERROR(VLOOKUP(K379,Справочники!$K$6:$L$13,2,0),K379)</f>
        <v>Тула</v>
      </c>
    </row>
    <row r="380" ht="15" customHeight="1">
      <c r="A380" s="10">
        <v>378</v>
      </c>
      <c r="B380" s="11" t="str">
        <f>RAW_Клиенты!A379</f>
        <v>C0378</v>
      </c>
      <c r="C380" s="11" t="str">
        <f>RAW_Клиенты!B379</f>
        <v xml:space="preserve">Куприенко Денис Павлович</v>
      </c>
      <c r="D380" s="11" t="str">
        <f>RAW_Клиенты!C379</f>
        <v>14.06.1990</v>
      </c>
      <c r="E380" s="11" t="str">
        <f>RAW_Клиенты!D379</f>
        <v xml:space="preserve">8 903 234 56 78</v>
      </c>
      <c r="F380" s="11" t="str">
        <f>RAW_Клиенты!E379</f>
        <v>kuprienko@gmail</v>
      </c>
      <c r="G380" s="11" t="str">
        <f>RAW_Клиенты!F379</f>
        <v>Калуга</v>
      </c>
      <c r="H380" s="11" t="str">
        <f>RAW_Клиенты!G379</f>
        <v>10.06.2032</v>
      </c>
      <c r="I380" s="12" t="str">
        <f t="shared" si="398"/>
        <v>89032345678</v>
      </c>
      <c r="J380" s="12" t="str">
        <f t="shared" si="399"/>
        <v>kuprienko@gmail</v>
      </c>
      <c r="K380" s="12" t="str">
        <f t="shared" si="400"/>
        <v>Калуга</v>
      </c>
      <c r="L380" s="13" t="str">
        <f t="shared" si="401"/>
        <v>C0378</v>
      </c>
      <c r="M380" s="13" t="str">
        <f t="shared" si="402"/>
        <v xml:space="preserve">Куприенко Денис Павлович</v>
      </c>
      <c r="N380" s="13" t="str">
        <f t="shared" si="403"/>
        <v>OK</v>
      </c>
      <c r="O380" s="19">
        <f t="shared" si="404"/>
        <v>33038</v>
      </c>
      <c r="P380" s="19">
        <f t="shared" si="405"/>
        <v>48375</v>
      </c>
      <c r="Q380" s="13">
        <f t="shared" ca="1" si="406"/>
        <v>36</v>
      </c>
      <c r="R380" s="13" t="str">
        <f t="shared" si="407"/>
        <v>OK</v>
      </c>
      <c r="S380" s="13" t="str">
        <f t="shared" si="408"/>
        <v xml:space="preserve">+7 (903) 234-56-78</v>
      </c>
      <c r="T380" s="13" t="str">
        <f t="shared" si="409"/>
        <v>kuprienko@gmail</v>
      </c>
      <c r="U380" s="18" t="str">
        <f t="shared" si="410"/>
        <v xml:space="preserve">Ошибка Email</v>
      </c>
      <c r="V380" s="13" t="str">
        <f>IFERROR(VLOOKUP(K380,Справочники!$K$6:$L$13,2,0),K380)</f>
        <v>Калуга</v>
      </c>
    </row>
    <row r="381" ht="15" customHeight="1">
      <c r="A381" s="10">
        <v>379</v>
      </c>
      <c r="B381" s="11" t="str">
        <f>RAW_Клиенты!A380</f>
        <v>C0379</v>
      </c>
      <c r="C381" s="11" t="str">
        <f>RAW_Клиенты!B380</f>
        <v xml:space="preserve">Марчук Ольга Алексеевна</v>
      </c>
      <c r="D381" s="11" t="str">
        <f>RAW_Клиенты!C380</f>
        <v>19.02.1978</v>
      </c>
      <c r="E381" s="11" t="str">
        <f>RAW_Клиенты!D380</f>
        <v>+79032345678</v>
      </c>
      <c r="F381" s="11" t="str">
        <f>RAW_Клиенты!E380</f>
        <v>marchuk@mail</v>
      </c>
      <c r="G381" s="11" t="str">
        <f>RAW_Клиенты!F380</f>
        <v>Владикавказ</v>
      </c>
      <c r="H381" s="11" t="str">
        <f>RAW_Клиенты!G380</f>
        <v>01.07.2032</v>
      </c>
      <c r="I381" s="12" t="str">
        <f t="shared" si="398"/>
        <v>79032345678</v>
      </c>
      <c r="J381" s="12" t="str">
        <f t="shared" si="399"/>
        <v>marchuk@mail</v>
      </c>
      <c r="K381" s="12" t="str">
        <f t="shared" si="400"/>
        <v>Владикавказ</v>
      </c>
      <c r="L381" s="13" t="str">
        <f t="shared" si="401"/>
        <v>C0379</v>
      </c>
      <c r="M381" s="13" t="str">
        <f t="shared" si="402"/>
        <v xml:space="preserve">Марчук Ольга Алексеевна</v>
      </c>
      <c r="N381" s="13" t="str">
        <f t="shared" si="403"/>
        <v>OK</v>
      </c>
      <c r="O381" s="19">
        <f t="shared" si="404"/>
        <v>28540</v>
      </c>
      <c r="P381" s="19">
        <f t="shared" si="405"/>
        <v>48396</v>
      </c>
      <c r="Q381" s="13">
        <f t="shared" ca="1" si="406"/>
        <v>48</v>
      </c>
      <c r="R381" s="13" t="str">
        <f t="shared" si="407"/>
        <v>OK</v>
      </c>
      <c r="S381" s="13" t="str">
        <f t="shared" si="408"/>
        <v xml:space="preserve">+7 (903) 234-56-78</v>
      </c>
      <c r="T381" s="13" t="str">
        <f t="shared" si="409"/>
        <v>marchuk@mail</v>
      </c>
      <c r="U381" s="18" t="str">
        <f t="shared" si="410"/>
        <v xml:space="preserve">Ошибка Email</v>
      </c>
      <c r="V381" s="13" t="str">
        <f>IFERROR(VLOOKUP(K381,Справочники!$K$6:$L$13,2,0),K381)</f>
        <v>Владикавказ</v>
      </c>
    </row>
    <row r="382" ht="15" customHeight="1">
      <c r="A382" s="10">
        <v>380</v>
      </c>
      <c r="B382" s="11" t="str">
        <f>RAW_Клиенты!A381</f>
        <v>C0380</v>
      </c>
      <c r="C382" s="11" t="str">
        <f>RAW_Клиенты!B381</f>
        <v xml:space="preserve">Золотов Александр Сергеевич</v>
      </c>
      <c r="D382" s="11" t="str">
        <f>RAW_Клиенты!C381</f>
        <v>08.09.1985</v>
      </c>
      <c r="E382" s="11" t="str">
        <f>RAW_Клиенты!D381</f>
        <v>8-903-234-56-78</v>
      </c>
      <c r="F382" s="11" t="str">
        <f>RAW_Клиенты!E381</f>
        <v>zolotov@yandex</v>
      </c>
      <c r="G382" s="11" t="str">
        <f>RAW_Клиенты!F381</f>
        <v>Смоленск</v>
      </c>
      <c r="H382" s="11" t="str">
        <f>RAW_Клиенты!G381</f>
        <v>2032-07-15</v>
      </c>
      <c r="I382" s="12" t="str">
        <f t="shared" si="398"/>
        <v>89032345678</v>
      </c>
      <c r="J382" s="12" t="str">
        <f t="shared" si="399"/>
        <v>zolotov@yandex</v>
      </c>
      <c r="K382" s="12" t="str">
        <f t="shared" si="400"/>
        <v>Смоленск</v>
      </c>
      <c r="L382" s="13" t="str">
        <f t="shared" si="401"/>
        <v>C0380</v>
      </c>
      <c r="M382" s="13" t="str">
        <f t="shared" si="402"/>
        <v xml:space="preserve">Золотов Александр Сергеевич</v>
      </c>
      <c r="N382" s="13" t="str">
        <f t="shared" si="403"/>
        <v>OK</v>
      </c>
      <c r="O382" s="19">
        <f t="shared" si="404"/>
        <v>31298</v>
      </c>
      <c r="P382" s="19">
        <f t="shared" si="405"/>
        <v>48410</v>
      </c>
      <c r="Q382" s="13">
        <f t="shared" ca="1" si="406"/>
        <v>41</v>
      </c>
      <c r="R382" s="13" t="str">
        <f t="shared" si="407"/>
        <v>OK</v>
      </c>
      <c r="S382" s="13" t="str">
        <f t="shared" si="408"/>
        <v xml:space="preserve">+7 (903) 234-56-78</v>
      </c>
      <c r="T382" s="13" t="str">
        <f t="shared" si="409"/>
        <v>zolotov@yandex</v>
      </c>
      <c r="U382" s="18" t="str">
        <f t="shared" si="410"/>
        <v xml:space="preserve">Ошибка Email</v>
      </c>
      <c r="V382" s="13" t="str">
        <f>IFERROR(VLOOKUP(K382,Справочники!$K$6:$L$13,2,0),K382)</f>
        <v>Смоленск</v>
      </c>
    </row>
    <row r="383" ht="15" customHeight="1">
      <c r="A383" s="10">
        <v>381</v>
      </c>
      <c r="B383" s="11" t="str">
        <f>RAW_Клиенты!A382</f>
        <v>C0381</v>
      </c>
      <c r="C383" s="11" t="str">
        <f>RAW_Клиенты!B382</f>
        <v xml:space="preserve">Никифорова Мария Владимировна</v>
      </c>
      <c r="D383" s="11" t="str">
        <f>RAW_Клиенты!C382</f>
        <v>21.11.1994</v>
      </c>
      <c r="E383" s="11" t="str">
        <f>RAW_Клиенты!D382</f>
        <v xml:space="preserve">8 903 345 67 89</v>
      </c>
      <c r="F383" s="11" t="str">
        <f>RAW_Клиенты!E382</f>
        <v>nikiforova@gmail</v>
      </c>
      <c r="G383" s="11" t="str">
        <f>RAW_Клиенты!F382</f>
        <v>Белгород</v>
      </c>
      <c r="H383" s="11" t="str">
        <f>RAW_Клиенты!G382</f>
        <v>15.07.2032</v>
      </c>
      <c r="I383" s="12" t="str">
        <f t="shared" si="398"/>
        <v>89033456789</v>
      </c>
      <c r="J383" s="12" t="str">
        <f t="shared" si="399"/>
        <v>nikiforova@gmail</v>
      </c>
      <c r="K383" s="12" t="str">
        <f t="shared" si="400"/>
        <v>Белгород</v>
      </c>
      <c r="L383" s="13" t="str">
        <f t="shared" si="401"/>
        <v>C0381</v>
      </c>
      <c r="M383" s="13" t="str">
        <f t="shared" si="402"/>
        <v xml:space="preserve">Никифорова Мария Владимировна</v>
      </c>
      <c r="N383" s="13" t="str">
        <f t="shared" si="403"/>
        <v>OK</v>
      </c>
      <c r="O383" s="19">
        <f t="shared" si="404"/>
        <v>34659</v>
      </c>
      <c r="P383" s="19">
        <f t="shared" si="405"/>
        <v>48410</v>
      </c>
      <c r="Q383" s="13">
        <f t="shared" ca="1" si="406"/>
        <v>31</v>
      </c>
      <c r="R383" s="13" t="str">
        <f t="shared" si="407"/>
        <v>OK</v>
      </c>
      <c r="S383" s="13" t="str">
        <f t="shared" si="408"/>
        <v xml:space="preserve">+7 (903) 345-67-89</v>
      </c>
      <c r="T383" s="13" t="str">
        <f t="shared" si="409"/>
        <v>nikiforova@gmail</v>
      </c>
      <c r="U383" s="18" t="str">
        <f t="shared" si="410"/>
        <v xml:space="preserve">Ошибка Email</v>
      </c>
      <c r="V383" s="13" t="str">
        <f>IFERROR(VLOOKUP(K383,Справочники!$K$6:$L$13,2,0),K383)</f>
        <v>Белгород</v>
      </c>
    </row>
    <row r="384" ht="15" customHeight="1">
      <c r="A384" s="10">
        <v>382</v>
      </c>
      <c r="B384" s="11" t="str">
        <f>RAW_Клиенты!A383</f>
        <v>C0382</v>
      </c>
      <c r="C384" s="11" t="str">
        <f>RAW_Клиенты!B383</f>
        <v xml:space="preserve">Колосков Илья Алексеевич</v>
      </c>
      <c r="D384" s="11" t="str">
        <f>RAW_Клиенты!C383</f>
        <v>03.04.1976</v>
      </c>
      <c r="E384" s="11" t="str">
        <f>RAW_Клиенты!D383</f>
        <v>+79033456789</v>
      </c>
      <c r="F384" s="11" t="str">
        <f>RAW_Клиенты!E383</f>
        <v>koloskov@mail</v>
      </c>
      <c r="G384" s="11" t="str">
        <f>RAW_Клиенты!F383</f>
        <v>Мурманск</v>
      </c>
      <c r="H384" s="11" t="str">
        <f>RAW_Клиенты!G383</f>
        <v>01.08.2032</v>
      </c>
      <c r="I384" s="12" t="str">
        <f t="shared" si="398"/>
        <v>79033456789</v>
      </c>
      <c r="J384" s="12" t="str">
        <f t="shared" si="399"/>
        <v>koloskov@mail</v>
      </c>
      <c r="K384" s="12" t="str">
        <f t="shared" si="400"/>
        <v>Мурманск</v>
      </c>
      <c r="L384" s="13" t="str">
        <f t="shared" si="401"/>
        <v>C0382</v>
      </c>
      <c r="M384" s="13" t="str">
        <f t="shared" si="402"/>
        <v xml:space="preserve">Колосков Илья Алексеевич</v>
      </c>
      <c r="N384" s="13" t="str">
        <f t="shared" si="403"/>
        <v>OK</v>
      </c>
      <c r="O384" s="19">
        <f t="shared" si="404"/>
        <v>27853</v>
      </c>
      <c r="P384" s="19">
        <f t="shared" si="405"/>
        <v>48427</v>
      </c>
      <c r="Q384" s="13">
        <f t="shared" ca="1" si="406"/>
        <v>50</v>
      </c>
      <c r="R384" s="13" t="str">
        <f t="shared" si="407"/>
        <v>OK</v>
      </c>
      <c r="S384" s="13" t="str">
        <f t="shared" si="408"/>
        <v xml:space="preserve">+7 (903) 345-67-89</v>
      </c>
      <c r="T384" s="13" t="str">
        <f t="shared" si="409"/>
        <v>koloskov@mail</v>
      </c>
      <c r="U384" s="18" t="str">
        <f t="shared" si="410"/>
        <v xml:space="preserve">Ошибка Email</v>
      </c>
      <c r="V384" s="13" t="str">
        <f>IFERROR(VLOOKUP(K384,Справочники!$K$6:$L$13,2,0),K384)</f>
        <v>Мурманск</v>
      </c>
    </row>
    <row r="385" ht="15" customHeight="1">
      <c r="A385" s="10">
        <v>383</v>
      </c>
      <c r="B385" s="11" t="str">
        <f>RAW_Клиенты!A384</f>
        <v>C0383</v>
      </c>
      <c r="C385" s="11" t="str">
        <f>RAW_Клиенты!B384</f>
        <v xml:space="preserve">Устинова Екатерина Олеговна</v>
      </c>
      <c r="D385" s="11" t="str">
        <f>RAW_Клиенты!C384</f>
        <v>12.07.1982</v>
      </c>
      <c r="E385" s="11" t="str">
        <f>RAW_Клиенты!D384</f>
        <v>8-903-345-67-89</v>
      </c>
      <c r="F385" s="11" t="str">
        <f>RAW_Клиенты!E384</f>
        <v>ustinova@yandex</v>
      </c>
      <c r="G385" s="11" t="str">
        <f>RAW_Клиенты!F384</f>
        <v>Ставрополь</v>
      </c>
      <c r="H385" s="11" t="str">
        <f>RAW_Клиенты!G384</f>
        <v>2032-08-10</v>
      </c>
      <c r="I385" s="12" t="str">
        <f t="shared" si="398"/>
        <v>89033456789</v>
      </c>
      <c r="J385" s="12" t="str">
        <f t="shared" si="399"/>
        <v>ustinova@yandex</v>
      </c>
      <c r="K385" s="12" t="str">
        <f t="shared" si="400"/>
        <v>Ставрополь</v>
      </c>
      <c r="L385" s="13" t="str">
        <f t="shared" si="401"/>
        <v>C0383</v>
      </c>
      <c r="M385" s="13" t="str">
        <f t="shared" si="402"/>
        <v xml:space="preserve">Устинова Екатерина Олеговна</v>
      </c>
      <c r="N385" s="13" t="str">
        <f t="shared" si="403"/>
        <v>OK</v>
      </c>
      <c r="O385" s="19">
        <f t="shared" si="404"/>
        <v>30144</v>
      </c>
      <c r="P385" s="19">
        <f t="shared" si="405"/>
        <v>48436</v>
      </c>
      <c r="Q385" s="13">
        <f t="shared" ca="1" si="406"/>
        <v>44</v>
      </c>
      <c r="R385" s="13" t="str">
        <f t="shared" si="407"/>
        <v>OK</v>
      </c>
      <c r="S385" s="13" t="str">
        <f t="shared" si="408"/>
        <v xml:space="preserve">+7 (903) 345-67-89</v>
      </c>
      <c r="T385" s="13" t="str">
        <f t="shared" si="409"/>
        <v>ustinova@yandex</v>
      </c>
      <c r="U385" s="18" t="str">
        <f t="shared" si="410"/>
        <v xml:space="preserve">Ошибка Email</v>
      </c>
      <c r="V385" s="13" t="str">
        <f>IFERROR(VLOOKUP(K385,Справочники!$K$6:$L$13,2,0),K385)</f>
        <v>Ставрополь</v>
      </c>
    </row>
    <row r="386" ht="15" customHeight="1">
      <c r="A386" s="10">
        <v>384</v>
      </c>
      <c r="B386" s="11" t="str">
        <f>RAW_Клиенты!A385</f>
        <v>C0384</v>
      </c>
      <c r="C386" s="11" t="str">
        <f>RAW_Клиенты!B385</f>
        <v xml:space="preserve">Сидорчук Андрей Павлович</v>
      </c>
      <c r="D386" s="11" t="str">
        <f>RAW_Клиенты!C385</f>
        <v>31.12.1988</v>
      </c>
      <c r="E386" s="11" t="str">
        <f>RAW_Клиенты!D385</f>
        <v xml:space="preserve">8 903 456 78 90</v>
      </c>
      <c r="F386" s="11" t="str">
        <f>RAW_Клиенты!E385</f>
        <v>sidorchuk@gmail</v>
      </c>
      <c r="G386" s="11" t="str">
        <f>RAW_Клиенты!F385</f>
        <v>Севастополь</v>
      </c>
      <c r="H386" s="11" t="str">
        <f>RAW_Клиенты!G385</f>
        <v>10.08.2032</v>
      </c>
      <c r="I386" s="12" t="str">
        <f t="shared" si="398"/>
        <v>89034567890</v>
      </c>
      <c r="J386" s="12" t="str">
        <f t="shared" si="399"/>
        <v>sidorchuk@gmail</v>
      </c>
      <c r="K386" s="12" t="str">
        <f t="shared" si="400"/>
        <v>Севастополь</v>
      </c>
      <c r="L386" s="13" t="str">
        <f t="shared" si="401"/>
        <v>C0384</v>
      </c>
      <c r="M386" s="13" t="str">
        <f t="shared" si="402"/>
        <v xml:space="preserve">Сидорчук Андрей Павлович</v>
      </c>
      <c r="N386" s="13" t="str">
        <f t="shared" si="403"/>
        <v>OK</v>
      </c>
      <c r="O386" s="19">
        <f t="shared" si="404"/>
        <v>32508</v>
      </c>
      <c r="P386" s="19">
        <f t="shared" si="405"/>
        <v>48436</v>
      </c>
      <c r="Q386" s="13">
        <f t="shared" ca="1" si="406"/>
        <v>37</v>
      </c>
      <c r="R386" s="13" t="str">
        <f t="shared" si="407"/>
        <v>OK</v>
      </c>
      <c r="S386" s="13" t="str">
        <f t="shared" si="408"/>
        <v xml:space="preserve">+7 (903) 456-78-90</v>
      </c>
      <c r="T386" s="13" t="str">
        <f t="shared" si="409"/>
        <v>sidorchuk@gmail</v>
      </c>
      <c r="U386" s="18" t="str">
        <f t="shared" si="410"/>
        <v xml:space="preserve">Ошибка Email</v>
      </c>
      <c r="V386" s="13" t="str">
        <f>IFERROR(VLOOKUP(K386,Справочники!$K$6:$L$13,2,0),K386)</f>
        <v>Севастополь</v>
      </c>
    </row>
    <row r="387" ht="15" customHeight="1">
      <c r="A387" s="10">
        <v>385</v>
      </c>
      <c r="B387" s="11" t="str">
        <f>RAW_Клиенты!A386</f>
        <v>C0385</v>
      </c>
      <c r="C387" s="11" t="str">
        <f>RAW_Клиенты!B386</f>
        <v xml:space="preserve">Горчакова Ольга Сергеевна</v>
      </c>
      <c r="D387" s="11" t="str">
        <f>RAW_Клиенты!C386</f>
        <v>17.05.1973</v>
      </c>
      <c r="E387" s="11" t="str">
        <f>RAW_Клиенты!D386</f>
        <v>+79034567890</v>
      </c>
      <c r="F387" s="11" t="str">
        <f>RAW_Клиенты!E386</f>
        <v>gorchakova@mail</v>
      </c>
      <c r="G387" s="11" t="str">
        <f>RAW_Клиенты!F386</f>
        <v>Сочи</v>
      </c>
      <c r="H387" s="11" t="str">
        <f>RAW_Клиенты!G386</f>
        <v>01.09.2032</v>
      </c>
      <c r="I387" s="12" t="str">
        <f t="shared" si="398"/>
        <v>79034567890</v>
      </c>
      <c r="J387" s="12" t="str">
        <f t="shared" si="399"/>
        <v>gorchakova@mail</v>
      </c>
      <c r="K387" s="12" t="str">
        <f t="shared" si="400"/>
        <v>Сочи</v>
      </c>
      <c r="L387" s="13" t="str">
        <f t="shared" si="401"/>
        <v>C0385</v>
      </c>
      <c r="M387" s="13" t="str">
        <f t="shared" si="402"/>
        <v xml:space="preserve">Горчакова Ольга Сергеевна</v>
      </c>
      <c r="N387" s="13" t="str">
        <f t="shared" si="403"/>
        <v>OK</v>
      </c>
      <c r="O387" s="19">
        <f t="shared" si="404"/>
        <v>26801</v>
      </c>
      <c r="P387" s="19">
        <f t="shared" si="405"/>
        <v>48458</v>
      </c>
      <c r="Q387" s="13">
        <f t="shared" ca="1" si="406"/>
        <v>53</v>
      </c>
      <c r="R387" s="13" t="str">
        <f t="shared" si="407"/>
        <v>OK</v>
      </c>
      <c r="S387" s="13" t="str">
        <f t="shared" si="408"/>
        <v xml:space="preserve">+7 (903) 456-78-90</v>
      </c>
      <c r="T387" s="13" t="str">
        <f t="shared" si="409"/>
        <v>gorchakova@mail</v>
      </c>
      <c r="U387" s="18" t="str">
        <f t="shared" si="410"/>
        <v xml:space="preserve">Ошибка Email</v>
      </c>
      <c r="V387" s="13" t="str">
        <f>IFERROR(VLOOKUP(K387,Справочники!$K$6:$L$13,2,0),K387)</f>
        <v>Сочи</v>
      </c>
    </row>
    <row r="388" ht="15" customHeight="1">
      <c r="A388" s="10">
        <v>386</v>
      </c>
      <c r="B388" s="11" t="str">
        <f>RAW_Клиенты!A387</f>
        <v>C0386</v>
      </c>
      <c r="C388" s="11" t="str">
        <f>RAW_Клиенты!B387</f>
        <v xml:space="preserve">Васюков Денис Викторович</v>
      </c>
      <c r="D388" s="11" t="str">
        <f>RAW_Клиенты!C387</f>
        <v>28.10.1979</v>
      </c>
      <c r="E388" s="11" t="str">
        <f>RAW_Клиенты!D387</f>
        <v>8-903-456-78-90</v>
      </c>
      <c r="F388" s="11" t="str">
        <f>RAW_Клиенты!E387</f>
        <v>vasyukov@yandex</v>
      </c>
      <c r="G388" s="11" t="str">
        <f>RAW_Клиенты!F387</f>
        <v>Симферополь</v>
      </c>
      <c r="H388" s="11" t="str">
        <f>RAW_Клиенты!G387</f>
        <v>2032-09-15</v>
      </c>
      <c r="I388" s="12" t="str">
        <f t="shared" si="398"/>
        <v>89034567890</v>
      </c>
      <c r="J388" s="12" t="str">
        <f t="shared" si="399"/>
        <v>vasyukov@yandex</v>
      </c>
      <c r="K388" s="12" t="str">
        <f t="shared" si="400"/>
        <v>Симферополь</v>
      </c>
      <c r="L388" s="13" t="str">
        <f t="shared" si="401"/>
        <v>C0386</v>
      </c>
      <c r="M388" s="13" t="str">
        <f t="shared" si="402"/>
        <v xml:space="preserve">Васюков Денис Викторович</v>
      </c>
      <c r="N388" s="13" t="str">
        <f t="shared" si="403"/>
        <v>OK</v>
      </c>
      <c r="O388" s="19">
        <f t="shared" si="404"/>
        <v>29156</v>
      </c>
      <c r="P388" s="19">
        <f t="shared" si="405"/>
        <v>48472</v>
      </c>
      <c r="Q388" s="13">
        <f t="shared" ca="1" si="406"/>
        <v>46</v>
      </c>
      <c r="R388" s="13" t="str">
        <f t="shared" si="407"/>
        <v>OK</v>
      </c>
      <c r="S388" s="13" t="str">
        <f t="shared" si="408"/>
        <v xml:space="preserve">+7 (903) 456-78-90</v>
      </c>
      <c r="T388" s="13" t="str">
        <f t="shared" si="409"/>
        <v>vasyukov@yandex</v>
      </c>
      <c r="U388" s="18" t="str">
        <f t="shared" si="410"/>
        <v xml:space="preserve">Ошибка Email</v>
      </c>
      <c r="V388" s="13" t="str">
        <f>IFERROR(VLOOKUP(K388,Справочники!$K$6:$L$13,2,0),K388)</f>
        <v>Симферополь</v>
      </c>
    </row>
    <row r="389" ht="15" customHeight="1">
      <c r="A389" s="10">
        <v>387</v>
      </c>
      <c r="B389" s="11" t="str">
        <f>RAW_Клиенты!A388</f>
        <v>C0387</v>
      </c>
      <c r="C389" s="11" t="str">
        <f>RAW_Клиенты!B388</f>
        <v xml:space="preserve">Кузьминова Елена Игоревна</v>
      </c>
      <c r="D389" s="11" t="str">
        <f>RAW_Клиенты!C388</f>
        <v>25.03.1986</v>
      </c>
      <c r="E389" s="11" t="str">
        <f>RAW_Клиенты!D388</f>
        <v xml:space="preserve">8 903 567 89 01</v>
      </c>
      <c r="F389" s="11" t="str">
        <f>RAW_Клиенты!E388</f>
        <v>kuzminova@gmail</v>
      </c>
      <c r="G389" s="11" t="str">
        <f>RAW_Клиенты!F388</f>
        <v>Брянск</v>
      </c>
      <c r="H389" s="11" t="str">
        <f>RAW_Клиенты!G388</f>
        <v>15.09.2032</v>
      </c>
      <c r="I389" s="12" t="str">
        <f t="shared" si="398"/>
        <v>89035678901</v>
      </c>
      <c r="J389" s="12" t="str">
        <f t="shared" si="399"/>
        <v>kuzminova@gmail</v>
      </c>
      <c r="K389" s="12" t="str">
        <f t="shared" si="400"/>
        <v>Брянск</v>
      </c>
      <c r="L389" s="13" t="str">
        <f t="shared" si="401"/>
        <v>C0387</v>
      </c>
      <c r="M389" s="13" t="str">
        <f t="shared" si="402"/>
        <v xml:space="preserve">Кузьминова Елена Игоревна</v>
      </c>
      <c r="N389" s="13" t="str">
        <f t="shared" si="403"/>
        <v>OK</v>
      </c>
      <c r="O389" s="19">
        <f t="shared" si="404"/>
        <v>31496</v>
      </c>
      <c r="P389" s="19">
        <f t="shared" si="405"/>
        <v>48472</v>
      </c>
      <c r="Q389" s="13">
        <f t="shared" ca="1" si="406"/>
        <v>40</v>
      </c>
      <c r="R389" s="13" t="str">
        <f t="shared" si="407"/>
        <v>OK</v>
      </c>
      <c r="S389" s="13" t="str">
        <f t="shared" si="408"/>
        <v xml:space="preserve">+7 (903) 567-89-01</v>
      </c>
      <c r="T389" s="13" t="str">
        <f t="shared" si="409"/>
        <v>kuzminova@gmail</v>
      </c>
      <c r="U389" s="18" t="str">
        <f t="shared" si="410"/>
        <v xml:space="preserve">Ошибка Email</v>
      </c>
      <c r="V389" s="13" t="str">
        <f>IFERROR(VLOOKUP(K389,Справочники!$K$6:$L$13,2,0),K389)</f>
        <v>Брянск</v>
      </c>
    </row>
    <row r="390" ht="15" customHeight="1">
      <c r="A390" s="10">
        <v>388</v>
      </c>
      <c r="B390" s="11" t="str">
        <f>RAW_Клиенты!A389</f>
        <v>C0388</v>
      </c>
      <c r="C390" s="11" t="str">
        <f>RAW_Клиенты!B389</f>
        <v xml:space="preserve">Стрелков Илья Александрович</v>
      </c>
      <c r="D390" s="11" t="str">
        <f>RAW_Клиенты!C389</f>
        <v>14.08.1991</v>
      </c>
      <c r="E390" s="11" t="str">
        <f>RAW_Клиенты!D389</f>
        <v>+79035678901</v>
      </c>
      <c r="F390" s="11" t="str">
        <f>RAW_Клиенты!E389</f>
        <v>strelkov@mail</v>
      </c>
      <c r="G390" s="11" t="str">
        <f>RAW_Клиенты!F389</f>
        <v>Абакан</v>
      </c>
      <c r="H390" s="11" t="str">
        <f>RAW_Клиенты!G389</f>
        <v>01.10.2032</v>
      </c>
      <c r="I390" s="12" t="str">
        <f t="shared" si="398"/>
        <v>79035678901</v>
      </c>
      <c r="J390" s="12" t="str">
        <f t="shared" si="399"/>
        <v>strelkov@mail</v>
      </c>
      <c r="K390" s="12" t="str">
        <f t="shared" si="400"/>
        <v>Абакан</v>
      </c>
      <c r="L390" s="13" t="str">
        <f t="shared" si="401"/>
        <v>C0388</v>
      </c>
      <c r="M390" s="13" t="str">
        <f t="shared" si="402"/>
        <v xml:space="preserve">Стрелков Илья Александрович</v>
      </c>
      <c r="N390" s="13" t="str">
        <f t="shared" si="403"/>
        <v>OK</v>
      </c>
      <c r="O390" s="19">
        <f t="shared" si="404"/>
        <v>33464</v>
      </c>
      <c r="P390" s="19">
        <f t="shared" si="405"/>
        <v>48488</v>
      </c>
      <c r="Q390" s="13">
        <f t="shared" ca="1" si="406"/>
        <v>35</v>
      </c>
      <c r="R390" s="13" t="str">
        <f t="shared" si="407"/>
        <v>OK</v>
      </c>
      <c r="S390" s="13" t="str">
        <f t="shared" si="408"/>
        <v xml:space="preserve">+7 (903) 567-89-01</v>
      </c>
      <c r="T390" s="13" t="str">
        <f t="shared" si="409"/>
        <v>strelkov@mail</v>
      </c>
      <c r="U390" s="18" t="str">
        <f t="shared" si="410"/>
        <v xml:space="preserve">Ошибка Email</v>
      </c>
      <c r="V390" s="13" t="str">
        <f>IFERROR(VLOOKUP(K390,Справочники!$K$6:$L$13,2,0),K390)</f>
        <v>Абакан</v>
      </c>
    </row>
    <row r="391" ht="15" customHeight="1">
      <c r="A391" s="10">
        <v>389</v>
      </c>
      <c r="B391" s="11" t="str">
        <f>RAW_Клиенты!A390</f>
        <v>C0389</v>
      </c>
      <c r="C391" s="11" t="str">
        <f>RAW_Клиенты!B390</f>
        <v xml:space="preserve">Волкова Оксана Владимировна</v>
      </c>
      <c r="D391" s="11" t="str">
        <f>RAW_Клиенты!C390</f>
        <v>06.06.1977</v>
      </c>
      <c r="E391" s="11" t="str">
        <f>RAW_Клиенты!D390</f>
        <v>8-903-567-89-01</v>
      </c>
      <c r="F391" s="11" t="str">
        <f>RAW_Клиенты!E390</f>
        <v>volkova@yandex</v>
      </c>
      <c r="G391" s="11" t="str">
        <f>RAW_Клиенты!F390</f>
        <v>Грозный</v>
      </c>
      <c r="H391" s="11" t="str">
        <f>RAW_Клиенты!G390</f>
        <v>2032-10-10</v>
      </c>
      <c r="I391" s="12" t="str">
        <f t="shared" si="398"/>
        <v>89035678901</v>
      </c>
      <c r="J391" s="12" t="str">
        <f t="shared" si="399"/>
        <v>volkova@yandex</v>
      </c>
      <c r="K391" s="12" t="str">
        <f t="shared" si="400"/>
        <v>Грозный</v>
      </c>
      <c r="L391" s="13" t="str">
        <f t="shared" si="401"/>
        <v>C0389</v>
      </c>
      <c r="M391" s="13" t="str">
        <f t="shared" si="402"/>
        <v xml:space="preserve">Волкова Оксана Владимировна</v>
      </c>
      <c r="N391" s="13" t="str">
        <f t="shared" si="403"/>
        <v>OK</v>
      </c>
      <c r="O391" s="19">
        <f t="shared" si="404"/>
        <v>28282</v>
      </c>
      <c r="P391" s="19">
        <f t="shared" si="405"/>
        <v>48497</v>
      </c>
      <c r="Q391" s="13">
        <f t="shared" ca="1" si="406"/>
        <v>49</v>
      </c>
      <c r="R391" s="13" t="str">
        <f t="shared" si="407"/>
        <v>OK</v>
      </c>
      <c r="S391" s="13" t="str">
        <f t="shared" si="408"/>
        <v xml:space="preserve">+7 (903) 567-89-01</v>
      </c>
      <c r="T391" s="13" t="str">
        <f t="shared" si="409"/>
        <v>volkova@yandex</v>
      </c>
      <c r="U391" s="18" t="str">
        <f t="shared" si="410"/>
        <v xml:space="preserve">Ошибка Email</v>
      </c>
      <c r="V391" s="13" t="str">
        <f>IFERROR(VLOOKUP(K391,Справочники!$K$6:$L$13,2,0),K391)</f>
        <v>Грозный</v>
      </c>
    </row>
    <row r="392" ht="15" customHeight="1">
      <c r="A392" s="10">
        <v>390</v>
      </c>
      <c r="B392" s="11" t="str">
        <f>RAW_Клиенты!A391</f>
        <v>C0390</v>
      </c>
      <c r="C392" s="11" t="str">
        <f>RAW_Клиенты!B391</f>
        <v xml:space="preserve">Пронин Алексей Петрович</v>
      </c>
      <c r="D392" s="11" t="str">
        <f>RAW_Клиенты!C391</f>
        <v>18.12.1984</v>
      </c>
      <c r="E392" s="11" t="str">
        <f>RAW_Клиенты!D391</f>
        <v xml:space="preserve">8 903 678 90 12</v>
      </c>
      <c r="F392" s="11" t="str">
        <f>RAW_Клиенты!E391</f>
        <v>pronin@gmail</v>
      </c>
      <c r="G392" s="11" t="str">
        <f>RAW_Клиенты!F391</f>
        <v>Бийск</v>
      </c>
      <c r="H392" s="11" t="str">
        <f>RAW_Клиенты!G391</f>
        <v>10.10.2032</v>
      </c>
      <c r="I392" s="12" t="str">
        <f t="shared" si="398"/>
        <v>89036789012</v>
      </c>
      <c r="J392" s="12" t="str">
        <f t="shared" si="399"/>
        <v>pronin@gmail</v>
      </c>
      <c r="K392" s="12" t="str">
        <f t="shared" si="400"/>
        <v>Бийск</v>
      </c>
      <c r="L392" s="13" t="str">
        <f t="shared" si="401"/>
        <v>C0390</v>
      </c>
      <c r="M392" s="13" t="str">
        <f t="shared" si="402"/>
        <v xml:space="preserve">Пронин Алексей Петрович</v>
      </c>
      <c r="N392" s="13" t="str">
        <f t="shared" si="403"/>
        <v>OK</v>
      </c>
      <c r="O392" s="19">
        <f t="shared" si="404"/>
        <v>31034</v>
      </c>
      <c r="P392" s="19">
        <f t="shared" si="405"/>
        <v>48497</v>
      </c>
      <c r="Q392" s="13">
        <f t="shared" ca="1" si="406"/>
        <v>41</v>
      </c>
      <c r="R392" s="13" t="str">
        <f t="shared" si="407"/>
        <v>OK</v>
      </c>
      <c r="S392" s="13" t="str">
        <f t="shared" si="408"/>
        <v xml:space="preserve">+7 (903) 678-90-12</v>
      </c>
      <c r="T392" s="13" t="str">
        <f t="shared" si="409"/>
        <v>pronin@gmail</v>
      </c>
      <c r="U392" s="18" t="str">
        <f t="shared" si="410"/>
        <v xml:space="preserve">Ошибка Email</v>
      </c>
      <c r="V392" s="13" t="str">
        <f>IFERROR(VLOOKUP(K392,Справочники!$K$6:$L$13,2,0),K392)</f>
        <v>Бийск</v>
      </c>
    </row>
    <row r="393" ht="15" customHeight="1">
      <c r="A393" s="10">
        <v>391</v>
      </c>
      <c r="B393" s="11" t="str">
        <f>RAW_Клиенты!A392</f>
        <v>C0391</v>
      </c>
      <c r="C393" s="11" t="str">
        <f>RAW_Клиенты!B392</f>
        <v xml:space="preserve">Иваницкая Мария Николаевна</v>
      </c>
      <c r="D393" s="11" t="str">
        <f>RAW_Клиенты!C392</f>
        <v>22.09.1992</v>
      </c>
      <c r="E393" s="11" t="str">
        <f>RAW_Клиенты!D392</f>
        <v>+79036789012</v>
      </c>
      <c r="F393" s="11" t="str">
        <f>RAW_Клиенты!E392</f>
        <v>ivanitskaya@mail</v>
      </c>
      <c r="G393" s="11" t="str">
        <f>RAW_Клиенты!F392</f>
        <v>Йошкар-Ола</v>
      </c>
      <c r="H393" s="11" t="str">
        <f>RAW_Клиенты!G392</f>
        <v>01.11.2032</v>
      </c>
      <c r="I393" s="12" t="str">
        <f t="shared" si="398"/>
        <v>79036789012</v>
      </c>
      <c r="J393" s="12" t="str">
        <f t="shared" si="399"/>
        <v>ivanitskaya@mail</v>
      </c>
      <c r="K393" s="12" t="str">
        <f t="shared" si="400"/>
        <v>Йошкар-Ола</v>
      </c>
      <c r="L393" s="13" t="str">
        <f t="shared" si="401"/>
        <v>C0391</v>
      </c>
      <c r="M393" s="13" t="str">
        <f t="shared" si="402"/>
        <v xml:space="preserve">Иваницкая Мария Николаевна</v>
      </c>
      <c r="N393" s="13" t="str">
        <f t="shared" si="403"/>
        <v>OK</v>
      </c>
      <c r="O393" s="19">
        <f t="shared" si="404"/>
        <v>33869</v>
      </c>
      <c r="P393" s="19">
        <f t="shared" si="405"/>
        <v>48519</v>
      </c>
      <c r="Q393" s="13">
        <f t="shared" ca="1" si="406"/>
        <v>34</v>
      </c>
      <c r="R393" s="13" t="str">
        <f t="shared" si="407"/>
        <v>OK</v>
      </c>
      <c r="S393" s="13" t="str">
        <f t="shared" si="408"/>
        <v xml:space="preserve">+7 (903) 678-90-12</v>
      </c>
      <c r="T393" s="13" t="str">
        <f t="shared" si="409"/>
        <v>ivanitskaya@mail</v>
      </c>
      <c r="U393" s="18" t="str">
        <f t="shared" si="410"/>
        <v xml:space="preserve">Ошибка Email</v>
      </c>
      <c r="V393" s="13" t="str">
        <f>IFERROR(VLOOKUP(K393,Справочники!$K$6:$L$13,2,0),K393)</f>
        <v>Йошкар-Ола</v>
      </c>
    </row>
    <row r="394" ht="15" customHeight="1">
      <c r="A394" s="10">
        <v>392</v>
      </c>
      <c r="B394" s="11" t="str">
        <f>RAW_Клиенты!A393</f>
        <v>C0392</v>
      </c>
      <c r="C394" s="11" t="str">
        <f>RAW_Клиенты!B393</f>
        <v xml:space="preserve">Серпиков Андрей Олегович</v>
      </c>
      <c r="D394" s="11" t="str">
        <f>RAW_Клиенты!C393</f>
        <v>16.07.1975</v>
      </c>
      <c r="E394" s="11" t="str">
        <f>RAW_Клиенты!D393</f>
        <v>8-903-678-90-12</v>
      </c>
      <c r="F394" s="11" t="str">
        <f>RAW_Клиенты!E393</f>
        <v>serpikov@yandex</v>
      </c>
      <c r="G394" s="11" t="str">
        <f>RAW_Клиенты!F393</f>
        <v>Курган</v>
      </c>
      <c r="H394" s="11" t="str">
        <f>RAW_Клиенты!G393</f>
        <v>2032-11-15</v>
      </c>
      <c r="I394" s="12" t="str">
        <f t="shared" si="398"/>
        <v>89036789012</v>
      </c>
      <c r="J394" s="12" t="str">
        <f t="shared" si="399"/>
        <v>serpikov@yandex</v>
      </c>
      <c r="K394" s="12" t="str">
        <f t="shared" si="400"/>
        <v>Курган</v>
      </c>
      <c r="L394" s="13" t="str">
        <f t="shared" si="401"/>
        <v>C0392</v>
      </c>
      <c r="M394" s="13" t="str">
        <f t="shared" si="402"/>
        <v xml:space="preserve">Серпиков Андрей Олегович</v>
      </c>
      <c r="N394" s="13" t="str">
        <f t="shared" si="403"/>
        <v>OK</v>
      </c>
      <c r="O394" s="19">
        <f t="shared" si="404"/>
        <v>27591</v>
      </c>
      <c r="P394" s="19">
        <f t="shared" si="405"/>
        <v>48533</v>
      </c>
      <c r="Q394" s="13">
        <f t="shared" ca="1" si="406"/>
        <v>51</v>
      </c>
      <c r="R394" s="13" t="str">
        <f t="shared" si="407"/>
        <v>OK</v>
      </c>
      <c r="S394" s="13" t="str">
        <f t="shared" si="408"/>
        <v xml:space="preserve">+7 (903) 678-90-12</v>
      </c>
      <c r="T394" s="13" t="str">
        <f t="shared" si="409"/>
        <v>serpikov@yandex</v>
      </c>
      <c r="U394" s="18" t="str">
        <f t="shared" si="410"/>
        <v xml:space="preserve">Ошибка Email</v>
      </c>
      <c r="V394" s="13" t="str">
        <f>IFERROR(VLOOKUP(K394,Справочники!$K$6:$L$13,2,0),K394)</f>
        <v>Курган</v>
      </c>
    </row>
    <row r="395" ht="15" customHeight="1">
      <c r="A395" s="10">
        <v>393</v>
      </c>
      <c r="B395" s="11" t="str">
        <f>RAW_Клиенты!A394</f>
        <v>C0393</v>
      </c>
      <c r="C395" s="11" t="str">
        <f>RAW_Клиенты!B394</f>
        <v xml:space="preserve">Рыбакова Елена Сергеевна</v>
      </c>
      <c r="D395" s="11" t="str">
        <f>RAW_Клиенты!C394</f>
        <v>09.11.1980</v>
      </c>
      <c r="E395" s="11" t="str">
        <f>RAW_Клиенты!D394</f>
        <v xml:space="preserve">8 903 789 01 23</v>
      </c>
      <c r="F395" s="11" t="str">
        <f>RAW_Клиенты!E394</f>
        <v>rybakova@gmail</v>
      </c>
      <c r="G395" s="11" t="str">
        <f>RAW_Клиенты!F394</f>
        <v>Архангельск</v>
      </c>
      <c r="H395" s="11" t="str">
        <f>RAW_Клиенты!G394</f>
        <v>15.11.2032</v>
      </c>
      <c r="I395" s="12" t="str">
        <f t="shared" si="398"/>
        <v>89037890123</v>
      </c>
      <c r="J395" s="12" t="str">
        <f t="shared" si="399"/>
        <v>rybakova@gmail</v>
      </c>
      <c r="K395" s="12" t="str">
        <f t="shared" si="400"/>
        <v>Архангельск</v>
      </c>
      <c r="L395" s="13" t="str">
        <f t="shared" si="401"/>
        <v>C0393</v>
      </c>
      <c r="M395" s="13" t="str">
        <f t="shared" si="402"/>
        <v xml:space="preserve">Рыбакова Елена Сергеевна</v>
      </c>
      <c r="N395" s="13" t="str">
        <f t="shared" si="403"/>
        <v>OK</v>
      </c>
      <c r="O395" s="19">
        <f t="shared" si="404"/>
        <v>29534</v>
      </c>
      <c r="P395" s="19">
        <f t="shared" si="405"/>
        <v>48533</v>
      </c>
      <c r="Q395" s="13">
        <f t="shared" ca="1" si="406"/>
        <v>45</v>
      </c>
      <c r="R395" s="13" t="str">
        <f t="shared" si="407"/>
        <v>OK</v>
      </c>
      <c r="S395" s="13" t="str">
        <f t="shared" si="408"/>
        <v xml:space="preserve">+7 (903) 789-01-23</v>
      </c>
      <c r="T395" s="13" t="str">
        <f t="shared" si="409"/>
        <v>rybakova@gmail</v>
      </c>
      <c r="U395" s="18" t="str">
        <f t="shared" si="410"/>
        <v xml:space="preserve">Ошибка Email</v>
      </c>
      <c r="V395" s="13" t="str">
        <f>IFERROR(VLOOKUP(K395,Справочники!$K$6:$L$13,2,0),K395)</f>
        <v>Архангельск</v>
      </c>
    </row>
    <row r="396" ht="15" customHeight="1">
      <c r="A396" s="10">
        <v>394</v>
      </c>
      <c r="B396" s="11" t="str">
        <f>RAW_Клиенты!A395</f>
        <v>C0394</v>
      </c>
      <c r="C396" s="11" t="str">
        <f>RAW_Клиенты!B395</f>
        <v xml:space="preserve">Соломатин Денис Алексеевич</v>
      </c>
      <c r="D396" s="11" t="str">
        <f>RAW_Клиенты!C395</f>
        <v>27.02.1986</v>
      </c>
      <c r="E396" s="11" t="str">
        <f>RAW_Клиенты!D395</f>
        <v>+79037890123</v>
      </c>
      <c r="F396" s="11" t="str">
        <f>RAW_Клиенты!E395</f>
        <v>solomatin@mail</v>
      </c>
      <c r="G396" s="11" t="str">
        <f>RAW_Клиенты!F395</f>
        <v>Благовещенск</v>
      </c>
      <c r="H396" s="11" t="str">
        <f>RAW_Клиенты!G395</f>
        <v>01.12.2032</v>
      </c>
      <c r="I396" s="12" t="str">
        <f t="shared" si="398"/>
        <v>79037890123</v>
      </c>
      <c r="J396" s="12" t="str">
        <f t="shared" si="399"/>
        <v>solomatin@mail</v>
      </c>
      <c r="K396" s="12" t="str">
        <f t="shared" si="400"/>
        <v>Благовещенск</v>
      </c>
      <c r="L396" s="13" t="str">
        <f t="shared" si="401"/>
        <v>C0394</v>
      </c>
      <c r="M396" s="13" t="str">
        <f t="shared" si="402"/>
        <v xml:space="preserve">Соломатин Денис Алексеевич</v>
      </c>
      <c r="N396" s="13" t="str">
        <f t="shared" si="403"/>
        <v>OK</v>
      </c>
      <c r="O396" s="19">
        <f t="shared" si="404"/>
        <v>31470</v>
      </c>
      <c r="P396" s="19">
        <f t="shared" si="405"/>
        <v>48549</v>
      </c>
      <c r="Q396" s="13">
        <f t="shared" ca="1" si="406"/>
        <v>40</v>
      </c>
      <c r="R396" s="13" t="str">
        <f t="shared" si="407"/>
        <v>OK</v>
      </c>
      <c r="S396" s="13" t="str">
        <f t="shared" si="408"/>
        <v xml:space="preserve">+7 (903) 789-01-23</v>
      </c>
      <c r="T396" s="13" t="str">
        <f t="shared" si="409"/>
        <v>solomatin@mail</v>
      </c>
      <c r="U396" s="18" t="str">
        <f t="shared" si="410"/>
        <v xml:space="preserve">Ошибка Email</v>
      </c>
      <c r="V396" s="13" t="str">
        <f>IFERROR(VLOOKUP(K396,Справочники!$K$6:$L$13,2,0),K396)</f>
        <v>Благовещенск</v>
      </c>
    </row>
    <row r="397" ht="15" customHeight="1">
      <c r="A397" s="10">
        <v>395</v>
      </c>
      <c r="B397" s="11" t="str">
        <f>RAW_Клиенты!A396</f>
        <v>C0395</v>
      </c>
      <c r="C397" s="11" t="str">
        <f>RAW_Клиенты!B396</f>
        <v xml:space="preserve">Королева Ольга Игоревна</v>
      </c>
      <c r="D397" s="11" t="str">
        <f>RAW_Клиенты!C396</f>
        <v>14.05.1990</v>
      </c>
      <c r="E397" s="11" t="str">
        <f>RAW_Клиенты!D396</f>
        <v>8-903-789-01-23</v>
      </c>
      <c r="F397" s="11" t="str">
        <f>RAW_Клиенты!E396</f>
        <v>koroleva@yandex</v>
      </c>
      <c r="G397" s="11" t="str">
        <f>RAW_Клиенты!F396</f>
        <v>Майкоп</v>
      </c>
      <c r="H397" s="11" t="str">
        <f>RAW_Клиенты!G396</f>
        <v>2032-12-10</v>
      </c>
      <c r="I397" s="12" t="str">
        <f t="shared" si="398"/>
        <v>89037890123</v>
      </c>
      <c r="J397" s="12" t="str">
        <f t="shared" si="399"/>
        <v>koroleva@yandex</v>
      </c>
      <c r="K397" s="12" t="str">
        <f t="shared" si="400"/>
        <v>Майкоп</v>
      </c>
      <c r="L397" s="13" t="str">
        <f t="shared" si="401"/>
        <v>C0395</v>
      </c>
      <c r="M397" s="13" t="str">
        <f t="shared" si="402"/>
        <v xml:space="preserve">Королева Ольга Игоревна</v>
      </c>
      <c r="N397" s="13" t="str">
        <f t="shared" si="403"/>
        <v>OK</v>
      </c>
      <c r="O397" s="19">
        <f t="shared" si="404"/>
        <v>33007</v>
      </c>
      <c r="P397" s="19">
        <f t="shared" si="405"/>
        <v>48558</v>
      </c>
      <c r="Q397" s="13">
        <f t="shared" ca="1" si="406"/>
        <v>36</v>
      </c>
      <c r="R397" s="13" t="str">
        <f t="shared" si="407"/>
        <v>OK</v>
      </c>
      <c r="S397" s="13" t="str">
        <f t="shared" si="408"/>
        <v xml:space="preserve">+7 (903) 789-01-23</v>
      </c>
      <c r="T397" s="13" t="str">
        <f t="shared" si="409"/>
        <v>koroleva@yandex</v>
      </c>
      <c r="U397" s="18" t="str">
        <f t="shared" si="410"/>
        <v xml:space="preserve">Ошибка Email</v>
      </c>
      <c r="V397" s="13" t="str">
        <f>IFERROR(VLOOKUP(K397,Справочники!$K$6:$L$13,2,0),K397)</f>
        <v>Майкоп</v>
      </c>
    </row>
    <row r="398" ht="15" customHeight="1">
      <c r="A398" s="10">
        <v>396</v>
      </c>
      <c r="B398" s="11" t="str">
        <f>RAW_Клиенты!A397</f>
        <v>C0396</v>
      </c>
      <c r="C398" s="11" t="str">
        <f>RAW_Клиенты!B397</f>
        <v xml:space="preserve">Симонов Илья Владимирович</v>
      </c>
      <c r="D398" s="11" t="str">
        <f>RAW_Клиенты!C397</f>
        <v>23.08.1972</v>
      </c>
      <c r="E398" s="11" t="str">
        <f>RAW_Клиенты!D397</f>
        <v xml:space="preserve">8 903 890 12 34</v>
      </c>
      <c r="F398" s="11" t="str">
        <f>RAW_Клиенты!E397</f>
        <v>simonov@gmail</v>
      </c>
      <c r="G398" s="11" t="str">
        <f>RAW_Клиенты!F397</f>
        <v>Уссурийск</v>
      </c>
      <c r="H398" s="11" t="str">
        <f>RAW_Клиенты!G397</f>
        <v>10.12.2032</v>
      </c>
      <c r="I398" s="12" t="str">
        <f t="shared" si="398"/>
        <v>89038901234</v>
      </c>
      <c r="J398" s="12" t="str">
        <f t="shared" si="399"/>
        <v>simonov@gmail</v>
      </c>
      <c r="K398" s="12" t="str">
        <f t="shared" si="400"/>
        <v>Уссурийск</v>
      </c>
      <c r="L398" s="13" t="str">
        <f t="shared" si="401"/>
        <v>C0396</v>
      </c>
      <c r="M398" s="13" t="str">
        <f t="shared" si="402"/>
        <v xml:space="preserve">Симонов Илья Владимирович</v>
      </c>
      <c r="N398" s="13" t="str">
        <f t="shared" si="403"/>
        <v>OK</v>
      </c>
      <c r="O398" s="19">
        <f t="shared" si="404"/>
        <v>26534</v>
      </c>
      <c r="P398" s="19">
        <f t="shared" si="405"/>
        <v>48558</v>
      </c>
      <c r="Q398" s="13">
        <f t="shared" ca="1" si="406"/>
        <v>54</v>
      </c>
      <c r="R398" s="13" t="str">
        <f t="shared" si="407"/>
        <v>OK</v>
      </c>
      <c r="S398" s="13" t="str">
        <f t="shared" si="408"/>
        <v xml:space="preserve">+7 (903) 890-12-34</v>
      </c>
      <c r="T398" s="13" t="str">
        <f t="shared" si="409"/>
        <v>simonov@gmail</v>
      </c>
      <c r="U398" s="18" t="str">
        <f t="shared" si="410"/>
        <v xml:space="preserve">Ошибка Email</v>
      </c>
      <c r="V398" s="13" t="str">
        <f>IFERROR(VLOOKUP(K398,Справочники!$K$6:$L$13,2,0),K398)</f>
        <v>Уссурийск</v>
      </c>
    </row>
    <row r="399" ht="15" customHeight="1">
      <c r="A399" s="10">
        <v>397</v>
      </c>
      <c r="B399" s="11" t="str">
        <f>RAW_Клиенты!A398</f>
        <v>C0397</v>
      </c>
      <c r="C399" s="11" t="str">
        <f>RAW_Клиенты!B398</f>
        <v xml:space="preserve">Гонтарь Татьяна Алексеевна</v>
      </c>
      <c r="D399" s="11" t="str">
        <f>RAW_Клиенты!C398</f>
        <v>15.03.1987</v>
      </c>
      <c r="E399" s="11" t="str">
        <f>RAW_Клиенты!D398</f>
        <v>+79038901234</v>
      </c>
      <c r="F399" s="11" t="str">
        <f>RAW_Клиенты!E398</f>
        <v>gontar@mail</v>
      </c>
      <c r="G399" s="11" t="str">
        <f>RAW_Клиенты!F398</f>
        <v>Миасс</v>
      </c>
      <c r="H399" s="11" t="str">
        <f>RAW_Клиенты!G398</f>
        <v>01.01.2033</v>
      </c>
      <c r="I399" s="12" t="str">
        <f t="shared" si="398"/>
        <v>79038901234</v>
      </c>
      <c r="J399" s="12" t="str">
        <f t="shared" si="399"/>
        <v>gontar@mail</v>
      </c>
      <c r="K399" s="12" t="str">
        <f t="shared" si="400"/>
        <v>Миасс</v>
      </c>
      <c r="L399" s="13" t="str">
        <f t="shared" si="401"/>
        <v>C0397</v>
      </c>
      <c r="M399" s="13" t="str">
        <f t="shared" si="402"/>
        <v xml:space="preserve">Гонтарь Татьяна Алексеевна</v>
      </c>
      <c r="N399" s="13" t="str">
        <f t="shared" si="403"/>
        <v>OK</v>
      </c>
      <c r="O399" s="19">
        <f t="shared" si="404"/>
        <v>31851</v>
      </c>
      <c r="P399" s="19">
        <f t="shared" si="405"/>
        <v>48580</v>
      </c>
      <c r="Q399" s="13">
        <f t="shared" ca="1" si="406"/>
        <v>39</v>
      </c>
      <c r="R399" s="13" t="str">
        <f t="shared" si="407"/>
        <v>OK</v>
      </c>
      <c r="S399" s="13" t="str">
        <f t="shared" si="408"/>
        <v xml:space="preserve">+7 (903) 890-12-34</v>
      </c>
      <c r="T399" s="13" t="str">
        <f t="shared" si="409"/>
        <v>gontar@mail</v>
      </c>
      <c r="U399" s="18" t="str">
        <f t="shared" si="410"/>
        <v xml:space="preserve">Ошибка Email</v>
      </c>
      <c r="V399" s="13" t="str">
        <f>IFERROR(VLOOKUP(K399,Справочники!$K$6:$L$13,2,0),K399)</f>
        <v>Миасс</v>
      </c>
    </row>
    <row r="400" ht="15" customHeight="1">
      <c r="A400" s="10">
        <v>398</v>
      </c>
      <c r="B400" s="11" t="str">
        <f>RAW_Клиенты!A399</f>
        <v>C0398</v>
      </c>
      <c r="C400" s="11" t="str">
        <f>RAW_Клиенты!B399</f>
        <v xml:space="preserve">Ивановский Денис Павлович</v>
      </c>
      <c r="D400" s="11" t="str">
        <f>RAW_Клиенты!C399</f>
        <v>03.12.1993</v>
      </c>
      <c r="E400" s="11" t="str">
        <f>RAW_Клиенты!D399</f>
        <v>8-903-890-12-34</v>
      </c>
      <c r="F400" s="11" t="str">
        <f>RAW_Клиенты!E399</f>
        <v>ivanovsky@yandex</v>
      </c>
      <c r="G400" s="11" t="str">
        <f>RAW_Клиенты!F399</f>
        <v>Кызыл</v>
      </c>
      <c r="H400" s="11" t="str">
        <f>RAW_Клиенты!G399</f>
        <v>2033-01-15</v>
      </c>
      <c r="I400" s="12" t="str">
        <f t="shared" si="398"/>
        <v>89038901234</v>
      </c>
      <c r="J400" s="12" t="str">
        <f t="shared" si="399"/>
        <v>ivanovsky@yandex</v>
      </c>
      <c r="K400" s="12" t="str">
        <f t="shared" si="400"/>
        <v>Кызыл</v>
      </c>
      <c r="L400" s="13" t="str">
        <f t="shared" si="401"/>
        <v>C0398</v>
      </c>
      <c r="M400" s="13" t="str">
        <f t="shared" si="402"/>
        <v xml:space="preserve">Ивановский Денис Павлович</v>
      </c>
      <c r="N400" s="13" t="str">
        <f t="shared" si="403"/>
        <v>OK</v>
      </c>
      <c r="O400" s="19">
        <f t="shared" si="404"/>
        <v>34306</v>
      </c>
      <c r="P400" s="19">
        <f t="shared" si="405"/>
        <v>48594</v>
      </c>
      <c r="Q400" s="13">
        <f t="shared" ca="1" si="406"/>
        <v>32</v>
      </c>
      <c r="R400" s="13" t="str">
        <f t="shared" si="407"/>
        <v>OK</v>
      </c>
      <c r="S400" s="13" t="str">
        <f t="shared" si="408"/>
        <v xml:space="preserve">+7 (903) 890-12-34</v>
      </c>
      <c r="T400" s="13" t="str">
        <f t="shared" si="409"/>
        <v>ivanovsky@yandex</v>
      </c>
      <c r="U400" s="18" t="str">
        <f t="shared" si="410"/>
        <v xml:space="preserve">Ошибка Email</v>
      </c>
      <c r="V400" s="13" t="str">
        <f>IFERROR(VLOOKUP(K400,Справочники!$K$6:$L$13,2,0),K400)</f>
        <v>Кызыл</v>
      </c>
    </row>
    <row r="401" ht="15" customHeight="1">
      <c r="A401" s="10">
        <v>399</v>
      </c>
      <c r="B401" s="11" t="str">
        <f>RAW_Клиенты!A400</f>
        <v>C0399</v>
      </c>
      <c r="C401" s="11" t="str">
        <f>RAW_Клиенты!B400</f>
        <v xml:space="preserve">Савинкова Екатерина Сергеевна</v>
      </c>
      <c r="D401" s="11" t="str">
        <f>RAW_Клиенты!C400</f>
        <v>26.10.1978</v>
      </c>
      <c r="E401" s="11" t="str">
        <f>RAW_Клиенты!D400</f>
        <v xml:space="preserve">8 903 901 23 45</v>
      </c>
      <c r="F401" s="11" t="str">
        <f>RAW_Клиенты!E400</f>
        <v>savinkova@gmail</v>
      </c>
      <c r="G401" s="11" t="str">
        <f>RAW_Клиенты!F400</f>
        <v>Калининград</v>
      </c>
      <c r="H401" s="11" t="str">
        <f>RAW_Клиенты!G400</f>
        <v>15.01.2033</v>
      </c>
      <c r="I401" s="12" t="str">
        <f t="shared" si="398"/>
        <v>89039012345</v>
      </c>
      <c r="J401" s="12" t="str">
        <f t="shared" si="399"/>
        <v>savinkova@gmail</v>
      </c>
      <c r="K401" s="12" t="str">
        <f t="shared" si="400"/>
        <v>Калининград</v>
      </c>
      <c r="L401" s="13" t="str">
        <f t="shared" si="401"/>
        <v>C0399</v>
      </c>
      <c r="M401" s="13" t="str">
        <f t="shared" si="402"/>
        <v xml:space="preserve">Савинкова Екатерина Сергеевна</v>
      </c>
      <c r="N401" s="13" t="str">
        <f t="shared" si="403"/>
        <v>OK</v>
      </c>
      <c r="O401" s="19">
        <f t="shared" si="404"/>
        <v>28789</v>
      </c>
      <c r="P401" s="19">
        <f t="shared" si="405"/>
        <v>48594</v>
      </c>
      <c r="Q401" s="13">
        <f t="shared" ca="1" si="406"/>
        <v>47</v>
      </c>
      <c r="R401" s="13" t="str">
        <f t="shared" si="407"/>
        <v>OK</v>
      </c>
      <c r="S401" s="13" t="str">
        <f t="shared" si="408"/>
        <v xml:space="preserve">+7 (903) 901-23-45</v>
      </c>
      <c r="T401" s="13" t="str">
        <f t="shared" si="409"/>
        <v>savinkova@gmail</v>
      </c>
      <c r="U401" s="18" t="str">
        <f t="shared" si="410"/>
        <v xml:space="preserve">Ошибка Email</v>
      </c>
      <c r="V401" s="13" t="str">
        <f>IFERROR(VLOOKUP(K401,Справочники!$K$6:$L$13,2,0),K401)</f>
        <v>Калининград</v>
      </c>
    </row>
    <row r="402" ht="15" customHeight="1">
      <c r="A402" s="10">
        <v>400</v>
      </c>
      <c r="B402" s="11" t="str">
        <f>RAW_Клиенты!A401</f>
        <v>C0400</v>
      </c>
      <c r="C402" s="11" t="str">
        <f>RAW_Клиенты!B401</f>
        <v xml:space="preserve">Бирюков Андрей Викторович</v>
      </c>
      <c r="D402" s="11" t="str">
        <f>RAW_Клиенты!C401</f>
        <v>11.06.1984</v>
      </c>
      <c r="E402" s="11" t="str">
        <f>RAW_Клиенты!D401</f>
        <v>+79039012345</v>
      </c>
      <c r="F402" s="11" t="str">
        <f>RAW_Клиенты!E401</f>
        <v>biryukov@mail</v>
      </c>
      <c r="G402" s="11" t="str">
        <f>RAW_Клиенты!F401</f>
        <v>Петрозаводск</v>
      </c>
      <c r="H402" s="11" t="str">
        <f>RAW_Клиенты!G401</f>
        <v>01.02.2033</v>
      </c>
      <c r="I402" s="12" t="str">
        <f t="shared" si="398"/>
        <v>79039012345</v>
      </c>
      <c r="J402" s="12" t="str">
        <f t="shared" si="399"/>
        <v>biryukov@mail</v>
      </c>
      <c r="K402" s="12" t="str">
        <f t="shared" si="400"/>
        <v>Петрозаводск</v>
      </c>
      <c r="L402" s="13" t="str">
        <f t="shared" si="401"/>
        <v>C0400</v>
      </c>
      <c r="M402" s="13" t="str">
        <f t="shared" si="402"/>
        <v xml:space="preserve">Бирюков Андрей Викторович</v>
      </c>
      <c r="N402" s="13" t="str">
        <f t="shared" si="403"/>
        <v>OK</v>
      </c>
      <c r="O402" s="19">
        <f t="shared" si="404"/>
        <v>30844</v>
      </c>
      <c r="P402" s="19">
        <f t="shared" si="405"/>
        <v>48611</v>
      </c>
      <c r="Q402" s="13">
        <f t="shared" ca="1" si="406"/>
        <v>42</v>
      </c>
      <c r="R402" s="13" t="str">
        <f t="shared" si="407"/>
        <v>OK</v>
      </c>
      <c r="S402" s="13" t="str">
        <f t="shared" si="408"/>
        <v xml:space="preserve">+7 (903) 901-23-45</v>
      </c>
      <c r="T402" s="13" t="str">
        <f t="shared" si="409"/>
        <v>biryukov@mail</v>
      </c>
      <c r="U402" s="18" t="str">
        <f t="shared" si="410"/>
        <v xml:space="preserve">Ошибка Email</v>
      </c>
      <c r="V402" s="13" t="str">
        <f>IFERROR(VLOOKUP(K402,Справочники!$K$6:$L$13,2,0),K402)</f>
        <v>Петрозаводск</v>
      </c>
    </row>
    <row r="403" ht="15" customHeight="1">
      <c r="A403" s="10">
        <v>401</v>
      </c>
      <c r="B403" s="11" t="str">
        <f>RAW_Клиенты!A402</f>
        <v>C0401</v>
      </c>
      <c r="C403" s="11" t="str">
        <f>RAW_Клиенты!B402</f>
        <v xml:space="preserve">Шевель Ольга Павловна</v>
      </c>
      <c r="D403" s="11" t="str">
        <f>RAW_Клиенты!C402</f>
        <v>19.07.1989</v>
      </c>
      <c r="E403" s="11" t="str">
        <f>RAW_Клиенты!D402</f>
        <v>8-903-901-23-45</v>
      </c>
      <c r="F403" s="11" t="str">
        <f>RAW_Клиенты!E402</f>
        <v>shevel@yandex</v>
      </c>
      <c r="G403" s="11" t="str">
        <f>RAW_Клиенты!F402</f>
        <v>Рубцовск</v>
      </c>
      <c r="H403" s="11" t="str">
        <f>RAW_Клиенты!G402</f>
        <v>2033-02-10</v>
      </c>
      <c r="I403" s="12" t="str">
        <f t="shared" si="398"/>
        <v>89039012345</v>
      </c>
      <c r="J403" s="12" t="str">
        <f t="shared" si="399"/>
        <v>shevel@yandex</v>
      </c>
      <c r="K403" s="12" t="str">
        <f t="shared" si="400"/>
        <v>Рубцовск</v>
      </c>
      <c r="L403" s="13" t="str">
        <f t="shared" si="401"/>
        <v>C0401</v>
      </c>
      <c r="M403" s="13" t="str">
        <f t="shared" si="402"/>
        <v xml:space="preserve">Шевель Ольга Павловна</v>
      </c>
      <c r="N403" s="13" t="str">
        <f t="shared" si="403"/>
        <v>OK</v>
      </c>
      <c r="O403" s="19">
        <f t="shared" si="404"/>
        <v>32708</v>
      </c>
      <c r="P403" s="19">
        <f t="shared" si="405"/>
        <v>48620</v>
      </c>
      <c r="Q403" s="13">
        <f t="shared" ca="1" si="406"/>
        <v>37</v>
      </c>
      <c r="R403" s="13" t="str">
        <f t="shared" si="407"/>
        <v>OK</v>
      </c>
      <c r="S403" s="13" t="str">
        <f t="shared" si="408"/>
        <v xml:space="preserve">+7 (903) 901-23-45</v>
      </c>
      <c r="T403" s="13" t="str">
        <f t="shared" si="409"/>
        <v>shevel@yandex</v>
      </c>
      <c r="U403" s="18" t="str">
        <f t="shared" si="410"/>
        <v xml:space="preserve">Ошибка Email</v>
      </c>
      <c r="V403" s="13" t="str">
        <f>IFERROR(VLOOKUP(K403,Справочники!$K$6:$L$13,2,0),K403)</f>
        <v>Рубцовск</v>
      </c>
    </row>
    <row r="404" ht="15" customHeight="1">
      <c r="A404" s="10">
        <v>402</v>
      </c>
      <c r="B404" s="11" t="str">
        <f>RAW_Клиенты!A403</f>
        <v>C0402</v>
      </c>
      <c r="C404" s="11" t="str">
        <f>RAW_Клиенты!B403</f>
        <v xml:space="preserve">Коновалов Илья Олегович</v>
      </c>
      <c r="D404" s="11" t="str">
        <f>RAW_Клиенты!C403</f>
        <v>04.05.1975</v>
      </c>
      <c r="E404" s="11" t="str">
        <f>RAW_Клиенты!D403</f>
        <v xml:space="preserve">8 903 012 34 56</v>
      </c>
      <c r="F404" s="11" t="str">
        <f>RAW_Клиенты!E403</f>
        <v>konovalov@gmail</v>
      </c>
      <c r="G404" s="11" t="str">
        <f>RAW_Клиенты!F403</f>
        <v>Элиста</v>
      </c>
      <c r="H404" s="11" t="str">
        <f>RAW_Клиенты!G403</f>
        <v>10.02.2033</v>
      </c>
      <c r="I404" s="12" t="str">
        <f t="shared" si="398"/>
        <v>89030123456</v>
      </c>
      <c r="J404" s="12" t="str">
        <f t="shared" si="399"/>
        <v>konovalov@gmail</v>
      </c>
      <c r="K404" s="12" t="str">
        <f t="shared" si="400"/>
        <v>Элиста</v>
      </c>
      <c r="L404" s="13" t="str">
        <f t="shared" si="401"/>
        <v>C0402</v>
      </c>
      <c r="M404" s="13" t="str">
        <f t="shared" si="402"/>
        <v xml:space="preserve">Коновалов Илья Олегович</v>
      </c>
      <c r="N404" s="13" t="str">
        <f t="shared" si="403"/>
        <v>OK</v>
      </c>
      <c r="O404" s="19">
        <f t="shared" si="404"/>
        <v>27518</v>
      </c>
      <c r="P404" s="19">
        <f t="shared" si="405"/>
        <v>48620</v>
      </c>
      <c r="Q404" s="13">
        <f t="shared" ca="1" si="406"/>
        <v>51</v>
      </c>
      <c r="R404" s="13" t="str">
        <f t="shared" si="407"/>
        <v>OK</v>
      </c>
      <c r="S404" s="13" t="str">
        <f t="shared" si="408"/>
        <v xml:space="preserve">+7 (903) 012-34-56</v>
      </c>
      <c r="T404" s="13" t="str">
        <f t="shared" si="409"/>
        <v>konovalov@gmail</v>
      </c>
      <c r="U404" s="18" t="str">
        <f t="shared" si="410"/>
        <v xml:space="preserve">Ошибка Email</v>
      </c>
      <c r="V404" s="13" t="str">
        <f>IFERROR(VLOOKUP(K404,Справочники!$K$6:$L$13,2,0),K404)</f>
        <v>Элиста</v>
      </c>
    </row>
    <row r="405" ht="15" customHeight="1">
      <c r="A405" s="10">
        <v>403</v>
      </c>
      <c r="B405" s="11" t="str">
        <f>RAW_Клиенты!A404</f>
        <v>C0403</v>
      </c>
      <c r="C405" s="11" t="str">
        <f>RAW_Клиенты!B404</f>
        <v xml:space="preserve">Щербаков Виталий Николаевич</v>
      </c>
      <c r="D405" s="11" t="str">
        <f>RAW_Клиенты!C404</f>
        <v>28.12.1982</v>
      </c>
      <c r="E405" s="11" t="str">
        <f>RAW_Клиенты!D404</f>
        <v>+79030123456</v>
      </c>
      <c r="F405" s="11" t="str">
        <f>RAW_Клиенты!E404</f>
        <v>scherbakov@mail</v>
      </c>
      <c r="G405" s="11" t="str">
        <f>RAW_Клиенты!F404</f>
        <v>Орск</v>
      </c>
      <c r="H405" s="11" t="str">
        <f>RAW_Клиенты!G404</f>
        <v>01.03.2033</v>
      </c>
      <c r="I405" s="12" t="str">
        <f t="shared" si="398"/>
        <v>79030123456</v>
      </c>
      <c r="J405" s="12" t="str">
        <f t="shared" si="399"/>
        <v>scherbakov@mail</v>
      </c>
      <c r="K405" s="12" t="str">
        <f t="shared" si="400"/>
        <v>Орск</v>
      </c>
      <c r="L405" s="13" t="str">
        <f t="shared" si="401"/>
        <v>C0403</v>
      </c>
      <c r="M405" s="13" t="str">
        <f t="shared" si="402"/>
        <v xml:space="preserve">Щербаков Виталий Николаевич</v>
      </c>
      <c r="N405" s="13" t="str">
        <f t="shared" si="403"/>
        <v>OK</v>
      </c>
      <c r="O405" s="19">
        <f t="shared" si="404"/>
        <v>30313</v>
      </c>
      <c r="P405" s="19">
        <f t="shared" si="405"/>
        <v>48639</v>
      </c>
      <c r="Q405" s="13">
        <f t="shared" ca="1" si="406"/>
        <v>43</v>
      </c>
      <c r="R405" s="13" t="str">
        <f t="shared" si="407"/>
        <v>OK</v>
      </c>
      <c r="S405" s="13" t="str">
        <f t="shared" si="408"/>
        <v xml:space="preserve">+7 (903) 012-34-56</v>
      </c>
      <c r="T405" s="13" t="str">
        <f t="shared" si="409"/>
        <v>scherbakov@mail</v>
      </c>
      <c r="U405" s="18" t="str">
        <f t="shared" si="410"/>
        <v xml:space="preserve">Ошибка Email</v>
      </c>
      <c r="V405" s="13" t="str">
        <f>IFERROR(VLOOKUP(K405,Справочники!$K$6:$L$13,2,0),K405)</f>
        <v>Орск</v>
      </c>
    </row>
    <row r="406" ht="15" customHeight="1">
      <c r="A406" s="10">
        <v>404</v>
      </c>
      <c r="B406" s="11" t="str">
        <f>RAW_Клиенты!A405</f>
        <v>C0404</v>
      </c>
      <c r="C406" s="11" t="str">
        <f>RAW_Клиенты!B405</f>
        <v xml:space="preserve">Макеева Анастасия Игоревна</v>
      </c>
      <c r="D406" s="11" t="str">
        <f>RAW_Клиенты!C405</f>
        <v>17.09.1991</v>
      </c>
      <c r="E406" s="11" t="str">
        <f>RAW_Клиенты!D405</f>
        <v>8-903-012-34-56</v>
      </c>
      <c r="F406" s="11" t="str">
        <f>RAW_Клиенты!E405</f>
        <v>makeeva@yandex</v>
      </c>
      <c r="G406" s="11" t="str">
        <f>RAW_Клиенты!F405</f>
        <v>Нижневартовск</v>
      </c>
      <c r="H406" s="11" t="str">
        <f>RAW_Клиенты!G405</f>
        <v>2033-03-15</v>
      </c>
      <c r="I406" s="12" t="str">
        <f t="shared" si="398"/>
        <v>89030123456</v>
      </c>
      <c r="J406" s="12" t="str">
        <f t="shared" si="399"/>
        <v>makeeva@yandex</v>
      </c>
      <c r="K406" s="12" t="str">
        <f t="shared" si="400"/>
        <v>Нижневартовск</v>
      </c>
      <c r="L406" s="13" t="str">
        <f t="shared" si="401"/>
        <v>C0404</v>
      </c>
      <c r="M406" s="13" t="str">
        <f t="shared" si="402"/>
        <v xml:space="preserve">Макеева Анастасия Игоревна</v>
      </c>
      <c r="N406" s="13" t="str">
        <f t="shared" si="403"/>
        <v>OK</v>
      </c>
      <c r="O406" s="19">
        <f t="shared" si="404"/>
        <v>33498</v>
      </c>
      <c r="P406" s="19">
        <f t="shared" si="405"/>
        <v>48653</v>
      </c>
      <c r="Q406" s="13">
        <f t="shared" ca="1" si="406"/>
        <v>35</v>
      </c>
      <c r="R406" s="13" t="str">
        <f t="shared" si="407"/>
        <v>OK</v>
      </c>
      <c r="S406" s="13" t="str">
        <f t="shared" si="408"/>
        <v xml:space="preserve">+7 (903) 012-34-56</v>
      </c>
      <c r="T406" s="13" t="str">
        <f t="shared" si="409"/>
        <v>makeeva@yandex</v>
      </c>
      <c r="U406" s="18" t="str">
        <f t="shared" si="410"/>
        <v xml:space="preserve">Ошибка Email</v>
      </c>
      <c r="V406" s="13" t="str">
        <f>IFERROR(VLOOKUP(K406,Справочники!$K$6:$L$13,2,0),K406)</f>
        <v>Нижневартовск</v>
      </c>
    </row>
    <row r="407" ht="15" customHeight="1">
      <c r="A407" s="10">
        <v>405</v>
      </c>
      <c r="B407" s="11" t="str">
        <f>RAW_Клиенты!A406</f>
        <v>C0405</v>
      </c>
      <c r="C407" s="11" t="str">
        <f>RAW_Клиенты!B406</f>
        <v xml:space="preserve">Дорофеев Денис Александрович</v>
      </c>
      <c r="D407" s="11" t="str">
        <f>RAW_Клиенты!C406</f>
        <v>06.03.1979</v>
      </c>
      <c r="E407" s="11" t="str">
        <f>RAW_Клиенты!D406</f>
        <v xml:space="preserve">8 903 123 45 67</v>
      </c>
      <c r="F407" s="11" t="str">
        <f>RAW_Клиенты!E406</f>
        <v>dorofeev@gmail</v>
      </c>
      <c r="G407" s="11" t="str">
        <f>RAW_Клиенты!F406</f>
        <v>Новороссийск</v>
      </c>
      <c r="H407" s="11" t="str">
        <f>RAW_Клиенты!G406</f>
        <v>15.03.2033</v>
      </c>
      <c r="I407" s="12" t="str">
        <f t="shared" si="398"/>
        <v>89031234567</v>
      </c>
      <c r="J407" s="12" t="str">
        <f t="shared" si="399"/>
        <v>dorofeev@gmail</v>
      </c>
      <c r="K407" s="12" t="str">
        <f t="shared" si="400"/>
        <v>Новороссийск</v>
      </c>
      <c r="L407" s="13" t="str">
        <f t="shared" si="401"/>
        <v>C0405</v>
      </c>
      <c r="M407" s="13" t="str">
        <f t="shared" si="402"/>
        <v xml:space="preserve">Дорофеев Денис Александрович</v>
      </c>
      <c r="N407" s="13" t="str">
        <f t="shared" si="403"/>
        <v>OK</v>
      </c>
      <c r="O407" s="19">
        <f t="shared" si="404"/>
        <v>28920</v>
      </c>
      <c r="P407" s="19">
        <f t="shared" si="405"/>
        <v>48653</v>
      </c>
      <c r="Q407" s="13">
        <f t="shared" ca="1" si="406"/>
        <v>47</v>
      </c>
      <c r="R407" s="13" t="str">
        <f t="shared" si="407"/>
        <v>OK</v>
      </c>
      <c r="S407" s="13" t="str">
        <f t="shared" si="408"/>
        <v xml:space="preserve">+7 (903) 123-45-67</v>
      </c>
      <c r="T407" s="13" t="str">
        <f t="shared" si="409"/>
        <v>dorofeev@gmail</v>
      </c>
      <c r="U407" s="18" t="str">
        <f t="shared" si="410"/>
        <v xml:space="preserve">Ошибка Email</v>
      </c>
      <c r="V407" s="13" t="str">
        <f>IFERROR(VLOOKUP(K407,Справочники!$K$6:$L$13,2,0),K407)</f>
        <v>Новороссийск</v>
      </c>
    </row>
    <row r="408" ht="15" customHeight="1">
      <c r="A408" s="10">
        <v>406</v>
      </c>
      <c r="B408" s="11" t="str">
        <f>RAW_Клиенты!A407</f>
        <v>C0406</v>
      </c>
      <c r="C408" s="11" t="str">
        <f>RAW_Клиенты!B407</f>
        <v xml:space="preserve">Слободчикова Елена Владимировна</v>
      </c>
      <c r="D408" s="11" t="str">
        <f>RAW_Клиенты!C407</f>
        <v>24.11.1986</v>
      </c>
      <c r="E408" s="11" t="str">
        <f>RAW_Клиенты!D407</f>
        <v>+79031234567</v>
      </c>
      <c r="F408" s="11" t="str">
        <f>RAW_Клиенты!E407</f>
        <v>slobodchikova@mail</v>
      </c>
      <c r="G408" s="11" t="str">
        <f>RAW_Клиенты!F407</f>
        <v>Химки</v>
      </c>
      <c r="H408" s="11" t="str">
        <f>RAW_Клиенты!G407</f>
        <v>01.04.2033</v>
      </c>
      <c r="I408" s="12" t="str">
        <f t="shared" si="398"/>
        <v>79031234567</v>
      </c>
      <c r="J408" s="12" t="str">
        <f t="shared" si="399"/>
        <v>slobodchikova@mail</v>
      </c>
      <c r="K408" s="12" t="str">
        <f t="shared" si="400"/>
        <v>Химки</v>
      </c>
      <c r="L408" s="13" t="str">
        <f t="shared" si="401"/>
        <v>C0406</v>
      </c>
      <c r="M408" s="13" t="str">
        <f t="shared" si="402"/>
        <v xml:space="preserve">Слободчикова Елена Владимировна</v>
      </c>
      <c r="N408" s="13" t="str">
        <f t="shared" si="403"/>
        <v>OK</v>
      </c>
      <c r="O408" s="19">
        <f t="shared" si="404"/>
        <v>31740</v>
      </c>
      <c r="P408" s="19">
        <f t="shared" si="405"/>
        <v>48670</v>
      </c>
      <c r="Q408" s="13">
        <f t="shared" ca="1" si="406"/>
        <v>39</v>
      </c>
      <c r="R408" s="13" t="str">
        <f t="shared" si="407"/>
        <v>OK</v>
      </c>
      <c r="S408" s="13" t="str">
        <f t="shared" si="408"/>
        <v xml:space="preserve">+7 (903) 123-45-67</v>
      </c>
      <c r="T408" s="13" t="str">
        <f t="shared" si="409"/>
        <v>slobodchikova@mail</v>
      </c>
      <c r="U408" s="18" t="str">
        <f t="shared" si="410"/>
        <v xml:space="preserve">Ошибка Email</v>
      </c>
      <c r="V408" s="13" t="str">
        <f>IFERROR(VLOOKUP(K408,Справочники!$K$6:$L$13,2,0),K408)</f>
        <v>Химки</v>
      </c>
    </row>
    <row r="409" ht="15" customHeight="1">
      <c r="A409" s="10">
        <v>407</v>
      </c>
      <c r="B409" s="11" t="str">
        <f>RAW_Клиенты!A408</f>
        <v>C0407</v>
      </c>
      <c r="C409" s="11" t="str">
        <f>RAW_Клиенты!B408</f>
        <v xml:space="preserve">Толкунов Олег Сергеевич</v>
      </c>
      <c r="D409" s="11" t="str">
        <f>RAW_Клиенты!C408</f>
        <v>02.07.1972</v>
      </c>
      <c r="E409" s="11" t="str">
        <f>RAW_Клиенты!D408</f>
        <v>8-903-123-45-67</v>
      </c>
      <c r="F409" s="11" t="str">
        <f>RAW_Клиенты!E408</f>
        <v>tolkunov@yandex</v>
      </c>
      <c r="G409" s="11" t="str">
        <f>RAW_Клиенты!F408</f>
        <v>Подольск</v>
      </c>
      <c r="H409" s="11" t="str">
        <f>RAW_Клиенты!G408</f>
        <v>2033-04-10</v>
      </c>
      <c r="I409" s="12" t="str">
        <f t="shared" si="398"/>
        <v>89031234567</v>
      </c>
      <c r="J409" s="12" t="str">
        <f t="shared" si="399"/>
        <v>tolkunov@yandex</v>
      </c>
      <c r="K409" s="12" t="str">
        <f t="shared" si="400"/>
        <v>Подольск</v>
      </c>
      <c r="L409" s="13" t="str">
        <f t="shared" si="401"/>
        <v>C0407</v>
      </c>
      <c r="M409" s="13" t="str">
        <f t="shared" si="402"/>
        <v xml:space="preserve">Толкунов Олег Сергеевич</v>
      </c>
      <c r="N409" s="13" t="str">
        <f t="shared" si="403"/>
        <v>OK</v>
      </c>
      <c r="O409" s="19">
        <f t="shared" si="404"/>
        <v>26482</v>
      </c>
      <c r="P409" s="19">
        <f t="shared" si="405"/>
        <v>48679</v>
      </c>
      <c r="Q409" s="13">
        <f t="shared" ca="1" si="406"/>
        <v>54</v>
      </c>
      <c r="R409" s="13" t="str">
        <f t="shared" si="407"/>
        <v>OK</v>
      </c>
      <c r="S409" s="13" t="str">
        <f t="shared" si="408"/>
        <v xml:space="preserve">+7 (903) 123-45-67</v>
      </c>
      <c r="T409" s="13" t="str">
        <f t="shared" si="409"/>
        <v>tolkunov@yandex</v>
      </c>
      <c r="U409" s="18" t="str">
        <f t="shared" si="410"/>
        <v xml:space="preserve">Ошибка Email</v>
      </c>
      <c r="V409" s="13" t="str">
        <f>IFERROR(VLOOKUP(K409,Справочники!$K$6:$L$13,2,0),K409)</f>
        <v>Подольск</v>
      </c>
    </row>
    <row r="410" ht="15" customHeight="1">
      <c r="A410" s="10">
        <v>408</v>
      </c>
      <c r="B410" s="11" t="str">
        <f>RAW_Клиенты!A409</f>
        <v>C0408</v>
      </c>
      <c r="C410" s="11" t="str">
        <f>RAW_Клиенты!B409</f>
        <v xml:space="preserve">Ушакова Ирина Павловна</v>
      </c>
      <c r="D410" s="11" t="str">
        <f>RAW_Клиенты!C409</f>
        <v>16.01.1984</v>
      </c>
      <c r="E410" s="11" t="str">
        <f>RAW_Клиенты!D409</f>
        <v xml:space="preserve">8 903 234 56 78</v>
      </c>
      <c r="F410" s="11" t="str">
        <f>RAW_Клиенты!E409</f>
        <v>ushakova@gmail</v>
      </c>
      <c r="G410" s="11" t="str">
        <f>RAW_Клиенты!F409</f>
        <v>Балашиха</v>
      </c>
      <c r="H410" s="11" t="str">
        <f>RAW_Клиенты!G409</f>
        <v>10.04.2033</v>
      </c>
      <c r="I410" s="12" t="str">
        <f t="shared" si="398"/>
        <v>89032345678</v>
      </c>
      <c r="J410" s="12" t="str">
        <f t="shared" si="399"/>
        <v>ushakova@gmail</v>
      </c>
      <c r="K410" s="12" t="str">
        <f t="shared" si="400"/>
        <v>Балашиха</v>
      </c>
      <c r="L410" s="13" t="str">
        <f t="shared" si="401"/>
        <v>C0408</v>
      </c>
      <c r="M410" s="13" t="str">
        <f t="shared" si="402"/>
        <v xml:space="preserve">Ушакова Ирина Павловна</v>
      </c>
      <c r="N410" s="13" t="str">
        <f t="shared" si="403"/>
        <v>OK</v>
      </c>
      <c r="O410" s="19">
        <f t="shared" si="404"/>
        <v>30697</v>
      </c>
      <c r="P410" s="19">
        <f t="shared" si="405"/>
        <v>48679</v>
      </c>
      <c r="Q410" s="13">
        <f t="shared" ca="1" si="406"/>
        <v>42</v>
      </c>
      <c r="R410" s="13" t="str">
        <f t="shared" si="407"/>
        <v>OK</v>
      </c>
      <c r="S410" s="13" t="str">
        <f t="shared" si="408"/>
        <v xml:space="preserve">+7 (903) 234-56-78</v>
      </c>
      <c r="T410" s="13" t="str">
        <f t="shared" si="409"/>
        <v>ushakova@gmail</v>
      </c>
      <c r="U410" s="18" t="str">
        <f t="shared" si="410"/>
        <v xml:space="preserve">Ошибка Email</v>
      </c>
      <c r="V410" s="13" t="str">
        <f>IFERROR(VLOOKUP(K410,Справочники!$K$6:$L$13,2,0),K410)</f>
        <v>Балашиха</v>
      </c>
    </row>
    <row r="411" ht="15" customHeight="1">
      <c r="A411" s="10">
        <v>409</v>
      </c>
      <c r="B411" s="11" t="str">
        <f>RAW_Клиенты!A410</f>
        <v>C0409</v>
      </c>
      <c r="C411" s="11" t="str">
        <f>RAW_Клиенты!B410</f>
        <v xml:space="preserve">Краюхин Андрей Викторович</v>
      </c>
      <c r="D411" s="11" t="str">
        <f>RAW_Клиенты!C410</f>
        <v>10.08.1977</v>
      </c>
      <c r="E411" s="11" t="str">
        <f>RAW_Клиенты!D410</f>
        <v>+79032345678</v>
      </c>
      <c r="F411" s="11" t="str">
        <f>RAW_Клиенты!E410</f>
        <v>krayuhin@mail</v>
      </c>
      <c r="G411" s="11" t="str">
        <f>RAW_Клиенты!F410</f>
        <v>Сургут</v>
      </c>
      <c r="H411" s="11" t="str">
        <f>RAW_Клиенты!G410</f>
        <v>01.05.2033</v>
      </c>
      <c r="I411" s="12" t="str">
        <f t="shared" si="398"/>
        <v>79032345678</v>
      </c>
      <c r="J411" s="12" t="str">
        <f t="shared" si="399"/>
        <v>krayuhin@mail</v>
      </c>
      <c r="K411" s="12" t="str">
        <f t="shared" si="400"/>
        <v>Сургут</v>
      </c>
      <c r="L411" s="13" t="str">
        <f t="shared" si="401"/>
        <v>C0409</v>
      </c>
      <c r="M411" s="13" t="str">
        <f t="shared" si="402"/>
        <v xml:space="preserve">Краюхин Андрей Викторович</v>
      </c>
      <c r="N411" s="13" t="str">
        <f t="shared" si="403"/>
        <v>OK</v>
      </c>
      <c r="O411" s="19">
        <f t="shared" si="404"/>
        <v>28347</v>
      </c>
      <c r="P411" s="19">
        <f t="shared" si="405"/>
        <v>48700</v>
      </c>
      <c r="Q411" s="13">
        <f t="shared" ca="1" si="406"/>
        <v>49</v>
      </c>
      <c r="R411" s="13" t="str">
        <f t="shared" si="407"/>
        <v>OK</v>
      </c>
      <c r="S411" s="13" t="str">
        <f t="shared" si="408"/>
        <v xml:space="preserve">+7 (903) 234-56-78</v>
      </c>
      <c r="T411" s="13" t="str">
        <f t="shared" si="409"/>
        <v>krayuhin@mail</v>
      </c>
      <c r="U411" s="18" t="str">
        <f t="shared" si="410"/>
        <v xml:space="preserve">Ошибка Email</v>
      </c>
      <c r="V411" s="13" t="str">
        <f>IFERROR(VLOOKUP(K411,Справочники!$K$6:$L$13,2,0),K411)</f>
        <v>Сургут</v>
      </c>
    </row>
    <row r="412" ht="15" customHeight="1">
      <c r="A412" s="10">
        <v>410</v>
      </c>
      <c r="B412" s="11" t="str">
        <f>RAW_Клиенты!A411</f>
        <v>C0410</v>
      </c>
      <c r="C412" s="11" t="str">
        <f>RAW_Клиенты!B411</f>
        <v xml:space="preserve">Агафонова Мария Олеговна</v>
      </c>
      <c r="D412" s="11" t="str">
        <f>RAW_Клиенты!C411</f>
        <v>29.12.1990</v>
      </c>
      <c r="E412" s="11" t="str">
        <f>RAW_Клиенты!D411</f>
        <v>8-903-234-56-78</v>
      </c>
      <c r="F412" s="11" t="str">
        <f>RAW_Клиенты!E411</f>
        <v>agafonova@yandex</v>
      </c>
      <c r="G412" s="11" t="str">
        <f>RAW_Клиенты!F411</f>
        <v>Армавир</v>
      </c>
      <c r="H412" s="11" t="str">
        <f>RAW_Клиенты!G411</f>
        <v>2033-05-15</v>
      </c>
      <c r="I412" s="12" t="str">
        <f t="shared" si="398"/>
        <v>89032345678</v>
      </c>
      <c r="J412" s="12" t="str">
        <f t="shared" si="399"/>
        <v>agafonova@yandex</v>
      </c>
      <c r="K412" s="12" t="str">
        <f t="shared" si="400"/>
        <v>Армавир</v>
      </c>
      <c r="L412" s="13" t="str">
        <f t="shared" si="401"/>
        <v>C0410</v>
      </c>
      <c r="M412" s="13" t="str">
        <f t="shared" si="402"/>
        <v xml:space="preserve">Агафонова Мария Олеговна</v>
      </c>
      <c r="N412" s="13" t="str">
        <f t="shared" si="403"/>
        <v>OK</v>
      </c>
      <c r="O412" s="19">
        <f t="shared" si="404"/>
        <v>33236</v>
      </c>
      <c r="P412" s="19">
        <f t="shared" si="405"/>
        <v>48714</v>
      </c>
      <c r="Q412" s="13">
        <f t="shared" ca="1" si="406"/>
        <v>35</v>
      </c>
      <c r="R412" s="13" t="str">
        <f t="shared" si="407"/>
        <v>OK</v>
      </c>
      <c r="S412" s="13" t="str">
        <f t="shared" si="408"/>
        <v xml:space="preserve">+7 (903) 234-56-78</v>
      </c>
      <c r="T412" s="13" t="str">
        <f t="shared" si="409"/>
        <v>agafonova@yandex</v>
      </c>
      <c r="U412" s="18" t="str">
        <f t="shared" si="410"/>
        <v xml:space="preserve">Ошибка Email</v>
      </c>
      <c r="V412" s="13" t="str">
        <f>IFERROR(VLOOKUP(K412,Справочники!$K$6:$L$13,2,0),K412)</f>
        <v>Армавир</v>
      </c>
    </row>
    <row r="413" ht="15" customHeight="1">
      <c r="A413" s="10">
        <v>411</v>
      </c>
      <c r="B413" s="11" t="str">
        <f>RAW_Клиенты!A412</f>
        <v>C0411</v>
      </c>
      <c r="C413" s="11" t="str">
        <f>RAW_Клиенты!B412</f>
        <v xml:space="preserve">Пронский Илья Николаевич</v>
      </c>
      <c r="D413" s="11" t="str">
        <f>RAW_Клиенты!C412</f>
        <v>23.04.1985</v>
      </c>
      <c r="E413" s="11" t="str">
        <f>RAW_Клиенты!D412</f>
        <v xml:space="preserve">8 903 345 67 89</v>
      </c>
      <c r="F413" s="11" t="str">
        <f>RAW_Клиенты!E412</f>
        <v>pronsky@gmail</v>
      </c>
      <c r="G413" s="11" t="str">
        <f>RAW_Клиенты!F412</f>
        <v>Волжский</v>
      </c>
      <c r="H413" s="11" t="str">
        <f>RAW_Клиенты!G412</f>
        <v>15.05.2033</v>
      </c>
      <c r="I413" s="12" t="str">
        <f t="shared" si="398"/>
        <v>89033456789</v>
      </c>
      <c r="J413" s="12" t="str">
        <f t="shared" si="399"/>
        <v>pronsky@gmail</v>
      </c>
      <c r="K413" s="12" t="str">
        <f t="shared" si="400"/>
        <v>Волжский</v>
      </c>
      <c r="L413" s="13" t="str">
        <f t="shared" si="401"/>
        <v>C0411</v>
      </c>
      <c r="M413" s="13" t="str">
        <f t="shared" si="402"/>
        <v xml:space="preserve">Пронский Илья Николаевич</v>
      </c>
      <c r="N413" s="13" t="str">
        <f t="shared" si="403"/>
        <v>OK</v>
      </c>
      <c r="O413" s="19">
        <f t="shared" si="404"/>
        <v>31160</v>
      </c>
      <c r="P413" s="19">
        <f t="shared" si="405"/>
        <v>48714</v>
      </c>
      <c r="Q413" s="13">
        <f t="shared" ca="1" si="406"/>
        <v>41</v>
      </c>
      <c r="R413" s="13" t="str">
        <f t="shared" si="407"/>
        <v>OK</v>
      </c>
      <c r="S413" s="13" t="str">
        <f t="shared" si="408"/>
        <v xml:space="preserve">+7 (903) 345-67-89</v>
      </c>
      <c r="T413" s="13" t="str">
        <f t="shared" si="409"/>
        <v>pronsky@gmail</v>
      </c>
      <c r="U413" s="18" t="str">
        <f t="shared" si="410"/>
        <v xml:space="preserve">Ошибка Email</v>
      </c>
      <c r="V413" s="13" t="str">
        <f>IFERROR(VLOOKUP(K413,Справочники!$K$6:$L$13,2,0),K413)</f>
        <v>Волжский</v>
      </c>
    </row>
    <row r="414" ht="15" customHeight="1">
      <c r="A414" s="10">
        <v>412</v>
      </c>
      <c r="B414" s="11" t="str">
        <f>RAW_Клиенты!A413</f>
        <v>C0412</v>
      </c>
      <c r="C414" s="11" t="str">
        <f>RAW_Клиенты!B413</f>
        <v xml:space="preserve">Маркин Денис Сергеевич</v>
      </c>
      <c r="D414" s="11" t="str">
        <f>RAW_Клиенты!C413</f>
        <v>05.09.1974</v>
      </c>
      <c r="E414" s="11" t="str">
        <f>RAW_Клиенты!D413</f>
        <v>+79033456789</v>
      </c>
      <c r="F414" s="11" t="str">
        <f>RAW_Клиенты!E413</f>
        <v>markin@mail</v>
      </c>
      <c r="G414" s="11" t="str">
        <f>RAW_Клиенты!F413</f>
        <v>Шахты</v>
      </c>
      <c r="H414" s="11" t="str">
        <f>RAW_Клиенты!G413</f>
        <v>01.06.2033</v>
      </c>
      <c r="I414" s="12" t="str">
        <f t="shared" si="398"/>
        <v>79033456789</v>
      </c>
      <c r="J414" s="12" t="str">
        <f t="shared" si="399"/>
        <v>markin@mail</v>
      </c>
      <c r="K414" s="12" t="str">
        <f t="shared" si="400"/>
        <v>Шахты</v>
      </c>
      <c r="L414" s="13" t="str">
        <f t="shared" si="401"/>
        <v>C0412</v>
      </c>
      <c r="M414" s="13" t="str">
        <f t="shared" si="402"/>
        <v xml:space="preserve">Маркин Денис Сергеевич</v>
      </c>
      <c r="N414" s="13" t="str">
        <f t="shared" si="403"/>
        <v>OK</v>
      </c>
      <c r="O414" s="19">
        <f t="shared" si="404"/>
        <v>27277</v>
      </c>
      <c r="P414" s="19">
        <f t="shared" si="405"/>
        <v>48731</v>
      </c>
      <c r="Q414" s="13">
        <f t="shared" ca="1" si="406"/>
        <v>52</v>
      </c>
      <c r="R414" s="13" t="str">
        <f t="shared" si="407"/>
        <v>OK</v>
      </c>
      <c r="S414" s="13" t="str">
        <f t="shared" si="408"/>
        <v xml:space="preserve">+7 (903) 345-67-89</v>
      </c>
      <c r="T414" s="13" t="str">
        <f t="shared" si="409"/>
        <v>markin@mail</v>
      </c>
      <c r="U414" s="18" t="str">
        <f t="shared" si="410"/>
        <v xml:space="preserve">Ошибка Email</v>
      </c>
      <c r="V414" s="13" t="str">
        <f>IFERROR(VLOOKUP(K414,Справочники!$K$6:$L$13,2,0),K414)</f>
        <v>Шахты</v>
      </c>
    </row>
    <row r="415" ht="15" customHeight="1">
      <c r="A415" s="10">
        <v>413</v>
      </c>
      <c r="B415" s="11" t="str">
        <f>RAW_Клиенты!A414</f>
        <v>C0413</v>
      </c>
      <c r="C415" s="11" t="str">
        <f>RAW_Клиенты!B414</f>
        <v xml:space="preserve">Булатова Ольга Владимировна</v>
      </c>
      <c r="D415" s="11" t="str">
        <f>RAW_Клиенты!C414</f>
        <v>21.11.1981</v>
      </c>
      <c r="E415" s="11" t="str">
        <f>RAW_Клиенты!D414</f>
        <v>8-903-345-67-89</v>
      </c>
      <c r="F415" s="11" t="str">
        <f>RAW_Клиенты!E414</f>
        <v>bulatova@yandex</v>
      </c>
      <c r="G415" s="11" t="str">
        <f>RAW_Клиенты!F414</f>
        <v>Златоуст</v>
      </c>
      <c r="H415" s="11" t="str">
        <f>RAW_Клиенты!G414</f>
        <v>2033-06-10</v>
      </c>
      <c r="I415" s="12" t="str">
        <f t="shared" si="398"/>
        <v>89033456789</v>
      </c>
      <c r="J415" s="12" t="str">
        <f t="shared" si="399"/>
        <v>bulatova@yandex</v>
      </c>
      <c r="K415" s="12" t="str">
        <f t="shared" si="400"/>
        <v>Златоуст</v>
      </c>
      <c r="L415" s="13" t="str">
        <f t="shared" si="401"/>
        <v>C0413</v>
      </c>
      <c r="M415" s="13" t="str">
        <f t="shared" si="402"/>
        <v xml:space="preserve">Булатова Ольга Владимировна</v>
      </c>
      <c r="N415" s="13" t="str">
        <f t="shared" si="403"/>
        <v>OK</v>
      </c>
      <c r="O415" s="19">
        <f t="shared" si="404"/>
        <v>29911</v>
      </c>
      <c r="P415" s="19">
        <f t="shared" si="405"/>
        <v>48740</v>
      </c>
      <c r="Q415" s="13">
        <f t="shared" ca="1" si="406"/>
        <v>44</v>
      </c>
      <c r="R415" s="13" t="str">
        <f t="shared" si="407"/>
        <v>OK</v>
      </c>
      <c r="S415" s="13" t="str">
        <f t="shared" si="408"/>
        <v xml:space="preserve">+7 (903) 345-67-89</v>
      </c>
      <c r="T415" s="13" t="str">
        <f t="shared" si="409"/>
        <v>bulatova@yandex</v>
      </c>
      <c r="U415" s="18" t="str">
        <f t="shared" si="410"/>
        <v xml:space="preserve">Ошибка Email</v>
      </c>
      <c r="V415" s="13" t="str">
        <f>IFERROR(VLOOKUP(K415,Справочники!$K$6:$L$13,2,0),K415)</f>
        <v>Златоуст</v>
      </c>
    </row>
    <row r="416" ht="15" customHeight="1">
      <c r="A416" s="10">
        <v>414</v>
      </c>
      <c r="B416" s="11" t="str">
        <f>RAW_Клиенты!A415</f>
        <v>C0414</v>
      </c>
      <c r="C416" s="11" t="str">
        <f>RAW_Клиенты!B415</f>
        <v xml:space="preserve">Кузнецов Дмитрий Александрович</v>
      </c>
      <c r="D416" s="11" t="str">
        <f>RAW_Клиенты!C415</f>
        <v>17.07.1988</v>
      </c>
      <c r="E416" s="11" t="str">
        <f>RAW_Клиенты!D415</f>
        <v xml:space="preserve">8 903 456 78 90</v>
      </c>
      <c r="F416" s="11" t="str">
        <f>RAW_Клиенты!E415</f>
        <v>kuznetsov@gmail</v>
      </c>
      <c r="G416" s="11" t="str">
        <f>RAW_Клиенты!F415</f>
        <v>Ангарск</v>
      </c>
      <c r="H416" s="11" t="str">
        <f>RAW_Клиенты!G415</f>
        <v>10.06.2033</v>
      </c>
      <c r="I416" s="12" t="str">
        <f t="shared" si="398"/>
        <v>89034567890</v>
      </c>
      <c r="J416" s="12" t="str">
        <f t="shared" si="399"/>
        <v>kuznetsov@gmail</v>
      </c>
      <c r="K416" s="12" t="str">
        <f t="shared" si="400"/>
        <v>Ангарск</v>
      </c>
      <c r="L416" s="13" t="str">
        <f t="shared" si="401"/>
        <v>C0414</v>
      </c>
      <c r="M416" s="13" t="str">
        <f t="shared" si="402"/>
        <v xml:space="preserve">Кузнецов Дмитрий Александрович</v>
      </c>
      <c r="N416" s="13" t="str">
        <f t="shared" si="403"/>
        <v>OK</v>
      </c>
      <c r="O416" s="19">
        <f t="shared" si="404"/>
        <v>32341</v>
      </c>
      <c r="P416" s="19">
        <f t="shared" si="405"/>
        <v>48740</v>
      </c>
      <c r="Q416" s="13">
        <f t="shared" ca="1" si="406"/>
        <v>38</v>
      </c>
      <c r="R416" s="13" t="str">
        <f t="shared" si="407"/>
        <v>OK</v>
      </c>
      <c r="S416" s="13" t="str">
        <f t="shared" si="408"/>
        <v xml:space="preserve">+7 (903) 456-78-90</v>
      </c>
      <c r="T416" s="13" t="str">
        <f t="shared" si="409"/>
        <v>kuznetsov@gmail</v>
      </c>
      <c r="U416" s="18" t="str">
        <f t="shared" si="410"/>
        <v xml:space="preserve">Ошибка Email</v>
      </c>
      <c r="V416" s="13" t="str">
        <f>IFERROR(VLOOKUP(K416,Справочники!$K$6:$L$13,2,0),K416)</f>
        <v>Ангарск</v>
      </c>
    </row>
    <row r="417" ht="15" customHeight="1">
      <c r="A417" s="10">
        <v>415</v>
      </c>
      <c r="B417" s="11" t="str">
        <f>RAW_Клиенты!A416</f>
        <v>C0415</v>
      </c>
      <c r="C417" s="11" t="str">
        <f>RAW_Клиенты!B416</f>
        <v xml:space="preserve">Сизова Елена Игоревна</v>
      </c>
      <c r="D417" s="11" t="str">
        <f>RAW_Клиенты!C416</f>
        <v>30.10.1976</v>
      </c>
      <c r="E417" s="11" t="str">
        <f>RAW_Клиенты!D416</f>
        <v>+79034567890</v>
      </c>
      <c r="F417" s="11" t="str">
        <f>RAW_Клиенты!E416</f>
        <v>sizova@mail</v>
      </c>
      <c r="G417" s="11" t="str">
        <f>RAW_Клиенты!F416</f>
        <v>Озёрск</v>
      </c>
      <c r="H417" s="11" t="str">
        <f>RAW_Клиенты!G416</f>
        <v>01.07.2033</v>
      </c>
      <c r="I417" s="12" t="str">
        <f t="shared" si="398"/>
        <v>79034567890</v>
      </c>
      <c r="J417" s="12" t="str">
        <f t="shared" si="399"/>
        <v>sizova@mail</v>
      </c>
      <c r="K417" s="12" t="str">
        <f t="shared" si="400"/>
        <v>Озёрск</v>
      </c>
      <c r="L417" s="13" t="str">
        <f t="shared" si="401"/>
        <v>C0415</v>
      </c>
      <c r="M417" s="13" t="str">
        <f t="shared" si="402"/>
        <v xml:space="preserve">Сизова Елена Игоревна</v>
      </c>
      <c r="N417" s="13" t="str">
        <f t="shared" si="403"/>
        <v>OK</v>
      </c>
      <c r="O417" s="19">
        <f t="shared" si="404"/>
        <v>28063</v>
      </c>
      <c r="P417" s="19">
        <f t="shared" si="405"/>
        <v>48761</v>
      </c>
      <c r="Q417" s="13">
        <f t="shared" ca="1" si="406"/>
        <v>49</v>
      </c>
      <c r="R417" s="13" t="str">
        <f t="shared" si="407"/>
        <v>OK</v>
      </c>
      <c r="S417" s="13" t="str">
        <f t="shared" si="408"/>
        <v xml:space="preserve">+7 (903) 456-78-90</v>
      </c>
      <c r="T417" s="13" t="str">
        <f t="shared" si="409"/>
        <v>sizova@mail</v>
      </c>
      <c r="U417" s="18" t="str">
        <f t="shared" si="410"/>
        <v xml:space="preserve">Ошибка Email</v>
      </c>
      <c r="V417" s="13" t="str">
        <f>IFERROR(VLOOKUP(K417,Справочники!$K$6:$L$13,2,0),K417)</f>
        <v>Озёрск</v>
      </c>
    </row>
    <row r="418" ht="15" customHeight="1">
      <c r="A418" s="10">
        <v>416</v>
      </c>
      <c r="B418" s="11" t="str">
        <f>RAW_Клиенты!A417</f>
        <v>C0416</v>
      </c>
      <c r="C418" s="11" t="str">
        <f>RAW_Клиенты!B417</f>
        <v xml:space="preserve">Карнаухов Андрей Павлович</v>
      </c>
      <c r="D418" s="11" t="str">
        <f>RAW_Клиенты!C417</f>
        <v>12.02.1983</v>
      </c>
      <c r="E418" s="11" t="str">
        <f>RAW_Клиенты!D417</f>
        <v>8-903-456-78-90</v>
      </c>
      <c r="F418" s="11" t="str">
        <f>RAW_Клиенты!E417</f>
        <v>karnauhov@yandex</v>
      </c>
      <c r="G418" s="11" t="str">
        <f>RAW_Клиенты!F417</f>
        <v>Орел</v>
      </c>
      <c r="H418" s="11" t="str">
        <f>RAW_Клиенты!G417</f>
        <v>2033-07-15</v>
      </c>
      <c r="I418" s="12" t="str">
        <f t="shared" si="398"/>
        <v>89034567890</v>
      </c>
      <c r="J418" s="12" t="str">
        <f t="shared" si="399"/>
        <v>karnauhov@yandex</v>
      </c>
      <c r="K418" s="12" t="str">
        <f t="shared" si="400"/>
        <v>Орел</v>
      </c>
      <c r="L418" s="13" t="str">
        <f t="shared" si="401"/>
        <v>C0416</v>
      </c>
      <c r="M418" s="13" t="str">
        <f t="shared" si="402"/>
        <v xml:space="preserve">Карнаухов Андрей Павлович</v>
      </c>
      <c r="N418" s="13" t="str">
        <f t="shared" si="403"/>
        <v>OK</v>
      </c>
      <c r="O418" s="19">
        <f t="shared" si="404"/>
        <v>30359</v>
      </c>
      <c r="P418" s="19">
        <f t="shared" si="405"/>
        <v>48775</v>
      </c>
      <c r="Q418" s="13">
        <f t="shared" ca="1" si="406"/>
        <v>43</v>
      </c>
      <c r="R418" s="13" t="str">
        <f t="shared" si="407"/>
        <v>OK</v>
      </c>
      <c r="S418" s="13" t="str">
        <f t="shared" si="408"/>
        <v xml:space="preserve">+7 (903) 456-78-90</v>
      </c>
      <c r="T418" s="13" t="str">
        <f t="shared" si="409"/>
        <v>karnauhov@yandex</v>
      </c>
      <c r="U418" s="18" t="str">
        <f t="shared" si="410"/>
        <v xml:space="preserve">Ошибка Email</v>
      </c>
      <c r="V418" s="13" t="str">
        <f>IFERROR(VLOOKUP(K418,Справочники!$K$6:$L$13,2,0),K418)</f>
        <v>Орел</v>
      </c>
    </row>
    <row r="419" ht="15" customHeight="1">
      <c r="A419" s="10">
        <v>417</v>
      </c>
      <c r="B419" s="11" t="str">
        <f>RAW_Клиенты!A418</f>
        <v>C0417</v>
      </c>
      <c r="C419" s="11" t="str">
        <f>RAW_Клиенты!B418</f>
        <v xml:space="preserve">Кашкарова Мария Сергеевна</v>
      </c>
      <c r="D419" s="11" t="str">
        <f>RAW_Клиенты!C418</f>
        <v>08.06.1992</v>
      </c>
      <c r="E419" s="11" t="str">
        <f>RAW_Клиенты!D418</f>
        <v xml:space="preserve">8 903 567 89 01</v>
      </c>
      <c r="F419" s="11" t="str">
        <f>RAW_Клиенты!E418</f>
        <v>kashkarova@gmail</v>
      </c>
      <c r="G419" s="11" t="str">
        <f>RAW_Клиенты!F418</f>
        <v>Якутск</v>
      </c>
      <c r="H419" s="11" t="str">
        <f>RAW_Клиенты!G418</f>
        <v>15.07.2033</v>
      </c>
      <c r="I419" s="12" t="str">
        <f t="shared" si="398"/>
        <v>89035678901</v>
      </c>
      <c r="J419" s="12" t="str">
        <f t="shared" si="399"/>
        <v>kashkarova@gmail</v>
      </c>
      <c r="K419" s="12" t="str">
        <f t="shared" si="400"/>
        <v>Якутск</v>
      </c>
      <c r="L419" s="13" t="str">
        <f t="shared" si="401"/>
        <v>C0417</v>
      </c>
      <c r="M419" s="13" t="str">
        <f t="shared" si="402"/>
        <v xml:space="preserve">Кашкарова Мария Сергеевна</v>
      </c>
      <c r="N419" s="13" t="str">
        <f t="shared" si="403"/>
        <v>OK</v>
      </c>
      <c r="O419" s="19">
        <f t="shared" si="404"/>
        <v>33763</v>
      </c>
      <c r="P419" s="19">
        <f t="shared" si="405"/>
        <v>48775</v>
      </c>
      <c r="Q419" s="13">
        <f t="shared" ca="1" si="406"/>
        <v>34</v>
      </c>
      <c r="R419" s="13" t="str">
        <f t="shared" si="407"/>
        <v>OK</v>
      </c>
      <c r="S419" s="13" t="str">
        <f t="shared" si="408"/>
        <v xml:space="preserve">+7 (903) 567-89-01</v>
      </c>
      <c r="T419" s="13" t="str">
        <f t="shared" si="409"/>
        <v>kashkarova@gmail</v>
      </c>
      <c r="U419" s="18" t="str">
        <f t="shared" si="410"/>
        <v xml:space="preserve">Ошибка Email</v>
      </c>
      <c r="V419" s="13" t="str">
        <f>IFERROR(VLOOKUP(K419,Справочники!$K$6:$L$13,2,0),K419)</f>
        <v>Якутск</v>
      </c>
    </row>
    <row r="420" ht="15" customHeight="1">
      <c r="A420" s="10">
        <v>418</v>
      </c>
      <c r="B420" s="11" t="str">
        <f>RAW_Клиенты!A419</f>
        <v>C0418</v>
      </c>
      <c r="C420" s="11" t="str">
        <f>RAW_Клиенты!B419</f>
        <v xml:space="preserve">Лопатин Илья Алексеевич</v>
      </c>
      <c r="D420" s="11" t="str">
        <f>RAW_Клиенты!C419</f>
        <v>19.09.1977</v>
      </c>
      <c r="E420" s="11" t="str">
        <f>RAW_Клиенты!D419</f>
        <v>+79035678901</v>
      </c>
      <c r="F420" s="11" t="str">
        <f>RAW_Клиенты!E419</f>
        <v>lopatin@mail</v>
      </c>
      <c r="G420" s="11" t="str">
        <f>RAW_Клиенты!F419</f>
        <v>Чебоксары</v>
      </c>
      <c r="H420" s="11" t="str">
        <f>RAW_Клиенты!G419</f>
        <v>01.08.2033</v>
      </c>
      <c r="I420" s="12" t="str">
        <f t="shared" ref="I420:I483" si="411">SUBSTITUTE(SUBSTITUTE(SUBSTITUTE(SUBSTITUTE(SUBSTITUTE(SUBSTITUTE(E420," ",""),"-",""),"+",""),"(",""),")",""),CHAR(160),"")</f>
        <v>79035678901</v>
      </c>
      <c r="J420" s="12" t="str">
        <f t="shared" ref="J420:J483" si="412">SUBSTITUTE(SUBSTITUTE(TRIM(F420)," ",""),CHAR(160),"")</f>
        <v>lopatin@mail</v>
      </c>
      <c r="K420" s="12" t="str">
        <f t="shared" ref="K420:K483" si="413">TRIM(SUBSTITUTE(SUBSTITUTE(TRIM(G420),"г.",""),"г ",""))</f>
        <v>Чебоксары</v>
      </c>
      <c r="L420" s="13" t="str">
        <f t="shared" ref="L420:L483" si="414">B420</f>
        <v>C0418</v>
      </c>
      <c r="M420" s="13" t="str">
        <f t="shared" ref="M420:M483" si="415">PROPER(TRIM(C420))</f>
        <v xml:space="preserve">Лопатин Илья Алексеевич</v>
      </c>
      <c r="N420" s="13" t="str">
        <f t="shared" ref="N420:N483" si="416">IF(ISNUMBER(FIND(".",C420)),"инициалы: проверить",IF(SUMPRODUCT(--ISNUMBER(FIND(MID("abcdefghijklmnopqrstuvwxyz",ROW(INDIRECT("1:26")),1),LOWER(C420))))&gt;0,"латиница: транслит","OK"))</f>
        <v>OK</v>
      </c>
      <c r="O420" s="19">
        <f t="shared" ref="O420:O483" si="417">IF(ISNUMBER(FIND("-",D420)),DATE(VALUE(LEFT(D420,4)),VALUE(MID(D420,6,2)),VALUE(MID(D420,9,2))),DATE(VALUE(MID(D420,7,4)),VALUE(MID(D420,4,2)),VALUE(LEFT(D420,2))))</f>
        <v>28387</v>
      </c>
      <c r="P420" s="19">
        <f t="shared" ref="P420:P483" si="418">IF(ISNUMBER(FIND("-",H420)),DATE(VALUE(LEFT(H420,4)),VALUE(MID(H420,6,2)),VALUE(MID(H420,9,2))),DATE(VALUE(MID(H420,7,4)),VALUE(MID(H420,4,2)),VALUE(LEFT(H420,2))))</f>
        <v>48792</v>
      </c>
      <c r="Q420" s="13">
        <f t="shared" ref="Q420:Q483" ca="1" si="419">DATEDIF(O420,TODAY(),"Y")</f>
        <v>49</v>
      </c>
      <c r="R420" s="13" t="str">
        <f t="shared" ref="R420:R483" si="420">IF(OR(Q420&lt;18,Q420&gt;120),"Ошибка даты рождения","OK")</f>
        <v>OK</v>
      </c>
      <c r="S420" s="13" t="str">
        <f t="shared" ref="S420:S483" si="421">IF(LEN(I420)&gt;=10,"+7 ("&amp;MID(I420,LEN(I420)-9,3)&amp;") "&amp;MID(I420,LEN(I420)-6,3)&amp;"-"&amp;MID(I420,LEN(I420)-3,2)&amp;"-"&amp;RIGHT(I420,2),"Ошибка телефона")</f>
        <v xml:space="preserve">+7 (903) 567-89-01</v>
      </c>
      <c r="T420" s="13" t="str">
        <f t="shared" ref="T420:T483" si="422">J420</f>
        <v>lopatin@mail</v>
      </c>
      <c r="U420" s="18" t="str">
        <f t="shared" ref="U420:U483" si="423">IF(AND(ISNUMBER(FIND("@",J420)),ISNUMBER(FIND(".",MID(J420,FIND("@",J420),100)))),"OK","Ошибка Email")</f>
        <v xml:space="preserve">Ошибка Email</v>
      </c>
      <c r="V420" s="13" t="str">
        <f>IFERROR(VLOOKUP(K420,Справочники!$K$6:$L$13,2,0),K420)</f>
        <v>Чебоксары</v>
      </c>
    </row>
    <row r="421" ht="15" customHeight="1">
      <c r="A421" s="10">
        <v>419</v>
      </c>
      <c r="B421" s="11" t="str">
        <f>RAW_Клиенты!A420</f>
        <v>C0419</v>
      </c>
      <c r="C421" s="11" t="str">
        <f>RAW_Клиенты!B420</f>
        <v xml:space="preserve">Хромова Татьяна Викторовна</v>
      </c>
      <c r="D421" s="11" t="str">
        <f>RAW_Клиенты!C420</f>
        <v>25.03.1984</v>
      </c>
      <c r="E421" s="11" t="str">
        <f>RAW_Клиенты!D420</f>
        <v>8-903-567-89-01</v>
      </c>
      <c r="F421" s="11" t="str">
        <f>RAW_Клиенты!E420</f>
        <v>hromova@yandex</v>
      </c>
      <c r="G421" s="11" t="str">
        <f>RAW_Клиенты!F420</f>
        <v>Мурманск</v>
      </c>
      <c r="H421" s="11" t="str">
        <f>RAW_Клиенты!G420</f>
        <v>2033-08-10</v>
      </c>
      <c r="I421" s="12" t="str">
        <f t="shared" si="411"/>
        <v>89035678901</v>
      </c>
      <c r="J421" s="12" t="str">
        <f t="shared" si="412"/>
        <v>hromova@yandex</v>
      </c>
      <c r="K421" s="12" t="str">
        <f t="shared" si="413"/>
        <v>Мурманск</v>
      </c>
      <c r="L421" s="13" t="str">
        <f t="shared" si="414"/>
        <v>C0419</v>
      </c>
      <c r="M421" s="13" t="str">
        <f t="shared" si="415"/>
        <v xml:space="preserve">Хромова Татьяна Викторовна</v>
      </c>
      <c r="N421" s="13" t="str">
        <f t="shared" si="416"/>
        <v>OK</v>
      </c>
      <c r="O421" s="19">
        <f t="shared" si="417"/>
        <v>30766</v>
      </c>
      <c r="P421" s="19">
        <f t="shared" si="418"/>
        <v>48801</v>
      </c>
      <c r="Q421" s="13">
        <f t="shared" ca="1" si="419"/>
        <v>42</v>
      </c>
      <c r="R421" s="13" t="str">
        <f t="shared" si="420"/>
        <v>OK</v>
      </c>
      <c r="S421" s="13" t="str">
        <f t="shared" si="421"/>
        <v xml:space="preserve">+7 (903) 567-89-01</v>
      </c>
      <c r="T421" s="13" t="str">
        <f t="shared" si="422"/>
        <v>hromova@yandex</v>
      </c>
      <c r="U421" s="18" t="str">
        <f t="shared" si="423"/>
        <v xml:space="preserve">Ошибка Email</v>
      </c>
      <c r="V421" s="13" t="str">
        <f>IFERROR(VLOOKUP(K421,Справочники!$K$6:$L$13,2,0),K421)</f>
        <v>Мурманск</v>
      </c>
    </row>
    <row r="422" ht="15" customHeight="1">
      <c r="A422" s="10">
        <v>420</v>
      </c>
      <c r="B422" s="11" t="str">
        <f>RAW_Клиенты!A421</f>
        <v>C0420</v>
      </c>
      <c r="C422" s="11" t="str">
        <f>RAW_Клиенты!B421</f>
        <v xml:space="preserve">Коптев Денис Олегович</v>
      </c>
      <c r="D422" s="11" t="str">
        <f>RAW_Клиенты!C421</f>
        <v>13.12.1993</v>
      </c>
      <c r="E422" s="11" t="str">
        <f>RAW_Клиенты!D421</f>
        <v xml:space="preserve">8 903 678 90 12</v>
      </c>
      <c r="F422" s="11" t="str">
        <f>RAW_Клиенты!E421</f>
        <v>koptiev@gmail</v>
      </c>
      <c r="G422" s="11" t="str">
        <f>RAW_Клиенты!F421</f>
        <v>Смоленск</v>
      </c>
      <c r="H422" s="11" t="str">
        <f>RAW_Клиенты!G421</f>
        <v>10.08.2033</v>
      </c>
      <c r="I422" s="12" t="str">
        <f t="shared" si="411"/>
        <v>89036789012</v>
      </c>
      <c r="J422" s="12" t="str">
        <f t="shared" si="412"/>
        <v>koptiev@gmail</v>
      </c>
      <c r="K422" s="12" t="str">
        <f t="shared" si="413"/>
        <v>Смоленск</v>
      </c>
      <c r="L422" s="13" t="str">
        <f t="shared" si="414"/>
        <v>C0420</v>
      </c>
      <c r="M422" s="13" t="str">
        <f t="shared" si="415"/>
        <v xml:space="preserve">Коптев Денис Олегович</v>
      </c>
      <c r="N422" s="13" t="str">
        <f t="shared" si="416"/>
        <v>OK</v>
      </c>
      <c r="O422" s="19">
        <f t="shared" si="417"/>
        <v>34316</v>
      </c>
      <c r="P422" s="19">
        <f t="shared" si="418"/>
        <v>48801</v>
      </c>
      <c r="Q422" s="13">
        <f t="shared" ca="1" si="419"/>
        <v>32</v>
      </c>
      <c r="R422" s="13" t="str">
        <f t="shared" si="420"/>
        <v>OK</v>
      </c>
      <c r="S422" s="13" t="str">
        <f t="shared" si="421"/>
        <v xml:space="preserve">+7 (903) 678-90-12</v>
      </c>
      <c r="T422" s="13" t="str">
        <f t="shared" si="422"/>
        <v>koptiev@gmail</v>
      </c>
      <c r="U422" s="18" t="str">
        <f t="shared" si="423"/>
        <v xml:space="preserve">Ошибка Email</v>
      </c>
      <c r="V422" s="13" t="str">
        <f>IFERROR(VLOOKUP(K422,Справочники!$K$6:$L$13,2,0),K422)</f>
        <v>Смоленск</v>
      </c>
    </row>
    <row r="423" ht="15" customHeight="1">
      <c r="A423" s="10">
        <v>421</v>
      </c>
      <c r="B423" s="11" t="str">
        <f>RAW_Клиенты!A422</f>
        <v>C0421</v>
      </c>
      <c r="C423" s="11" t="str">
        <f>RAW_Клиенты!B422</f>
        <v xml:space="preserve">Теплова Екатерина Сергеевна</v>
      </c>
      <c r="D423" s="11" t="str">
        <f>RAW_Клиенты!C422</f>
        <v>01.08.1970</v>
      </c>
      <c r="E423" s="11" t="str">
        <f>RAW_Клиенты!D422</f>
        <v>+79036789012</v>
      </c>
      <c r="F423" s="11" t="str">
        <f>RAW_Клиенты!E422</f>
        <v>teplova@mail</v>
      </c>
      <c r="G423" s="11" t="str">
        <f>RAW_Клиенты!F422</f>
        <v>Тула</v>
      </c>
      <c r="H423" s="11" t="str">
        <f>RAW_Клиенты!G422</f>
        <v>01.09.2033</v>
      </c>
      <c r="I423" s="12" t="str">
        <f t="shared" si="411"/>
        <v>79036789012</v>
      </c>
      <c r="J423" s="12" t="str">
        <f t="shared" si="412"/>
        <v>teplova@mail</v>
      </c>
      <c r="K423" s="12" t="str">
        <f t="shared" si="413"/>
        <v>Тула</v>
      </c>
      <c r="L423" s="13" t="str">
        <f t="shared" si="414"/>
        <v>C0421</v>
      </c>
      <c r="M423" s="13" t="str">
        <f t="shared" si="415"/>
        <v xml:space="preserve">Теплова Екатерина Сергеевна</v>
      </c>
      <c r="N423" s="13" t="str">
        <f t="shared" si="416"/>
        <v>OK</v>
      </c>
      <c r="O423" s="19">
        <f t="shared" si="417"/>
        <v>25781</v>
      </c>
      <c r="P423" s="19">
        <f t="shared" si="418"/>
        <v>48823</v>
      </c>
      <c r="Q423" s="13">
        <f t="shared" ca="1" si="419"/>
        <v>56</v>
      </c>
      <c r="R423" s="13" t="str">
        <f t="shared" si="420"/>
        <v>OK</v>
      </c>
      <c r="S423" s="13" t="str">
        <f t="shared" si="421"/>
        <v xml:space="preserve">+7 (903) 678-90-12</v>
      </c>
      <c r="T423" s="13" t="str">
        <f t="shared" si="422"/>
        <v>teplova@mail</v>
      </c>
      <c r="U423" s="18" t="str">
        <f t="shared" si="423"/>
        <v xml:space="preserve">Ошибка Email</v>
      </c>
      <c r="V423" s="13" t="str">
        <f>IFERROR(VLOOKUP(K423,Справочники!$K$6:$L$13,2,0),K423)</f>
        <v>Тула</v>
      </c>
    </row>
    <row r="424" ht="15" customHeight="1">
      <c r="A424" s="10">
        <v>422</v>
      </c>
      <c r="B424" s="11" t="str">
        <f>RAW_Клиенты!A423</f>
        <v>C0422</v>
      </c>
      <c r="C424" s="11" t="str">
        <f>RAW_Клиенты!B423</f>
        <v xml:space="preserve">Гриднева Ольга Павловна</v>
      </c>
      <c r="D424" s="11" t="str">
        <f>RAW_Клиенты!C423</f>
        <v>16.04.1986</v>
      </c>
      <c r="E424" s="11" t="str">
        <f>RAW_Клиенты!D423</f>
        <v>8-903-678-90-12</v>
      </c>
      <c r="F424" s="11" t="str">
        <f>RAW_Клиенты!E423</f>
        <v>gridneva@yandex</v>
      </c>
      <c r="G424" s="11" t="str">
        <f>RAW_Клиенты!F423</f>
        <v>Калуга</v>
      </c>
      <c r="H424" s="11" t="str">
        <f>RAW_Клиенты!G423</f>
        <v>2033-09-15</v>
      </c>
      <c r="I424" s="12" t="str">
        <f t="shared" si="411"/>
        <v>89036789012</v>
      </c>
      <c r="J424" s="12" t="str">
        <f t="shared" si="412"/>
        <v>gridneva@yandex</v>
      </c>
      <c r="K424" s="12" t="str">
        <f t="shared" si="413"/>
        <v>Калуга</v>
      </c>
      <c r="L424" s="13" t="str">
        <f t="shared" si="414"/>
        <v>C0422</v>
      </c>
      <c r="M424" s="13" t="str">
        <f t="shared" si="415"/>
        <v xml:space="preserve">Гриднева Ольга Павловна</v>
      </c>
      <c r="N424" s="13" t="str">
        <f t="shared" si="416"/>
        <v>OK</v>
      </c>
      <c r="O424" s="19">
        <f t="shared" si="417"/>
        <v>31518</v>
      </c>
      <c r="P424" s="19">
        <f t="shared" si="418"/>
        <v>48837</v>
      </c>
      <c r="Q424" s="13">
        <f t="shared" ca="1" si="419"/>
        <v>40</v>
      </c>
      <c r="R424" s="13" t="str">
        <f t="shared" si="420"/>
        <v>OK</v>
      </c>
      <c r="S424" s="13" t="str">
        <f t="shared" si="421"/>
        <v xml:space="preserve">+7 (903) 678-90-12</v>
      </c>
      <c r="T424" s="13" t="str">
        <f t="shared" si="422"/>
        <v>gridneva@yandex</v>
      </c>
      <c r="U424" s="18" t="str">
        <f t="shared" si="423"/>
        <v xml:space="preserve">Ошибка Email</v>
      </c>
      <c r="V424" s="13" t="str">
        <f>IFERROR(VLOOKUP(K424,Справочники!$K$6:$L$13,2,0),K424)</f>
        <v>Калуга</v>
      </c>
    </row>
    <row r="425" ht="15" customHeight="1">
      <c r="A425" s="10">
        <v>423</v>
      </c>
      <c r="B425" s="11" t="str">
        <f>RAW_Клиенты!A424</f>
        <v>C0423</v>
      </c>
      <c r="C425" s="11" t="str">
        <f>RAW_Клиенты!B424</f>
        <v xml:space="preserve">Мордасов Андрей Владимирович</v>
      </c>
      <c r="D425" s="11" t="str">
        <f>RAW_Клиенты!C424</f>
        <v>27.12.1981</v>
      </c>
      <c r="E425" s="11" t="str">
        <f>RAW_Клиенты!D424</f>
        <v xml:space="preserve">8 903 789 01 23</v>
      </c>
      <c r="F425" s="11" t="str">
        <f>RAW_Клиенты!E424</f>
        <v>mordasov@gmail</v>
      </c>
      <c r="G425" s="11" t="str">
        <f>RAW_Клиенты!F424</f>
        <v>Владикавказ</v>
      </c>
      <c r="H425" s="11" t="str">
        <f>RAW_Клиенты!G424</f>
        <v>15.09.2033</v>
      </c>
      <c r="I425" s="12" t="str">
        <f t="shared" si="411"/>
        <v>89037890123</v>
      </c>
      <c r="J425" s="12" t="str">
        <f t="shared" si="412"/>
        <v>mordasov@gmail</v>
      </c>
      <c r="K425" s="12" t="str">
        <f t="shared" si="413"/>
        <v>Владикавказ</v>
      </c>
      <c r="L425" s="13" t="str">
        <f t="shared" si="414"/>
        <v>C0423</v>
      </c>
      <c r="M425" s="13" t="str">
        <f t="shared" si="415"/>
        <v xml:space="preserve">Мордасов Андрей Владимирович</v>
      </c>
      <c r="N425" s="13" t="str">
        <f t="shared" si="416"/>
        <v>OK</v>
      </c>
      <c r="O425" s="19">
        <f t="shared" si="417"/>
        <v>29947</v>
      </c>
      <c r="P425" s="19">
        <f t="shared" si="418"/>
        <v>48837</v>
      </c>
      <c r="Q425" s="13">
        <f t="shared" ca="1" si="419"/>
        <v>44</v>
      </c>
      <c r="R425" s="13" t="str">
        <f t="shared" si="420"/>
        <v>OK</v>
      </c>
      <c r="S425" s="13" t="str">
        <f t="shared" si="421"/>
        <v xml:space="preserve">+7 (903) 789-01-23</v>
      </c>
      <c r="T425" s="13" t="str">
        <f t="shared" si="422"/>
        <v>mordasov@gmail</v>
      </c>
      <c r="U425" s="18" t="str">
        <f t="shared" si="423"/>
        <v xml:space="preserve">Ошибка Email</v>
      </c>
      <c r="V425" s="13" t="str">
        <f>IFERROR(VLOOKUP(K425,Справочники!$K$6:$L$13,2,0),K425)</f>
        <v>Владикавказ</v>
      </c>
    </row>
    <row r="426" ht="15" customHeight="1">
      <c r="A426" s="10">
        <v>424</v>
      </c>
      <c r="B426" s="11" t="str">
        <f>RAW_Клиенты!A425</f>
        <v>C0424</v>
      </c>
      <c r="C426" s="11" t="str">
        <f>RAW_Клиенты!B425</f>
        <v xml:space="preserve">Пашкова Ирина Сергеевна</v>
      </c>
      <c r="D426" s="11" t="str">
        <f>RAW_Клиенты!C425</f>
        <v>10.10.1975</v>
      </c>
      <c r="E426" s="11" t="str">
        <f>RAW_Клиенты!D425</f>
        <v>+79037890123</v>
      </c>
      <c r="F426" s="11" t="str">
        <f>RAW_Клиенты!E425</f>
        <v>pashkova@mail</v>
      </c>
      <c r="G426" s="11" t="str">
        <f>RAW_Клиенты!F425</f>
        <v>Смоленск</v>
      </c>
      <c r="H426" s="11" t="str">
        <f>RAW_Клиенты!G425</f>
        <v>01.10.2033</v>
      </c>
      <c r="I426" s="12" t="str">
        <f t="shared" si="411"/>
        <v>79037890123</v>
      </c>
      <c r="J426" s="12" t="str">
        <f t="shared" si="412"/>
        <v>pashkova@mail</v>
      </c>
      <c r="K426" s="12" t="str">
        <f t="shared" si="413"/>
        <v>Смоленск</v>
      </c>
      <c r="L426" s="13" t="str">
        <f t="shared" si="414"/>
        <v>C0424</v>
      </c>
      <c r="M426" s="13" t="str">
        <f t="shared" si="415"/>
        <v xml:space="preserve">Пашкова Ирина Сергеевна</v>
      </c>
      <c r="N426" s="13" t="str">
        <f t="shared" si="416"/>
        <v>OK</v>
      </c>
      <c r="O426" s="19">
        <f t="shared" si="417"/>
        <v>27677</v>
      </c>
      <c r="P426" s="19">
        <f t="shared" si="418"/>
        <v>48853</v>
      </c>
      <c r="Q426" s="13">
        <f t="shared" ca="1" si="419"/>
        <v>50</v>
      </c>
      <c r="R426" s="13" t="str">
        <f t="shared" si="420"/>
        <v>OK</v>
      </c>
      <c r="S426" s="13" t="str">
        <f t="shared" si="421"/>
        <v xml:space="preserve">+7 (903) 789-01-23</v>
      </c>
      <c r="T426" s="13" t="str">
        <f t="shared" si="422"/>
        <v>pashkova@mail</v>
      </c>
      <c r="U426" s="18" t="str">
        <f t="shared" si="423"/>
        <v xml:space="preserve">Ошибка Email</v>
      </c>
      <c r="V426" s="13" t="str">
        <f>IFERROR(VLOOKUP(K426,Справочники!$K$6:$L$13,2,0),K426)</f>
        <v>Смоленск</v>
      </c>
    </row>
    <row r="427" ht="15" customHeight="1">
      <c r="A427" s="10">
        <v>425</v>
      </c>
      <c r="B427" s="11" t="str">
        <f>RAW_Клиенты!A426</f>
        <v>C0425</v>
      </c>
      <c r="C427" s="11" t="str">
        <f>RAW_Клиенты!B426</f>
        <v xml:space="preserve">Скрипкин Илья Олегович</v>
      </c>
      <c r="D427" s="11" t="str">
        <f>RAW_Клиенты!C426</f>
        <v>03.05.1988</v>
      </c>
      <c r="E427" s="11" t="str">
        <f>RAW_Клиенты!D426</f>
        <v>8-903-789-01-23</v>
      </c>
      <c r="F427" s="11" t="str">
        <f>RAW_Клиенты!E426</f>
        <v>skripkin@yandex</v>
      </c>
      <c r="G427" s="11" t="str">
        <f>RAW_Клиенты!F426</f>
        <v>Белгород</v>
      </c>
      <c r="H427" s="11" t="str">
        <f>RAW_Клиенты!G426</f>
        <v>2033-10-10</v>
      </c>
      <c r="I427" s="12" t="str">
        <f t="shared" si="411"/>
        <v>89037890123</v>
      </c>
      <c r="J427" s="12" t="str">
        <f t="shared" si="412"/>
        <v>skripkin@yandex</v>
      </c>
      <c r="K427" s="12" t="str">
        <f t="shared" si="413"/>
        <v>Белгород</v>
      </c>
      <c r="L427" s="13" t="str">
        <f t="shared" si="414"/>
        <v>C0425</v>
      </c>
      <c r="M427" s="13" t="str">
        <f t="shared" si="415"/>
        <v xml:space="preserve">Скрипкин Илья Олегович</v>
      </c>
      <c r="N427" s="13" t="str">
        <f t="shared" si="416"/>
        <v>OK</v>
      </c>
      <c r="O427" s="19">
        <f t="shared" si="417"/>
        <v>32266</v>
      </c>
      <c r="P427" s="19">
        <f t="shared" si="418"/>
        <v>48862</v>
      </c>
      <c r="Q427" s="13">
        <f t="shared" ca="1" si="419"/>
        <v>38</v>
      </c>
      <c r="R427" s="13" t="str">
        <f t="shared" si="420"/>
        <v>OK</v>
      </c>
      <c r="S427" s="13" t="str">
        <f t="shared" si="421"/>
        <v xml:space="preserve">+7 (903) 789-01-23</v>
      </c>
      <c r="T427" s="13" t="str">
        <f t="shared" si="422"/>
        <v>skripkin@yandex</v>
      </c>
      <c r="U427" s="18" t="str">
        <f t="shared" si="423"/>
        <v xml:space="preserve">Ошибка Email</v>
      </c>
      <c r="V427" s="13" t="str">
        <f>IFERROR(VLOOKUP(K427,Справочники!$K$6:$L$13,2,0),K427)</f>
        <v>Белгород</v>
      </c>
    </row>
    <row r="428" ht="15" customHeight="1">
      <c r="A428" s="10">
        <v>426</v>
      </c>
      <c r="B428" s="11" t="str">
        <f>RAW_Клиенты!A427</f>
        <v>C0426</v>
      </c>
      <c r="C428" s="11" t="str">
        <f>RAW_Клиенты!B427</f>
        <v xml:space="preserve">Кузовкина Мария Алексеевна</v>
      </c>
      <c r="D428" s="11" t="str">
        <f>RAW_Клиенты!C427</f>
        <v>22.09.1994</v>
      </c>
      <c r="E428" s="11" t="str">
        <f>RAW_Клиенты!D427</f>
        <v xml:space="preserve">8 903 890 12 34</v>
      </c>
      <c r="F428" s="11" t="str">
        <f>RAW_Клиенты!E427</f>
        <v>kuzovkina@gmail</v>
      </c>
      <c r="G428" s="11" t="str">
        <f>RAW_Клиенты!F427</f>
        <v>Мурманск</v>
      </c>
      <c r="H428" s="11" t="str">
        <f>RAW_Клиенты!G427</f>
        <v>10.10.2033</v>
      </c>
      <c r="I428" s="12" t="str">
        <f t="shared" si="411"/>
        <v>89038901234</v>
      </c>
      <c r="J428" s="12" t="str">
        <f t="shared" si="412"/>
        <v>kuzovkina@gmail</v>
      </c>
      <c r="K428" s="12" t="str">
        <f t="shared" si="413"/>
        <v>Мурманск</v>
      </c>
      <c r="L428" s="13" t="str">
        <f t="shared" si="414"/>
        <v>C0426</v>
      </c>
      <c r="M428" s="13" t="str">
        <f t="shared" si="415"/>
        <v xml:space="preserve">Кузовкина Мария Алексеевна</v>
      </c>
      <c r="N428" s="13" t="str">
        <f t="shared" si="416"/>
        <v>OK</v>
      </c>
      <c r="O428" s="19">
        <f t="shared" si="417"/>
        <v>34599</v>
      </c>
      <c r="P428" s="19">
        <f t="shared" si="418"/>
        <v>48862</v>
      </c>
      <c r="Q428" s="13">
        <f t="shared" ca="1" si="419"/>
        <v>32</v>
      </c>
      <c r="R428" s="13" t="str">
        <f t="shared" si="420"/>
        <v>OK</v>
      </c>
      <c r="S428" s="13" t="str">
        <f t="shared" si="421"/>
        <v xml:space="preserve">+7 (903) 890-12-34</v>
      </c>
      <c r="T428" s="13" t="str">
        <f t="shared" si="422"/>
        <v>kuzovkina@gmail</v>
      </c>
      <c r="U428" s="18" t="str">
        <f t="shared" si="423"/>
        <v xml:space="preserve">Ошибка Email</v>
      </c>
      <c r="V428" s="13" t="str">
        <f>IFERROR(VLOOKUP(K428,Справочники!$K$6:$L$13,2,0),K428)</f>
        <v>Мурманск</v>
      </c>
    </row>
    <row r="429" ht="15" customHeight="1">
      <c r="A429" s="10">
        <v>427</v>
      </c>
      <c r="B429" s="11" t="str">
        <f>RAW_Клиенты!A428</f>
        <v>C0427</v>
      </c>
      <c r="C429" s="11" t="str">
        <f>RAW_Клиенты!B428</f>
        <v xml:space="preserve">Хабаров Денис Николаевич</v>
      </c>
      <c r="D429" s="11" t="str">
        <f>RAW_Клиенты!C428</f>
        <v>14.02.1976</v>
      </c>
      <c r="E429" s="11" t="str">
        <f>RAW_Клиенты!D428</f>
        <v>+79038901234</v>
      </c>
      <c r="F429" s="11" t="str">
        <f>RAW_Клиенты!E428</f>
        <v>habarov@mail</v>
      </c>
      <c r="G429" s="11" t="str">
        <f>RAW_Клиенты!F428</f>
        <v>Ставрополь</v>
      </c>
      <c r="H429" s="11" t="str">
        <f>RAW_Клиенты!G428</f>
        <v>01.11.2033</v>
      </c>
      <c r="I429" s="12" t="str">
        <f t="shared" si="411"/>
        <v>79038901234</v>
      </c>
      <c r="J429" s="12" t="str">
        <f t="shared" si="412"/>
        <v>habarov@mail</v>
      </c>
      <c r="K429" s="12" t="str">
        <f t="shared" si="413"/>
        <v>Ставрополь</v>
      </c>
      <c r="L429" s="13" t="str">
        <f t="shared" si="414"/>
        <v>C0427</v>
      </c>
      <c r="M429" s="13" t="str">
        <f t="shared" si="415"/>
        <v xml:space="preserve">Хабаров Денис Николаевич</v>
      </c>
      <c r="N429" s="13" t="str">
        <f t="shared" si="416"/>
        <v>OK</v>
      </c>
      <c r="O429" s="19">
        <f t="shared" si="417"/>
        <v>27804</v>
      </c>
      <c r="P429" s="19">
        <f t="shared" si="418"/>
        <v>48884</v>
      </c>
      <c r="Q429" s="13">
        <f t="shared" ca="1" si="419"/>
        <v>50</v>
      </c>
      <c r="R429" s="13" t="str">
        <f t="shared" si="420"/>
        <v>OK</v>
      </c>
      <c r="S429" s="13" t="str">
        <f t="shared" si="421"/>
        <v xml:space="preserve">+7 (903) 890-12-34</v>
      </c>
      <c r="T429" s="13" t="str">
        <f t="shared" si="422"/>
        <v>habarov@mail</v>
      </c>
      <c r="U429" s="18" t="str">
        <f t="shared" si="423"/>
        <v xml:space="preserve">Ошибка Email</v>
      </c>
      <c r="V429" s="13" t="str">
        <f>IFERROR(VLOOKUP(K429,Справочники!$K$6:$L$13,2,0),K429)</f>
        <v>Ставрополь</v>
      </c>
    </row>
    <row r="430" ht="15" customHeight="1">
      <c r="A430" s="10">
        <v>428</v>
      </c>
      <c r="B430" s="11" t="str">
        <f>RAW_Клиенты!A429</f>
        <v>C0428</v>
      </c>
      <c r="C430" s="11" t="str">
        <f>RAW_Клиенты!B429</f>
        <v xml:space="preserve">Фирсова Екатерина Викторовна</v>
      </c>
      <c r="D430" s="11" t="str">
        <f>RAW_Клиенты!C429</f>
        <v>19.11.1982</v>
      </c>
      <c r="E430" s="11" t="str">
        <f>RAW_Клиенты!D429</f>
        <v>8-903-890-12-34</v>
      </c>
      <c r="F430" s="11" t="str">
        <f>RAW_Клиенты!E429</f>
        <v>firsova@yandex</v>
      </c>
      <c r="G430" s="11" t="str">
        <f>RAW_Клиенты!F429</f>
        <v>Севастополь</v>
      </c>
      <c r="H430" s="11" t="str">
        <f>RAW_Клиенты!G429</f>
        <v>2033-11-15</v>
      </c>
      <c r="I430" s="12" t="str">
        <f t="shared" si="411"/>
        <v>89038901234</v>
      </c>
      <c r="J430" s="12" t="str">
        <f t="shared" si="412"/>
        <v>firsova@yandex</v>
      </c>
      <c r="K430" s="12" t="str">
        <f t="shared" si="413"/>
        <v>Севастополь</v>
      </c>
      <c r="L430" s="13" t="str">
        <f t="shared" si="414"/>
        <v>C0428</v>
      </c>
      <c r="M430" s="13" t="str">
        <f t="shared" si="415"/>
        <v xml:space="preserve">Фирсова Екатерина Викторовна</v>
      </c>
      <c r="N430" s="13" t="str">
        <f t="shared" si="416"/>
        <v>OK</v>
      </c>
      <c r="O430" s="19">
        <f t="shared" si="417"/>
        <v>30274</v>
      </c>
      <c r="P430" s="19">
        <f t="shared" si="418"/>
        <v>48898</v>
      </c>
      <c r="Q430" s="13">
        <f t="shared" ca="1" si="419"/>
        <v>43</v>
      </c>
      <c r="R430" s="13" t="str">
        <f t="shared" si="420"/>
        <v>OK</v>
      </c>
      <c r="S430" s="13" t="str">
        <f t="shared" si="421"/>
        <v xml:space="preserve">+7 (903) 890-12-34</v>
      </c>
      <c r="T430" s="13" t="str">
        <f t="shared" si="422"/>
        <v>firsova@yandex</v>
      </c>
      <c r="U430" s="18" t="str">
        <f t="shared" si="423"/>
        <v xml:space="preserve">Ошибка Email</v>
      </c>
      <c r="V430" s="13" t="str">
        <f>IFERROR(VLOOKUP(K430,Справочники!$K$6:$L$13,2,0),K430)</f>
        <v>Севастополь</v>
      </c>
    </row>
    <row r="431" ht="15" customHeight="1">
      <c r="A431" s="10">
        <v>429</v>
      </c>
      <c r="B431" s="11" t="str">
        <f>RAW_Клиенты!A430</f>
        <v>C0429</v>
      </c>
      <c r="C431" s="11" t="str">
        <f>RAW_Клиенты!B430</f>
        <v xml:space="preserve">Саблин Андрей Павлович</v>
      </c>
      <c r="D431" s="11" t="str">
        <f>RAW_Клиенты!C430</f>
        <v>08.06.1990</v>
      </c>
      <c r="E431" s="11" t="str">
        <f>RAW_Клиенты!D430</f>
        <v xml:space="preserve">8 903 901 23 45</v>
      </c>
      <c r="F431" s="11" t="str">
        <f>RAW_Клиенты!E430</f>
        <v>sablin@gmail</v>
      </c>
      <c r="G431" s="11" t="str">
        <f>RAW_Клиенты!F430</f>
        <v>Сочи</v>
      </c>
      <c r="H431" s="11" t="str">
        <f>RAW_Клиенты!G430</f>
        <v>15.11.2033</v>
      </c>
      <c r="I431" s="12" t="str">
        <f t="shared" si="411"/>
        <v>89039012345</v>
      </c>
      <c r="J431" s="12" t="str">
        <f t="shared" si="412"/>
        <v>sablin@gmail</v>
      </c>
      <c r="K431" s="12" t="str">
        <f t="shared" si="413"/>
        <v>Сочи</v>
      </c>
      <c r="L431" s="13" t="str">
        <f t="shared" si="414"/>
        <v>C0429</v>
      </c>
      <c r="M431" s="13" t="str">
        <f t="shared" si="415"/>
        <v xml:space="preserve">Саблин Андрей Павлович</v>
      </c>
      <c r="N431" s="13" t="str">
        <f t="shared" si="416"/>
        <v>OK</v>
      </c>
      <c r="O431" s="19">
        <f t="shared" si="417"/>
        <v>33032</v>
      </c>
      <c r="P431" s="19">
        <f t="shared" si="418"/>
        <v>48898</v>
      </c>
      <c r="Q431" s="13">
        <f t="shared" ca="1" si="419"/>
        <v>36</v>
      </c>
      <c r="R431" s="13" t="str">
        <f t="shared" si="420"/>
        <v>OK</v>
      </c>
      <c r="S431" s="13" t="str">
        <f t="shared" si="421"/>
        <v xml:space="preserve">+7 (903) 901-23-45</v>
      </c>
      <c r="T431" s="13" t="str">
        <f t="shared" si="422"/>
        <v>sablin@gmail</v>
      </c>
      <c r="U431" s="18" t="str">
        <f t="shared" si="423"/>
        <v xml:space="preserve">Ошибка Email</v>
      </c>
      <c r="V431" s="13" t="str">
        <f>IFERROR(VLOOKUP(K431,Справочники!$K$6:$L$13,2,0),K431)</f>
        <v>Сочи</v>
      </c>
    </row>
    <row r="432" ht="15" customHeight="1">
      <c r="A432" s="10">
        <v>430</v>
      </c>
      <c r="B432" s="11" t="str">
        <f>RAW_Клиенты!A431</f>
        <v>C0430</v>
      </c>
      <c r="C432" s="11" t="str">
        <f>RAW_Клиенты!B431</f>
        <v xml:space="preserve">Сиднева Ольга Сергеевна</v>
      </c>
      <c r="D432" s="11" t="str">
        <f>RAW_Клиенты!C431</f>
        <v>31.03.1978</v>
      </c>
      <c r="E432" s="11" t="str">
        <f>RAW_Клиенты!D431</f>
        <v>+79039012345</v>
      </c>
      <c r="F432" s="11" t="str">
        <f>RAW_Клиенты!E431</f>
        <v>sidneva@mail</v>
      </c>
      <c r="G432" s="11" t="str">
        <f>RAW_Клиенты!F431</f>
        <v>Симферополь</v>
      </c>
      <c r="H432" s="11" t="str">
        <f>RAW_Клиенты!G431</f>
        <v>01.12.2033</v>
      </c>
      <c r="I432" s="12" t="str">
        <f t="shared" si="411"/>
        <v>79039012345</v>
      </c>
      <c r="J432" s="12" t="str">
        <f t="shared" si="412"/>
        <v>sidneva@mail</v>
      </c>
      <c r="K432" s="12" t="str">
        <f t="shared" si="413"/>
        <v>Симферополь</v>
      </c>
      <c r="L432" s="13" t="str">
        <f t="shared" si="414"/>
        <v>C0430</v>
      </c>
      <c r="M432" s="13" t="str">
        <f t="shared" si="415"/>
        <v xml:space="preserve">Сиднева Ольга Сергеевна</v>
      </c>
      <c r="N432" s="13" t="str">
        <f t="shared" si="416"/>
        <v>OK</v>
      </c>
      <c r="O432" s="19">
        <f t="shared" si="417"/>
        <v>28580</v>
      </c>
      <c r="P432" s="19">
        <f t="shared" si="418"/>
        <v>48914</v>
      </c>
      <c r="Q432" s="13">
        <f t="shared" ca="1" si="419"/>
        <v>48</v>
      </c>
      <c r="R432" s="13" t="str">
        <f t="shared" si="420"/>
        <v>OK</v>
      </c>
      <c r="S432" s="13" t="str">
        <f t="shared" si="421"/>
        <v xml:space="preserve">+7 (903) 901-23-45</v>
      </c>
      <c r="T432" s="13" t="str">
        <f t="shared" si="422"/>
        <v>sidneva@mail</v>
      </c>
      <c r="U432" s="18" t="str">
        <f t="shared" si="423"/>
        <v xml:space="preserve">Ошибка Email</v>
      </c>
      <c r="V432" s="13" t="str">
        <f>IFERROR(VLOOKUP(K432,Справочники!$K$6:$L$13,2,0),K432)</f>
        <v>Симферополь</v>
      </c>
    </row>
    <row r="433" ht="15" customHeight="1">
      <c r="A433" s="10">
        <v>431</v>
      </c>
      <c r="B433" s="11" t="str">
        <f>RAW_Клиенты!A432</f>
        <v>C0431</v>
      </c>
      <c r="C433" s="11" t="str">
        <f>RAW_Клиенты!B432</f>
        <v xml:space="preserve">Кочергин Илья Александрович</v>
      </c>
      <c r="D433" s="11" t="str">
        <f>RAW_Клиенты!C432</f>
        <v>17.12.1985</v>
      </c>
      <c r="E433" s="11" t="str">
        <f>RAW_Клиенты!D432</f>
        <v>8-903-901-23-45</v>
      </c>
      <c r="F433" s="11" t="str">
        <f>RAW_Клиенты!E432</f>
        <v>kochergin@yandex</v>
      </c>
      <c r="G433" s="11" t="str">
        <f>RAW_Клиенты!F432</f>
        <v>Брянск</v>
      </c>
      <c r="H433" s="11" t="str">
        <f>RAW_Клиенты!G432</f>
        <v>2033-12-10</v>
      </c>
      <c r="I433" s="12" t="str">
        <f t="shared" si="411"/>
        <v>89039012345</v>
      </c>
      <c r="J433" s="12" t="str">
        <f t="shared" si="412"/>
        <v>kochergin@yandex</v>
      </c>
      <c r="K433" s="12" t="str">
        <f t="shared" si="413"/>
        <v>Брянск</v>
      </c>
      <c r="L433" s="13" t="str">
        <f t="shared" si="414"/>
        <v>C0431</v>
      </c>
      <c r="M433" s="13" t="str">
        <f t="shared" si="415"/>
        <v xml:space="preserve">Кочергин Илья Александрович</v>
      </c>
      <c r="N433" s="13" t="str">
        <f t="shared" si="416"/>
        <v>OK</v>
      </c>
      <c r="O433" s="19">
        <f t="shared" si="417"/>
        <v>31398</v>
      </c>
      <c r="P433" s="19">
        <f t="shared" si="418"/>
        <v>48923</v>
      </c>
      <c r="Q433" s="13">
        <f t="shared" ca="1" si="419"/>
        <v>40</v>
      </c>
      <c r="R433" s="13" t="str">
        <f t="shared" si="420"/>
        <v>OK</v>
      </c>
      <c r="S433" s="13" t="str">
        <f t="shared" si="421"/>
        <v xml:space="preserve">+7 (903) 901-23-45</v>
      </c>
      <c r="T433" s="13" t="str">
        <f t="shared" si="422"/>
        <v>kochergin@yandex</v>
      </c>
      <c r="U433" s="18" t="str">
        <f t="shared" si="423"/>
        <v xml:space="preserve">Ошибка Email</v>
      </c>
      <c r="V433" s="13" t="str">
        <f>IFERROR(VLOOKUP(K433,Справочники!$K$6:$L$13,2,0),K433)</f>
        <v>Брянск</v>
      </c>
    </row>
    <row r="434" ht="15" customHeight="1">
      <c r="A434" s="10">
        <v>432</v>
      </c>
      <c r="B434" s="11" t="str">
        <f>RAW_Клиенты!A433</f>
        <v>C0432</v>
      </c>
      <c r="C434" s="11" t="str">
        <f>RAW_Клиенты!B433</f>
        <v xml:space="preserve">Забелина Мария Владимировна</v>
      </c>
      <c r="D434" s="11" t="str">
        <f>RAW_Клиенты!C433</f>
        <v>26.07.1972</v>
      </c>
      <c r="E434" s="11" t="str">
        <f>RAW_Клиенты!D433</f>
        <v xml:space="preserve">8 903 012 34 56</v>
      </c>
      <c r="F434" s="11" t="str">
        <f>RAW_Клиенты!E433</f>
        <v>zabelina@gmail</v>
      </c>
      <c r="G434" s="11" t="str">
        <f>RAW_Клиенты!F433</f>
        <v>Абакан</v>
      </c>
      <c r="H434" s="11" t="str">
        <f>RAW_Клиенты!G433</f>
        <v>10.12.2033</v>
      </c>
      <c r="I434" s="12" t="str">
        <f t="shared" si="411"/>
        <v>89030123456</v>
      </c>
      <c r="J434" s="12" t="str">
        <f t="shared" si="412"/>
        <v>zabelina@gmail</v>
      </c>
      <c r="K434" s="12" t="str">
        <f t="shared" si="413"/>
        <v>Абакан</v>
      </c>
      <c r="L434" s="13" t="str">
        <f t="shared" si="414"/>
        <v>C0432</v>
      </c>
      <c r="M434" s="13" t="str">
        <f t="shared" si="415"/>
        <v xml:space="preserve">Забелина Мария Владимировна</v>
      </c>
      <c r="N434" s="13" t="str">
        <f t="shared" si="416"/>
        <v>OK</v>
      </c>
      <c r="O434" s="19">
        <f t="shared" si="417"/>
        <v>26506</v>
      </c>
      <c r="P434" s="19">
        <f t="shared" si="418"/>
        <v>48923</v>
      </c>
      <c r="Q434" s="13">
        <f t="shared" ca="1" si="419"/>
        <v>54</v>
      </c>
      <c r="R434" s="13" t="str">
        <f t="shared" si="420"/>
        <v>OK</v>
      </c>
      <c r="S434" s="13" t="str">
        <f t="shared" si="421"/>
        <v xml:space="preserve">+7 (903) 012-34-56</v>
      </c>
      <c r="T434" s="13" t="str">
        <f t="shared" si="422"/>
        <v>zabelina@gmail</v>
      </c>
      <c r="U434" s="18" t="str">
        <f t="shared" si="423"/>
        <v xml:space="preserve">Ошибка Email</v>
      </c>
      <c r="V434" s="13" t="str">
        <f>IFERROR(VLOOKUP(K434,Справочники!$K$6:$L$13,2,0),K434)</f>
        <v>Абакан</v>
      </c>
    </row>
    <row r="435" ht="15" customHeight="1">
      <c r="A435" s="10">
        <v>433</v>
      </c>
      <c r="B435" s="11" t="str">
        <f>RAW_Клиенты!A434</f>
        <v>C0433</v>
      </c>
      <c r="C435" s="11" t="str">
        <f>RAW_Клиенты!B434</f>
        <v xml:space="preserve">Шипилов Денис Олегович</v>
      </c>
      <c r="D435" s="11" t="str">
        <f>RAW_Клиенты!C434</f>
        <v>04.09.1988</v>
      </c>
      <c r="E435" s="11" t="str">
        <f>RAW_Клиенты!D434</f>
        <v>+79030123456</v>
      </c>
      <c r="F435" s="11" t="str">
        <f>RAW_Клиенты!E434</f>
        <v>shipilov@mail</v>
      </c>
      <c r="G435" s="11" t="str">
        <f>RAW_Клиенты!F434</f>
        <v>Грозный</v>
      </c>
      <c r="H435" s="11" t="str">
        <f>RAW_Клиенты!G434</f>
        <v>01.01.2034</v>
      </c>
      <c r="I435" s="12" t="str">
        <f t="shared" si="411"/>
        <v>79030123456</v>
      </c>
      <c r="J435" s="12" t="str">
        <f t="shared" si="412"/>
        <v>shipilov@mail</v>
      </c>
      <c r="K435" s="12" t="str">
        <f t="shared" si="413"/>
        <v>Грозный</v>
      </c>
      <c r="L435" s="13" t="str">
        <f t="shared" si="414"/>
        <v>C0433</v>
      </c>
      <c r="M435" s="13" t="str">
        <f t="shared" si="415"/>
        <v xml:space="preserve">Шипилов Денис Олегович</v>
      </c>
      <c r="N435" s="13" t="str">
        <f t="shared" si="416"/>
        <v>OK</v>
      </c>
      <c r="O435" s="19">
        <f t="shared" si="417"/>
        <v>32390</v>
      </c>
      <c r="P435" s="19">
        <f t="shared" si="418"/>
        <v>48945</v>
      </c>
      <c r="Q435" s="13">
        <f t="shared" ca="1" si="419"/>
        <v>38</v>
      </c>
      <c r="R435" s="13" t="str">
        <f t="shared" si="420"/>
        <v>OK</v>
      </c>
      <c r="S435" s="13" t="str">
        <f t="shared" si="421"/>
        <v xml:space="preserve">+7 (903) 012-34-56</v>
      </c>
      <c r="T435" s="13" t="str">
        <f t="shared" si="422"/>
        <v>shipilov@mail</v>
      </c>
      <c r="U435" s="18" t="str">
        <f t="shared" si="423"/>
        <v xml:space="preserve">Ошибка Email</v>
      </c>
      <c r="V435" s="13" t="str">
        <f>IFERROR(VLOOKUP(K435,Справочники!$K$6:$L$13,2,0),K435)</f>
        <v>Грозный</v>
      </c>
    </row>
    <row r="436" ht="15" customHeight="1">
      <c r="A436" s="10">
        <v>434</v>
      </c>
      <c r="B436" s="11" t="str">
        <f>RAW_Клиенты!A435</f>
        <v>C0434</v>
      </c>
      <c r="C436" s="11" t="str">
        <f>RAW_Клиенты!B435</f>
        <v xml:space="preserve">Кононова Елена Алексеевна</v>
      </c>
      <c r="D436" s="11" t="str">
        <f>RAW_Клиенты!C435</f>
        <v>19.12.1991</v>
      </c>
      <c r="E436" s="11" t="str">
        <f>RAW_Клиенты!D435</f>
        <v>8-903-012-34-56</v>
      </c>
      <c r="F436" s="11" t="str">
        <f>RAW_Клиенты!E435</f>
        <v>kononova@yandex</v>
      </c>
      <c r="G436" s="11" t="str">
        <f>RAW_Клиенты!F435</f>
        <v>Бийск</v>
      </c>
      <c r="H436" s="11" t="str">
        <f>RAW_Клиенты!G435</f>
        <v>2034-01-15</v>
      </c>
      <c r="I436" s="12" t="str">
        <f t="shared" si="411"/>
        <v>89030123456</v>
      </c>
      <c r="J436" s="12" t="str">
        <f t="shared" si="412"/>
        <v>kononova@yandex</v>
      </c>
      <c r="K436" s="12" t="str">
        <f t="shared" si="413"/>
        <v>Бийск</v>
      </c>
      <c r="L436" s="13" t="str">
        <f t="shared" si="414"/>
        <v>C0434</v>
      </c>
      <c r="M436" s="13" t="str">
        <f t="shared" si="415"/>
        <v xml:space="preserve">Кононова Елена Алексеевна</v>
      </c>
      <c r="N436" s="13" t="str">
        <f t="shared" si="416"/>
        <v>OK</v>
      </c>
      <c r="O436" s="19">
        <f t="shared" si="417"/>
        <v>33591</v>
      </c>
      <c r="P436" s="19">
        <f t="shared" si="418"/>
        <v>48959</v>
      </c>
      <c r="Q436" s="13">
        <f t="shared" ca="1" si="419"/>
        <v>34</v>
      </c>
      <c r="R436" s="13" t="str">
        <f t="shared" si="420"/>
        <v>OK</v>
      </c>
      <c r="S436" s="13" t="str">
        <f t="shared" si="421"/>
        <v xml:space="preserve">+7 (903) 012-34-56</v>
      </c>
      <c r="T436" s="13" t="str">
        <f t="shared" si="422"/>
        <v>kononova@yandex</v>
      </c>
      <c r="U436" s="18" t="str">
        <f t="shared" si="423"/>
        <v xml:space="preserve">Ошибка Email</v>
      </c>
      <c r="V436" s="13" t="str">
        <f>IFERROR(VLOOKUP(K436,Справочники!$K$6:$L$13,2,0),K436)</f>
        <v>Бийск</v>
      </c>
    </row>
    <row r="437" ht="15" customHeight="1">
      <c r="A437" s="10">
        <v>435</v>
      </c>
      <c r="B437" s="11" t="str">
        <f>RAW_Клиенты!A436</f>
        <v>C0435</v>
      </c>
      <c r="C437" s="11" t="str">
        <f>RAW_Клиенты!B436</f>
        <v xml:space="preserve">Лебедева Ольга Павловна</v>
      </c>
      <c r="D437" s="11" t="str">
        <f>RAW_Клиенты!C436</f>
        <v>23.05.1975</v>
      </c>
      <c r="E437" s="11" t="str">
        <f>RAW_Клиенты!D436</f>
        <v xml:space="preserve">8 903 123 45 67</v>
      </c>
      <c r="F437" s="11" t="str">
        <f>RAW_Клиенты!E436</f>
        <v>lebedevа@gmail</v>
      </c>
      <c r="G437" s="11" t="str">
        <f>RAW_Клиенты!F436</f>
        <v>Йошкар-Ола</v>
      </c>
      <c r="H437" s="11" t="str">
        <f>RAW_Клиенты!G436</f>
        <v>15.01.2034</v>
      </c>
      <c r="I437" s="12" t="str">
        <f t="shared" si="411"/>
        <v>89031234567</v>
      </c>
      <c r="J437" s="12" t="str">
        <f t="shared" si="412"/>
        <v>lebedevа@gmail</v>
      </c>
      <c r="K437" s="12" t="str">
        <f t="shared" si="413"/>
        <v>Йошкар-Ола</v>
      </c>
      <c r="L437" s="13" t="str">
        <f t="shared" si="414"/>
        <v>C0435</v>
      </c>
      <c r="M437" s="13" t="str">
        <f t="shared" si="415"/>
        <v xml:space="preserve">Лебедева Ольга Павловна</v>
      </c>
      <c r="N437" s="13" t="str">
        <f t="shared" si="416"/>
        <v>OK</v>
      </c>
      <c r="O437" s="19">
        <f t="shared" si="417"/>
        <v>27537</v>
      </c>
      <c r="P437" s="19">
        <f t="shared" si="418"/>
        <v>48959</v>
      </c>
      <c r="Q437" s="13">
        <f t="shared" ca="1" si="419"/>
        <v>51</v>
      </c>
      <c r="R437" s="13" t="str">
        <f t="shared" si="420"/>
        <v>OK</v>
      </c>
      <c r="S437" s="13" t="str">
        <f t="shared" si="421"/>
        <v xml:space="preserve">+7 (903) 123-45-67</v>
      </c>
      <c r="T437" s="13" t="str">
        <f t="shared" si="422"/>
        <v>lebedevа@gmail</v>
      </c>
      <c r="U437" s="18" t="str">
        <f t="shared" si="423"/>
        <v xml:space="preserve">Ошибка Email</v>
      </c>
      <c r="V437" s="13" t="str">
        <f>IFERROR(VLOOKUP(K437,Справочники!$K$6:$L$13,2,0),K437)</f>
        <v>Йошкар-Ола</v>
      </c>
    </row>
    <row r="438" ht="15" customHeight="1">
      <c r="A438" s="10">
        <v>436</v>
      </c>
      <c r="B438" s="11" t="str">
        <f>RAW_Клиенты!A437</f>
        <v>C0436</v>
      </c>
      <c r="C438" s="11" t="str">
        <f>RAW_Клиенты!B437</f>
        <v xml:space="preserve">Мартынов Илья Викторович</v>
      </c>
      <c r="D438" s="11" t="str">
        <f>RAW_Клиенты!C437</f>
        <v>10.10.1983</v>
      </c>
      <c r="E438" s="11" t="str">
        <f>RAW_Клиенты!D437</f>
        <v>+79031234567</v>
      </c>
      <c r="F438" s="11" t="str">
        <f>RAW_Клиенты!E437</f>
        <v>martynov@mail</v>
      </c>
      <c r="G438" s="11" t="str">
        <f>RAW_Клиенты!F437</f>
        <v>Курган</v>
      </c>
      <c r="H438" s="11" t="str">
        <f>RAW_Клиенты!G437</f>
        <v>01.02.2034</v>
      </c>
      <c r="I438" s="12" t="str">
        <f t="shared" si="411"/>
        <v>79031234567</v>
      </c>
      <c r="J438" s="12" t="str">
        <f t="shared" si="412"/>
        <v>martynov@mail</v>
      </c>
      <c r="K438" s="12" t="str">
        <f t="shared" si="413"/>
        <v>Курган</v>
      </c>
      <c r="L438" s="13" t="str">
        <f t="shared" si="414"/>
        <v>C0436</v>
      </c>
      <c r="M438" s="13" t="str">
        <f t="shared" si="415"/>
        <v xml:space="preserve">Мартынов Илья Викторович</v>
      </c>
      <c r="N438" s="13" t="str">
        <f t="shared" si="416"/>
        <v>OK</v>
      </c>
      <c r="O438" s="19">
        <f t="shared" si="417"/>
        <v>30599</v>
      </c>
      <c r="P438" s="19">
        <f t="shared" si="418"/>
        <v>48976</v>
      </c>
      <c r="Q438" s="13">
        <f t="shared" ca="1" si="419"/>
        <v>42</v>
      </c>
      <c r="R438" s="13" t="str">
        <f t="shared" si="420"/>
        <v>OK</v>
      </c>
      <c r="S438" s="13" t="str">
        <f t="shared" si="421"/>
        <v xml:space="preserve">+7 (903) 123-45-67</v>
      </c>
      <c r="T438" s="13" t="str">
        <f t="shared" si="422"/>
        <v>martynov@mail</v>
      </c>
      <c r="U438" s="18" t="str">
        <f t="shared" si="423"/>
        <v xml:space="preserve">Ошибка Email</v>
      </c>
      <c r="V438" s="13" t="str">
        <f>IFERROR(VLOOKUP(K438,Справочники!$K$6:$L$13,2,0),K438)</f>
        <v>Курган</v>
      </c>
    </row>
    <row r="439" ht="15" customHeight="1">
      <c r="A439" s="10">
        <v>437</v>
      </c>
      <c r="B439" s="11" t="str">
        <f>RAW_Клиенты!A438</f>
        <v>C0437</v>
      </c>
      <c r="C439" s="11" t="str">
        <f>RAW_Клиенты!B438</f>
        <v xml:space="preserve">Бражникова Екатерина Сергеевна</v>
      </c>
      <c r="D439" s="11" t="str">
        <f>RAW_Клиенты!C438</f>
        <v>02.08.1986</v>
      </c>
      <c r="E439" s="11" t="str">
        <f>RAW_Клиенты!D438</f>
        <v>8-903-123-45-67</v>
      </c>
      <c r="F439" s="11" t="str">
        <f>RAW_Клиенты!E438</f>
        <v>brazhnikova@yandex</v>
      </c>
      <c r="G439" s="11" t="str">
        <f>RAW_Клиенты!F438</f>
        <v>Архангельск</v>
      </c>
      <c r="H439" s="11" t="str">
        <f>RAW_Клиенты!G438</f>
        <v>2034-02-10</v>
      </c>
      <c r="I439" s="12" t="str">
        <f t="shared" si="411"/>
        <v>89031234567</v>
      </c>
      <c r="J439" s="12" t="str">
        <f t="shared" si="412"/>
        <v>brazhnikova@yandex</v>
      </c>
      <c r="K439" s="12" t="str">
        <f t="shared" si="413"/>
        <v>Архангельск</v>
      </c>
      <c r="L439" s="13" t="str">
        <f t="shared" si="414"/>
        <v>C0437</v>
      </c>
      <c r="M439" s="13" t="str">
        <f t="shared" si="415"/>
        <v xml:space="preserve">Бражникова Екатерина Сергеевна</v>
      </c>
      <c r="N439" s="13" t="str">
        <f t="shared" si="416"/>
        <v>OK</v>
      </c>
      <c r="O439" s="19">
        <f t="shared" si="417"/>
        <v>31626</v>
      </c>
      <c r="P439" s="19">
        <f t="shared" si="418"/>
        <v>48985</v>
      </c>
      <c r="Q439" s="13">
        <f t="shared" ca="1" si="419"/>
        <v>40</v>
      </c>
      <c r="R439" s="13" t="str">
        <f t="shared" si="420"/>
        <v>OK</v>
      </c>
      <c r="S439" s="13" t="str">
        <f t="shared" si="421"/>
        <v xml:space="preserve">+7 (903) 123-45-67</v>
      </c>
      <c r="T439" s="13" t="str">
        <f t="shared" si="422"/>
        <v>brazhnikova@yandex</v>
      </c>
      <c r="U439" s="18" t="str">
        <f t="shared" si="423"/>
        <v xml:space="preserve">Ошибка Email</v>
      </c>
      <c r="V439" s="13" t="str">
        <f>IFERROR(VLOOKUP(K439,Справочники!$K$6:$L$13,2,0),K439)</f>
        <v>Архангельск</v>
      </c>
    </row>
    <row r="440" ht="15" customHeight="1">
      <c r="A440" s="10">
        <v>438</v>
      </c>
      <c r="B440" s="11" t="str">
        <f>RAW_Клиенты!A439</f>
        <v>C0438</v>
      </c>
      <c r="C440" s="11" t="str">
        <f>RAW_Клиенты!B439</f>
        <v xml:space="preserve">Сухоруков Андрей Олегович</v>
      </c>
      <c r="D440" s="11" t="str">
        <f>RAW_Клиенты!C439</f>
        <v>14.11.1979</v>
      </c>
      <c r="E440" s="11" t="str">
        <f>RAW_Клиенты!D439</f>
        <v xml:space="preserve">8 903 234 56 78</v>
      </c>
      <c r="F440" s="11" t="str">
        <f>RAW_Клиенты!E439</f>
        <v>suhorukov@gmail</v>
      </c>
      <c r="G440" s="11" t="str">
        <f>RAW_Клиенты!F439</f>
        <v>Благовещенск</v>
      </c>
      <c r="H440" s="11" t="str">
        <f>RAW_Клиенты!G439</f>
        <v>10.02.2034</v>
      </c>
      <c r="I440" s="12" t="str">
        <f t="shared" si="411"/>
        <v>89032345678</v>
      </c>
      <c r="J440" s="12" t="str">
        <f t="shared" si="412"/>
        <v>suhorukov@gmail</v>
      </c>
      <c r="K440" s="12" t="str">
        <f t="shared" si="413"/>
        <v>Благовещенск</v>
      </c>
      <c r="L440" s="13" t="str">
        <f t="shared" si="414"/>
        <v>C0438</v>
      </c>
      <c r="M440" s="13" t="str">
        <f t="shared" si="415"/>
        <v xml:space="preserve">Сухоруков Андрей Олегович</v>
      </c>
      <c r="N440" s="13" t="str">
        <f t="shared" si="416"/>
        <v>OK</v>
      </c>
      <c r="O440" s="19">
        <f t="shared" si="417"/>
        <v>29173</v>
      </c>
      <c r="P440" s="19">
        <f t="shared" si="418"/>
        <v>48985</v>
      </c>
      <c r="Q440" s="13">
        <f t="shared" ca="1" si="419"/>
        <v>46</v>
      </c>
      <c r="R440" s="13" t="str">
        <f t="shared" si="420"/>
        <v>OK</v>
      </c>
      <c r="S440" s="13" t="str">
        <f t="shared" si="421"/>
        <v xml:space="preserve">+7 (903) 234-56-78</v>
      </c>
      <c r="T440" s="13" t="str">
        <f t="shared" si="422"/>
        <v>suhorukov@gmail</v>
      </c>
      <c r="U440" s="18" t="str">
        <f t="shared" si="423"/>
        <v xml:space="preserve">Ошибка Email</v>
      </c>
      <c r="V440" s="13" t="str">
        <f>IFERROR(VLOOKUP(K440,Справочники!$K$6:$L$13,2,0),K440)</f>
        <v>Благовещенск</v>
      </c>
    </row>
    <row r="441" ht="15" customHeight="1">
      <c r="A441" s="10">
        <v>439</v>
      </c>
      <c r="B441" s="11" t="str">
        <f>RAW_Клиенты!A440</f>
        <v>C0439</v>
      </c>
      <c r="C441" s="11" t="str">
        <f>RAW_Клиенты!B440</f>
        <v xml:space="preserve">Гапонова Мария Игоревна</v>
      </c>
      <c r="D441" s="11" t="str">
        <f>RAW_Клиенты!C440</f>
        <v>27.01.1992</v>
      </c>
      <c r="E441" s="11" t="str">
        <f>RAW_Клиенты!D440</f>
        <v>+79032345678</v>
      </c>
      <c r="F441" s="11" t="str">
        <f>RAW_Клиенты!E440</f>
        <v>gaponova@mail</v>
      </c>
      <c r="G441" s="11" t="str">
        <f>RAW_Клиенты!F440</f>
        <v>Майкоп</v>
      </c>
      <c r="H441" s="11" t="str">
        <f>RAW_Клиенты!G440</f>
        <v>01.03.2034</v>
      </c>
      <c r="I441" s="12" t="str">
        <f t="shared" si="411"/>
        <v>79032345678</v>
      </c>
      <c r="J441" s="12" t="str">
        <f t="shared" si="412"/>
        <v>gaponova@mail</v>
      </c>
      <c r="K441" s="12" t="str">
        <f t="shared" si="413"/>
        <v>Майкоп</v>
      </c>
      <c r="L441" s="13" t="str">
        <f t="shared" si="414"/>
        <v>C0439</v>
      </c>
      <c r="M441" s="13" t="str">
        <f t="shared" si="415"/>
        <v xml:space="preserve">Гапонова Мария Игоревна</v>
      </c>
      <c r="N441" s="13" t="str">
        <f t="shared" si="416"/>
        <v>OK</v>
      </c>
      <c r="O441" s="19">
        <f t="shared" si="417"/>
        <v>33630</v>
      </c>
      <c r="P441" s="19">
        <f t="shared" si="418"/>
        <v>49004</v>
      </c>
      <c r="Q441" s="13">
        <f t="shared" ca="1" si="419"/>
        <v>34</v>
      </c>
      <c r="R441" s="13" t="str">
        <f t="shared" si="420"/>
        <v>OK</v>
      </c>
      <c r="S441" s="13" t="str">
        <f t="shared" si="421"/>
        <v xml:space="preserve">+7 (903) 234-56-78</v>
      </c>
      <c r="T441" s="13" t="str">
        <f t="shared" si="422"/>
        <v>gaponova@mail</v>
      </c>
      <c r="U441" s="18" t="str">
        <f t="shared" si="423"/>
        <v xml:space="preserve">Ошибка Email</v>
      </c>
      <c r="V441" s="13" t="str">
        <f>IFERROR(VLOOKUP(K441,Справочники!$K$6:$L$13,2,0),K441)</f>
        <v>Майкоп</v>
      </c>
    </row>
    <row r="442" ht="15" customHeight="1">
      <c r="A442" s="10">
        <v>440</v>
      </c>
      <c r="B442" s="11" t="str">
        <f>RAW_Клиенты!A441</f>
        <v>C0440</v>
      </c>
      <c r="C442" s="11" t="str">
        <f>RAW_Клиенты!B441</f>
        <v xml:space="preserve">Жигалов Денис Павлович</v>
      </c>
      <c r="D442" s="11" t="str">
        <f>RAW_Клиенты!C441</f>
        <v>15.06.1981</v>
      </c>
      <c r="E442" s="11" t="str">
        <f>RAW_Клиенты!D441</f>
        <v>8-903-234-56-78</v>
      </c>
      <c r="F442" s="11" t="str">
        <f>RAW_Клиенты!E441</f>
        <v>zhigalov@yandex</v>
      </c>
      <c r="G442" s="11" t="str">
        <f>RAW_Клиенты!F441</f>
        <v>Уссурийск</v>
      </c>
      <c r="H442" s="11" t="str">
        <f>RAW_Клиенты!G441</f>
        <v>2034-03-15</v>
      </c>
      <c r="I442" s="12" t="str">
        <f t="shared" si="411"/>
        <v>89032345678</v>
      </c>
      <c r="J442" s="12" t="str">
        <f t="shared" si="412"/>
        <v>zhigalov@yandex</v>
      </c>
      <c r="K442" s="12" t="str">
        <f t="shared" si="413"/>
        <v>Уссурийск</v>
      </c>
      <c r="L442" s="13" t="str">
        <f t="shared" si="414"/>
        <v>C0440</v>
      </c>
      <c r="M442" s="13" t="str">
        <f t="shared" si="415"/>
        <v xml:space="preserve">Жигалов Денис Павлович</v>
      </c>
      <c r="N442" s="13" t="str">
        <f t="shared" si="416"/>
        <v>OK</v>
      </c>
      <c r="O442" s="19">
        <f t="shared" si="417"/>
        <v>29752</v>
      </c>
      <c r="P442" s="19">
        <f t="shared" si="418"/>
        <v>49018</v>
      </c>
      <c r="Q442" s="13">
        <f t="shared" ca="1" si="419"/>
        <v>45</v>
      </c>
      <c r="R442" s="13" t="str">
        <f t="shared" si="420"/>
        <v>OK</v>
      </c>
      <c r="S442" s="13" t="str">
        <f t="shared" si="421"/>
        <v xml:space="preserve">+7 (903) 234-56-78</v>
      </c>
      <c r="T442" s="13" t="str">
        <f t="shared" si="422"/>
        <v>zhigalov@yandex</v>
      </c>
      <c r="U442" s="18" t="str">
        <f t="shared" si="423"/>
        <v xml:space="preserve">Ошибка Email</v>
      </c>
      <c r="V442" s="13" t="str">
        <f>IFERROR(VLOOKUP(K442,Справочники!$K$6:$L$13,2,0),K442)</f>
        <v>Уссурийск</v>
      </c>
    </row>
    <row r="443" ht="15" customHeight="1">
      <c r="A443" s="10">
        <v>441</v>
      </c>
      <c r="B443" s="11" t="str">
        <f>RAW_Клиенты!A442</f>
        <v>C0441</v>
      </c>
      <c r="C443" s="11" t="str">
        <f>RAW_Клиенты!B442</f>
        <v xml:space="preserve">Курочкин Илья Александрович</v>
      </c>
      <c r="D443" s="11" t="str">
        <f>RAW_Клиенты!C442</f>
        <v>09.09.1974</v>
      </c>
      <c r="E443" s="11" t="str">
        <f>RAW_Клиенты!D442</f>
        <v xml:space="preserve">8 903 345 67 89</v>
      </c>
      <c r="F443" s="11" t="str">
        <f>RAW_Клиенты!E442</f>
        <v>kurochkin@gmail</v>
      </c>
      <c r="G443" s="11" t="str">
        <f>RAW_Клиенты!F442</f>
        <v>Миасс</v>
      </c>
      <c r="H443" s="11" t="str">
        <f>RAW_Клиенты!G442</f>
        <v>15.03.2034</v>
      </c>
      <c r="I443" s="12" t="str">
        <f t="shared" si="411"/>
        <v>89033456789</v>
      </c>
      <c r="J443" s="12" t="str">
        <f t="shared" si="412"/>
        <v>kurochkin@gmail</v>
      </c>
      <c r="K443" s="12" t="str">
        <f t="shared" si="413"/>
        <v>Миасс</v>
      </c>
      <c r="L443" s="13" t="str">
        <f t="shared" si="414"/>
        <v>C0441</v>
      </c>
      <c r="M443" s="13" t="str">
        <f t="shared" si="415"/>
        <v xml:space="preserve">Курочкин Илья Александрович</v>
      </c>
      <c r="N443" s="13" t="str">
        <f t="shared" si="416"/>
        <v>OK</v>
      </c>
      <c r="O443" s="19">
        <f t="shared" si="417"/>
        <v>27281</v>
      </c>
      <c r="P443" s="19">
        <f t="shared" si="418"/>
        <v>49018</v>
      </c>
      <c r="Q443" s="13">
        <f t="shared" ca="1" si="419"/>
        <v>52</v>
      </c>
      <c r="R443" s="13" t="str">
        <f t="shared" si="420"/>
        <v>OK</v>
      </c>
      <c r="S443" s="13" t="str">
        <f t="shared" si="421"/>
        <v xml:space="preserve">+7 (903) 345-67-89</v>
      </c>
      <c r="T443" s="13" t="str">
        <f t="shared" si="422"/>
        <v>kurochkin@gmail</v>
      </c>
      <c r="U443" s="18" t="str">
        <f t="shared" si="423"/>
        <v xml:space="preserve">Ошибка Email</v>
      </c>
      <c r="V443" s="13" t="str">
        <f>IFERROR(VLOOKUP(K443,Справочники!$K$6:$L$13,2,0),K443)</f>
        <v>Миасс</v>
      </c>
    </row>
    <row r="444" ht="15" customHeight="1">
      <c r="A444" s="10">
        <v>442</v>
      </c>
      <c r="B444" s="11" t="str">
        <f>RAW_Клиенты!A443</f>
        <v>C0442</v>
      </c>
      <c r="C444" s="11" t="str">
        <f>RAW_Клиенты!B443</f>
        <v xml:space="preserve">Панина Ольга Владимировна</v>
      </c>
      <c r="D444" s="11" t="str">
        <f>RAW_Клиенты!C443</f>
        <v>28.04.1987</v>
      </c>
      <c r="E444" s="11" t="str">
        <f>RAW_Клиенты!D443</f>
        <v>+79033456789</v>
      </c>
      <c r="F444" s="11" t="str">
        <f>RAW_Клиенты!E443</f>
        <v>panina@mail</v>
      </c>
      <c r="G444" s="11" t="str">
        <f>RAW_Клиенты!F443</f>
        <v>Кызыл</v>
      </c>
      <c r="H444" s="11" t="str">
        <f>RAW_Клиенты!G443</f>
        <v>01.04.2034</v>
      </c>
      <c r="I444" s="12" t="str">
        <f t="shared" si="411"/>
        <v>79033456789</v>
      </c>
      <c r="J444" s="12" t="str">
        <f t="shared" si="412"/>
        <v>panina@mail</v>
      </c>
      <c r="K444" s="12" t="str">
        <f t="shared" si="413"/>
        <v>Кызыл</v>
      </c>
      <c r="L444" s="13" t="str">
        <f t="shared" si="414"/>
        <v>C0442</v>
      </c>
      <c r="M444" s="13" t="str">
        <f t="shared" si="415"/>
        <v xml:space="preserve">Панина Ольга Владимировна</v>
      </c>
      <c r="N444" s="13" t="str">
        <f t="shared" si="416"/>
        <v>OK</v>
      </c>
      <c r="O444" s="19">
        <f t="shared" si="417"/>
        <v>31895</v>
      </c>
      <c r="P444" s="19">
        <f t="shared" si="418"/>
        <v>49035</v>
      </c>
      <c r="Q444" s="13">
        <f t="shared" ca="1" si="419"/>
        <v>39</v>
      </c>
      <c r="R444" s="13" t="str">
        <f t="shared" si="420"/>
        <v>OK</v>
      </c>
      <c r="S444" s="13" t="str">
        <f t="shared" si="421"/>
        <v xml:space="preserve">+7 (903) 345-67-89</v>
      </c>
      <c r="T444" s="13" t="str">
        <f t="shared" si="422"/>
        <v>panina@mail</v>
      </c>
      <c r="U444" s="18" t="str">
        <f t="shared" si="423"/>
        <v xml:space="preserve">Ошибка Email</v>
      </c>
      <c r="V444" s="13" t="str">
        <f>IFERROR(VLOOKUP(K444,Справочники!$K$6:$L$13,2,0),K444)</f>
        <v>Кызыл</v>
      </c>
    </row>
    <row r="445" ht="15" customHeight="1">
      <c r="A445" s="10">
        <v>443</v>
      </c>
      <c r="B445" s="11" t="str">
        <f>RAW_Клиенты!A444</f>
        <v>C0443</v>
      </c>
      <c r="C445" s="11" t="str">
        <f>RAW_Клиенты!B444</f>
        <v xml:space="preserve">Махалов Андрей Сергеевич</v>
      </c>
      <c r="D445" s="11" t="str">
        <f>RAW_Клиенты!C444</f>
        <v>12.12.1993</v>
      </c>
      <c r="E445" s="11" t="str">
        <f>RAW_Клиенты!D444</f>
        <v>8-903-345-67-89</v>
      </c>
      <c r="F445" s="11" t="str">
        <f>RAW_Клиенты!E444</f>
        <v>mahalov@yandex</v>
      </c>
      <c r="G445" s="11" t="str">
        <f>RAW_Клиенты!F444</f>
        <v>Калининград</v>
      </c>
      <c r="H445" s="11" t="str">
        <f>RAW_Клиенты!G444</f>
        <v>2034-04-10</v>
      </c>
      <c r="I445" s="12" t="str">
        <f t="shared" si="411"/>
        <v>89033456789</v>
      </c>
      <c r="J445" s="12" t="str">
        <f t="shared" si="412"/>
        <v>mahalov@yandex</v>
      </c>
      <c r="K445" s="12" t="str">
        <f t="shared" si="413"/>
        <v>Калининград</v>
      </c>
      <c r="L445" s="13" t="str">
        <f t="shared" si="414"/>
        <v>C0443</v>
      </c>
      <c r="M445" s="13" t="str">
        <f t="shared" si="415"/>
        <v xml:space="preserve">Махалов Андрей Сергеевич</v>
      </c>
      <c r="N445" s="13" t="str">
        <f t="shared" si="416"/>
        <v>OK</v>
      </c>
      <c r="O445" s="19">
        <f t="shared" si="417"/>
        <v>34315</v>
      </c>
      <c r="P445" s="19">
        <f t="shared" si="418"/>
        <v>49044</v>
      </c>
      <c r="Q445" s="13">
        <f t="shared" ca="1" si="419"/>
        <v>32</v>
      </c>
      <c r="R445" s="13" t="str">
        <f t="shared" si="420"/>
        <v>OK</v>
      </c>
      <c r="S445" s="13" t="str">
        <f t="shared" si="421"/>
        <v xml:space="preserve">+7 (903) 345-67-89</v>
      </c>
      <c r="T445" s="13" t="str">
        <f t="shared" si="422"/>
        <v>mahalov@yandex</v>
      </c>
      <c r="U445" s="18" t="str">
        <f t="shared" si="423"/>
        <v xml:space="preserve">Ошибка Email</v>
      </c>
      <c r="V445" s="13" t="str">
        <f>IFERROR(VLOOKUP(K445,Справочники!$K$6:$L$13,2,0),K445)</f>
        <v>Калининград</v>
      </c>
    </row>
    <row r="446" ht="15" customHeight="1">
      <c r="A446" s="10">
        <v>444</v>
      </c>
      <c r="B446" s="11" t="str">
        <f>RAW_Клиенты!A445</f>
        <v>C0444</v>
      </c>
      <c r="C446" s="11" t="str">
        <f>RAW_Клиенты!B445</f>
        <v xml:space="preserve">Федорова Екатерина Петровна</v>
      </c>
      <c r="D446" s="11" t="str">
        <f>RAW_Клиенты!C445</f>
        <v>07.03.1976</v>
      </c>
      <c r="E446" s="11" t="str">
        <f>RAW_Клиенты!D445</f>
        <v xml:space="preserve">8 903 456 78 90</v>
      </c>
      <c r="F446" s="11" t="str">
        <f>RAW_Клиенты!E445</f>
        <v>fedorova@gmail</v>
      </c>
      <c r="G446" s="11" t="str">
        <f>RAW_Клиенты!F445</f>
        <v>Петрозаводск</v>
      </c>
      <c r="H446" s="11" t="str">
        <f>RAW_Клиенты!G445</f>
        <v>10.04.2034</v>
      </c>
      <c r="I446" s="12" t="str">
        <f t="shared" si="411"/>
        <v>89034567890</v>
      </c>
      <c r="J446" s="12" t="str">
        <f t="shared" si="412"/>
        <v>fedorova@gmail</v>
      </c>
      <c r="K446" s="12" t="str">
        <f t="shared" si="413"/>
        <v>Петрозаводск</v>
      </c>
      <c r="L446" s="13" t="str">
        <f t="shared" si="414"/>
        <v>C0444</v>
      </c>
      <c r="M446" s="13" t="str">
        <f t="shared" si="415"/>
        <v xml:space="preserve">Федорова Екатерина Петровна</v>
      </c>
      <c r="N446" s="13" t="str">
        <f t="shared" si="416"/>
        <v>OK</v>
      </c>
      <c r="O446" s="19">
        <f t="shared" si="417"/>
        <v>27826</v>
      </c>
      <c r="P446" s="19">
        <f t="shared" si="418"/>
        <v>49044</v>
      </c>
      <c r="Q446" s="13">
        <f t="shared" ca="1" si="419"/>
        <v>50</v>
      </c>
      <c r="R446" s="13" t="str">
        <f t="shared" si="420"/>
        <v>OK</v>
      </c>
      <c r="S446" s="13" t="str">
        <f t="shared" si="421"/>
        <v xml:space="preserve">+7 (903) 456-78-90</v>
      </c>
      <c r="T446" s="13" t="str">
        <f t="shared" si="422"/>
        <v>fedorova@gmail</v>
      </c>
      <c r="U446" s="18" t="str">
        <f t="shared" si="423"/>
        <v xml:space="preserve">Ошибка Email</v>
      </c>
      <c r="V446" s="13" t="str">
        <f>IFERROR(VLOOKUP(K446,Справочники!$K$6:$L$13,2,0),K446)</f>
        <v>Петрозаводск</v>
      </c>
    </row>
    <row r="447" ht="15" customHeight="1">
      <c r="A447" s="10">
        <v>445</v>
      </c>
      <c r="B447" s="11" t="str">
        <f>RAW_Клиенты!A446</f>
        <v>C0445</v>
      </c>
      <c r="C447" s="11" t="str">
        <f>RAW_Клиенты!B446</f>
        <v xml:space="preserve">Зарубин Илья Викторович</v>
      </c>
      <c r="D447" s="11" t="str">
        <f>RAW_Клиенты!C446</f>
        <v>21.07.1988</v>
      </c>
      <c r="E447" s="11" t="str">
        <f>RAW_Клиенты!D446</f>
        <v>+79034567890</v>
      </c>
      <c r="F447" s="11" t="str">
        <f>RAW_Клиенты!E446</f>
        <v>zarubin@mail</v>
      </c>
      <c r="G447" s="11" t="str">
        <f>RAW_Клиенты!F446</f>
        <v>Рубцовск</v>
      </c>
      <c r="H447" s="11" t="str">
        <f>RAW_Клиенты!G446</f>
        <v>01.05.2034</v>
      </c>
      <c r="I447" s="12" t="str">
        <f t="shared" si="411"/>
        <v>79034567890</v>
      </c>
      <c r="J447" s="12" t="str">
        <f t="shared" si="412"/>
        <v>zarubin@mail</v>
      </c>
      <c r="K447" s="12" t="str">
        <f t="shared" si="413"/>
        <v>Рубцовск</v>
      </c>
      <c r="L447" s="13" t="str">
        <f t="shared" si="414"/>
        <v>C0445</v>
      </c>
      <c r="M447" s="13" t="str">
        <f t="shared" si="415"/>
        <v xml:space="preserve">Зарубин Илья Викторович</v>
      </c>
      <c r="N447" s="13" t="str">
        <f t="shared" si="416"/>
        <v>OK</v>
      </c>
      <c r="O447" s="19">
        <f t="shared" si="417"/>
        <v>32345</v>
      </c>
      <c r="P447" s="19">
        <f t="shared" si="418"/>
        <v>49065</v>
      </c>
      <c r="Q447" s="13">
        <f t="shared" ca="1" si="419"/>
        <v>38</v>
      </c>
      <c r="R447" s="13" t="str">
        <f t="shared" si="420"/>
        <v>OK</v>
      </c>
      <c r="S447" s="13" t="str">
        <f t="shared" si="421"/>
        <v xml:space="preserve">+7 (903) 456-78-90</v>
      </c>
      <c r="T447" s="13" t="str">
        <f t="shared" si="422"/>
        <v>zarubin@mail</v>
      </c>
      <c r="U447" s="18" t="str">
        <f t="shared" si="423"/>
        <v xml:space="preserve">Ошибка Email</v>
      </c>
      <c r="V447" s="13" t="str">
        <f>IFERROR(VLOOKUP(K447,Справочники!$K$6:$L$13,2,0),K447)</f>
        <v>Рубцовск</v>
      </c>
    </row>
    <row r="448" ht="15" customHeight="1">
      <c r="A448" s="10">
        <v>446</v>
      </c>
      <c r="B448" s="11" t="str">
        <f>RAW_Клиенты!A447</f>
        <v>C0446</v>
      </c>
      <c r="C448" s="11" t="str">
        <f>RAW_Клиенты!B447</f>
        <v xml:space="preserve">Калинина Мария Сергеевна</v>
      </c>
      <c r="D448" s="11" t="str">
        <f>RAW_Клиенты!C447</f>
        <v>16.10.1980</v>
      </c>
      <c r="E448" s="11" t="str">
        <f>RAW_Клиенты!D447</f>
        <v>8-903-456-78-90</v>
      </c>
      <c r="F448" s="11" t="str">
        <f>RAW_Клиенты!E447</f>
        <v>kalinina@yandex</v>
      </c>
      <c r="G448" s="11" t="str">
        <f>RAW_Клиенты!F447</f>
        <v>Элиста</v>
      </c>
      <c r="H448" s="11" t="str">
        <f>RAW_Клиенты!G447</f>
        <v>2034-05-15</v>
      </c>
      <c r="I448" s="12" t="str">
        <f t="shared" si="411"/>
        <v>89034567890</v>
      </c>
      <c r="J448" s="12" t="str">
        <f t="shared" si="412"/>
        <v>kalinina@yandex</v>
      </c>
      <c r="K448" s="12" t="str">
        <f t="shared" si="413"/>
        <v>Элиста</v>
      </c>
      <c r="L448" s="13" t="str">
        <f t="shared" si="414"/>
        <v>C0446</v>
      </c>
      <c r="M448" s="13" t="str">
        <f t="shared" si="415"/>
        <v xml:space="preserve">Калинина Мария Сергеевна</v>
      </c>
      <c r="N448" s="13" t="str">
        <f t="shared" si="416"/>
        <v>OK</v>
      </c>
      <c r="O448" s="19">
        <f t="shared" si="417"/>
        <v>29510</v>
      </c>
      <c r="P448" s="19">
        <f t="shared" si="418"/>
        <v>49079</v>
      </c>
      <c r="Q448" s="13">
        <f t="shared" ca="1" si="419"/>
        <v>45</v>
      </c>
      <c r="R448" s="13" t="str">
        <f t="shared" si="420"/>
        <v>OK</v>
      </c>
      <c r="S448" s="13" t="str">
        <f t="shared" si="421"/>
        <v xml:space="preserve">+7 (903) 456-78-90</v>
      </c>
      <c r="T448" s="13" t="str">
        <f t="shared" si="422"/>
        <v>kalinina@yandex</v>
      </c>
      <c r="U448" s="18" t="str">
        <f t="shared" si="423"/>
        <v xml:space="preserve">Ошибка Email</v>
      </c>
      <c r="V448" s="13" t="str">
        <f>IFERROR(VLOOKUP(K448,Справочники!$K$6:$L$13,2,0),K448)</f>
        <v>Элиста</v>
      </c>
    </row>
    <row r="449" ht="15" customHeight="1">
      <c r="A449" s="10">
        <v>447</v>
      </c>
      <c r="B449" s="11" t="str">
        <f>RAW_Клиенты!A448</f>
        <v>C0447</v>
      </c>
      <c r="C449" s="11" t="str">
        <f>RAW_Клиенты!B448</f>
        <v xml:space="preserve">Свиридов Денис Олегович</v>
      </c>
      <c r="D449" s="11" t="str">
        <f>RAW_Клиенты!C448</f>
        <v>05.05.1973</v>
      </c>
      <c r="E449" s="11" t="str">
        <f>RAW_Клиенты!D448</f>
        <v xml:space="preserve">8 903 567 89 01</v>
      </c>
      <c r="F449" s="11" t="str">
        <f>RAW_Клиенты!E448</f>
        <v>sviridov@gmail</v>
      </c>
      <c r="G449" s="11" t="str">
        <f>RAW_Клиенты!F448</f>
        <v>Орск</v>
      </c>
      <c r="H449" s="11" t="str">
        <f>RAW_Клиенты!G448</f>
        <v>15.05.2034</v>
      </c>
      <c r="I449" s="12" t="str">
        <f t="shared" si="411"/>
        <v>89035678901</v>
      </c>
      <c r="J449" s="12" t="str">
        <f t="shared" si="412"/>
        <v>sviridov@gmail</v>
      </c>
      <c r="K449" s="12" t="str">
        <f t="shared" si="413"/>
        <v>Орск</v>
      </c>
      <c r="L449" s="13" t="str">
        <f t="shared" si="414"/>
        <v>C0447</v>
      </c>
      <c r="M449" s="13" t="str">
        <f t="shared" si="415"/>
        <v xml:space="preserve">Свиридов Денис Олегович</v>
      </c>
      <c r="N449" s="13" t="str">
        <f t="shared" si="416"/>
        <v>OK</v>
      </c>
      <c r="O449" s="19">
        <f t="shared" si="417"/>
        <v>26789</v>
      </c>
      <c r="P449" s="19">
        <f t="shared" si="418"/>
        <v>49079</v>
      </c>
      <c r="Q449" s="13">
        <f t="shared" ca="1" si="419"/>
        <v>53</v>
      </c>
      <c r="R449" s="13" t="str">
        <f t="shared" si="420"/>
        <v>OK</v>
      </c>
      <c r="S449" s="13" t="str">
        <f t="shared" si="421"/>
        <v xml:space="preserve">+7 (903) 567-89-01</v>
      </c>
      <c r="T449" s="13" t="str">
        <f t="shared" si="422"/>
        <v>sviridov@gmail</v>
      </c>
      <c r="U449" s="18" t="str">
        <f t="shared" si="423"/>
        <v xml:space="preserve">Ошибка Email</v>
      </c>
      <c r="V449" s="13" t="str">
        <f>IFERROR(VLOOKUP(K449,Справочники!$K$6:$L$13,2,0),K449)</f>
        <v>Орск</v>
      </c>
    </row>
    <row r="450" ht="15" customHeight="1">
      <c r="A450" s="10">
        <v>448</v>
      </c>
      <c r="B450" s="11" t="str">
        <f>RAW_Клиенты!A449</f>
        <v>C0448</v>
      </c>
      <c r="C450" s="11" t="str">
        <f>RAW_Клиенты!B449</f>
        <v xml:space="preserve">Игнатьев Андрей Павлович</v>
      </c>
      <c r="D450" s="11" t="str">
        <f>RAW_Клиенты!C449</f>
        <v>28.08.1984</v>
      </c>
      <c r="E450" s="11" t="str">
        <f>RAW_Клиенты!D449</f>
        <v>+79035678901</v>
      </c>
      <c r="F450" s="11" t="str">
        <f>RAW_Клиенты!E449</f>
        <v>ignatiev@mail</v>
      </c>
      <c r="G450" s="11" t="str">
        <f>RAW_Клиенты!F449</f>
        <v>Нижневартовск</v>
      </c>
      <c r="H450" s="11" t="str">
        <f>RAW_Клиенты!G449</f>
        <v>01.06.2034</v>
      </c>
      <c r="I450" s="12" t="str">
        <f t="shared" si="411"/>
        <v>79035678901</v>
      </c>
      <c r="J450" s="12" t="str">
        <f t="shared" si="412"/>
        <v>ignatiev@mail</v>
      </c>
      <c r="K450" s="12" t="str">
        <f t="shared" si="413"/>
        <v>Нижневартовск</v>
      </c>
      <c r="L450" s="13" t="str">
        <f t="shared" si="414"/>
        <v>C0448</v>
      </c>
      <c r="M450" s="13" t="str">
        <f t="shared" si="415"/>
        <v xml:space="preserve">Игнатьев Андрей Павлович</v>
      </c>
      <c r="N450" s="13" t="str">
        <f t="shared" si="416"/>
        <v>OK</v>
      </c>
      <c r="O450" s="19">
        <f t="shared" si="417"/>
        <v>30922</v>
      </c>
      <c r="P450" s="19">
        <f t="shared" si="418"/>
        <v>49096</v>
      </c>
      <c r="Q450" s="13">
        <f t="shared" ca="1" si="419"/>
        <v>42</v>
      </c>
      <c r="R450" s="13" t="str">
        <f t="shared" si="420"/>
        <v>OK</v>
      </c>
      <c r="S450" s="13" t="str">
        <f t="shared" si="421"/>
        <v xml:space="preserve">+7 (903) 567-89-01</v>
      </c>
      <c r="T450" s="13" t="str">
        <f t="shared" si="422"/>
        <v>ignatiev@mail</v>
      </c>
      <c r="U450" s="18" t="str">
        <f t="shared" si="423"/>
        <v xml:space="preserve">Ошибка Email</v>
      </c>
      <c r="V450" s="13" t="str">
        <f>IFERROR(VLOOKUP(K450,Справочники!$K$6:$L$13,2,0),K450)</f>
        <v>Нижневартовск</v>
      </c>
    </row>
    <row r="451" ht="15" customHeight="1">
      <c r="A451" s="10">
        <v>449</v>
      </c>
      <c r="B451" s="11" t="str">
        <f>RAW_Клиенты!A450</f>
        <v>C0449</v>
      </c>
      <c r="C451" s="11" t="str">
        <f>RAW_Клиенты!B450</f>
        <v xml:space="preserve">Шаталова Ольга Владимировна</v>
      </c>
      <c r="D451" s="11" t="str">
        <f>RAW_Клиенты!C450</f>
        <v>12.01.1991</v>
      </c>
      <c r="E451" s="11" t="str">
        <f>RAW_Клиенты!D450</f>
        <v>8-903-567-89-01</v>
      </c>
      <c r="F451" s="11" t="str">
        <f>RAW_Клиенты!E450</f>
        <v>shatalova@yandex</v>
      </c>
      <c r="G451" s="11" t="str">
        <f>RAW_Клиенты!F450</f>
        <v>Новороссийск</v>
      </c>
      <c r="H451" s="11" t="str">
        <f>RAW_Клиенты!G450</f>
        <v>2034-06-10</v>
      </c>
      <c r="I451" s="12" t="str">
        <f t="shared" si="411"/>
        <v>89035678901</v>
      </c>
      <c r="J451" s="12" t="str">
        <f t="shared" si="412"/>
        <v>shatalova@yandex</v>
      </c>
      <c r="K451" s="12" t="str">
        <f t="shared" si="413"/>
        <v>Новороссийск</v>
      </c>
      <c r="L451" s="13" t="str">
        <f t="shared" si="414"/>
        <v>C0449</v>
      </c>
      <c r="M451" s="13" t="str">
        <f t="shared" si="415"/>
        <v xml:space="preserve">Шаталова Ольга Владимировна</v>
      </c>
      <c r="N451" s="13" t="str">
        <f t="shared" si="416"/>
        <v>OK</v>
      </c>
      <c r="O451" s="19">
        <f t="shared" si="417"/>
        <v>33250</v>
      </c>
      <c r="P451" s="19">
        <f t="shared" si="418"/>
        <v>49105</v>
      </c>
      <c r="Q451" s="13">
        <f t="shared" ca="1" si="419"/>
        <v>35</v>
      </c>
      <c r="R451" s="13" t="str">
        <f t="shared" si="420"/>
        <v>OK</v>
      </c>
      <c r="S451" s="13" t="str">
        <f t="shared" si="421"/>
        <v xml:space="preserve">+7 (903) 567-89-01</v>
      </c>
      <c r="T451" s="13" t="str">
        <f t="shared" si="422"/>
        <v>shatalova@yandex</v>
      </c>
      <c r="U451" s="18" t="str">
        <f t="shared" si="423"/>
        <v xml:space="preserve">Ошибка Email</v>
      </c>
      <c r="V451" s="13" t="str">
        <f>IFERROR(VLOOKUP(K451,Справочники!$K$6:$L$13,2,0),K451)</f>
        <v>Новороссийск</v>
      </c>
    </row>
    <row r="452" ht="15" customHeight="1">
      <c r="A452" s="10">
        <v>450</v>
      </c>
      <c r="B452" s="11" t="str">
        <f>RAW_Клиенты!A451</f>
        <v>C0450</v>
      </c>
      <c r="C452" s="11" t="str">
        <f>RAW_Клиенты!B451</f>
        <v xml:space="preserve">Шумаков Илья Алексеевич</v>
      </c>
      <c r="D452" s="11" t="str">
        <f>RAW_Клиенты!C451</f>
        <v>23.07.1978</v>
      </c>
      <c r="E452" s="11" t="str">
        <f>RAW_Клиенты!D451</f>
        <v xml:space="preserve">8 903 678 90 12</v>
      </c>
      <c r="F452" s="11" t="str">
        <f>RAW_Клиенты!E451</f>
        <v>shumakov@gmail</v>
      </c>
      <c r="G452" s="11" t="str">
        <f>RAW_Клиенты!F451</f>
        <v>Химки</v>
      </c>
      <c r="H452" s="11" t="str">
        <f>RAW_Клиенты!G451</f>
        <v>10.06.2034</v>
      </c>
      <c r="I452" s="12" t="str">
        <f t="shared" si="411"/>
        <v>89036789012</v>
      </c>
      <c r="J452" s="12" t="str">
        <f t="shared" si="412"/>
        <v>shumakov@gmail</v>
      </c>
      <c r="K452" s="12" t="str">
        <f t="shared" si="413"/>
        <v>Химки</v>
      </c>
      <c r="L452" s="13" t="str">
        <f t="shared" si="414"/>
        <v>C0450</v>
      </c>
      <c r="M452" s="13" t="str">
        <f t="shared" si="415"/>
        <v xml:space="preserve">Шумаков Илья Алексеевич</v>
      </c>
      <c r="N452" s="13" t="str">
        <f t="shared" si="416"/>
        <v>OK</v>
      </c>
      <c r="O452" s="19">
        <f t="shared" si="417"/>
        <v>28694</v>
      </c>
      <c r="P452" s="19">
        <f t="shared" si="418"/>
        <v>49105</v>
      </c>
      <c r="Q452" s="13">
        <f t="shared" ca="1" si="419"/>
        <v>48</v>
      </c>
      <c r="R452" s="13" t="str">
        <f t="shared" si="420"/>
        <v>OK</v>
      </c>
      <c r="S452" s="13" t="str">
        <f t="shared" si="421"/>
        <v xml:space="preserve">+7 (903) 678-90-12</v>
      </c>
      <c r="T452" s="13" t="str">
        <f t="shared" si="422"/>
        <v>shumakov@gmail</v>
      </c>
      <c r="U452" s="18" t="str">
        <f t="shared" si="423"/>
        <v xml:space="preserve">Ошибка Email</v>
      </c>
      <c r="V452" s="13" t="str">
        <f>IFERROR(VLOOKUP(K452,Справочники!$K$6:$L$13,2,0),K452)</f>
        <v>Химки</v>
      </c>
    </row>
    <row r="453" ht="15" customHeight="1">
      <c r="A453" s="10">
        <v>451</v>
      </c>
      <c r="B453" s="11" t="str">
        <f>RAW_Клиенты!A452</f>
        <v>C0451</v>
      </c>
      <c r="C453" s="11" t="str">
        <f>RAW_Клиенты!B452</f>
        <v xml:space="preserve">Дробышева Екатерина Сергеевна</v>
      </c>
      <c r="D453" s="11" t="str">
        <f>RAW_Клиенты!C452</f>
        <v>15.12.1986</v>
      </c>
      <c r="E453" s="11" t="str">
        <f>RAW_Клиенты!D452</f>
        <v>+79036789012</v>
      </c>
      <c r="F453" s="11" t="str">
        <f>RAW_Клиенты!E452</f>
        <v>drobysheva@mail</v>
      </c>
      <c r="G453" s="11" t="str">
        <f>RAW_Клиенты!F452</f>
        <v>Подольск</v>
      </c>
      <c r="H453" s="11" t="str">
        <f>RAW_Клиенты!G452</f>
        <v>01.07.2034</v>
      </c>
      <c r="I453" s="12" t="str">
        <f t="shared" si="411"/>
        <v>79036789012</v>
      </c>
      <c r="J453" s="12" t="str">
        <f t="shared" si="412"/>
        <v>drobysheva@mail</v>
      </c>
      <c r="K453" s="12" t="str">
        <f t="shared" si="413"/>
        <v>Подольск</v>
      </c>
      <c r="L453" s="13" t="str">
        <f t="shared" si="414"/>
        <v>C0451</v>
      </c>
      <c r="M453" s="13" t="str">
        <f t="shared" si="415"/>
        <v xml:space="preserve">Дробышева Екатерина Сергеевна</v>
      </c>
      <c r="N453" s="13" t="str">
        <f t="shared" si="416"/>
        <v>OK</v>
      </c>
      <c r="O453" s="19">
        <f t="shared" si="417"/>
        <v>31761</v>
      </c>
      <c r="P453" s="19">
        <f t="shared" si="418"/>
        <v>49126</v>
      </c>
      <c r="Q453" s="13">
        <f t="shared" ca="1" si="419"/>
        <v>39</v>
      </c>
      <c r="R453" s="13" t="str">
        <f t="shared" si="420"/>
        <v>OK</v>
      </c>
      <c r="S453" s="13" t="str">
        <f t="shared" si="421"/>
        <v xml:space="preserve">+7 (903) 678-90-12</v>
      </c>
      <c r="T453" s="13" t="str">
        <f t="shared" si="422"/>
        <v>drobysheva@mail</v>
      </c>
      <c r="U453" s="18" t="str">
        <f t="shared" si="423"/>
        <v xml:space="preserve">Ошибка Email</v>
      </c>
      <c r="V453" s="13" t="str">
        <f>IFERROR(VLOOKUP(K453,Справочники!$K$6:$L$13,2,0),K453)</f>
        <v>Подольск</v>
      </c>
    </row>
    <row r="454" ht="15" customHeight="1">
      <c r="A454" s="10">
        <v>452</v>
      </c>
      <c r="B454" s="11" t="str">
        <f>RAW_Клиенты!A453</f>
        <v>C0452</v>
      </c>
      <c r="C454" s="11" t="str">
        <f>RAW_Клиенты!B453</f>
        <v xml:space="preserve">Петрухин Денис Викторович</v>
      </c>
      <c r="D454" s="11" t="str">
        <f>RAW_Клиенты!C453</f>
        <v>09.04.1992</v>
      </c>
      <c r="E454" s="11" t="str">
        <f>RAW_Клиенты!D453</f>
        <v>8-903-678-90-12</v>
      </c>
      <c r="F454" s="11" t="str">
        <f>RAW_Клиенты!E453</f>
        <v>petruhin@yandex</v>
      </c>
      <c r="G454" s="11" t="str">
        <f>RAW_Клиенты!F453</f>
        <v>Балашиха</v>
      </c>
      <c r="H454" s="11" t="str">
        <f>RAW_Клиенты!G453</f>
        <v>2034-07-15</v>
      </c>
      <c r="I454" s="12" t="str">
        <f t="shared" si="411"/>
        <v>89036789012</v>
      </c>
      <c r="J454" s="12" t="str">
        <f t="shared" si="412"/>
        <v>petruhin@yandex</v>
      </c>
      <c r="K454" s="12" t="str">
        <f t="shared" si="413"/>
        <v>Балашиха</v>
      </c>
      <c r="L454" s="13" t="str">
        <f t="shared" si="414"/>
        <v>C0452</v>
      </c>
      <c r="M454" s="13" t="str">
        <f t="shared" si="415"/>
        <v xml:space="preserve">Петрухин Денис Викторович</v>
      </c>
      <c r="N454" s="13" t="str">
        <f t="shared" si="416"/>
        <v>OK</v>
      </c>
      <c r="O454" s="19">
        <f t="shared" si="417"/>
        <v>33703</v>
      </c>
      <c r="P454" s="19">
        <f t="shared" si="418"/>
        <v>49140</v>
      </c>
      <c r="Q454" s="13">
        <f t="shared" ca="1" si="419"/>
        <v>34</v>
      </c>
      <c r="R454" s="13" t="str">
        <f t="shared" si="420"/>
        <v>OK</v>
      </c>
      <c r="S454" s="13" t="str">
        <f t="shared" si="421"/>
        <v xml:space="preserve">+7 (903) 678-90-12</v>
      </c>
      <c r="T454" s="13" t="str">
        <f t="shared" si="422"/>
        <v>petruhin@yandex</v>
      </c>
      <c r="U454" s="18" t="str">
        <f t="shared" si="423"/>
        <v xml:space="preserve">Ошибка Email</v>
      </c>
      <c r="V454" s="13" t="str">
        <f>IFERROR(VLOOKUP(K454,Справочники!$K$6:$L$13,2,0),K454)</f>
        <v>Балашиха</v>
      </c>
    </row>
    <row r="455" ht="15" customHeight="1">
      <c r="A455" s="10">
        <v>453</v>
      </c>
      <c r="B455" s="11" t="str">
        <f>RAW_Клиенты!A454</f>
        <v>C0453</v>
      </c>
      <c r="C455" s="11" t="str">
        <f>RAW_Клиенты!B454</f>
        <v xml:space="preserve">Буторина Мария Олеговна</v>
      </c>
      <c r="D455" s="11" t="str">
        <f>RAW_Клиенты!C454</f>
        <v>01.11.1979</v>
      </c>
      <c r="E455" s="11" t="str">
        <f>RAW_Клиенты!D454</f>
        <v xml:space="preserve">8 903 789 01 23</v>
      </c>
      <c r="F455" s="11" t="str">
        <f>RAW_Клиенты!E454</f>
        <v>butorina@gmail</v>
      </c>
      <c r="G455" s="11" t="str">
        <f>RAW_Клиенты!F454</f>
        <v>Сургут</v>
      </c>
      <c r="H455" s="11" t="str">
        <f>RAW_Клиенты!G454</f>
        <v>15.07.2034</v>
      </c>
      <c r="I455" s="12" t="str">
        <f t="shared" si="411"/>
        <v>89037890123</v>
      </c>
      <c r="J455" s="12" t="str">
        <f t="shared" si="412"/>
        <v>butorina@gmail</v>
      </c>
      <c r="K455" s="12" t="str">
        <f t="shared" si="413"/>
        <v>Сургут</v>
      </c>
      <c r="L455" s="13" t="str">
        <f t="shared" si="414"/>
        <v>C0453</v>
      </c>
      <c r="M455" s="13" t="str">
        <f t="shared" si="415"/>
        <v xml:space="preserve">Буторина Мария Олеговна</v>
      </c>
      <c r="N455" s="13" t="str">
        <f t="shared" si="416"/>
        <v>OK</v>
      </c>
      <c r="O455" s="19">
        <f t="shared" si="417"/>
        <v>29160</v>
      </c>
      <c r="P455" s="19">
        <f t="shared" si="418"/>
        <v>49140</v>
      </c>
      <c r="Q455" s="13">
        <f t="shared" ca="1" si="419"/>
        <v>46</v>
      </c>
      <c r="R455" s="13" t="str">
        <f t="shared" si="420"/>
        <v>OK</v>
      </c>
      <c r="S455" s="13" t="str">
        <f t="shared" si="421"/>
        <v xml:space="preserve">+7 (903) 789-01-23</v>
      </c>
      <c r="T455" s="13" t="str">
        <f t="shared" si="422"/>
        <v>butorina@gmail</v>
      </c>
      <c r="U455" s="18" t="str">
        <f t="shared" si="423"/>
        <v xml:space="preserve">Ошибка Email</v>
      </c>
      <c r="V455" s="13" t="str">
        <f>IFERROR(VLOOKUP(K455,Справочники!$K$6:$L$13,2,0),K455)</f>
        <v>Сургут</v>
      </c>
    </row>
    <row r="456" ht="15" customHeight="1">
      <c r="A456" s="10">
        <v>454</v>
      </c>
      <c r="B456" s="11" t="str">
        <f>RAW_Клиенты!A455</f>
        <v>C0454</v>
      </c>
      <c r="C456" s="11" t="str">
        <f>RAW_Клиенты!B455</f>
        <v xml:space="preserve">Кисель Андрей Александрович</v>
      </c>
      <c r="D456" s="11" t="str">
        <f>RAW_Клиенты!C455</f>
        <v>19.09.1983</v>
      </c>
      <c r="E456" s="11" t="str">
        <f>RAW_Клиенты!D455</f>
        <v>+79037890123</v>
      </c>
      <c r="F456" s="11" t="str">
        <f>RAW_Клиенты!E455</f>
        <v>kisel@mail</v>
      </c>
      <c r="G456" s="11" t="str">
        <f>RAW_Клиенты!F455</f>
        <v>Армавир</v>
      </c>
      <c r="H456" s="11" t="str">
        <f>RAW_Клиенты!G455</f>
        <v>01.08.2034</v>
      </c>
      <c r="I456" s="12" t="str">
        <f t="shared" si="411"/>
        <v>79037890123</v>
      </c>
      <c r="J456" s="12" t="str">
        <f t="shared" si="412"/>
        <v>kisel@mail</v>
      </c>
      <c r="K456" s="12" t="str">
        <f t="shared" si="413"/>
        <v>Армавир</v>
      </c>
      <c r="L456" s="13" t="str">
        <f t="shared" si="414"/>
        <v>C0454</v>
      </c>
      <c r="M456" s="13" t="str">
        <f t="shared" si="415"/>
        <v xml:space="preserve">Кисель Андрей Александрович</v>
      </c>
      <c r="N456" s="13" t="str">
        <f t="shared" si="416"/>
        <v>OK</v>
      </c>
      <c r="O456" s="19">
        <f t="shared" si="417"/>
        <v>30578</v>
      </c>
      <c r="P456" s="19">
        <f t="shared" si="418"/>
        <v>49157</v>
      </c>
      <c r="Q456" s="13">
        <f t="shared" ca="1" si="419"/>
        <v>43</v>
      </c>
      <c r="R456" s="13" t="str">
        <f t="shared" si="420"/>
        <v>OK</v>
      </c>
      <c r="S456" s="13" t="str">
        <f t="shared" si="421"/>
        <v xml:space="preserve">+7 (903) 789-01-23</v>
      </c>
      <c r="T456" s="13" t="str">
        <f t="shared" si="422"/>
        <v>kisel@mail</v>
      </c>
      <c r="U456" s="18" t="str">
        <f t="shared" si="423"/>
        <v xml:space="preserve">Ошибка Email</v>
      </c>
      <c r="V456" s="13" t="str">
        <f>IFERROR(VLOOKUP(K456,Справочники!$K$6:$L$13,2,0),K456)</f>
        <v>Армавир</v>
      </c>
    </row>
    <row r="457" ht="15" customHeight="1">
      <c r="A457" s="10">
        <v>455</v>
      </c>
      <c r="B457" s="11" t="str">
        <f>RAW_Клиенты!A456</f>
        <v>C0455</v>
      </c>
      <c r="C457" s="11" t="str">
        <f>RAW_Клиенты!B456</f>
        <v xml:space="preserve">Юсупова Ольга Павловна</v>
      </c>
      <c r="D457" s="11" t="str">
        <f>RAW_Клиенты!C456</f>
        <v>27.05.1987</v>
      </c>
      <c r="E457" s="11" t="str">
        <f>RAW_Клиенты!D456</f>
        <v>8-903-789-01-23</v>
      </c>
      <c r="F457" s="11" t="str">
        <f>RAW_Клиенты!E456</f>
        <v>yusupova@yandex</v>
      </c>
      <c r="G457" s="11" t="str">
        <f>RAW_Клиенты!F456</f>
        <v>Волжский</v>
      </c>
      <c r="H457" s="11" t="str">
        <f>RAW_Клиенты!G456</f>
        <v>2034-08-10</v>
      </c>
      <c r="I457" s="12" t="str">
        <f t="shared" si="411"/>
        <v>89037890123</v>
      </c>
      <c r="J457" s="12" t="str">
        <f t="shared" si="412"/>
        <v>yusupova@yandex</v>
      </c>
      <c r="K457" s="12" t="str">
        <f t="shared" si="413"/>
        <v>Волжский</v>
      </c>
      <c r="L457" s="13" t="str">
        <f t="shared" si="414"/>
        <v>C0455</v>
      </c>
      <c r="M457" s="13" t="str">
        <f t="shared" si="415"/>
        <v xml:space="preserve">Юсупова Ольга Павловна</v>
      </c>
      <c r="N457" s="13" t="str">
        <f t="shared" si="416"/>
        <v>OK</v>
      </c>
      <c r="O457" s="19">
        <f t="shared" si="417"/>
        <v>31924</v>
      </c>
      <c r="P457" s="19">
        <f t="shared" si="418"/>
        <v>49166</v>
      </c>
      <c r="Q457" s="13">
        <f t="shared" ca="1" si="419"/>
        <v>39</v>
      </c>
      <c r="R457" s="13" t="str">
        <f t="shared" si="420"/>
        <v>OK</v>
      </c>
      <c r="S457" s="13" t="str">
        <f t="shared" si="421"/>
        <v xml:space="preserve">+7 (903) 789-01-23</v>
      </c>
      <c r="T457" s="13" t="str">
        <f t="shared" si="422"/>
        <v>yusupova@yandex</v>
      </c>
      <c r="U457" s="18" t="str">
        <f t="shared" si="423"/>
        <v xml:space="preserve">Ошибка Email</v>
      </c>
      <c r="V457" s="13" t="str">
        <f>IFERROR(VLOOKUP(K457,Справочники!$K$6:$L$13,2,0),K457)</f>
        <v>Волжский</v>
      </c>
    </row>
    <row r="458" ht="15" customHeight="1">
      <c r="A458" s="10">
        <v>456</v>
      </c>
      <c r="B458" s="11" t="str">
        <f>RAW_Клиенты!A457</f>
        <v>C0456</v>
      </c>
      <c r="C458" s="11" t="str">
        <f>RAW_Клиенты!B457</f>
        <v xml:space="preserve">Рудаков Илья Игоревич</v>
      </c>
      <c r="D458" s="11" t="str">
        <f>RAW_Клиенты!C457</f>
        <v>16.02.1975</v>
      </c>
      <c r="E458" s="11" t="str">
        <f>RAW_Клиенты!D457</f>
        <v xml:space="preserve">8 903 890 12 34</v>
      </c>
      <c r="F458" s="11" t="str">
        <f>RAW_Клиенты!E457</f>
        <v>rudakov@gmail</v>
      </c>
      <c r="G458" s="11" t="str">
        <f>RAW_Клиенты!F457</f>
        <v>Шахты</v>
      </c>
      <c r="H458" s="11" t="str">
        <f>RAW_Клиенты!G457</f>
        <v>10.08.2034</v>
      </c>
      <c r="I458" s="12" t="str">
        <f t="shared" si="411"/>
        <v>89038901234</v>
      </c>
      <c r="J458" s="12" t="str">
        <f t="shared" si="412"/>
        <v>rudakov@gmail</v>
      </c>
      <c r="K458" s="12" t="str">
        <f t="shared" si="413"/>
        <v>Шахты</v>
      </c>
      <c r="L458" s="13" t="str">
        <f t="shared" si="414"/>
        <v>C0456</v>
      </c>
      <c r="M458" s="13" t="str">
        <f t="shared" si="415"/>
        <v xml:space="preserve">Рудаков Илья Игоревич</v>
      </c>
      <c r="N458" s="13" t="str">
        <f t="shared" si="416"/>
        <v>OK</v>
      </c>
      <c r="O458" s="19">
        <f t="shared" si="417"/>
        <v>27441</v>
      </c>
      <c r="P458" s="19">
        <f t="shared" si="418"/>
        <v>49166</v>
      </c>
      <c r="Q458" s="13">
        <f t="shared" ca="1" si="419"/>
        <v>51</v>
      </c>
      <c r="R458" s="13" t="str">
        <f t="shared" si="420"/>
        <v>OK</v>
      </c>
      <c r="S458" s="13" t="str">
        <f t="shared" si="421"/>
        <v xml:space="preserve">+7 (903) 890-12-34</v>
      </c>
      <c r="T458" s="13" t="str">
        <f t="shared" si="422"/>
        <v>rudakov@gmail</v>
      </c>
      <c r="U458" s="18" t="str">
        <f t="shared" si="423"/>
        <v xml:space="preserve">Ошибка Email</v>
      </c>
      <c r="V458" s="13" t="str">
        <f>IFERROR(VLOOKUP(K458,Справочники!$K$6:$L$13,2,0),K458)</f>
        <v>Шахты</v>
      </c>
    </row>
    <row r="459" ht="15" customHeight="1">
      <c r="A459" s="10">
        <v>457</v>
      </c>
      <c r="B459" s="11" t="str">
        <f>RAW_Клиенты!A458</f>
        <v>C0457</v>
      </c>
      <c r="C459" s="11" t="str">
        <f>RAW_Клиенты!B458</f>
        <v xml:space="preserve">Мосина Елена Владимировна</v>
      </c>
      <c r="D459" s="11" t="str">
        <f>RAW_Клиенты!C458</f>
        <v>06.08.1980</v>
      </c>
      <c r="E459" s="11" t="str">
        <f>RAW_Клиенты!D458</f>
        <v>+79038901234</v>
      </c>
      <c r="F459" s="11" t="str">
        <f>RAW_Клиенты!E458</f>
        <v>mosina@mail</v>
      </c>
      <c r="G459" s="11" t="str">
        <f>RAW_Клиенты!F458</f>
        <v>Златоуст</v>
      </c>
      <c r="H459" s="11" t="str">
        <f>RAW_Клиенты!G458</f>
        <v>01.09.2034</v>
      </c>
      <c r="I459" s="12" t="str">
        <f t="shared" si="411"/>
        <v>79038901234</v>
      </c>
      <c r="J459" s="12" t="str">
        <f t="shared" si="412"/>
        <v>mosina@mail</v>
      </c>
      <c r="K459" s="12" t="str">
        <f t="shared" si="413"/>
        <v>Златоуст</v>
      </c>
      <c r="L459" s="13" t="str">
        <f t="shared" si="414"/>
        <v>C0457</v>
      </c>
      <c r="M459" s="13" t="str">
        <f t="shared" si="415"/>
        <v xml:space="preserve">Мосина Елена Владимировна</v>
      </c>
      <c r="N459" s="13" t="str">
        <f t="shared" si="416"/>
        <v>OK</v>
      </c>
      <c r="O459" s="19">
        <f t="shared" si="417"/>
        <v>29439</v>
      </c>
      <c r="P459" s="19">
        <f t="shared" si="418"/>
        <v>49188</v>
      </c>
      <c r="Q459" s="13">
        <f t="shared" ca="1" si="419"/>
        <v>46</v>
      </c>
      <c r="R459" s="13" t="str">
        <f t="shared" si="420"/>
        <v>OK</v>
      </c>
      <c r="S459" s="13" t="str">
        <f t="shared" si="421"/>
        <v xml:space="preserve">+7 (903) 890-12-34</v>
      </c>
      <c r="T459" s="13" t="str">
        <f t="shared" si="422"/>
        <v>mosina@mail</v>
      </c>
      <c r="U459" s="18" t="str">
        <f t="shared" si="423"/>
        <v xml:space="preserve">Ошибка Email</v>
      </c>
      <c r="V459" s="13" t="str">
        <f>IFERROR(VLOOKUP(K459,Справочники!$K$6:$L$13,2,0),K459)</f>
        <v>Златоуст</v>
      </c>
    </row>
    <row r="460" ht="15" customHeight="1">
      <c r="A460" s="10">
        <v>458</v>
      </c>
      <c r="B460" s="11" t="str">
        <f>RAW_Клиенты!A459</f>
        <v>C0458</v>
      </c>
      <c r="C460" s="11" t="str">
        <f>RAW_Клиенты!B459</f>
        <v xml:space="preserve">Титов Андрей Сергеевич</v>
      </c>
      <c r="D460" s="11" t="str">
        <f>RAW_Клиенты!C459</f>
        <v>25.10.1990</v>
      </c>
      <c r="E460" s="11" t="str">
        <f>RAW_Клиенты!D459</f>
        <v>8-903-890-12-34</v>
      </c>
      <c r="F460" s="11" t="str">
        <f>RAW_Клиенты!E459</f>
        <v>titov@yandex</v>
      </c>
      <c r="G460" s="11" t="str">
        <f>RAW_Клиенты!F459</f>
        <v>Ангарск</v>
      </c>
      <c r="H460" s="11" t="str">
        <f>RAW_Клиенты!G459</f>
        <v>2034-09-15</v>
      </c>
      <c r="I460" s="12" t="str">
        <f t="shared" si="411"/>
        <v>89038901234</v>
      </c>
      <c r="J460" s="12" t="str">
        <f t="shared" si="412"/>
        <v>titov@yandex</v>
      </c>
      <c r="K460" s="12" t="str">
        <f t="shared" si="413"/>
        <v>Ангарск</v>
      </c>
      <c r="L460" s="13" t="str">
        <f t="shared" si="414"/>
        <v>C0458</v>
      </c>
      <c r="M460" s="13" t="str">
        <f t="shared" si="415"/>
        <v xml:space="preserve">Титов Андрей Сергеевич</v>
      </c>
      <c r="N460" s="13" t="str">
        <f t="shared" si="416"/>
        <v>OK</v>
      </c>
      <c r="O460" s="19">
        <f t="shared" si="417"/>
        <v>33171</v>
      </c>
      <c r="P460" s="19">
        <f t="shared" si="418"/>
        <v>49202</v>
      </c>
      <c r="Q460" s="13">
        <f t="shared" ca="1" si="419"/>
        <v>35</v>
      </c>
      <c r="R460" s="13" t="str">
        <f t="shared" si="420"/>
        <v>OK</v>
      </c>
      <c r="S460" s="13" t="str">
        <f t="shared" si="421"/>
        <v xml:space="preserve">+7 (903) 890-12-34</v>
      </c>
      <c r="T460" s="13" t="str">
        <f t="shared" si="422"/>
        <v>titov@yandex</v>
      </c>
      <c r="U460" s="18" t="str">
        <f t="shared" si="423"/>
        <v xml:space="preserve">Ошибка Email</v>
      </c>
      <c r="V460" s="13" t="str">
        <f>IFERROR(VLOOKUP(K460,Справочники!$K$6:$L$13,2,0),K460)</f>
        <v>Ангарск</v>
      </c>
    </row>
    <row r="461" ht="15" customHeight="1">
      <c r="A461" s="10">
        <v>459</v>
      </c>
      <c r="B461" s="11" t="str">
        <f>RAW_Клиенты!A460</f>
        <v>C0459</v>
      </c>
      <c r="C461" s="11" t="str">
        <f>RAW_Клиенты!B460</f>
        <v xml:space="preserve">Вершинина Мария Николаевна</v>
      </c>
      <c r="D461" s="11" t="str">
        <f>RAW_Клиенты!C460</f>
        <v>13.07.1985</v>
      </c>
      <c r="E461" s="11" t="str">
        <f>RAW_Клиенты!D460</f>
        <v xml:space="preserve">8 903 901 23 45</v>
      </c>
      <c r="F461" s="11" t="str">
        <f>RAW_Клиенты!E460</f>
        <v>vershinina@gmail</v>
      </c>
      <c r="G461" s="11" t="str">
        <f>RAW_Клиенты!F460</f>
        <v>Озёрск</v>
      </c>
      <c r="H461" s="11" t="str">
        <f>RAW_Клиенты!G460</f>
        <v>15.09.2034</v>
      </c>
      <c r="I461" s="12" t="str">
        <f t="shared" si="411"/>
        <v>89039012345</v>
      </c>
      <c r="J461" s="12" t="str">
        <f t="shared" si="412"/>
        <v>vershinina@gmail</v>
      </c>
      <c r="K461" s="12" t="str">
        <f t="shared" si="413"/>
        <v>Озёрск</v>
      </c>
      <c r="L461" s="13" t="str">
        <f t="shared" si="414"/>
        <v>C0459</v>
      </c>
      <c r="M461" s="13" t="str">
        <f t="shared" si="415"/>
        <v xml:space="preserve">Вершинина Мария Николаевна</v>
      </c>
      <c r="N461" s="13" t="str">
        <f t="shared" si="416"/>
        <v>OK</v>
      </c>
      <c r="O461" s="19">
        <f t="shared" si="417"/>
        <v>31241</v>
      </c>
      <c r="P461" s="19">
        <f t="shared" si="418"/>
        <v>49202</v>
      </c>
      <c r="Q461" s="13">
        <f t="shared" ca="1" si="419"/>
        <v>41</v>
      </c>
      <c r="R461" s="13" t="str">
        <f t="shared" si="420"/>
        <v>OK</v>
      </c>
      <c r="S461" s="13" t="str">
        <f t="shared" si="421"/>
        <v xml:space="preserve">+7 (903) 901-23-45</v>
      </c>
      <c r="T461" s="13" t="str">
        <f t="shared" si="422"/>
        <v>vershinina@gmail</v>
      </c>
      <c r="U461" s="18" t="str">
        <f t="shared" si="423"/>
        <v xml:space="preserve">Ошибка Email</v>
      </c>
      <c r="V461" s="13" t="str">
        <f>IFERROR(VLOOKUP(K461,Справочники!$K$6:$L$13,2,0),K461)</f>
        <v>Озёрск</v>
      </c>
    </row>
    <row r="462" ht="15" customHeight="1">
      <c r="A462" s="10">
        <v>460</v>
      </c>
      <c r="B462" s="11" t="str">
        <f>RAW_Клиенты!A461</f>
        <v>C0460</v>
      </c>
      <c r="C462" s="11" t="str">
        <f>RAW_Клиенты!B461</f>
        <v xml:space="preserve">Ануфриев Илья Олегович</v>
      </c>
      <c r="D462" s="11" t="str">
        <f>RAW_Клиенты!C461</f>
        <v>02.01.1974</v>
      </c>
      <c r="E462" s="11" t="str">
        <f>RAW_Клиенты!D461</f>
        <v>+79039012345</v>
      </c>
      <c r="F462" s="11" t="str">
        <f>RAW_Клиенты!E461</f>
        <v>anufriev@mail</v>
      </c>
      <c r="G462" s="11" t="str">
        <f>RAW_Клиенты!F461</f>
        <v>Орел</v>
      </c>
      <c r="H462" s="11" t="str">
        <f>RAW_Клиенты!G461</f>
        <v>01.10.2034</v>
      </c>
      <c r="I462" s="12" t="str">
        <f t="shared" si="411"/>
        <v>79039012345</v>
      </c>
      <c r="J462" s="12" t="str">
        <f t="shared" si="412"/>
        <v>anufriev@mail</v>
      </c>
      <c r="K462" s="12" t="str">
        <f t="shared" si="413"/>
        <v>Орел</v>
      </c>
      <c r="L462" s="13" t="str">
        <f t="shared" si="414"/>
        <v>C0460</v>
      </c>
      <c r="M462" s="13" t="str">
        <f t="shared" si="415"/>
        <v xml:space="preserve">Ануфриев Илья Олегович</v>
      </c>
      <c r="N462" s="13" t="str">
        <f t="shared" si="416"/>
        <v>OK</v>
      </c>
      <c r="O462" s="19">
        <f t="shared" si="417"/>
        <v>27031</v>
      </c>
      <c r="P462" s="19">
        <f t="shared" si="418"/>
        <v>49218</v>
      </c>
      <c r="Q462" s="13">
        <f t="shared" ca="1" si="419"/>
        <v>52</v>
      </c>
      <c r="R462" s="13" t="str">
        <f t="shared" si="420"/>
        <v>OK</v>
      </c>
      <c r="S462" s="13" t="str">
        <f t="shared" si="421"/>
        <v xml:space="preserve">+7 (903) 901-23-45</v>
      </c>
      <c r="T462" s="13" t="str">
        <f t="shared" si="422"/>
        <v>anufriev@mail</v>
      </c>
      <c r="U462" s="18" t="str">
        <f t="shared" si="423"/>
        <v xml:space="preserve">Ошибка Email</v>
      </c>
      <c r="V462" s="13" t="str">
        <f>IFERROR(VLOOKUP(K462,Справочники!$K$6:$L$13,2,0),K462)</f>
        <v>Орел</v>
      </c>
    </row>
    <row r="463" ht="15" customHeight="1">
      <c r="A463" s="10">
        <v>461</v>
      </c>
      <c r="B463" s="11" t="str">
        <f>RAW_Клиенты!A462</f>
        <v>C0461</v>
      </c>
      <c r="C463" s="11" t="str">
        <f>RAW_Клиенты!B462</f>
        <v xml:space="preserve">Черникова Ольга Александровна</v>
      </c>
      <c r="D463" s="11" t="str">
        <f>RAW_Клиенты!C462</f>
        <v>21.11.1981</v>
      </c>
      <c r="E463" s="11" t="str">
        <f>RAW_Клиенты!D462</f>
        <v>8-903-901-23-45</v>
      </c>
      <c r="F463" s="11" t="str">
        <f>RAW_Клиенты!E462</f>
        <v>chernikova@yandex</v>
      </c>
      <c r="G463" s="11" t="str">
        <f>RAW_Клиенты!F462</f>
        <v>Якутск</v>
      </c>
      <c r="H463" s="11" t="str">
        <f>RAW_Клиенты!G462</f>
        <v>2034-10-10</v>
      </c>
      <c r="I463" s="12" t="str">
        <f t="shared" si="411"/>
        <v>89039012345</v>
      </c>
      <c r="J463" s="12" t="str">
        <f t="shared" si="412"/>
        <v>chernikova@yandex</v>
      </c>
      <c r="K463" s="12" t="str">
        <f t="shared" si="413"/>
        <v>Якутск</v>
      </c>
      <c r="L463" s="13" t="str">
        <f t="shared" si="414"/>
        <v>C0461</v>
      </c>
      <c r="M463" s="13" t="str">
        <f t="shared" si="415"/>
        <v xml:space="preserve">Черникова Ольга Александровна</v>
      </c>
      <c r="N463" s="13" t="str">
        <f t="shared" si="416"/>
        <v>OK</v>
      </c>
      <c r="O463" s="19">
        <f t="shared" si="417"/>
        <v>29911</v>
      </c>
      <c r="P463" s="19">
        <f t="shared" si="418"/>
        <v>49227</v>
      </c>
      <c r="Q463" s="13">
        <f t="shared" ca="1" si="419"/>
        <v>44</v>
      </c>
      <c r="R463" s="13" t="str">
        <f t="shared" si="420"/>
        <v>OK</v>
      </c>
      <c r="S463" s="13" t="str">
        <f t="shared" si="421"/>
        <v xml:space="preserve">+7 (903) 901-23-45</v>
      </c>
      <c r="T463" s="13" t="str">
        <f t="shared" si="422"/>
        <v>chernikova@yandex</v>
      </c>
      <c r="U463" s="18" t="str">
        <f t="shared" si="423"/>
        <v xml:space="preserve">Ошибка Email</v>
      </c>
      <c r="V463" s="13" t="str">
        <f>IFERROR(VLOOKUP(K463,Справочники!$K$6:$L$13,2,0),K463)</f>
        <v>Якутск</v>
      </c>
    </row>
    <row r="464" ht="15" customHeight="1">
      <c r="A464" s="10">
        <v>462</v>
      </c>
      <c r="B464" s="11" t="str">
        <f>RAW_Клиенты!A463</f>
        <v>C0462</v>
      </c>
      <c r="C464" s="11" t="str">
        <f>RAW_Клиенты!B463</f>
        <v xml:space="preserve">Дударев Денис Павлович</v>
      </c>
      <c r="D464" s="11" t="str">
        <f>RAW_Клиенты!C463</f>
        <v>14.09.1988</v>
      </c>
      <c r="E464" s="11" t="str">
        <f>RAW_Клиенты!D463</f>
        <v xml:space="preserve">8 903 012 34 56</v>
      </c>
      <c r="F464" s="11" t="str">
        <f>RAW_Клиенты!E463</f>
        <v>dudarev@gmail</v>
      </c>
      <c r="G464" s="11" t="str">
        <f>RAW_Клиенты!F463</f>
        <v>Чебоксары</v>
      </c>
      <c r="H464" s="11" t="str">
        <f>RAW_Клиенты!G463</f>
        <v>10.10.2034</v>
      </c>
      <c r="I464" s="12" t="str">
        <f t="shared" si="411"/>
        <v>89030123456</v>
      </c>
      <c r="J464" s="12" t="str">
        <f t="shared" si="412"/>
        <v>dudarev@gmail</v>
      </c>
      <c r="K464" s="12" t="str">
        <f t="shared" si="413"/>
        <v>Чебоксары</v>
      </c>
      <c r="L464" s="13" t="str">
        <f t="shared" si="414"/>
        <v>C0462</v>
      </c>
      <c r="M464" s="13" t="str">
        <f t="shared" si="415"/>
        <v xml:space="preserve">Дударев Денис Павлович</v>
      </c>
      <c r="N464" s="13" t="str">
        <f t="shared" si="416"/>
        <v>OK</v>
      </c>
      <c r="O464" s="19">
        <f t="shared" si="417"/>
        <v>32400</v>
      </c>
      <c r="P464" s="19">
        <f t="shared" si="418"/>
        <v>49227</v>
      </c>
      <c r="Q464" s="13">
        <f t="shared" ca="1" si="419"/>
        <v>38</v>
      </c>
      <c r="R464" s="13" t="str">
        <f t="shared" si="420"/>
        <v>OK</v>
      </c>
      <c r="S464" s="13" t="str">
        <f t="shared" si="421"/>
        <v xml:space="preserve">+7 (903) 012-34-56</v>
      </c>
      <c r="T464" s="13" t="str">
        <f t="shared" si="422"/>
        <v>dudarev@gmail</v>
      </c>
      <c r="U464" s="18" t="str">
        <f t="shared" si="423"/>
        <v xml:space="preserve">Ошибка Email</v>
      </c>
      <c r="V464" s="13" t="str">
        <f>IFERROR(VLOOKUP(K464,Справочники!$K$6:$L$13,2,0),K464)</f>
        <v>Чебоксары</v>
      </c>
    </row>
    <row r="465" ht="15" customHeight="1">
      <c r="A465" s="10">
        <v>463</v>
      </c>
      <c r="B465" s="11" t="str">
        <f>RAW_Клиенты!A464</f>
        <v>C0463</v>
      </c>
      <c r="C465" s="11" t="str">
        <f>RAW_Клиенты!B464</f>
        <v xml:space="preserve">Лаптева Екатерина Игоревна</v>
      </c>
      <c r="D465" s="11" t="str">
        <f>RAW_Клиенты!C464</f>
        <v>18.06.1976</v>
      </c>
      <c r="E465" s="11" t="str">
        <f>RAW_Клиенты!D464</f>
        <v>+79030123456</v>
      </c>
      <c r="F465" s="11" t="str">
        <f>RAW_Клиенты!E464</f>
        <v>lapteva@mail</v>
      </c>
      <c r="G465" s="11" t="str">
        <f>RAW_Клиенты!F464</f>
        <v>Мурманск</v>
      </c>
      <c r="H465" s="11" t="str">
        <f>RAW_Клиенты!G464</f>
        <v>01.11.2034</v>
      </c>
      <c r="I465" s="12" t="str">
        <f t="shared" si="411"/>
        <v>79030123456</v>
      </c>
      <c r="J465" s="12" t="str">
        <f t="shared" si="412"/>
        <v>lapteva@mail</v>
      </c>
      <c r="K465" s="12" t="str">
        <f t="shared" si="413"/>
        <v>Мурманск</v>
      </c>
      <c r="L465" s="13" t="str">
        <f t="shared" si="414"/>
        <v>C0463</v>
      </c>
      <c r="M465" s="13" t="str">
        <f t="shared" si="415"/>
        <v xml:space="preserve">Лаптева Екатерина Игоревна</v>
      </c>
      <c r="N465" s="13" t="str">
        <f t="shared" si="416"/>
        <v>OK</v>
      </c>
      <c r="O465" s="19">
        <f t="shared" si="417"/>
        <v>27929</v>
      </c>
      <c r="P465" s="19">
        <f t="shared" si="418"/>
        <v>49249</v>
      </c>
      <c r="Q465" s="13">
        <f t="shared" ca="1" si="419"/>
        <v>50</v>
      </c>
      <c r="R465" s="13" t="str">
        <f t="shared" si="420"/>
        <v>OK</v>
      </c>
      <c r="S465" s="13" t="str">
        <f t="shared" si="421"/>
        <v xml:space="preserve">+7 (903) 012-34-56</v>
      </c>
      <c r="T465" s="13" t="str">
        <f t="shared" si="422"/>
        <v>lapteva@mail</v>
      </c>
      <c r="U465" s="18" t="str">
        <f t="shared" si="423"/>
        <v xml:space="preserve">Ошибка Email</v>
      </c>
      <c r="V465" s="13" t="str">
        <f>IFERROR(VLOOKUP(K465,Справочники!$K$6:$L$13,2,0),K465)</f>
        <v>Мурманск</v>
      </c>
    </row>
    <row r="466" ht="15" customHeight="1">
      <c r="A466" s="10">
        <v>464</v>
      </c>
      <c r="B466" s="11" t="str">
        <f>RAW_Клиенты!A465</f>
        <v>C0464</v>
      </c>
      <c r="C466" s="11" t="str">
        <f>RAW_Клиенты!B465</f>
        <v xml:space="preserve">Печников Андрей Викторович</v>
      </c>
      <c r="D466" s="11" t="str">
        <f>RAW_Клиенты!C465</f>
        <v>05.12.1983</v>
      </c>
      <c r="E466" s="11" t="str">
        <f>RAW_Клиенты!D465</f>
        <v>8-903-012-34-56</v>
      </c>
      <c r="F466" s="11" t="str">
        <f>RAW_Клиенты!E465</f>
        <v>pechnikov@yandex</v>
      </c>
      <c r="G466" s="11" t="str">
        <f>RAW_Клиенты!F465</f>
        <v>Смоленск</v>
      </c>
      <c r="H466" s="11" t="str">
        <f>RAW_Клиенты!G465</f>
        <v>2034-11-15</v>
      </c>
      <c r="I466" s="12" t="str">
        <f t="shared" si="411"/>
        <v>89030123456</v>
      </c>
      <c r="J466" s="12" t="str">
        <f t="shared" si="412"/>
        <v>pechnikov@yandex</v>
      </c>
      <c r="K466" s="12" t="str">
        <f t="shared" si="413"/>
        <v>Смоленск</v>
      </c>
      <c r="L466" s="13" t="str">
        <f t="shared" si="414"/>
        <v>C0464</v>
      </c>
      <c r="M466" s="13" t="str">
        <f t="shared" si="415"/>
        <v xml:space="preserve">Печников Андрей Викторович</v>
      </c>
      <c r="N466" s="13" t="str">
        <f t="shared" si="416"/>
        <v>OK</v>
      </c>
      <c r="O466" s="19">
        <f t="shared" si="417"/>
        <v>30655</v>
      </c>
      <c r="P466" s="19">
        <f t="shared" si="418"/>
        <v>49263</v>
      </c>
      <c r="Q466" s="13">
        <f t="shared" ca="1" si="419"/>
        <v>42</v>
      </c>
      <c r="R466" s="13" t="str">
        <f t="shared" si="420"/>
        <v>OK</v>
      </c>
      <c r="S466" s="13" t="str">
        <f t="shared" si="421"/>
        <v xml:space="preserve">+7 (903) 012-34-56</v>
      </c>
      <c r="T466" s="13" t="str">
        <f t="shared" si="422"/>
        <v>pechnikov@yandex</v>
      </c>
      <c r="U466" s="18" t="str">
        <f t="shared" si="423"/>
        <v xml:space="preserve">Ошибка Email</v>
      </c>
      <c r="V466" s="13" t="str">
        <f>IFERROR(VLOOKUP(K466,Справочники!$K$6:$L$13,2,0),K466)</f>
        <v>Смоленск</v>
      </c>
    </row>
    <row r="467" ht="15" customHeight="1">
      <c r="A467" s="10">
        <v>465</v>
      </c>
      <c r="B467" s="11" t="str">
        <f>RAW_Клиенты!A466</f>
        <v>C0465</v>
      </c>
      <c r="C467" s="11" t="str">
        <f>RAW_Клиенты!B466</f>
        <v xml:space="preserve">Бобылева Мария Сергеевна</v>
      </c>
      <c r="D467" s="11" t="str">
        <f>RAW_Клиенты!C466</f>
        <v>26.03.1991</v>
      </c>
      <c r="E467" s="11" t="str">
        <f>RAW_Клиенты!D466</f>
        <v xml:space="preserve">8 903 123 45 67</v>
      </c>
      <c r="F467" s="11" t="str">
        <f>RAW_Клиенты!E466</f>
        <v>bobyleva@gmail</v>
      </c>
      <c r="G467" s="11" t="str">
        <f>RAW_Клиенты!F466</f>
        <v>Тула</v>
      </c>
      <c r="H467" s="11" t="str">
        <f>RAW_Клиенты!G466</f>
        <v>15.11.2034</v>
      </c>
      <c r="I467" s="12" t="str">
        <f t="shared" si="411"/>
        <v>89031234567</v>
      </c>
      <c r="J467" s="12" t="str">
        <f t="shared" si="412"/>
        <v>bobyleva@gmail</v>
      </c>
      <c r="K467" s="12" t="str">
        <f t="shared" si="413"/>
        <v>Тула</v>
      </c>
      <c r="L467" s="13" t="str">
        <f t="shared" si="414"/>
        <v>C0465</v>
      </c>
      <c r="M467" s="13" t="str">
        <f t="shared" si="415"/>
        <v xml:space="preserve">Бобылева Мария Сергеевна</v>
      </c>
      <c r="N467" s="13" t="str">
        <f t="shared" si="416"/>
        <v>OK</v>
      </c>
      <c r="O467" s="19">
        <f t="shared" si="417"/>
        <v>33323</v>
      </c>
      <c r="P467" s="19">
        <f t="shared" si="418"/>
        <v>49263</v>
      </c>
      <c r="Q467" s="13">
        <f t="shared" ca="1" si="419"/>
        <v>35</v>
      </c>
      <c r="R467" s="13" t="str">
        <f t="shared" si="420"/>
        <v>OK</v>
      </c>
      <c r="S467" s="13" t="str">
        <f t="shared" si="421"/>
        <v xml:space="preserve">+7 (903) 123-45-67</v>
      </c>
      <c r="T467" s="13" t="str">
        <f t="shared" si="422"/>
        <v>bobyleva@gmail</v>
      </c>
      <c r="U467" s="18" t="str">
        <f t="shared" si="423"/>
        <v xml:space="preserve">Ошибка Email</v>
      </c>
      <c r="V467" s="13" t="str">
        <f>IFERROR(VLOOKUP(K467,Справочники!$K$6:$L$13,2,0),K467)</f>
        <v>Тула</v>
      </c>
    </row>
    <row r="468" ht="15" customHeight="1">
      <c r="A468" s="10">
        <v>466</v>
      </c>
      <c r="B468" s="11" t="str">
        <f>RAW_Клиенты!A467</f>
        <v>C0466</v>
      </c>
      <c r="C468" s="11" t="str">
        <f>RAW_Клиенты!B467</f>
        <v xml:space="preserve">Гордеев Денис Олегович</v>
      </c>
      <c r="D468" s="11" t="str">
        <f>RAW_Клиенты!C467</f>
        <v>09.10.1972</v>
      </c>
      <c r="E468" s="11" t="str">
        <f>RAW_Клиенты!D467</f>
        <v>+79031234567</v>
      </c>
      <c r="F468" s="11" t="str">
        <f>RAW_Клиенты!E467</f>
        <v>gordeev@mail</v>
      </c>
      <c r="G468" s="11" t="str">
        <f>RAW_Клиенты!F467</f>
        <v>Калуга</v>
      </c>
      <c r="H468" s="11" t="str">
        <f>RAW_Клиенты!G467</f>
        <v>01.12.2034</v>
      </c>
      <c r="I468" s="12" t="str">
        <f t="shared" si="411"/>
        <v>79031234567</v>
      </c>
      <c r="J468" s="12" t="str">
        <f t="shared" si="412"/>
        <v>gordeev@mail</v>
      </c>
      <c r="K468" s="12" t="str">
        <f t="shared" si="413"/>
        <v>Калуга</v>
      </c>
      <c r="L468" s="13" t="str">
        <f t="shared" si="414"/>
        <v>C0466</v>
      </c>
      <c r="M468" s="13" t="str">
        <f t="shared" si="415"/>
        <v xml:space="preserve">Гордеев Денис Олегович</v>
      </c>
      <c r="N468" s="13" t="str">
        <f t="shared" si="416"/>
        <v>OK</v>
      </c>
      <c r="O468" s="19">
        <f t="shared" si="417"/>
        <v>26581</v>
      </c>
      <c r="P468" s="19">
        <f t="shared" si="418"/>
        <v>49279</v>
      </c>
      <c r="Q468" s="13">
        <f t="shared" ca="1" si="419"/>
        <v>53</v>
      </c>
      <c r="R468" s="13" t="str">
        <f t="shared" si="420"/>
        <v>OK</v>
      </c>
      <c r="S468" s="13" t="str">
        <f t="shared" si="421"/>
        <v xml:space="preserve">+7 (903) 123-45-67</v>
      </c>
      <c r="T468" s="13" t="str">
        <f t="shared" si="422"/>
        <v>gordeev@mail</v>
      </c>
      <c r="U468" s="18" t="str">
        <f t="shared" si="423"/>
        <v xml:space="preserve">Ошибка Email</v>
      </c>
      <c r="V468" s="13" t="str">
        <f>IFERROR(VLOOKUP(K468,Справочники!$K$6:$L$13,2,0),K468)</f>
        <v>Калуга</v>
      </c>
    </row>
    <row r="469" ht="15" customHeight="1">
      <c r="A469" s="10">
        <v>467</v>
      </c>
      <c r="B469" s="11" t="str">
        <f>RAW_Клиенты!A468</f>
        <v>C0467</v>
      </c>
      <c r="C469" s="11" t="str">
        <f>RAW_Клиенты!B468</f>
        <v xml:space="preserve">Слепцова Ольга Владимировна</v>
      </c>
      <c r="D469" s="11" t="str">
        <f>RAW_Клиенты!C468</f>
        <v>22.08.1986</v>
      </c>
      <c r="E469" s="11" t="str">
        <f>RAW_Клиенты!D468</f>
        <v>8-903-123-45-67</v>
      </c>
      <c r="F469" s="11" t="str">
        <f>RAW_Клиенты!E468</f>
        <v>sleptsova@yandex</v>
      </c>
      <c r="G469" s="11" t="str">
        <f>RAW_Клиенты!F468</f>
        <v>Владикавказ</v>
      </c>
      <c r="H469" s="11" t="str">
        <f>RAW_Клиенты!G468</f>
        <v>2034-12-10</v>
      </c>
      <c r="I469" s="12" t="str">
        <f t="shared" si="411"/>
        <v>89031234567</v>
      </c>
      <c r="J469" s="12" t="str">
        <f t="shared" si="412"/>
        <v>sleptsova@yandex</v>
      </c>
      <c r="K469" s="12" t="str">
        <f t="shared" si="413"/>
        <v>Владикавказ</v>
      </c>
      <c r="L469" s="13" t="str">
        <f t="shared" si="414"/>
        <v>C0467</v>
      </c>
      <c r="M469" s="13" t="str">
        <f t="shared" si="415"/>
        <v xml:space="preserve">Слепцова Ольга Владимировна</v>
      </c>
      <c r="N469" s="13" t="str">
        <f t="shared" si="416"/>
        <v>OK</v>
      </c>
      <c r="O469" s="19">
        <f t="shared" si="417"/>
        <v>31646</v>
      </c>
      <c r="P469" s="19">
        <f t="shared" si="418"/>
        <v>49288</v>
      </c>
      <c r="Q469" s="13">
        <f t="shared" ca="1" si="419"/>
        <v>40</v>
      </c>
      <c r="R469" s="13" t="str">
        <f t="shared" si="420"/>
        <v>OK</v>
      </c>
      <c r="S469" s="13" t="str">
        <f t="shared" si="421"/>
        <v xml:space="preserve">+7 (903) 123-45-67</v>
      </c>
      <c r="T469" s="13" t="str">
        <f t="shared" si="422"/>
        <v>sleptsova@yandex</v>
      </c>
      <c r="U469" s="18" t="str">
        <f t="shared" si="423"/>
        <v xml:space="preserve">Ошибка Email</v>
      </c>
      <c r="V469" s="13" t="str">
        <f>IFERROR(VLOOKUP(K469,Справочники!$K$6:$L$13,2,0),K469)</f>
        <v>Владикавказ</v>
      </c>
    </row>
    <row r="470" ht="15" customHeight="1">
      <c r="A470" s="10">
        <v>468</v>
      </c>
      <c r="B470" s="11" t="str">
        <f>RAW_Клиенты!A469</f>
        <v>C0468</v>
      </c>
      <c r="C470" s="11" t="str">
        <f>RAW_Клиенты!B469</f>
        <v xml:space="preserve">Пономарев Илья Александрович</v>
      </c>
      <c r="D470" s="11" t="str">
        <f>RAW_Клиенты!C469</f>
        <v>18.01.1992</v>
      </c>
      <c r="E470" s="11" t="str">
        <f>RAW_Клиенты!D469</f>
        <v xml:space="preserve">8 903 234 56 78</v>
      </c>
      <c r="F470" s="11" t="str">
        <f>RAW_Клиенты!E469</f>
        <v>ponomarev@gmail</v>
      </c>
      <c r="G470" s="11" t="str">
        <f>RAW_Клиенты!F469</f>
        <v>Смоленск</v>
      </c>
      <c r="H470" s="11" t="str">
        <f>RAW_Клиенты!G469</f>
        <v>10.12.2034</v>
      </c>
      <c r="I470" s="12" t="str">
        <f t="shared" si="411"/>
        <v>89032345678</v>
      </c>
      <c r="J470" s="12" t="str">
        <f t="shared" si="412"/>
        <v>ponomarev@gmail</v>
      </c>
      <c r="K470" s="12" t="str">
        <f t="shared" si="413"/>
        <v>Смоленск</v>
      </c>
      <c r="L470" s="13" t="str">
        <f t="shared" si="414"/>
        <v>C0468</v>
      </c>
      <c r="M470" s="13" t="str">
        <f t="shared" si="415"/>
        <v xml:space="preserve">Пономарев Илья Александрович</v>
      </c>
      <c r="N470" s="13" t="str">
        <f t="shared" si="416"/>
        <v>OK</v>
      </c>
      <c r="O470" s="19">
        <f t="shared" si="417"/>
        <v>33621</v>
      </c>
      <c r="P470" s="19">
        <f t="shared" si="418"/>
        <v>49288</v>
      </c>
      <c r="Q470" s="13">
        <f t="shared" ca="1" si="419"/>
        <v>34</v>
      </c>
      <c r="R470" s="13" t="str">
        <f t="shared" si="420"/>
        <v>OK</v>
      </c>
      <c r="S470" s="13" t="str">
        <f t="shared" si="421"/>
        <v xml:space="preserve">+7 (903) 234-56-78</v>
      </c>
      <c r="T470" s="13" t="str">
        <f t="shared" si="422"/>
        <v>ponomarev@gmail</v>
      </c>
      <c r="U470" s="18" t="str">
        <f t="shared" si="423"/>
        <v xml:space="preserve">Ошибка Email</v>
      </c>
      <c r="V470" s="13" t="str">
        <f>IFERROR(VLOOKUP(K470,Справочники!$K$6:$L$13,2,0),K470)</f>
        <v>Смоленск</v>
      </c>
    </row>
    <row r="471" ht="15" customHeight="1">
      <c r="A471" s="10">
        <v>469</v>
      </c>
      <c r="B471" s="11" t="str">
        <f>RAW_Клиенты!A470</f>
        <v>C0469</v>
      </c>
      <c r="C471" s="11" t="str">
        <f>RAW_Клиенты!B470</f>
        <v xml:space="preserve">Овчаренко Елена Сергеевна</v>
      </c>
      <c r="D471" s="11" t="str">
        <f>RAW_Клиенты!C470</f>
        <v>07.07.1980</v>
      </c>
      <c r="E471" s="11" t="str">
        <f>RAW_Клиенты!D470</f>
        <v>+79032345678</v>
      </c>
      <c r="F471" s="11" t="str">
        <f>RAW_Клиенты!E470</f>
        <v>ovcharenko@mail</v>
      </c>
      <c r="G471" s="11" t="str">
        <f>RAW_Клиенты!F470</f>
        <v>Белгород</v>
      </c>
      <c r="H471" s="11" t="str">
        <f>RAW_Клиенты!G470</f>
        <v>01.01.2035</v>
      </c>
      <c r="I471" s="12" t="str">
        <f t="shared" si="411"/>
        <v>79032345678</v>
      </c>
      <c r="J471" s="12" t="str">
        <f t="shared" si="412"/>
        <v>ovcharenko@mail</v>
      </c>
      <c r="K471" s="12" t="str">
        <f t="shared" si="413"/>
        <v>Белгород</v>
      </c>
      <c r="L471" s="13" t="str">
        <f t="shared" si="414"/>
        <v>C0469</v>
      </c>
      <c r="M471" s="13" t="str">
        <f t="shared" si="415"/>
        <v xml:space="preserve">Овчаренко Елена Сергеевна</v>
      </c>
      <c r="N471" s="13" t="str">
        <f t="shared" si="416"/>
        <v>OK</v>
      </c>
      <c r="O471" s="19">
        <f t="shared" si="417"/>
        <v>29409</v>
      </c>
      <c r="P471" s="19">
        <f t="shared" si="418"/>
        <v>49310</v>
      </c>
      <c r="Q471" s="13">
        <f t="shared" ca="1" si="419"/>
        <v>46</v>
      </c>
      <c r="R471" s="13" t="str">
        <f t="shared" si="420"/>
        <v>OK</v>
      </c>
      <c r="S471" s="13" t="str">
        <f t="shared" si="421"/>
        <v xml:space="preserve">+7 (903) 234-56-78</v>
      </c>
      <c r="T471" s="13" t="str">
        <f t="shared" si="422"/>
        <v>ovcharenko@mail</v>
      </c>
      <c r="U471" s="18" t="str">
        <f t="shared" si="423"/>
        <v xml:space="preserve">Ошибка Email</v>
      </c>
      <c r="V471" s="13" t="str">
        <f>IFERROR(VLOOKUP(K471,Справочники!$K$6:$L$13,2,0),K471)</f>
        <v>Белгород</v>
      </c>
    </row>
    <row r="472" ht="15" customHeight="1">
      <c r="A472" s="10">
        <v>470</v>
      </c>
      <c r="B472" s="11" t="str">
        <f>RAW_Клиенты!A471</f>
        <v>C0470</v>
      </c>
      <c r="C472" s="11" t="str">
        <f>RAW_Клиенты!B471</f>
        <v xml:space="preserve">Клименков Андрей Павлович</v>
      </c>
      <c r="D472" s="11" t="str">
        <f>RAW_Клиенты!C471</f>
        <v>03.11.1985</v>
      </c>
      <c r="E472" s="11" t="str">
        <f>RAW_Клиенты!D471</f>
        <v>8-903-234-56-78</v>
      </c>
      <c r="F472" s="11" t="str">
        <f>RAW_Клиенты!E471</f>
        <v>klimenkov@yandex</v>
      </c>
      <c r="G472" s="11" t="str">
        <f>RAW_Клиенты!F471</f>
        <v>Мурманск</v>
      </c>
      <c r="H472" s="11" t="str">
        <f>RAW_Клиенты!G471</f>
        <v>2035-01-15</v>
      </c>
      <c r="I472" s="12" t="str">
        <f t="shared" si="411"/>
        <v>89032345678</v>
      </c>
      <c r="J472" s="12" t="str">
        <f t="shared" si="412"/>
        <v>klimenkov@yandex</v>
      </c>
      <c r="K472" s="12" t="str">
        <f t="shared" si="413"/>
        <v>Мурманск</v>
      </c>
      <c r="L472" s="13" t="str">
        <f t="shared" si="414"/>
        <v>C0470</v>
      </c>
      <c r="M472" s="13" t="str">
        <f t="shared" si="415"/>
        <v xml:space="preserve">Клименков Андрей Павлович</v>
      </c>
      <c r="N472" s="13" t="str">
        <f t="shared" si="416"/>
        <v>OK</v>
      </c>
      <c r="O472" s="19">
        <f t="shared" si="417"/>
        <v>31354</v>
      </c>
      <c r="P472" s="19">
        <f t="shared" si="418"/>
        <v>49324</v>
      </c>
      <c r="Q472" s="13">
        <f t="shared" ca="1" si="419"/>
        <v>40</v>
      </c>
      <c r="R472" s="13" t="str">
        <f t="shared" si="420"/>
        <v>OK</v>
      </c>
      <c r="S472" s="13" t="str">
        <f t="shared" si="421"/>
        <v xml:space="preserve">+7 (903) 234-56-78</v>
      </c>
      <c r="T472" s="13" t="str">
        <f t="shared" si="422"/>
        <v>klimenkov@yandex</v>
      </c>
      <c r="U472" s="18" t="str">
        <f t="shared" si="423"/>
        <v xml:space="preserve">Ошибка Email</v>
      </c>
      <c r="V472" s="13" t="str">
        <f>IFERROR(VLOOKUP(K472,Справочники!$K$6:$L$13,2,0),K472)</f>
        <v>Мурманск</v>
      </c>
    </row>
    <row r="473" ht="15" customHeight="1">
      <c r="A473" s="10">
        <v>471</v>
      </c>
      <c r="B473" s="11" t="str">
        <f>RAW_Клиенты!A472</f>
        <v>C0471</v>
      </c>
      <c r="C473" s="11" t="str">
        <f>RAW_Клиенты!B472</f>
        <v xml:space="preserve">Гурьева Мария Викторовна</v>
      </c>
      <c r="D473" s="11" t="str">
        <f>RAW_Клиенты!C472</f>
        <v>19.02.1979</v>
      </c>
      <c r="E473" s="11" t="str">
        <f>RAW_Клиенты!D472</f>
        <v xml:space="preserve">8 903 345 67 89</v>
      </c>
      <c r="F473" s="11" t="str">
        <f>RAW_Клиенты!E472</f>
        <v>gurieva@gmail</v>
      </c>
      <c r="G473" s="11" t="str">
        <f>RAW_Клиенты!F472</f>
        <v>Ставрополь</v>
      </c>
      <c r="H473" s="11" t="str">
        <f>RAW_Клиенты!G472</f>
        <v>15.01.2035</v>
      </c>
      <c r="I473" s="12" t="str">
        <f t="shared" si="411"/>
        <v>89033456789</v>
      </c>
      <c r="J473" s="12" t="str">
        <f t="shared" si="412"/>
        <v>gurieva@gmail</v>
      </c>
      <c r="K473" s="12" t="str">
        <f t="shared" si="413"/>
        <v>Ставрополь</v>
      </c>
      <c r="L473" s="13" t="str">
        <f t="shared" si="414"/>
        <v>C0471</v>
      </c>
      <c r="M473" s="13" t="str">
        <f t="shared" si="415"/>
        <v xml:space="preserve">Гурьева Мария Викторовна</v>
      </c>
      <c r="N473" s="13" t="str">
        <f t="shared" si="416"/>
        <v>OK</v>
      </c>
      <c r="O473" s="19">
        <f t="shared" si="417"/>
        <v>28905</v>
      </c>
      <c r="P473" s="19">
        <f t="shared" si="418"/>
        <v>49324</v>
      </c>
      <c r="Q473" s="13">
        <f t="shared" ca="1" si="419"/>
        <v>47</v>
      </c>
      <c r="R473" s="13" t="str">
        <f t="shared" si="420"/>
        <v>OK</v>
      </c>
      <c r="S473" s="13" t="str">
        <f t="shared" si="421"/>
        <v xml:space="preserve">+7 (903) 345-67-89</v>
      </c>
      <c r="T473" s="13" t="str">
        <f t="shared" si="422"/>
        <v>gurieva@gmail</v>
      </c>
      <c r="U473" s="18" t="str">
        <f t="shared" si="423"/>
        <v xml:space="preserve">Ошибка Email</v>
      </c>
      <c r="V473" s="13" t="str">
        <f>IFERROR(VLOOKUP(K473,Справочники!$K$6:$L$13,2,0),K473)</f>
        <v>Ставрополь</v>
      </c>
    </row>
    <row r="474" ht="15" customHeight="1">
      <c r="A474" s="10">
        <v>472</v>
      </c>
      <c r="B474" s="11" t="str">
        <f>RAW_Клиенты!A473</f>
        <v>C0472</v>
      </c>
      <c r="C474" s="11" t="str">
        <f>RAW_Клиенты!B473</f>
        <v xml:space="preserve">Селезнев Денис Алексеевич</v>
      </c>
      <c r="D474" s="11" t="str">
        <f>RAW_Клиенты!C473</f>
        <v>15.04.1983</v>
      </c>
      <c r="E474" s="11" t="str">
        <f>RAW_Клиенты!D473</f>
        <v>+79033456789</v>
      </c>
      <c r="F474" s="11" t="str">
        <f>RAW_Клиенты!E473</f>
        <v>seleznev@mail</v>
      </c>
      <c r="G474" s="11" t="str">
        <f>RAW_Клиенты!F473</f>
        <v>Севастополь</v>
      </c>
      <c r="H474" s="11" t="str">
        <f>RAW_Клиенты!G473</f>
        <v>01.02.2035</v>
      </c>
      <c r="I474" s="12" t="str">
        <f t="shared" si="411"/>
        <v>79033456789</v>
      </c>
      <c r="J474" s="12" t="str">
        <f t="shared" si="412"/>
        <v>seleznev@mail</v>
      </c>
      <c r="K474" s="12" t="str">
        <f t="shared" si="413"/>
        <v>Севастополь</v>
      </c>
      <c r="L474" s="13" t="str">
        <f t="shared" si="414"/>
        <v>C0472</v>
      </c>
      <c r="M474" s="13" t="str">
        <f t="shared" si="415"/>
        <v xml:space="preserve">Селезнев Денис Алексеевич</v>
      </c>
      <c r="N474" s="13" t="str">
        <f t="shared" si="416"/>
        <v>OK</v>
      </c>
      <c r="O474" s="19">
        <f t="shared" si="417"/>
        <v>30421</v>
      </c>
      <c r="P474" s="19">
        <f t="shared" si="418"/>
        <v>49341</v>
      </c>
      <c r="Q474" s="13">
        <f t="shared" ca="1" si="419"/>
        <v>43</v>
      </c>
      <c r="R474" s="13" t="str">
        <f t="shared" si="420"/>
        <v>OK</v>
      </c>
      <c r="S474" s="13" t="str">
        <f t="shared" si="421"/>
        <v xml:space="preserve">+7 (903) 345-67-89</v>
      </c>
      <c r="T474" s="13" t="str">
        <f t="shared" si="422"/>
        <v>seleznev@mail</v>
      </c>
      <c r="U474" s="18" t="str">
        <f t="shared" si="423"/>
        <v xml:space="preserve">Ошибка Email</v>
      </c>
      <c r="V474" s="13" t="str">
        <f>IFERROR(VLOOKUP(K474,Справочники!$K$6:$L$13,2,0),K474)</f>
        <v>Севастополь</v>
      </c>
    </row>
    <row r="475" ht="15" customHeight="1">
      <c r="A475" s="10">
        <v>473</v>
      </c>
      <c r="B475" s="11" t="str">
        <f>RAW_Клиенты!A474</f>
        <v>C0473</v>
      </c>
      <c r="C475" s="11" t="str">
        <f>RAW_Клиенты!B474</f>
        <v xml:space="preserve">Стрельцова Ольга Николаевна</v>
      </c>
      <c r="D475" s="11" t="str">
        <f>RAW_Клиенты!C474</f>
        <v>28.09.1987</v>
      </c>
      <c r="E475" s="11" t="str">
        <f>RAW_Клиенты!D474</f>
        <v>8-903-345-67-89</v>
      </c>
      <c r="F475" s="11" t="str">
        <f>RAW_Клиенты!E474</f>
        <v>streltsova@yandex</v>
      </c>
      <c r="G475" s="11" t="str">
        <f>RAW_Клиенты!F474</f>
        <v>Сочи</v>
      </c>
      <c r="H475" s="11" t="str">
        <f>RAW_Клиенты!G474</f>
        <v>2035-02-10</v>
      </c>
      <c r="I475" s="12" t="str">
        <f t="shared" si="411"/>
        <v>89033456789</v>
      </c>
      <c r="J475" s="12" t="str">
        <f t="shared" si="412"/>
        <v>streltsova@yandex</v>
      </c>
      <c r="K475" s="12" t="str">
        <f t="shared" si="413"/>
        <v>Сочи</v>
      </c>
      <c r="L475" s="13" t="str">
        <f t="shared" si="414"/>
        <v>C0473</v>
      </c>
      <c r="M475" s="13" t="str">
        <f t="shared" si="415"/>
        <v xml:space="preserve">Стрельцова Ольга Николаевна</v>
      </c>
      <c r="N475" s="13" t="str">
        <f t="shared" si="416"/>
        <v>OK</v>
      </c>
      <c r="O475" s="19">
        <f t="shared" si="417"/>
        <v>32048</v>
      </c>
      <c r="P475" s="19">
        <f t="shared" si="418"/>
        <v>49350</v>
      </c>
      <c r="Q475" s="13">
        <f t="shared" ca="1" si="419"/>
        <v>38</v>
      </c>
      <c r="R475" s="13" t="str">
        <f t="shared" si="420"/>
        <v>OK</v>
      </c>
      <c r="S475" s="13" t="str">
        <f t="shared" si="421"/>
        <v xml:space="preserve">+7 (903) 345-67-89</v>
      </c>
      <c r="T475" s="13" t="str">
        <f t="shared" si="422"/>
        <v>streltsova@yandex</v>
      </c>
      <c r="U475" s="18" t="str">
        <f t="shared" si="423"/>
        <v xml:space="preserve">Ошибка Email</v>
      </c>
      <c r="V475" s="13" t="str">
        <f>IFERROR(VLOOKUP(K475,Справочники!$K$6:$L$13,2,0),K475)</f>
        <v>Сочи</v>
      </c>
    </row>
    <row r="476" ht="15" customHeight="1">
      <c r="A476" s="10">
        <v>474</v>
      </c>
      <c r="B476" s="11" t="str">
        <f>RAW_Клиенты!A475</f>
        <v>C0474</v>
      </c>
      <c r="C476" s="11" t="str">
        <f>RAW_Клиенты!B475</f>
        <v xml:space="preserve">Бондаренко Илья Игоревич</v>
      </c>
      <c r="D476" s="11" t="str">
        <f>RAW_Клиенты!C475</f>
        <v>11.12.1971</v>
      </c>
      <c r="E476" s="11" t="str">
        <f>RAW_Клиенты!D475</f>
        <v xml:space="preserve">8 903 456 78 90</v>
      </c>
      <c r="F476" s="11" t="str">
        <f>RAW_Клиенты!E475</f>
        <v>bondarenko@gmail</v>
      </c>
      <c r="G476" s="11" t="str">
        <f>RAW_Клиенты!F475</f>
        <v>Симферополь</v>
      </c>
      <c r="H476" s="11" t="str">
        <f>RAW_Клиенты!G475</f>
        <v>10.02.2035</v>
      </c>
      <c r="I476" s="12" t="str">
        <f t="shared" si="411"/>
        <v>89034567890</v>
      </c>
      <c r="J476" s="12" t="str">
        <f t="shared" si="412"/>
        <v>bondarenko@gmail</v>
      </c>
      <c r="K476" s="12" t="str">
        <f t="shared" si="413"/>
        <v>Симферополь</v>
      </c>
      <c r="L476" s="13" t="str">
        <f t="shared" si="414"/>
        <v>C0474</v>
      </c>
      <c r="M476" s="13" t="str">
        <f t="shared" si="415"/>
        <v xml:space="preserve">Бондаренко Илья Игоревич</v>
      </c>
      <c r="N476" s="13" t="str">
        <f t="shared" si="416"/>
        <v>OK</v>
      </c>
      <c r="O476" s="19">
        <f t="shared" si="417"/>
        <v>26278</v>
      </c>
      <c r="P476" s="19">
        <f t="shared" si="418"/>
        <v>49350</v>
      </c>
      <c r="Q476" s="13">
        <f t="shared" ca="1" si="419"/>
        <v>54</v>
      </c>
      <c r="R476" s="13" t="str">
        <f t="shared" si="420"/>
        <v>OK</v>
      </c>
      <c r="S476" s="13" t="str">
        <f t="shared" si="421"/>
        <v xml:space="preserve">+7 (903) 456-78-90</v>
      </c>
      <c r="T476" s="13" t="str">
        <f t="shared" si="422"/>
        <v>bondarenko@gmail</v>
      </c>
      <c r="U476" s="18" t="str">
        <f t="shared" si="423"/>
        <v xml:space="preserve">Ошибка Email</v>
      </c>
      <c r="V476" s="13" t="str">
        <f>IFERROR(VLOOKUP(K476,Справочники!$K$6:$L$13,2,0),K476)</f>
        <v>Симферополь</v>
      </c>
    </row>
    <row r="477" ht="15" customHeight="1">
      <c r="A477" s="10">
        <v>475</v>
      </c>
      <c r="B477" s="11" t="str">
        <f>RAW_Клиенты!A476</f>
        <v>C0475</v>
      </c>
      <c r="C477" s="11" t="str">
        <f>RAW_Клиенты!B476</f>
        <v xml:space="preserve">Белоусова Екатерина Сергеевна</v>
      </c>
      <c r="D477" s="11" t="str">
        <f>RAW_Клиенты!C476</f>
        <v>24.07.1993</v>
      </c>
      <c r="E477" s="11" t="str">
        <f>RAW_Клиенты!D476</f>
        <v>+79034567890</v>
      </c>
      <c r="F477" s="11" t="str">
        <f>RAW_Клиенты!E476</f>
        <v>belousova@mail</v>
      </c>
      <c r="G477" s="11" t="str">
        <f>RAW_Клиенты!F476</f>
        <v>Брянск</v>
      </c>
      <c r="H477" s="11" t="str">
        <f>RAW_Клиенты!G476</f>
        <v>01.03.2035</v>
      </c>
      <c r="I477" s="12" t="str">
        <f t="shared" si="411"/>
        <v>79034567890</v>
      </c>
      <c r="J477" s="12" t="str">
        <f t="shared" si="412"/>
        <v>belousova@mail</v>
      </c>
      <c r="K477" s="12" t="str">
        <f t="shared" si="413"/>
        <v>Брянск</v>
      </c>
      <c r="L477" s="13" t="str">
        <f t="shared" si="414"/>
        <v>C0475</v>
      </c>
      <c r="M477" s="13" t="str">
        <f t="shared" si="415"/>
        <v xml:space="preserve">Белоусова Екатерина Сергеевна</v>
      </c>
      <c r="N477" s="13" t="str">
        <f t="shared" si="416"/>
        <v>OK</v>
      </c>
      <c r="O477" s="19">
        <f t="shared" si="417"/>
        <v>34174</v>
      </c>
      <c r="P477" s="19">
        <f t="shared" si="418"/>
        <v>49369</v>
      </c>
      <c r="Q477" s="13">
        <f t="shared" ca="1" si="419"/>
        <v>33</v>
      </c>
      <c r="R477" s="13" t="str">
        <f t="shared" si="420"/>
        <v>OK</v>
      </c>
      <c r="S477" s="13" t="str">
        <f t="shared" si="421"/>
        <v xml:space="preserve">+7 (903) 456-78-90</v>
      </c>
      <c r="T477" s="13" t="str">
        <f t="shared" si="422"/>
        <v>belousova@mail</v>
      </c>
      <c r="U477" s="18" t="str">
        <f t="shared" si="423"/>
        <v xml:space="preserve">Ошибка Email</v>
      </c>
      <c r="V477" s="13" t="str">
        <f>IFERROR(VLOOKUP(K477,Справочники!$K$6:$L$13,2,0),K477)</f>
        <v>Брянск</v>
      </c>
    </row>
    <row r="478" ht="15" customHeight="1">
      <c r="A478" s="10">
        <v>476</v>
      </c>
      <c r="B478" s="11" t="str">
        <f>RAW_Клиенты!A477</f>
        <v>C0476</v>
      </c>
      <c r="C478" s="11" t="str">
        <f>RAW_Клиенты!B477</f>
        <v xml:space="preserve">Бурмистров Андрей Олегович</v>
      </c>
      <c r="D478" s="11" t="str">
        <f>RAW_Клиенты!C477</f>
        <v>16.10.1982</v>
      </c>
      <c r="E478" s="11" t="str">
        <f>RAW_Клиенты!D477</f>
        <v>8-903-456-78-90</v>
      </c>
      <c r="F478" s="11" t="str">
        <f>RAW_Клиенты!E477</f>
        <v>burmistrov@yandex</v>
      </c>
      <c r="G478" s="11" t="str">
        <f>RAW_Клиенты!F477</f>
        <v>Абакан</v>
      </c>
      <c r="H478" s="11" t="str">
        <f>RAW_Клиенты!G477</f>
        <v>2035-03-15</v>
      </c>
      <c r="I478" s="12" t="str">
        <f t="shared" si="411"/>
        <v>89034567890</v>
      </c>
      <c r="J478" s="12" t="str">
        <f t="shared" si="412"/>
        <v>burmistrov@yandex</v>
      </c>
      <c r="K478" s="12" t="str">
        <f t="shared" si="413"/>
        <v>Абакан</v>
      </c>
      <c r="L478" s="13" t="str">
        <f t="shared" si="414"/>
        <v>C0476</v>
      </c>
      <c r="M478" s="13" t="str">
        <f t="shared" si="415"/>
        <v xml:space="preserve">Бурмистров Андрей Олегович</v>
      </c>
      <c r="N478" s="13" t="str">
        <f t="shared" si="416"/>
        <v>OK</v>
      </c>
      <c r="O478" s="19">
        <f t="shared" si="417"/>
        <v>30240</v>
      </c>
      <c r="P478" s="19">
        <f t="shared" si="418"/>
        <v>49383</v>
      </c>
      <c r="Q478" s="13">
        <f t="shared" ca="1" si="419"/>
        <v>43</v>
      </c>
      <c r="R478" s="13" t="str">
        <f t="shared" si="420"/>
        <v>OK</v>
      </c>
      <c r="S478" s="13" t="str">
        <f t="shared" si="421"/>
        <v xml:space="preserve">+7 (903) 456-78-90</v>
      </c>
      <c r="T478" s="13" t="str">
        <f t="shared" si="422"/>
        <v>burmistrov@yandex</v>
      </c>
      <c r="U478" s="18" t="str">
        <f t="shared" si="423"/>
        <v xml:space="preserve">Ошибка Email</v>
      </c>
      <c r="V478" s="13" t="str">
        <f>IFERROR(VLOOKUP(K478,Справочники!$K$6:$L$13,2,0),K478)</f>
        <v>Абакан</v>
      </c>
    </row>
    <row r="479" ht="15" customHeight="1">
      <c r="A479" s="10">
        <v>477</v>
      </c>
      <c r="B479" s="11" t="str">
        <f>RAW_Клиенты!A478</f>
        <v>C0477</v>
      </c>
      <c r="C479" s="11" t="str">
        <f>RAW_Клиенты!B478</f>
        <v xml:space="preserve">Муратова Мария Павловна</v>
      </c>
      <c r="D479" s="11" t="str">
        <f>RAW_Клиенты!C478</f>
        <v>05.03.1977</v>
      </c>
      <c r="E479" s="11" t="str">
        <f>RAW_Клиенты!D478</f>
        <v xml:space="preserve">8 903 567 89 01</v>
      </c>
      <c r="F479" s="11" t="str">
        <f>RAW_Клиенты!E478</f>
        <v>muratova@gmail</v>
      </c>
      <c r="G479" s="11" t="str">
        <f>RAW_Клиенты!F478</f>
        <v>Грозный</v>
      </c>
      <c r="H479" s="11" t="str">
        <f>RAW_Клиенты!G478</f>
        <v>15.03.2035</v>
      </c>
      <c r="I479" s="12" t="str">
        <f t="shared" si="411"/>
        <v>89035678901</v>
      </c>
      <c r="J479" s="12" t="str">
        <f t="shared" si="412"/>
        <v>muratova@gmail</v>
      </c>
      <c r="K479" s="12" t="str">
        <f t="shared" si="413"/>
        <v>Грозный</v>
      </c>
      <c r="L479" s="13" t="str">
        <f t="shared" si="414"/>
        <v>C0477</v>
      </c>
      <c r="M479" s="13" t="str">
        <f t="shared" si="415"/>
        <v xml:space="preserve">Муратова Мария Павловна</v>
      </c>
      <c r="N479" s="13" t="str">
        <f t="shared" si="416"/>
        <v>OK</v>
      </c>
      <c r="O479" s="19">
        <f t="shared" si="417"/>
        <v>28189</v>
      </c>
      <c r="P479" s="19">
        <f t="shared" si="418"/>
        <v>49383</v>
      </c>
      <c r="Q479" s="13">
        <f t="shared" ca="1" si="419"/>
        <v>49</v>
      </c>
      <c r="R479" s="13" t="str">
        <f t="shared" si="420"/>
        <v>OK</v>
      </c>
      <c r="S479" s="13" t="str">
        <f t="shared" si="421"/>
        <v xml:space="preserve">+7 (903) 567-89-01</v>
      </c>
      <c r="T479" s="13" t="str">
        <f t="shared" si="422"/>
        <v>muratova@gmail</v>
      </c>
      <c r="U479" s="18" t="str">
        <f t="shared" si="423"/>
        <v xml:space="preserve">Ошибка Email</v>
      </c>
      <c r="V479" s="13" t="str">
        <f>IFERROR(VLOOKUP(K479,Справочники!$K$6:$L$13,2,0),K479)</f>
        <v>Грозный</v>
      </c>
    </row>
    <row r="480" ht="15" customHeight="1">
      <c r="A480" s="10">
        <v>478</v>
      </c>
      <c r="B480" s="11" t="str">
        <f>RAW_Клиенты!A479</f>
        <v>C0478</v>
      </c>
      <c r="C480" s="11" t="str">
        <f>RAW_Клиенты!B479</f>
        <v xml:space="preserve">Лазаренко Денис Викторович</v>
      </c>
      <c r="D480" s="11" t="str">
        <f>RAW_Клиенты!C479</f>
        <v>26.12.1988</v>
      </c>
      <c r="E480" s="11" t="str">
        <f>RAW_Клиенты!D479</f>
        <v>+79035678901</v>
      </c>
      <c r="F480" s="11" t="str">
        <f>RAW_Клиенты!E479</f>
        <v>lazarenko@mail</v>
      </c>
      <c r="G480" s="11" t="str">
        <f>RAW_Клиенты!F479</f>
        <v>Бийск</v>
      </c>
      <c r="H480" s="11" t="str">
        <f>RAW_Клиенты!G479</f>
        <v>01.04.2035</v>
      </c>
      <c r="I480" s="12" t="str">
        <f t="shared" si="411"/>
        <v>79035678901</v>
      </c>
      <c r="J480" s="12" t="str">
        <f t="shared" si="412"/>
        <v>lazarenko@mail</v>
      </c>
      <c r="K480" s="12" t="str">
        <f t="shared" si="413"/>
        <v>Бийск</v>
      </c>
      <c r="L480" s="13" t="str">
        <f t="shared" si="414"/>
        <v>C0478</v>
      </c>
      <c r="M480" s="13" t="str">
        <f t="shared" si="415"/>
        <v xml:space="preserve">Лазаренко Денис Викторович</v>
      </c>
      <c r="N480" s="13" t="str">
        <f t="shared" si="416"/>
        <v>OK</v>
      </c>
      <c r="O480" s="19">
        <f t="shared" si="417"/>
        <v>32503</v>
      </c>
      <c r="P480" s="19">
        <f t="shared" si="418"/>
        <v>49400</v>
      </c>
      <c r="Q480" s="13">
        <f t="shared" ca="1" si="419"/>
        <v>37</v>
      </c>
      <c r="R480" s="13" t="str">
        <f t="shared" si="420"/>
        <v>OK</v>
      </c>
      <c r="S480" s="13" t="str">
        <f t="shared" si="421"/>
        <v xml:space="preserve">+7 (903) 567-89-01</v>
      </c>
      <c r="T480" s="13" t="str">
        <f t="shared" si="422"/>
        <v>lazarenko@mail</v>
      </c>
      <c r="U480" s="18" t="str">
        <f t="shared" si="423"/>
        <v xml:space="preserve">Ошибка Email</v>
      </c>
      <c r="V480" s="13" t="str">
        <f>IFERROR(VLOOKUP(K480,Справочники!$K$6:$L$13,2,0),K480)</f>
        <v>Бийск</v>
      </c>
    </row>
    <row r="481" ht="15" customHeight="1">
      <c r="A481" s="10">
        <v>479</v>
      </c>
      <c r="B481" s="11" t="str">
        <f>RAW_Клиенты!A480</f>
        <v>C0479</v>
      </c>
      <c r="C481" s="11" t="str">
        <f>RAW_Клиенты!B480</f>
        <v xml:space="preserve">Самарская Ольга Владимировна</v>
      </c>
      <c r="D481" s="11" t="str">
        <f>RAW_Клиенты!C480</f>
        <v>14.05.1974</v>
      </c>
      <c r="E481" s="11" t="str">
        <f>RAW_Клиенты!D480</f>
        <v>8-903-567-89-01</v>
      </c>
      <c r="F481" s="11" t="str">
        <f>RAW_Клиенты!E480</f>
        <v>samarskaya@yandex</v>
      </c>
      <c r="G481" s="11" t="str">
        <f>RAW_Клиенты!F480</f>
        <v>Йошкар-Ола</v>
      </c>
      <c r="H481" s="11" t="str">
        <f>RAW_Клиенты!G480</f>
        <v>2035-04-10</v>
      </c>
      <c r="I481" s="12" t="str">
        <f t="shared" si="411"/>
        <v>89035678901</v>
      </c>
      <c r="J481" s="12" t="str">
        <f t="shared" si="412"/>
        <v>samarskaya@yandex</v>
      </c>
      <c r="K481" s="12" t="str">
        <f t="shared" si="413"/>
        <v>Йошкар-Ола</v>
      </c>
      <c r="L481" s="13" t="str">
        <f t="shared" si="414"/>
        <v>C0479</v>
      </c>
      <c r="M481" s="13" t="str">
        <f t="shared" si="415"/>
        <v xml:space="preserve">Самарская Ольга Владимировна</v>
      </c>
      <c r="N481" s="13" t="str">
        <f t="shared" si="416"/>
        <v>OK</v>
      </c>
      <c r="O481" s="19">
        <f t="shared" si="417"/>
        <v>27163</v>
      </c>
      <c r="P481" s="19">
        <f t="shared" si="418"/>
        <v>49409</v>
      </c>
      <c r="Q481" s="13">
        <f t="shared" ca="1" si="419"/>
        <v>52</v>
      </c>
      <c r="R481" s="13" t="str">
        <f t="shared" si="420"/>
        <v>OK</v>
      </c>
      <c r="S481" s="13" t="str">
        <f t="shared" si="421"/>
        <v xml:space="preserve">+7 (903) 567-89-01</v>
      </c>
      <c r="T481" s="13" t="str">
        <f t="shared" si="422"/>
        <v>samarskaya@yandex</v>
      </c>
      <c r="U481" s="18" t="str">
        <f t="shared" si="423"/>
        <v xml:space="preserve">Ошибка Email</v>
      </c>
      <c r="V481" s="13" t="str">
        <f>IFERROR(VLOOKUP(K481,Справочники!$K$6:$L$13,2,0),K481)</f>
        <v>Йошкар-Ола</v>
      </c>
    </row>
    <row r="482" ht="15" customHeight="1">
      <c r="A482" s="10">
        <v>480</v>
      </c>
      <c r="B482" s="11" t="str">
        <f>RAW_Клиенты!A481</f>
        <v>C0480</v>
      </c>
      <c r="C482" s="11" t="str">
        <f>RAW_Клиенты!B481</f>
        <v xml:space="preserve">Никонов Илья Александрович</v>
      </c>
      <c r="D482" s="11" t="str">
        <f>RAW_Клиенты!C481</f>
        <v>08.08.1980</v>
      </c>
      <c r="E482" s="11" t="str">
        <f>RAW_Клиенты!D481</f>
        <v xml:space="preserve">8 903 678 90 12</v>
      </c>
      <c r="F482" s="11" t="str">
        <f>RAW_Клиенты!E481</f>
        <v>nikonov@gmail</v>
      </c>
      <c r="G482" s="11" t="str">
        <f>RAW_Клиенты!F481</f>
        <v>Курган</v>
      </c>
      <c r="H482" s="11" t="str">
        <f>RAW_Клиенты!G481</f>
        <v>10.04.2035</v>
      </c>
      <c r="I482" s="12" t="str">
        <f t="shared" si="411"/>
        <v>89036789012</v>
      </c>
      <c r="J482" s="12" t="str">
        <f t="shared" si="412"/>
        <v>nikonov@gmail</v>
      </c>
      <c r="K482" s="12" t="str">
        <f t="shared" si="413"/>
        <v>Курган</v>
      </c>
      <c r="L482" s="13" t="str">
        <f t="shared" si="414"/>
        <v>C0480</v>
      </c>
      <c r="M482" s="13" t="str">
        <f t="shared" si="415"/>
        <v xml:space="preserve">Никонов Илья Александрович</v>
      </c>
      <c r="N482" s="13" t="str">
        <f t="shared" si="416"/>
        <v>OK</v>
      </c>
      <c r="O482" s="19">
        <f t="shared" si="417"/>
        <v>29441</v>
      </c>
      <c r="P482" s="19">
        <f t="shared" si="418"/>
        <v>49409</v>
      </c>
      <c r="Q482" s="13">
        <f t="shared" ca="1" si="419"/>
        <v>46</v>
      </c>
      <c r="R482" s="13" t="str">
        <f t="shared" si="420"/>
        <v>OK</v>
      </c>
      <c r="S482" s="13" t="str">
        <f t="shared" si="421"/>
        <v xml:space="preserve">+7 (903) 678-90-12</v>
      </c>
      <c r="T482" s="13" t="str">
        <f t="shared" si="422"/>
        <v>nikonov@gmail</v>
      </c>
      <c r="U482" s="18" t="str">
        <f t="shared" si="423"/>
        <v xml:space="preserve">Ошибка Email</v>
      </c>
      <c r="V482" s="13" t="str">
        <f>IFERROR(VLOOKUP(K482,Справочники!$K$6:$L$13,2,0),K482)</f>
        <v>Курган</v>
      </c>
    </row>
    <row r="483" ht="15" customHeight="1">
      <c r="A483" s="10">
        <v>481</v>
      </c>
      <c r="B483" s="11" t="str">
        <f>RAW_Клиенты!A482</f>
        <v>C0481</v>
      </c>
      <c r="C483" s="11" t="str">
        <f>RAW_Клиенты!B482</f>
        <v xml:space="preserve">Ермоленко Екатерина Сергеевна</v>
      </c>
      <c r="D483" s="11" t="str">
        <f>RAW_Клиенты!C482</f>
        <v>21.09.1984</v>
      </c>
      <c r="E483" s="11" t="str">
        <f>RAW_Клиенты!D482</f>
        <v>+79036789012</v>
      </c>
      <c r="F483" s="11" t="str">
        <f>RAW_Клиенты!E482</f>
        <v>ermolenko@mail</v>
      </c>
      <c r="G483" s="11" t="str">
        <f>RAW_Клиенты!F482</f>
        <v>Архангельск</v>
      </c>
      <c r="H483" s="11" t="str">
        <f>RAW_Клиенты!G482</f>
        <v>01.05.2035</v>
      </c>
      <c r="I483" s="12" t="str">
        <f t="shared" si="411"/>
        <v>79036789012</v>
      </c>
      <c r="J483" s="12" t="str">
        <f t="shared" si="412"/>
        <v>ermolenko@mail</v>
      </c>
      <c r="K483" s="12" t="str">
        <f t="shared" si="413"/>
        <v>Архангельск</v>
      </c>
      <c r="L483" s="13" t="str">
        <f t="shared" si="414"/>
        <v>C0481</v>
      </c>
      <c r="M483" s="13" t="str">
        <f t="shared" si="415"/>
        <v xml:space="preserve">Ермоленко Екатерина Сергеевна</v>
      </c>
      <c r="N483" s="13" t="str">
        <f t="shared" si="416"/>
        <v>OK</v>
      </c>
      <c r="O483" s="19">
        <f t="shared" si="417"/>
        <v>30946</v>
      </c>
      <c r="P483" s="19">
        <f t="shared" si="418"/>
        <v>49430</v>
      </c>
      <c r="Q483" s="13">
        <f t="shared" ca="1" si="419"/>
        <v>42</v>
      </c>
      <c r="R483" s="13" t="str">
        <f t="shared" si="420"/>
        <v>OK</v>
      </c>
      <c r="S483" s="13" t="str">
        <f t="shared" si="421"/>
        <v xml:space="preserve">+7 (903) 678-90-12</v>
      </c>
      <c r="T483" s="13" t="str">
        <f t="shared" si="422"/>
        <v>ermolenko@mail</v>
      </c>
      <c r="U483" s="18" t="str">
        <f t="shared" si="423"/>
        <v xml:space="preserve">Ошибка Email</v>
      </c>
      <c r="V483" s="13" t="str">
        <f>IFERROR(VLOOKUP(K483,Справочники!$K$6:$L$13,2,0),K483)</f>
        <v>Архангельск</v>
      </c>
    </row>
    <row r="484" ht="15" customHeight="1">
      <c r="A484" s="10">
        <v>482</v>
      </c>
      <c r="B484" s="11" t="str">
        <f>RAW_Клиенты!A483</f>
        <v>C0482</v>
      </c>
      <c r="C484" s="11" t="str">
        <f>RAW_Клиенты!B483</f>
        <v xml:space="preserve">Пахомов Андрей Павлович</v>
      </c>
      <c r="D484" s="11" t="str">
        <f>RAW_Клиенты!C483</f>
        <v>13.01.1991</v>
      </c>
      <c r="E484" s="11" t="str">
        <f>RAW_Клиенты!D483</f>
        <v>8-903-678-90-12</v>
      </c>
      <c r="F484" s="11" t="str">
        <f>RAW_Клиенты!E483</f>
        <v>pahomov@yandex</v>
      </c>
      <c r="G484" s="11" t="str">
        <f>RAW_Клиенты!F483</f>
        <v>Благовещенск</v>
      </c>
      <c r="H484" s="11" t="str">
        <f>RAW_Клиенты!G483</f>
        <v>2035-05-15</v>
      </c>
      <c r="I484" s="12" t="str">
        <f t="shared" ref="I484:I547" si="424">SUBSTITUTE(SUBSTITUTE(SUBSTITUTE(SUBSTITUTE(SUBSTITUTE(SUBSTITUTE(E484," ",""),"-",""),"+",""),"(",""),")",""),CHAR(160),"")</f>
        <v>89036789012</v>
      </c>
      <c r="J484" s="12" t="str">
        <f t="shared" ref="J484:J547" si="425">SUBSTITUTE(SUBSTITUTE(TRIM(F484)," ",""),CHAR(160),"")</f>
        <v>pahomov@yandex</v>
      </c>
      <c r="K484" s="12" t="str">
        <f t="shared" ref="K484:K547" si="426">TRIM(SUBSTITUTE(SUBSTITUTE(TRIM(G484),"г.",""),"г ",""))</f>
        <v>Благовещенск</v>
      </c>
      <c r="L484" s="13" t="str">
        <f t="shared" ref="L484:L547" si="427">B484</f>
        <v>C0482</v>
      </c>
      <c r="M484" s="13" t="str">
        <f t="shared" ref="M484:M547" si="428">PROPER(TRIM(C484))</f>
        <v xml:space="preserve">Пахомов Андрей Павлович</v>
      </c>
      <c r="N484" s="13" t="str">
        <f t="shared" ref="N484:N547" si="429">IF(ISNUMBER(FIND(".",C484)),"инициалы: проверить",IF(SUMPRODUCT(--ISNUMBER(FIND(MID("abcdefghijklmnopqrstuvwxyz",ROW(INDIRECT("1:26")),1),LOWER(C484))))&gt;0,"латиница: транслит","OK"))</f>
        <v>OK</v>
      </c>
      <c r="O484" s="19">
        <f t="shared" ref="O484:O547" si="430">IF(ISNUMBER(FIND("-",D484)),DATE(VALUE(LEFT(D484,4)),VALUE(MID(D484,6,2)),VALUE(MID(D484,9,2))),DATE(VALUE(MID(D484,7,4)),VALUE(MID(D484,4,2)),VALUE(LEFT(D484,2))))</f>
        <v>33251</v>
      </c>
      <c r="P484" s="19">
        <f t="shared" ref="P484:P547" si="431">IF(ISNUMBER(FIND("-",H484)),DATE(VALUE(LEFT(H484,4)),VALUE(MID(H484,6,2)),VALUE(MID(H484,9,2))),DATE(VALUE(MID(H484,7,4)),VALUE(MID(H484,4,2)),VALUE(LEFT(H484,2))))</f>
        <v>49444</v>
      </c>
      <c r="Q484" s="13">
        <f t="shared" ref="Q484:Q547" ca="1" si="432">DATEDIF(O484,TODAY(),"Y")</f>
        <v>35</v>
      </c>
      <c r="R484" s="13" t="str">
        <f t="shared" ref="R484:R547" si="433">IF(OR(Q484&lt;18,Q484&gt;120),"Ошибка даты рождения","OK")</f>
        <v>OK</v>
      </c>
      <c r="S484" s="13" t="str">
        <f t="shared" ref="S484:S547" si="434">IF(LEN(I484)&gt;=10,"+7 ("&amp;MID(I484,LEN(I484)-9,3)&amp;") "&amp;MID(I484,LEN(I484)-6,3)&amp;"-"&amp;MID(I484,LEN(I484)-3,2)&amp;"-"&amp;RIGHT(I484,2),"Ошибка телефона")</f>
        <v xml:space="preserve">+7 (903) 678-90-12</v>
      </c>
      <c r="T484" s="13" t="str">
        <f t="shared" ref="T484:T547" si="435">J484</f>
        <v>pahomov@yandex</v>
      </c>
      <c r="U484" s="18" t="str">
        <f t="shared" ref="U484:U547" si="436">IF(AND(ISNUMBER(FIND("@",J484)),ISNUMBER(FIND(".",MID(J484,FIND("@",J484),100)))),"OK","Ошибка Email")</f>
        <v xml:space="preserve">Ошибка Email</v>
      </c>
      <c r="V484" s="13" t="str">
        <f>IFERROR(VLOOKUP(K484,Справочники!$K$6:$L$13,2,0),K484)</f>
        <v>Благовещенск</v>
      </c>
    </row>
    <row r="485" ht="15" customHeight="1">
      <c r="A485" s="10">
        <v>483</v>
      </c>
      <c r="B485" s="11" t="str">
        <f>RAW_Клиенты!A484</f>
        <v>C0483</v>
      </c>
      <c r="C485" s="11" t="str">
        <f>RAW_Клиенты!B484</f>
        <v xml:space="preserve">Рыжова Мария Олеговна</v>
      </c>
      <c r="D485" s="11" t="str">
        <f>RAW_Клиенты!C484</f>
        <v>04.06.1976</v>
      </c>
      <c r="E485" s="11" t="str">
        <f>RAW_Клиенты!D484</f>
        <v xml:space="preserve">8 903 789 01 23</v>
      </c>
      <c r="F485" s="11" t="str">
        <f>RAW_Клиенты!E484</f>
        <v>ryzhova@gmail</v>
      </c>
      <c r="G485" s="11" t="str">
        <f>RAW_Клиенты!F484</f>
        <v>Майкоп</v>
      </c>
      <c r="H485" s="11" t="str">
        <f>RAW_Клиенты!G484</f>
        <v>15.05.2035</v>
      </c>
      <c r="I485" s="12" t="str">
        <f t="shared" si="424"/>
        <v>89037890123</v>
      </c>
      <c r="J485" s="12" t="str">
        <f t="shared" si="425"/>
        <v>ryzhova@gmail</v>
      </c>
      <c r="K485" s="12" t="str">
        <f t="shared" si="426"/>
        <v>Майкоп</v>
      </c>
      <c r="L485" s="13" t="str">
        <f t="shared" si="427"/>
        <v>C0483</v>
      </c>
      <c r="M485" s="13" t="str">
        <f t="shared" si="428"/>
        <v xml:space="preserve">Рыжова Мария Олеговна</v>
      </c>
      <c r="N485" s="13" t="str">
        <f t="shared" si="429"/>
        <v>OK</v>
      </c>
      <c r="O485" s="19">
        <f t="shared" si="430"/>
        <v>27915</v>
      </c>
      <c r="P485" s="19">
        <f t="shared" si="431"/>
        <v>49444</v>
      </c>
      <c r="Q485" s="13">
        <f t="shared" ca="1" si="432"/>
        <v>50</v>
      </c>
      <c r="R485" s="13" t="str">
        <f t="shared" si="433"/>
        <v>OK</v>
      </c>
      <c r="S485" s="13" t="str">
        <f t="shared" si="434"/>
        <v xml:space="preserve">+7 (903) 789-01-23</v>
      </c>
      <c r="T485" s="13" t="str">
        <f t="shared" si="435"/>
        <v>ryzhova@gmail</v>
      </c>
      <c r="U485" s="18" t="str">
        <f t="shared" si="436"/>
        <v xml:space="preserve">Ошибка Email</v>
      </c>
      <c r="V485" s="13" t="str">
        <f>IFERROR(VLOOKUP(K485,Справочники!$K$6:$L$13,2,0),K485)</f>
        <v>Майкоп</v>
      </c>
    </row>
    <row r="486" ht="15" customHeight="1">
      <c r="A486" s="10">
        <v>484</v>
      </c>
      <c r="B486" s="11" t="str">
        <f>RAW_Клиенты!A485</f>
        <v>C0484</v>
      </c>
      <c r="C486" s="11" t="str">
        <f>RAW_Клиенты!B485</f>
        <v xml:space="preserve">Ситников Денис Игоревич</v>
      </c>
      <c r="D486" s="11" t="str">
        <f>RAW_Клиенты!C485</f>
        <v>27.11.1983</v>
      </c>
      <c r="E486" s="11" t="str">
        <f>RAW_Клиенты!D485</f>
        <v>+79037890123</v>
      </c>
      <c r="F486" s="11" t="str">
        <f>RAW_Клиенты!E485</f>
        <v>sitnikov@mail</v>
      </c>
      <c r="G486" s="11" t="str">
        <f>RAW_Клиенты!F485</f>
        <v>Уссурийск</v>
      </c>
      <c r="H486" s="11" t="str">
        <f>RAW_Клиенты!G485</f>
        <v>01.06.2035</v>
      </c>
      <c r="I486" s="12" t="str">
        <f t="shared" si="424"/>
        <v>79037890123</v>
      </c>
      <c r="J486" s="12" t="str">
        <f t="shared" si="425"/>
        <v>sitnikov@mail</v>
      </c>
      <c r="K486" s="12" t="str">
        <f t="shared" si="426"/>
        <v>Уссурийск</v>
      </c>
      <c r="L486" s="13" t="str">
        <f t="shared" si="427"/>
        <v>C0484</v>
      </c>
      <c r="M486" s="13" t="str">
        <f t="shared" si="428"/>
        <v xml:space="preserve">Ситников Денис Игоревич</v>
      </c>
      <c r="N486" s="13" t="str">
        <f t="shared" si="429"/>
        <v>OK</v>
      </c>
      <c r="O486" s="19">
        <f t="shared" si="430"/>
        <v>30647</v>
      </c>
      <c r="P486" s="19">
        <f t="shared" si="431"/>
        <v>49461</v>
      </c>
      <c r="Q486" s="13">
        <f t="shared" ca="1" si="432"/>
        <v>42</v>
      </c>
      <c r="R486" s="13" t="str">
        <f t="shared" si="433"/>
        <v>OK</v>
      </c>
      <c r="S486" s="13" t="str">
        <f t="shared" si="434"/>
        <v xml:space="preserve">+7 (903) 789-01-23</v>
      </c>
      <c r="T486" s="13" t="str">
        <f t="shared" si="435"/>
        <v>sitnikov@mail</v>
      </c>
      <c r="U486" s="18" t="str">
        <f t="shared" si="436"/>
        <v xml:space="preserve">Ошибка Email</v>
      </c>
      <c r="V486" s="13" t="str">
        <f>IFERROR(VLOOKUP(K486,Справочники!$K$6:$L$13,2,0),K486)</f>
        <v>Уссурийск</v>
      </c>
    </row>
    <row r="487" ht="15" customHeight="1">
      <c r="A487" s="10">
        <v>485</v>
      </c>
      <c r="B487" s="11" t="str">
        <f>RAW_Клиенты!A486</f>
        <v>C0485</v>
      </c>
      <c r="C487" s="11" t="str">
        <f>RAW_Клиенты!B486</f>
        <v xml:space="preserve">Калмыкова Ольга Павловна</v>
      </c>
      <c r="D487" s="11" t="str">
        <f>RAW_Клиенты!C486</f>
        <v>12.04.1988</v>
      </c>
      <c r="E487" s="11" t="str">
        <f>RAW_Клиенты!D486</f>
        <v>8-903-789-01-23</v>
      </c>
      <c r="F487" s="11" t="str">
        <f>RAW_Клиенты!E486</f>
        <v>kalmykova@yandex</v>
      </c>
      <c r="G487" s="11" t="str">
        <f>RAW_Клиенты!F486</f>
        <v>Миасс</v>
      </c>
      <c r="H487" s="11" t="str">
        <f>RAW_Клиенты!G486</f>
        <v>2035-06-10</v>
      </c>
      <c r="I487" s="12" t="str">
        <f t="shared" si="424"/>
        <v>89037890123</v>
      </c>
      <c r="J487" s="12" t="str">
        <f t="shared" si="425"/>
        <v>kalmykova@yandex</v>
      </c>
      <c r="K487" s="12" t="str">
        <f t="shared" si="426"/>
        <v>Миасс</v>
      </c>
      <c r="L487" s="13" t="str">
        <f t="shared" si="427"/>
        <v>C0485</v>
      </c>
      <c r="M487" s="13" t="str">
        <f t="shared" si="428"/>
        <v xml:space="preserve">Калмыкова Ольга Павловна</v>
      </c>
      <c r="N487" s="13" t="str">
        <f t="shared" si="429"/>
        <v>OK</v>
      </c>
      <c r="O487" s="19">
        <f t="shared" si="430"/>
        <v>32245</v>
      </c>
      <c r="P487" s="19">
        <f t="shared" si="431"/>
        <v>49470</v>
      </c>
      <c r="Q487" s="13">
        <f t="shared" ca="1" si="432"/>
        <v>38</v>
      </c>
      <c r="R487" s="13" t="str">
        <f t="shared" si="433"/>
        <v>OK</v>
      </c>
      <c r="S487" s="13" t="str">
        <f t="shared" si="434"/>
        <v xml:space="preserve">+7 (903) 789-01-23</v>
      </c>
      <c r="T487" s="13" t="str">
        <f t="shared" si="435"/>
        <v>kalmykova@yandex</v>
      </c>
      <c r="U487" s="18" t="str">
        <f t="shared" si="436"/>
        <v xml:space="preserve">Ошибка Email</v>
      </c>
      <c r="V487" s="13" t="str">
        <f>IFERROR(VLOOKUP(K487,Справочники!$K$6:$L$13,2,0),K487)</f>
        <v>Миасс</v>
      </c>
    </row>
    <row r="488" ht="15" customHeight="1">
      <c r="A488" s="10">
        <v>486</v>
      </c>
      <c r="B488" s="11" t="str">
        <f>RAW_Клиенты!A487</f>
        <v>C0486</v>
      </c>
      <c r="C488" s="11" t="str">
        <f>RAW_Клиенты!B487</f>
        <v xml:space="preserve">Зуев Илья Викторович</v>
      </c>
      <c r="D488" s="11" t="str">
        <f>RAW_Клиенты!C487</f>
        <v>01.07.1972</v>
      </c>
      <c r="E488" s="11" t="str">
        <f>RAW_Клиенты!D487</f>
        <v xml:space="preserve">8 903 890 12 34</v>
      </c>
      <c r="F488" s="11" t="str">
        <f>RAW_Клиенты!E487</f>
        <v>zuev@gmail</v>
      </c>
      <c r="G488" s="11" t="str">
        <f>RAW_Клиенты!F487</f>
        <v>Кызыл</v>
      </c>
      <c r="H488" s="11" t="str">
        <f>RAW_Клиенты!G487</f>
        <v>10.06.2035</v>
      </c>
      <c r="I488" s="12" t="str">
        <f t="shared" si="424"/>
        <v>89038901234</v>
      </c>
      <c r="J488" s="12" t="str">
        <f t="shared" si="425"/>
        <v>zuev@gmail</v>
      </c>
      <c r="K488" s="12" t="str">
        <f t="shared" si="426"/>
        <v>Кызыл</v>
      </c>
      <c r="L488" s="13" t="str">
        <f t="shared" si="427"/>
        <v>C0486</v>
      </c>
      <c r="M488" s="13" t="str">
        <f t="shared" si="428"/>
        <v xml:space="preserve">Зуев Илья Викторович</v>
      </c>
      <c r="N488" s="13" t="str">
        <f t="shared" si="429"/>
        <v>OK</v>
      </c>
      <c r="O488" s="19">
        <f t="shared" si="430"/>
        <v>26481</v>
      </c>
      <c r="P488" s="19">
        <f t="shared" si="431"/>
        <v>49470</v>
      </c>
      <c r="Q488" s="13">
        <f t="shared" ca="1" si="432"/>
        <v>54</v>
      </c>
      <c r="R488" s="13" t="str">
        <f t="shared" si="433"/>
        <v>OK</v>
      </c>
      <c r="S488" s="13" t="str">
        <f t="shared" si="434"/>
        <v xml:space="preserve">+7 (903) 890-12-34</v>
      </c>
      <c r="T488" s="13" t="str">
        <f t="shared" si="435"/>
        <v>zuev@gmail</v>
      </c>
      <c r="U488" s="18" t="str">
        <f t="shared" si="436"/>
        <v xml:space="preserve">Ошибка Email</v>
      </c>
      <c r="V488" s="13" t="str">
        <f>IFERROR(VLOOKUP(K488,Справочники!$K$6:$L$13,2,0),K488)</f>
        <v>Кызыл</v>
      </c>
    </row>
    <row r="489" ht="15" customHeight="1">
      <c r="A489" s="10">
        <v>487</v>
      </c>
      <c r="B489" s="11" t="str">
        <f>RAW_Клиенты!A488</f>
        <v>C0487</v>
      </c>
      <c r="C489" s="11" t="str">
        <f>RAW_Клиенты!B488</f>
        <v xml:space="preserve">Прокопьева Елена Сергеевна</v>
      </c>
      <c r="D489" s="11" t="str">
        <f>RAW_Клиенты!C488</f>
        <v>18.10.1978</v>
      </c>
      <c r="E489" s="11" t="str">
        <f>RAW_Клиенты!D488</f>
        <v>+79038901234</v>
      </c>
      <c r="F489" s="11" t="str">
        <f>RAW_Клиенты!E488</f>
        <v>prokopyeva@mail</v>
      </c>
      <c r="G489" s="11" t="str">
        <f>RAW_Клиенты!F488</f>
        <v>Калининград</v>
      </c>
      <c r="H489" s="11" t="str">
        <f>RAW_Клиенты!G488</f>
        <v>01.07.2035</v>
      </c>
      <c r="I489" s="12" t="str">
        <f t="shared" si="424"/>
        <v>79038901234</v>
      </c>
      <c r="J489" s="12" t="str">
        <f t="shared" si="425"/>
        <v>prokopyeva@mail</v>
      </c>
      <c r="K489" s="12" t="str">
        <f t="shared" si="426"/>
        <v>Калининград</v>
      </c>
      <c r="L489" s="13" t="str">
        <f t="shared" si="427"/>
        <v>C0487</v>
      </c>
      <c r="M489" s="13" t="str">
        <f t="shared" si="428"/>
        <v xml:space="preserve">Прокопьева Елена Сергеевна</v>
      </c>
      <c r="N489" s="13" t="str">
        <f t="shared" si="429"/>
        <v>OK</v>
      </c>
      <c r="O489" s="19">
        <f t="shared" si="430"/>
        <v>28781</v>
      </c>
      <c r="P489" s="19">
        <f t="shared" si="431"/>
        <v>49491</v>
      </c>
      <c r="Q489" s="13">
        <f t="shared" ca="1" si="432"/>
        <v>47</v>
      </c>
      <c r="R489" s="13" t="str">
        <f t="shared" si="433"/>
        <v>OK</v>
      </c>
      <c r="S489" s="13" t="str">
        <f t="shared" si="434"/>
        <v xml:space="preserve">+7 (903) 890-12-34</v>
      </c>
      <c r="T489" s="13" t="str">
        <f t="shared" si="435"/>
        <v>prokopyeva@mail</v>
      </c>
      <c r="U489" s="18" t="str">
        <f t="shared" si="436"/>
        <v xml:space="preserve">Ошибка Email</v>
      </c>
      <c r="V489" s="13" t="str">
        <f>IFERROR(VLOOKUP(K489,Справочники!$K$6:$L$13,2,0),K489)</f>
        <v>Калининград</v>
      </c>
    </row>
    <row r="490" ht="15" customHeight="1">
      <c r="A490" s="10">
        <v>488</v>
      </c>
      <c r="B490" s="11" t="str">
        <f>RAW_Клиенты!A489</f>
        <v>C0488</v>
      </c>
      <c r="C490" s="11" t="str">
        <f>RAW_Клиенты!B489</f>
        <v xml:space="preserve">Сухарев Андрей Олегович</v>
      </c>
      <c r="D490" s="11" t="str">
        <f>RAW_Клиенты!C489</f>
        <v>16.02.1985</v>
      </c>
      <c r="E490" s="11" t="str">
        <f>RAW_Клиенты!D489</f>
        <v>8-903-890-12-34</v>
      </c>
      <c r="F490" s="11" t="str">
        <f>RAW_Клиенты!E489</f>
        <v>suharev@yandex</v>
      </c>
      <c r="G490" s="11" t="str">
        <f>RAW_Клиенты!F489</f>
        <v>Петрозаводск</v>
      </c>
      <c r="H490" s="11" t="str">
        <f>RAW_Клиенты!G489</f>
        <v>2035-07-15</v>
      </c>
      <c r="I490" s="12" t="str">
        <f t="shared" si="424"/>
        <v>89038901234</v>
      </c>
      <c r="J490" s="12" t="str">
        <f t="shared" si="425"/>
        <v>suharev@yandex</v>
      </c>
      <c r="K490" s="12" t="str">
        <f t="shared" si="426"/>
        <v>Петрозаводск</v>
      </c>
      <c r="L490" s="13" t="str">
        <f t="shared" si="427"/>
        <v>C0488</v>
      </c>
      <c r="M490" s="13" t="str">
        <f t="shared" si="428"/>
        <v xml:space="preserve">Сухарев Андрей Олегович</v>
      </c>
      <c r="N490" s="13" t="str">
        <f t="shared" si="429"/>
        <v>OK</v>
      </c>
      <c r="O490" s="19">
        <f t="shared" si="430"/>
        <v>31094</v>
      </c>
      <c r="P490" s="19">
        <f t="shared" si="431"/>
        <v>49505</v>
      </c>
      <c r="Q490" s="13">
        <f t="shared" ca="1" si="432"/>
        <v>41</v>
      </c>
      <c r="R490" s="13" t="str">
        <f t="shared" si="433"/>
        <v>OK</v>
      </c>
      <c r="S490" s="13" t="str">
        <f t="shared" si="434"/>
        <v xml:space="preserve">+7 (903) 890-12-34</v>
      </c>
      <c r="T490" s="13" t="str">
        <f t="shared" si="435"/>
        <v>suharev@yandex</v>
      </c>
      <c r="U490" s="18" t="str">
        <f t="shared" si="436"/>
        <v xml:space="preserve">Ошибка Email</v>
      </c>
      <c r="V490" s="13" t="str">
        <f>IFERROR(VLOOKUP(K490,Справочники!$K$6:$L$13,2,0),K490)</f>
        <v>Петрозаводск</v>
      </c>
    </row>
    <row r="491" ht="15" customHeight="1">
      <c r="A491" s="10">
        <v>489</v>
      </c>
      <c r="B491" s="11" t="str">
        <f>RAW_Клиенты!A490</f>
        <v>C0489</v>
      </c>
      <c r="C491" s="11" t="str">
        <f>RAW_Клиенты!B490</f>
        <v xml:space="preserve">Меньшова Мария Владимировна</v>
      </c>
      <c r="D491" s="11" t="str">
        <f>RAW_Клиенты!C490</f>
        <v>29.08.1992</v>
      </c>
      <c r="E491" s="11" t="str">
        <f>RAW_Клиенты!D490</f>
        <v xml:space="preserve">8 903 901 23 45</v>
      </c>
      <c r="F491" s="11" t="str">
        <f>RAW_Клиенты!E490</f>
        <v>menshova@gmail</v>
      </c>
      <c r="G491" s="11" t="str">
        <f>RAW_Клиенты!F490</f>
        <v>Рубцовск</v>
      </c>
      <c r="H491" s="11" t="str">
        <f>RAW_Клиенты!G490</f>
        <v>15.07.2035</v>
      </c>
      <c r="I491" s="12" t="str">
        <f t="shared" si="424"/>
        <v>89039012345</v>
      </c>
      <c r="J491" s="12" t="str">
        <f t="shared" si="425"/>
        <v>menshova@gmail</v>
      </c>
      <c r="K491" s="12" t="str">
        <f t="shared" si="426"/>
        <v>Рубцовск</v>
      </c>
      <c r="L491" s="13" t="str">
        <f t="shared" si="427"/>
        <v>C0489</v>
      </c>
      <c r="M491" s="13" t="str">
        <f t="shared" si="428"/>
        <v xml:space="preserve">Меньшова Мария Владимировна</v>
      </c>
      <c r="N491" s="13" t="str">
        <f t="shared" si="429"/>
        <v>OK</v>
      </c>
      <c r="O491" s="19">
        <f t="shared" si="430"/>
        <v>33845</v>
      </c>
      <c r="P491" s="19">
        <f t="shared" si="431"/>
        <v>49505</v>
      </c>
      <c r="Q491" s="13">
        <f t="shared" ca="1" si="432"/>
        <v>34</v>
      </c>
      <c r="R491" s="13" t="str">
        <f t="shared" si="433"/>
        <v>OK</v>
      </c>
      <c r="S491" s="13" t="str">
        <f t="shared" si="434"/>
        <v xml:space="preserve">+7 (903) 901-23-45</v>
      </c>
      <c r="T491" s="13" t="str">
        <f t="shared" si="435"/>
        <v>menshova@gmail</v>
      </c>
      <c r="U491" s="18" t="str">
        <f t="shared" si="436"/>
        <v xml:space="preserve">Ошибка Email</v>
      </c>
      <c r="V491" s="13" t="str">
        <f>IFERROR(VLOOKUP(K491,Справочники!$K$6:$L$13,2,0),K491)</f>
        <v>Рубцовск</v>
      </c>
    </row>
    <row r="492" ht="15" customHeight="1">
      <c r="A492" s="10">
        <v>490</v>
      </c>
      <c r="B492" s="11" t="str">
        <f>RAW_Клиенты!A491</f>
        <v>C0490</v>
      </c>
      <c r="C492" s="11" t="str">
        <f>RAW_Клиенты!B491</f>
        <v xml:space="preserve">Пискунов Денис Сергеевич</v>
      </c>
      <c r="D492" s="11" t="str">
        <f>RAW_Клиенты!C491</f>
        <v>22.12.1977</v>
      </c>
      <c r="E492" s="11" t="str">
        <f>RAW_Клиенты!D491</f>
        <v>+79039012345</v>
      </c>
      <c r="F492" s="11" t="str">
        <f>RAW_Клиенты!E491</f>
        <v>piskunov@mail</v>
      </c>
      <c r="G492" s="11" t="str">
        <f>RAW_Клиенты!F491</f>
        <v>Элиста</v>
      </c>
      <c r="H492" s="11" t="str">
        <f>RAW_Клиенты!G491</f>
        <v>01.08.2035</v>
      </c>
      <c r="I492" s="12" t="str">
        <f t="shared" si="424"/>
        <v>79039012345</v>
      </c>
      <c r="J492" s="12" t="str">
        <f t="shared" si="425"/>
        <v>piskunov@mail</v>
      </c>
      <c r="K492" s="12" t="str">
        <f t="shared" si="426"/>
        <v>Элиста</v>
      </c>
      <c r="L492" s="13" t="str">
        <f t="shared" si="427"/>
        <v>C0490</v>
      </c>
      <c r="M492" s="13" t="str">
        <f t="shared" si="428"/>
        <v xml:space="preserve">Пискунов Денис Сергеевич</v>
      </c>
      <c r="N492" s="13" t="str">
        <f t="shared" si="429"/>
        <v>OK</v>
      </c>
      <c r="O492" s="19">
        <f t="shared" si="430"/>
        <v>28481</v>
      </c>
      <c r="P492" s="19">
        <f t="shared" si="431"/>
        <v>49522</v>
      </c>
      <c r="Q492" s="13">
        <f t="shared" ca="1" si="432"/>
        <v>48</v>
      </c>
      <c r="R492" s="13" t="str">
        <f t="shared" si="433"/>
        <v>OK</v>
      </c>
      <c r="S492" s="13" t="str">
        <f t="shared" si="434"/>
        <v xml:space="preserve">+7 (903) 901-23-45</v>
      </c>
      <c r="T492" s="13" t="str">
        <f t="shared" si="435"/>
        <v>piskunov@mail</v>
      </c>
      <c r="U492" s="18" t="str">
        <f t="shared" si="436"/>
        <v xml:space="preserve">Ошибка Email</v>
      </c>
      <c r="V492" s="13" t="str">
        <f>IFERROR(VLOOKUP(K492,Справочники!$K$6:$L$13,2,0),K492)</f>
        <v>Элиста</v>
      </c>
    </row>
    <row r="493" ht="15" customHeight="1">
      <c r="A493" s="10">
        <v>491</v>
      </c>
      <c r="B493" s="11" t="str">
        <f>RAW_Клиенты!A492</f>
        <v>C0491</v>
      </c>
      <c r="C493" s="11" t="str">
        <f>RAW_Клиенты!B492</f>
        <v xml:space="preserve">Соболева Ольга Алексеевна</v>
      </c>
      <c r="D493" s="11" t="str">
        <f>RAW_Клиенты!C492</f>
        <v>09.05.1980</v>
      </c>
      <c r="E493" s="11" t="str">
        <f>RAW_Клиенты!D492</f>
        <v>8-903-901-23-45</v>
      </c>
      <c r="F493" s="11" t="str">
        <f>RAW_Клиенты!E492</f>
        <v>soboleva@yandex</v>
      </c>
      <c r="G493" s="11" t="str">
        <f>RAW_Клиенты!F492</f>
        <v>Орск</v>
      </c>
      <c r="H493" s="11" t="str">
        <f>RAW_Клиенты!G492</f>
        <v>2035-08-10</v>
      </c>
      <c r="I493" s="12" t="str">
        <f t="shared" si="424"/>
        <v>89039012345</v>
      </c>
      <c r="J493" s="12" t="str">
        <f t="shared" si="425"/>
        <v>soboleva@yandex</v>
      </c>
      <c r="K493" s="12" t="str">
        <f t="shared" si="426"/>
        <v>Орск</v>
      </c>
      <c r="L493" s="13" t="str">
        <f t="shared" si="427"/>
        <v>C0491</v>
      </c>
      <c r="M493" s="13" t="str">
        <f t="shared" si="428"/>
        <v xml:space="preserve">Соболева Ольга Алексеевна</v>
      </c>
      <c r="N493" s="13" t="str">
        <f t="shared" si="429"/>
        <v>OK</v>
      </c>
      <c r="O493" s="19">
        <f t="shared" si="430"/>
        <v>29350</v>
      </c>
      <c r="P493" s="19">
        <f t="shared" si="431"/>
        <v>49531</v>
      </c>
      <c r="Q493" s="13">
        <f t="shared" ca="1" si="432"/>
        <v>46</v>
      </c>
      <c r="R493" s="13" t="str">
        <f t="shared" si="433"/>
        <v>OK</v>
      </c>
      <c r="S493" s="13" t="str">
        <f t="shared" si="434"/>
        <v xml:space="preserve">+7 (903) 901-23-45</v>
      </c>
      <c r="T493" s="13" t="str">
        <f t="shared" si="435"/>
        <v>soboleva@yandex</v>
      </c>
      <c r="U493" s="18" t="str">
        <f t="shared" si="436"/>
        <v xml:space="preserve">Ошибка Email</v>
      </c>
      <c r="V493" s="13" t="str">
        <f>IFERROR(VLOOKUP(K493,Справочники!$K$6:$L$13,2,0),K493)</f>
        <v>Орск</v>
      </c>
    </row>
    <row r="494" ht="15" customHeight="1">
      <c r="A494" s="10">
        <v>492</v>
      </c>
      <c r="B494" s="11" t="str">
        <f>RAW_Клиенты!A493</f>
        <v>C0492</v>
      </c>
      <c r="C494" s="11" t="str">
        <f>RAW_Клиенты!B493</f>
        <v xml:space="preserve">Черкесов Илья Николаевич</v>
      </c>
      <c r="D494" s="11" t="str">
        <f>RAW_Клиенты!C493</f>
        <v>03.07.1985</v>
      </c>
      <c r="E494" s="11" t="str">
        <f>RAW_Клиенты!D493</f>
        <v xml:space="preserve">8 903 012 34 56</v>
      </c>
      <c r="F494" s="11" t="str">
        <f>RAW_Клиенты!E493</f>
        <v>cherkesov@gmail</v>
      </c>
      <c r="G494" s="11" t="str">
        <f>RAW_Клиенты!F493</f>
        <v>Нижневартовск</v>
      </c>
      <c r="H494" s="11" t="str">
        <f>RAW_Клиенты!G493</f>
        <v>10.08.2035</v>
      </c>
      <c r="I494" s="12" t="str">
        <f t="shared" si="424"/>
        <v>89030123456</v>
      </c>
      <c r="J494" s="12" t="str">
        <f t="shared" si="425"/>
        <v>cherkesov@gmail</v>
      </c>
      <c r="K494" s="12" t="str">
        <f t="shared" si="426"/>
        <v>Нижневартовск</v>
      </c>
      <c r="L494" s="13" t="str">
        <f t="shared" si="427"/>
        <v>C0492</v>
      </c>
      <c r="M494" s="13" t="str">
        <f t="shared" si="428"/>
        <v xml:space="preserve">Черкесов Илья Николаевич</v>
      </c>
      <c r="N494" s="13" t="str">
        <f t="shared" si="429"/>
        <v>OK</v>
      </c>
      <c r="O494" s="19">
        <f t="shared" si="430"/>
        <v>31231</v>
      </c>
      <c r="P494" s="19">
        <f t="shared" si="431"/>
        <v>49531</v>
      </c>
      <c r="Q494" s="13">
        <f t="shared" ca="1" si="432"/>
        <v>41</v>
      </c>
      <c r="R494" s="13" t="str">
        <f t="shared" si="433"/>
        <v>OK</v>
      </c>
      <c r="S494" s="13" t="str">
        <f t="shared" si="434"/>
        <v xml:space="preserve">+7 (903) 012-34-56</v>
      </c>
      <c r="T494" s="13" t="str">
        <f t="shared" si="435"/>
        <v>cherkesov@gmail</v>
      </c>
      <c r="U494" s="18" t="str">
        <f t="shared" si="436"/>
        <v xml:space="preserve">Ошибка Email</v>
      </c>
      <c r="V494" s="13" t="str">
        <f>IFERROR(VLOOKUP(K494,Справочники!$K$6:$L$13,2,0),K494)</f>
        <v>Нижневартовск</v>
      </c>
    </row>
    <row r="495" ht="15" customHeight="1">
      <c r="A495" s="10">
        <v>493</v>
      </c>
      <c r="B495" s="11" t="str">
        <f>RAW_Клиенты!A494</f>
        <v>C0493</v>
      </c>
      <c r="C495" s="11" t="str">
        <f>RAW_Клиенты!B494</f>
        <v xml:space="preserve">Ракитина Екатерина Павловна</v>
      </c>
      <c r="D495" s="11" t="str">
        <f>RAW_Клиенты!C494</f>
        <v>17.01.1990</v>
      </c>
      <c r="E495" s="11" t="str">
        <f>RAW_Клиенты!D494</f>
        <v>+79030123456</v>
      </c>
      <c r="F495" s="11" t="str">
        <f>RAW_Клиенты!E494</f>
        <v>rakitina@mail</v>
      </c>
      <c r="G495" s="11" t="str">
        <f>RAW_Клиенты!F494</f>
        <v>Новороссийск</v>
      </c>
      <c r="H495" s="11" t="str">
        <f>RAW_Клиенты!G494</f>
        <v>01.09.2035</v>
      </c>
      <c r="I495" s="12" t="str">
        <f t="shared" si="424"/>
        <v>79030123456</v>
      </c>
      <c r="J495" s="12" t="str">
        <f t="shared" si="425"/>
        <v>rakitina@mail</v>
      </c>
      <c r="K495" s="12" t="str">
        <f t="shared" si="426"/>
        <v>Новороссийск</v>
      </c>
      <c r="L495" s="13" t="str">
        <f t="shared" si="427"/>
        <v>C0493</v>
      </c>
      <c r="M495" s="13" t="str">
        <f t="shared" si="428"/>
        <v xml:space="preserve">Ракитина Екатерина Павловна</v>
      </c>
      <c r="N495" s="13" t="str">
        <f t="shared" si="429"/>
        <v>OK</v>
      </c>
      <c r="O495" s="19">
        <f t="shared" si="430"/>
        <v>32890</v>
      </c>
      <c r="P495" s="19">
        <f t="shared" si="431"/>
        <v>49553</v>
      </c>
      <c r="Q495" s="13">
        <f t="shared" ca="1" si="432"/>
        <v>36</v>
      </c>
      <c r="R495" s="13" t="str">
        <f t="shared" si="433"/>
        <v>OK</v>
      </c>
      <c r="S495" s="13" t="str">
        <f t="shared" si="434"/>
        <v xml:space="preserve">+7 (903) 012-34-56</v>
      </c>
      <c r="T495" s="13" t="str">
        <f t="shared" si="435"/>
        <v>rakitina@mail</v>
      </c>
      <c r="U495" s="18" t="str">
        <f t="shared" si="436"/>
        <v xml:space="preserve">Ошибка Email</v>
      </c>
      <c r="V495" s="13" t="str">
        <f>IFERROR(VLOOKUP(K495,Справочники!$K$6:$L$13,2,0),K495)</f>
        <v>Новороссийск</v>
      </c>
    </row>
    <row r="496" ht="15" customHeight="1">
      <c r="A496" s="10">
        <v>494</v>
      </c>
      <c r="B496" s="11" t="str">
        <f>RAW_Клиенты!A495</f>
        <v>C0494</v>
      </c>
      <c r="C496" s="11" t="str">
        <f>RAW_Клиенты!B495</f>
        <v xml:space="preserve">Логунов Андрей Сергеевич</v>
      </c>
      <c r="D496" s="11" t="str">
        <f>RAW_Клиенты!C495</f>
        <v>28.10.1983</v>
      </c>
      <c r="E496" s="11" t="str">
        <f>RAW_Клиенты!D495</f>
        <v>8-903-012-34-56</v>
      </c>
      <c r="F496" s="11" t="str">
        <f>RAW_Клиенты!E495</f>
        <v>logunov@yandex</v>
      </c>
      <c r="G496" s="11" t="str">
        <f>RAW_Клиенты!F495</f>
        <v>Химки</v>
      </c>
      <c r="H496" s="11" t="str">
        <f>RAW_Клиенты!G495</f>
        <v>2035-09-15</v>
      </c>
      <c r="I496" s="12" t="str">
        <f t="shared" si="424"/>
        <v>89030123456</v>
      </c>
      <c r="J496" s="12" t="str">
        <f t="shared" si="425"/>
        <v>logunov@yandex</v>
      </c>
      <c r="K496" s="12" t="str">
        <f t="shared" si="426"/>
        <v>Химки</v>
      </c>
      <c r="L496" s="13" t="str">
        <f t="shared" si="427"/>
        <v>C0494</v>
      </c>
      <c r="M496" s="13" t="str">
        <f t="shared" si="428"/>
        <v xml:space="preserve">Логунов Андрей Сергеевич</v>
      </c>
      <c r="N496" s="13" t="str">
        <f t="shared" si="429"/>
        <v>OK</v>
      </c>
      <c r="O496" s="19">
        <f t="shared" si="430"/>
        <v>30617</v>
      </c>
      <c r="P496" s="19">
        <f t="shared" si="431"/>
        <v>49567</v>
      </c>
      <c r="Q496" s="13">
        <f t="shared" ca="1" si="432"/>
        <v>42</v>
      </c>
      <c r="R496" s="13" t="str">
        <f t="shared" si="433"/>
        <v>OK</v>
      </c>
      <c r="S496" s="13" t="str">
        <f t="shared" si="434"/>
        <v xml:space="preserve">+7 (903) 012-34-56</v>
      </c>
      <c r="T496" s="13" t="str">
        <f t="shared" si="435"/>
        <v>logunov@yandex</v>
      </c>
      <c r="U496" s="18" t="str">
        <f t="shared" si="436"/>
        <v xml:space="preserve">Ошибка Email</v>
      </c>
      <c r="V496" s="13" t="str">
        <f>IFERROR(VLOOKUP(K496,Справочники!$K$6:$L$13,2,0),K496)</f>
        <v>Химки</v>
      </c>
    </row>
    <row r="497" ht="15" customHeight="1">
      <c r="A497" s="10">
        <v>495</v>
      </c>
      <c r="B497" s="11" t="str">
        <f>RAW_Клиенты!A496</f>
        <v>C0495</v>
      </c>
      <c r="C497" s="11" t="str">
        <f>RAW_Клиенты!B496</f>
        <v xml:space="preserve">Боровкова Мария Олеговна</v>
      </c>
      <c r="D497" s="11" t="str">
        <f>RAW_Клиенты!C496</f>
        <v>25.04.1976</v>
      </c>
      <c r="E497" s="11" t="str">
        <f>RAW_Клиенты!D496</f>
        <v xml:space="preserve">8 903 123 45 67</v>
      </c>
      <c r="F497" s="11" t="str">
        <f>RAW_Клиенты!E496</f>
        <v>borovkova@gmail</v>
      </c>
      <c r="G497" s="11" t="str">
        <f>RAW_Клиенты!F496</f>
        <v>Подольск</v>
      </c>
      <c r="H497" s="11" t="str">
        <f>RAW_Клиенты!G496</f>
        <v>15.09.2035</v>
      </c>
      <c r="I497" s="12" t="str">
        <f t="shared" si="424"/>
        <v>89031234567</v>
      </c>
      <c r="J497" s="12" t="str">
        <f t="shared" si="425"/>
        <v>borovkova@gmail</v>
      </c>
      <c r="K497" s="12" t="str">
        <f t="shared" si="426"/>
        <v>Подольск</v>
      </c>
      <c r="L497" s="13" t="str">
        <f t="shared" si="427"/>
        <v>C0495</v>
      </c>
      <c r="M497" s="13" t="str">
        <f t="shared" si="428"/>
        <v xml:space="preserve">Боровкова Мария Олеговна</v>
      </c>
      <c r="N497" s="13" t="str">
        <f t="shared" si="429"/>
        <v>OK</v>
      </c>
      <c r="O497" s="19">
        <f t="shared" si="430"/>
        <v>27875</v>
      </c>
      <c r="P497" s="19">
        <f t="shared" si="431"/>
        <v>49567</v>
      </c>
      <c r="Q497" s="13">
        <f t="shared" ca="1" si="432"/>
        <v>50</v>
      </c>
      <c r="R497" s="13" t="str">
        <f t="shared" si="433"/>
        <v>OK</v>
      </c>
      <c r="S497" s="13" t="str">
        <f t="shared" si="434"/>
        <v xml:space="preserve">+7 (903) 123-45-67</v>
      </c>
      <c r="T497" s="13" t="str">
        <f t="shared" si="435"/>
        <v>borovkova@gmail</v>
      </c>
      <c r="U497" s="18" t="str">
        <f t="shared" si="436"/>
        <v xml:space="preserve">Ошибка Email</v>
      </c>
      <c r="V497" s="13" t="str">
        <f>IFERROR(VLOOKUP(K497,Справочники!$K$6:$L$13,2,0),K497)</f>
        <v>Подольск</v>
      </c>
    </row>
    <row r="498" ht="15" customHeight="1">
      <c r="A498" s="10">
        <v>496</v>
      </c>
      <c r="B498" s="11" t="str">
        <f>RAW_Клиенты!A497</f>
        <v>C0496</v>
      </c>
      <c r="C498" s="11" t="str">
        <f>RAW_Клиенты!B497</f>
        <v xml:space="preserve">Терехов Денис Викторович</v>
      </c>
      <c r="D498" s="11" t="str">
        <f>RAW_Клиенты!C497</f>
        <v>06.12.1981</v>
      </c>
      <c r="E498" s="11" t="str">
        <f>RAW_Клиенты!D497</f>
        <v>+79031234567</v>
      </c>
      <c r="F498" s="11" t="str">
        <f>RAW_Клиенты!E497</f>
        <v>terehov@mail</v>
      </c>
      <c r="G498" s="11" t="str">
        <f>RAW_Клиенты!F497</f>
        <v>Балашиха</v>
      </c>
      <c r="H498" s="11" t="str">
        <f>RAW_Клиенты!G497</f>
        <v>01.10.2035</v>
      </c>
      <c r="I498" s="12" t="str">
        <f t="shared" si="424"/>
        <v>79031234567</v>
      </c>
      <c r="J498" s="12" t="str">
        <f t="shared" si="425"/>
        <v>terehov@mail</v>
      </c>
      <c r="K498" s="12" t="str">
        <f t="shared" si="426"/>
        <v>Балашиха</v>
      </c>
      <c r="L498" s="13" t="str">
        <f t="shared" si="427"/>
        <v>C0496</v>
      </c>
      <c r="M498" s="13" t="str">
        <f t="shared" si="428"/>
        <v xml:space="preserve">Терехов Денис Викторович</v>
      </c>
      <c r="N498" s="13" t="str">
        <f t="shared" si="429"/>
        <v>OK</v>
      </c>
      <c r="O498" s="19">
        <f t="shared" si="430"/>
        <v>29926</v>
      </c>
      <c r="P498" s="19">
        <f t="shared" si="431"/>
        <v>49583</v>
      </c>
      <c r="Q498" s="13">
        <f t="shared" ca="1" si="432"/>
        <v>44</v>
      </c>
      <c r="R498" s="13" t="str">
        <f t="shared" si="433"/>
        <v>OK</v>
      </c>
      <c r="S498" s="13" t="str">
        <f t="shared" si="434"/>
        <v xml:space="preserve">+7 (903) 123-45-67</v>
      </c>
      <c r="T498" s="13" t="str">
        <f t="shared" si="435"/>
        <v>terehov@mail</v>
      </c>
      <c r="U498" s="18" t="str">
        <f t="shared" si="436"/>
        <v xml:space="preserve">Ошибка Email</v>
      </c>
      <c r="V498" s="13" t="str">
        <f>IFERROR(VLOOKUP(K498,Справочники!$K$6:$L$13,2,0),K498)</f>
        <v>Балашиха</v>
      </c>
    </row>
    <row r="499" ht="15" customHeight="1">
      <c r="A499" s="10">
        <v>497</v>
      </c>
      <c r="B499" s="11" t="str">
        <f>RAW_Клиенты!A498</f>
        <v>C0497</v>
      </c>
      <c r="C499" s="11" t="str">
        <f>RAW_Клиенты!B498</f>
        <v xml:space="preserve">Курагина Ольга Сергеевна</v>
      </c>
      <c r="D499" s="11" t="str">
        <f>RAW_Клиенты!C498</f>
        <v>19.06.1986</v>
      </c>
      <c r="E499" s="11" t="str">
        <f>RAW_Клиенты!D498</f>
        <v>8-903-123-45-67</v>
      </c>
      <c r="F499" s="11" t="str">
        <f>RAW_Клиенты!E498</f>
        <v>kuragina@yandex</v>
      </c>
      <c r="G499" s="11" t="str">
        <f>RAW_Клиенты!F498</f>
        <v>Сургут</v>
      </c>
      <c r="H499" s="11" t="str">
        <f>RAW_Клиенты!G498</f>
        <v>2035-10-10</v>
      </c>
      <c r="I499" s="12" t="str">
        <f t="shared" si="424"/>
        <v>89031234567</v>
      </c>
      <c r="J499" s="12" t="str">
        <f t="shared" si="425"/>
        <v>kuragina@yandex</v>
      </c>
      <c r="K499" s="12" t="str">
        <f t="shared" si="426"/>
        <v>Сургут</v>
      </c>
      <c r="L499" s="13" t="str">
        <f t="shared" si="427"/>
        <v>C0497</v>
      </c>
      <c r="M499" s="13" t="str">
        <f t="shared" si="428"/>
        <v xml:space="preserve">Курагина Ольга Сергеевна</v>
      </c>
      <c r="N499" s="13" t="str">
        <f t="shared" si="429"/>
        <v>OK</v>
      </c>
      <c r="O499" s="19">
        <f t="shared" si="430"/>
        <v>31582</v>
      </c>
      <c r="P499" s="19">
        <f t="shared" si="431"/>
        <v>49592</v>
      </c>
      <c r="Q499" s="13">
        <f t="shared" ca="1" si="432"/>
        <v>40</v>
      </c>
      <c r="R499" s="13" t="str">
        <f t="shared" si="433"/>
        <v>OK</v>
      </c>
      <c r="S499" s="13" t="str">
        <f t="shared" si="434"/>
        <v xml:space="preserve">+7 (903) 123-45-67</v>
      </c>
      <c r="T499" s="13" t="str">
        <f t="shared" si="435"/>
        <v>kuragina@yandex</v>
      </c>
      <c r="U499" s="18" t="str">
        <f t="shared" si="436"/>
        <v xml:space="preserve">Ошибка Email</v>
      </c>
      <c r="V499" s="13" t="str">
        <f>IFERROR(VLOOKUP(K499,Справочники!$K$6:$L$13,2,0),K499)</f>
        <v>Сургут</v>
      </c>
    </row>
    <row r="500" ht="15" customHeight="1">
      <c r="A500" s="10">
        <v>498</v>
      </c>
      <c r="B500" s="11" t="str">
        <f>RAW_Клиенты!A499</f>
        <v>C0498</v>
      </c>
      <c r="C500" s="11" t="str">
        <f>RAW_Клиенты!B499</f>
        <v xml:space="preserve">Горохов Илья Олегович</v>
      </c>
      <c r="D500" s="11" t="str">
        <f>RAW_Клиенты!C499</f>
        <v>14.03.1978</v>
      </c>
      <c r="E500" s="11" t="str">
        <f>RAW_Клиенты!D499</f>
        <v xml:space="preserve">8 903 234 56 78</v>
      </c>
      <c r="F500" s="11" t="str">
        <f>RAW_Клиенты!E499</f>
        <v>gorohov@gmail</v>
      </c>
      <c r="G500" s="11" t="str">
        <f>RAW_Клиенты!F499</f>
        <v>Армавир</v>
      </c>
      <c r="H500" s="11" t="str">
        <f>RAW_Клиенты!G499</f>
        <v>10.10.2035</v>
      </c>
      <c r="I500" s="12" t="str">
        <f t="shared" si="424"/>
        <v>89032345678</v>
      </c>
      <c r="J500" s="12" t="str">
        <f t="shared" si="425"/>
        <v>gorohov@gmail</v>
      </c>
      <c r="K500" s="12" t="str">
        <f t="shared" si="426"/>
        <v>Армавир</v>
      </c>
      <c r="L500" s="13" t="str">
        <f t="shared" si="427"/>
        <v>C0498</v>
      </c>
      <c r="M500" s="13" t="str">
        <f t="shared" si="428"/>
        <v xml:space="preserve">Горохов Илья Олегович</v>
      </c>
      <c r="N500" s="13" t="str">
        <f t="shared" si="429"/>
        <v>OK</v>
      </c>
      <c r="O500" s="19">
        <f t="shared" si="430"/>
        <v>28563</v>
      </c>
      <c r="P500" s="19">
        <f t="shared" si="431"/>
        <v>49592</v>
      </c>
      <c r="Q500" s="13">
        <f t="shared" ca="1" si="432"/>
        <v>48</v>
      </c>
      <c r="R500" s="13" t="str">
        <f t="shared" si="433"/>
        <v>OK</v>
      </c>
      <c r="S500" s="13" t="str">
        <f t="shared" si="434"/>
        <v xml:space="preserve">+7 (903) 234-56-78</v>
      </c>
      <c r="T500" s="13" t="str">
        <f t="shared" si="435"/>
        <v>gorohov@gmail</v>
      </c>
      <c r="U500" s="18" t="str">
        <f t="shared" si="436"/>
        <v xml:space="preserve">Ошибка Email</v>
      </c>
      <c r="V500" s="13" t="str">
        <f>IFERROR(VLOOKUP(K500,Справочники!$K$6:$L$13,2,0),K500)</f>
        <v>Армавир</v>
      </c>
    </row>
    <row r="501" ht="15" customHeight="1">
      <c r="A501" s="10">
        <v>499</v>
      </c>
      <c r="B501" s="11" t="str">
        <f>RAW_Клиенты!A500</f>
        <v>C0499</v>
      </c>
      <c r="C501" s="11" t="str">
        <f>RAW_Клиенты!B500</f>
        <v xml:space="preserve">Маликова Екатерина Владимировна</v>
      </c>
      <c r="D501" s="11" t="str">
        <f>RAW_Клиенты!C500</f>
        <v>02.09.1992</v>
      </c>
      <c r="E501" s="11" t="str">
        <f>RAW_Клиенты!D500</f>
        <v>+79032345678</v>
      </c>
      <c r="F501" s="11" t="str">
        <f>RAW_Клиенты!E500</f>
        <v>malikova@mail</v>
      </c>
      <c r="G501" s="11" t="str">
        <f>RAW_Клиенты!F500</f>
        <v>Волжский</v>
      </c>
      <c r="H501" s="11" t="str">
        <f>RAW_Клиенты!G500</f>
        <v>01.11.2035</v>
      </c>
      <c r="I501" s="12" t="str">
        <f t="shared" si="424"/>
        <v>79032345678</v>
      </c>
      <c r="J501" s="12" t="str">
        <f t="shared" si="425"/>
        <v>malikova@mail</v>
      </c>
      <c r="K501" s="12" t="str">
        <f t="shared" si="426"/>
        <v>Волжский</v>
      </c>
      <c r="L501" s="13" t="str">
        <f t="shared" si="427"/>
        <v>C0499</v>
      </c>
      <c r="M501" s="13" t="str">
        <f t="shared" si="428"/>
        <v xml:space="preserve">Маликова Екатерина Владимировна</v>
      </c>
      <c r="N501" s="13" t="str">
        <f t="shared" si="429"/>
        <v>OK</v>
      </c>
      <c r="O501" s="19">
        <f t="shared" si="430"/>
        <v>33849</v>
      </c>
      <c r="P501" s="19">
        <f t="shared" si="431"/>
        <v>49614</v>
      </c>
      <c r="Q501" s="13">
        <f t="shared" ca="1" si="432"/>
        <v>34</v>
      </c>
      <c r="R501" s="13" t="str">
        <f t="shared" si="433"/>
        <v>OK</v>
      </c>
      <c r="S501" s="13" t="str">
        <f t="shared" si="434"/>
        <v xml:space="preserve">+7 (903) 234-56-78</v>
      </c>
      <c r="T501" s="13" t="str">
        <f t="shared" si="435"/>
        <v>malikova@mail</v>
      </c>
      <c r="U501" s="18" t="str">
        <f t="shared" si="436"/>
        <v xml:space="preserve">Ошибка Email</v>
      </c>
      <c r="V501" s="13" t="str">
        <f>IFERROR(VLOOKUP(K501,Справочники!$K$6:$L$13,2,0),K501)</f>
        <v>Волжский</v>
      </c>
    </row>
    <row r="502" ht="15" customHeight="1">
      <c r="A502" s="10">
        <v>500</v>
      </c>
      <c r="B502" s="11" t="str">
        <f>RAW_Клиенты!A501</f>
        <v>C0500</v>
      </c>
      <c r="C502" s="11" t="str">
        <f>RAW_Клиенты!B501</f>
        <v xml:space="preserve">Санников Андрей Павлович</v>
      </c>
      <c r="D502" s="11" t="str">
        <f>RAW_Клиенты!C501</f>
        <v>24.12.1984</v>
      </c>
      <c r="E502" s="11" t="str">
        <f>RAW_Клиенты!D501</f>
        <v>8-903-234-56-78</v>
      </c>
      <c r="F502" s="11" t="str">
        <f>RAW_Клиенты!E501</f>
        <v>sannikov@yandex</v>
      </c>
      <c r="G502" s="11" t="str">
        <f>RAW_Клиенты!F501</f>
        <v>Шахты</v>
      </c>
      <c r="H502" s="11" t="str">
        <f>RAW_Клиенты!G501</f>
        <v>2035-11-15</v>
      </c>
      <c r="I502" s="12" t="str">
        <f t="shared" si="424"/>
        <v>89032345678</v>
      </c>
      <c r="J502" s="12" t="str">
        <f t="shared" si="425"/>
        <v>sannikov@yandex</v>
      </c>
      <c r="K502" s="12" t="str">
        <f t="shared" si="426"/>
        <v>Шахты</v>
      </c>
      <c r="L502" s="13" t="str">
        <f t="shared" si="427"/>
        <v>C0500</v>
      </c>
      <c r="M502" s="13" t="str">
        <f t="shared" si="428"/>
        <v xml:space="preserve">Санников Андрей Павлович</v>
      </c>
      <c r="N502" s="13" t="str">
        <f t="shared" si="429"/>
        <v>OK</v>
      </c>
      <c r="O502" s="19">
        <f t="shared" si="430"/>
        <v>31040</v>
      </c>
      <c r="P502" s="19">
        <f t="shared" si="431"/>
        <v>49628</v>
      </c>
      <c r="Q502" s="13">
        <f t="shared" ca="1" si="432"/>
        <v>41</v>
      </c>
      <c r="R502" s="13" t="str">
        <f t="shared" si="433"/>
        <v>OK</v>
      </c>
      <c r="S502" s="13" t="str">
        <f t="shared" si="434"/>
        <v xml:space="preserve">+7 (903) 234-56-78</v>
      </c>
      <c r="T502" s="13" t="str">
        <f t="shared" si="435"/>
        <v>sannikov@yandex</v>
      </c>
      <c r="U502" s="18" t="str">
        <f t="shared" si="436"/>
        <v xml:space="preserve">Ошибка Email</v>
      </c>
      <c r="V502" s="13" t="str">
        <f>IFERROR(VLOOKUP(K502,Справочники!$K$6:$L$13,2,0),K502)</f>
        <v>Шахты</v>
      </c>
    </row>
    <row r="503" ht="15" customHeight="1">
      <c r="A503" s="10">
        <v>501</v>
      </c>
      <c r="B503" s="11" t="str">
        <f>RAW_Клиенты!A502</f>
        <v>C0501</v>
      </c>
      <c r="C503" s="11" t="str">
        <f>RAW_Клиенты!B502</f>
        <v xml:space="preserve">Крутова Мария Сергеевна</v>
      </c>
      <c r="D503" s="11" t="str">
        <f>RAW_Клиенты!C502</f>
        <v>11.07.1975</v>
      </c>
      <c r="E503" s="11" t="str">
        <f>RAW_Клиенты!D502</f>
        <v xml:space="preserve">8 903 345 67 89</v>
      </c>
      <c r="F503" s="11" t="str">
        <f>RAW_Клиенты!E502</f>
        <v>krutova@gmail</v>
      </c>
      <c r="G503" s="11" t="str">
        <f>RAW_Клиенты!F502</f>
        <v>Златоуст</v>
      </c>
      <c r="H503" s="11" t="str">
        <f>RAW_Клиенты!G502</f>
        <v>15.11.2035</v>
      </c>
      <c r="I503" s="12" t="str">
        <f t="shared" si="424"/>
        <v>89033456789</v>
      </c>
      <c r="J503" s="12" t="str">
        <f t="shared" si="425"/>
        <v>krutova@gmail</v>
      </c>
      <c r="K503" s="12" t="str">
        <f t="shared" si="426"/>
        <v>Златоуст</v>
      </c>
      <c r="L503" s="13" t="str">
        <f t="shared" si="427"/>
        <v>C0501</v>
      </c>
      <c r="M503" s="13" t="str">
        <f t="shared" si="428"/>
        <v xml:space="preserve">Крутова Мария Сергеевна</v>
      </c>
      <c r="N503" s="13" t="str">
        <f t="shared" si="429"/>
        <v>OK</v>
      </c>
      <c r="O503" s="19">
        <f t="shared" si="430"/>
        <v>27586</v>
      </c>
      <c r="P503" s="19">
        <f t="shared" si="431"/>
        <v>49628</v>
      </c>
      <c r="Q503" s="13">
        <f t="shared" ca="1" si="432"/>
        <v>51</v>
      </c>
      <c r="R503" s="13" t="str">
        <f t="shared" si="433"/>
        <v>OK</v>
      </c>
      <c r="S503" s="13" t="str">
        <f t="shared" si="434"/>
        <v xml:space="preserve">+7 (903) 345-67-89</v>
      </c>
      <c r="T503" s="13" t="str">
        <f t="shared" si="435"/>
        <v>krutova@gmail</v>
      </c>
      <c r="U503" s="18" t="str">
        <f t="shared" si="436"/>
        <v xml:space="preserve">Ошибка Email</v>
      </c>
      <c r="V503" s="13" t="str">
        <f>IFERROR(VLOOKUP(K503,Справочники!$K$6:$L$13,2,0),K503)</f>
        <v>Златоуст</v>
      </c>
    </row>
    <row r="504" ht="15" customHeight="1">
      <c r="A504" s="10">
        <v>502</v>
      </c>
      <c r="B504" s="11" t="str">
        <f>RAW_Клиенты!A503</f>
        <v>C0502</v>
      </c>
      <c r="C504" s="11" t="str">
        <f>RAW_Клиенты!B503</f>
        <v xml:space="preserve">Фадеев Денис Алексеевич</v>
      </c>
      <c r="D504" s="11" t="str">
        <f>RAW_Клиенты!C503</f>
        <v>28.10.1983</v>
      </c>
      <c r="E504" s="11" t="str">
        <f>RAW_Клиенты!D503</f>
        <v>+79033456789</v>
      </c>
      <c r="F504" s="11" t="str">
        <f>RAW_Клиенты!E503</f>
        <v>fadeev@mail</v>
      </c>
      <c r="G504" s="11" t="str">
        <f>RAW_Клиенты!F503</f>
        <v>Ангарск</v>
      </c>
      <c r="H504" s="11" t="str">
        <f>RAW_Клиенты!G503</f>
        <v>01.12.2035</v>
      </c>
      <c r="I504" s="12" t="str">
        <f t="shared" si="424"/>
        <v>79033456789</v>
      </c>
      <c r="J504" s="12" t="str">
        <f t="shared" si="425"/>
        <v>fadeev@mail</v>
      </c>
      <c r="K504" s="12" t="str">
        <f t="shared" si="426"/>
        <v>Ангарск</v>
      </c>
      <c r="L504" s="13" t="str">
        <f t="shared" si="427"/>
        <v>C0502</v>
      </c>
      <c r="M504" s="13" t="str">
        <f t="shared" si="428"/>
        <v xml:space="preserve">Фадеев Денис Алексеевич</v>
      </c>
      <c r="N504" s="13" t="str">
        <f t="shared" si="429"/>
        <v>OK</v>
      </c>
      <c r="O504" s="19">
        <f t="shared" si="430"/>
        <v>30617</v>
      </c>
      <c r="P504" s="19">
        <f t="shared" si="431"/>
        <v>49644</v>
      </c>
      <c r="Q504" s="13">
        <f t="shared" ca="1" si="432"/>
        <v>42</v>
      </c>
      <c r="R504" s="13" t="str">
        <f t="shared" si="433"/>
        <v>OK</v>
      </c>
      <c r="S504" s="13" t="str">
        <f t="shared" si="434"/>
        <v xml:space="preserve">+7 (903) 345-67-89</v>
      </c>
      <c r="T504" s="13" t="str">
        <f t="shared" si="435"/>
        <v>fadeev@mail</v>
      </c>
      <c r="U504" s="18" t="str">
        <f t="shared" si="436"/>
        <v xml:space="preserve">Ошибка Email</v>
      </c>
      <c r="V504" s="13" t="str">
        <f>IFERROR(VLOOKUP(K504,Справочники!$K$6:$L$13,2,0),K504)</f>
        <v>Ангарск</v>
      </c>
    </row>
    <row r="505" ht="15" customHeight="1">
      <c r="A505" s="10">
        <v>503</v>
      </c>
      <c r="B505" s="11" t="str">
        <f>RAW_Клиенты!A504</f>
        <v>C0503</v>
      </c>
      <c r="C505" s="11" t="str">
        <f>RAW_Клиенты!B504</f>
        <v xml:space="preserve">Русанова Ольга Павловна</v>
      </c>
      <c r="D505" s="11" t="str">
        <f>RAW_Клиенты!C504</f>
        <v>05.06.1987</v>
      </c>
      <c r="E505" s="11" t="str">
        <f>RAW_Клиенты!D504</f>
        <v>8-903-345-67-89</v>
      </c>
      <c r="F505" s="11" t="str">
        <f>RAW_Клиенты!E504</f>
        <v>rusanova@yandex</v>
      </c>
      <c r="G505" s="11" t="str">
        <f>RAW_Клиенты!F504</f>
        <v>Озёрск</v>
      </c>
      <c r="H505" s="11" t="str">
        <f>RAW_Клиенты!G504</f>
        <v>2035-12-10</v>
      </c>
      <c r="I505" s="12" t="str">
        <f t="shared" si="424"/>
        <v>89033456789</v>
      </c>
      <c r="J505" s="12" t="str">
        <f t="shared" si="425"/>
        <v>rusanova@yandex</v>
      </c>
      <c r="K505" s="12" t="str">
        <f t="shared" si="426"/>
        <v>Озёрск</v>
      </c>
      <c r="L505" s="13" t="str">
        <f t="shared" si="427"/>
        <v>C0503</v>
      </c>
      <c r="M505" s="13" t="str">
        <f t="shared" si="428"/>
        <v xml:space="preserve">Русанова Ольга Павловна</v>
      </c>
      <c r="N505" s="13" t="str">
        <f t="shared" si="429"/>
        <v>OK</v>
      </c>
      <c r="O505" s="19">
        <f t="shared" si="430"/>
        <v>31933</v>
      </c>
      <c r="P505" s="19">
        <f t="shared" si="431"/>
        <v>49653</v>
      </c>
      <c r="Q505" s="13">
        <f t="shared" ca="1" si="432"/>
        <v>39</v>
      </c>
      <c r="R505" s="13" t="str">
        <f t="shared" si="433"/>
        <v>OK</v>
      </c>
      <c r="S505" s="13" t="str">
        <f t="shared" si="434"/>
        <v xml:space="preserve">+7 (903) 345-67-89</v>
      </c>
      <c r="T505" s="13" t="str">
        <f t="shared" si="435"/>
        <v>rusanova@yandex</v>
      </c>
      <c r="U505" s="18" t="str">
        <f t="shared" si="436"/>
        <v xml:space="preserve">Ошибка Email</v>
      </c>
      <c r="V505" s="13" t="str">
        <f>IFERROR(VLOOKUP(K505,Справочники!$K$6:$L$13,2,0),K505)</f>
        <v>Озёрск</v>
      </c>
    </row>
    <row r="506" ht="15" customHeight="1">
      <c r="A506" s="10">
        <v>504</v>
      </c>
      <c r="B506" s="11" t="str">
        <f>RAW_Клиенты!A505</f>
        <v>C0504</v>
      </c>
      <c r="C506" s="11" t="str">
        <f>RAW_Клиенты!B505</f>
        <v xml:space="preserve">Букаев Илья Викторович</v>
      </c>
      <c r="D506" s="11" t="str">
        <f>RAW_Клиенты!C505</f>
        <v>19.12.1970</v>
      </c>
      <c r="E506" s="11" t="str">
        <f>RAW_Клиенты!D505</f>
        <v xml:space="preserve">8 903 456 78 90</v>
      </c>
      <c r="F506" s="11" t="str">
        <f>RAW_Клиенты!E505</f>
        <v>bukaev@gmail</v>
      </c>
      <c r="G506" s="11" t="str">
        <f>RAW_Клиенты!F505</f>
        <v>Орел</v>
      </c>
      <c r="H506" s="11" t="str">
        <f>RAW_Клиенты!G505</f>
        <v>10.12.2035</v>
      </c>
      <c r="I506" s="12" t="str">
        <f t="shared" si="424"/>
        <v>89034567890</v>
      </c>
      <c r="J506" s="12" t="str">
        <f t="shared" si="425"/>
        <v>bukaev@gmail</v>
      </c>
      <c r="K506" s="12" t="str">
        <f t="shared" si="426"/>
        <v>Орел</v>
      </c>
      <c r="L506" s="13" t="str">
        <f t="shared" si="427"/>
        <v>C0504</v>
      </c>
      <c r="M506" s="13" t="str">
        <f t="shared" si="428"/>
        <v xml:space="preserve">Букаев Илья Викторович</v>
      </c>
      <c r="N506" s="13" t="str">
        <f t="shared" si="429"/>
        <v>OK</v>
      </c>
      <c r="O506" s="19">
        <f t="shared" si="430"/>
        <v>25921</v>
      </c>
      <c r="P506" s="19">
        <f t="shared" si="431"/>
        <v>49653</v>
      </c>
      <c r="Q506" s="13">
        <f t="shared" ca="1" si="432"/>
        <v>55</v>
      </c>
      <c r="R506" s="13" t="str">
        <f t="shared" si="433"/>
        <v>OK</v>
      </c>
      <c r="S506" s="13" t="str">
        <f t="shared" si="434"/>
        <v xml:space="preserve">+7 (903) 456-78-90</v>
      </c>
      <c r="T506" s="13" t="str">
        <f t="shared" si="435"/>
        <v>bukaev@gmail</v>
      </c>
      <c r="U506" s="18" t="str">
        <f t="shared" si="436"/>
        <v xml:space="preserve">Ошибка Email</v>
      </c>
      <c r="V506" s="13" t="str">
        <f>IFERROR(VLOOKUP(K506,Справочники!$K$6:$L$13,2,0),K506)</f>
        <v>Орел</v>
      </c>
    </row>
    <row r="507" ht="15" customHeight="1">
      <c r="A507" s="10">
        <v>505</v>
      </c>
      <c r="B507" s="11" t="str">
        <f>RAW_Клиенты!A506</f>
        <v>C0505</v>
      </c>
      <c r="C507" s="11" t="str">
        <f>RAW_Клиенты!B506</f>
        <v xml:space="preserve">Мухина Екатерина Игоревна</v>
      </c>
      <c r="D507" s="11" t="str">
        <f>RAW_Клиенты!C506</f>
        <v>08.09.1985</v>
      </c>
      <c r="E507" s="11" t="str">
        <f>RAW_Клиенты!D506</f>
        <v>+79034567890</v>
      </c>
      <c r="F507" s="11" t="str">
        <f>RAW_Клиенты!E506</f>
        <v>muhina@mail</v>
      </c>
      <c r="G507" s="11" t="str">
        <f>RAW_Клиенты!F506</f>
        <v>Якутск</v>
      </c>
      <c r="H507" s="11" t="str">
        <f>RAW_Клиенты!G506</f>
        <v>01.01.2036</v>
      </c>
      <c r="I507" s="12" t="str">
        <f t="shared" si="424"/>
        <v>79034567890</v>
      </c>
      <c r="J507" s="12" t="str">
        <f t="shared" si="425"/>
        <v>muhina@mail</v>
      </c>
      <c r="K507" s="12" t="str">
        <f t="shared" si="426"/>
        <v>Якутск</v>
      </c>
      <c r="L507" s="13" t="str">
        <f t="shared" si="427"/>
        <v>C0505</v>
      </c>
      <c r="M507" s="13" t="str">
        <f t="shared" si="428"/>
        <v xml:space="preserve">Мухина Екатерина Игоревна</v>
      </c>
      <c r="N507" s="13" t="str">
        <f t="shared" si="429"/>
        <v>OK</v>
      </c>
      <c r="O507" s="19">
        <f t="shared" si="430"/>
        <v>31298</v>
      </c>
      <c r="P507" s="19">
        <f t="shared" si="431"/>
        <v>49675</v>
      </c>
      <c r="Q507" s="13">
        <f t="shared" ca="1" si="432"/>
        <v>41</v>
      </c>
      <c r="R507" s="13" t="str">
        <f t="shared" si="433"/>
        <v>OK</v>
      </c>
      <c r="S507" s="13" t="str">
        <f t="shared" si="434"/>
        <v xml:space="preserve">+7 (903) 456-78-90</v>
      </c>
      <c r="T507" s="13" t="str">
        <f t="shared" si="435"/>
        <v>muhina@mail</v>
      </c>
      <c r="U507" s="18" t="str">
        <f t="shared" si="436"/>
        <v xml:space="preserve">Ошибка Email</v>
      </c>
      <c r="V507" s="13" t="str">
        <f>IFERROR(VLOOKUP(K507,Справочники!$K$6:$L$13,2,0),K507)</f>
        <v>Якутск</v>
      </c>
    </row>
    <row r="508" ht="15" customHeight="1">
      <c r="A508" s="10">
        <v>506</v>
      </c>
      <c r="B508" s="11" t="str">
        <f>RAW_Клиенты!A507</f>
        <v>C0506</v>
      </c>
      <c r="C508" s="11" t="str">
        <f>RAW_Клиенты!B507</f>
        <v xml:space="preserve">Зиновьев Андрей Олегович</v>
      </c>
      <c r="D508" s="11" t="str">
        <f>RAW_Клиенты!C507</f>
        <v>22.04.1991</v>
      </c>
      <c r="E508" s="11" t="str">
        <f>RAW_Клиенты!D507</f>
        <v>8-903-456-78-90</v>
      </c>
      <c r="F508" s="11" t="str">
        <f>RAW_Клиенты!E507</f>
        <v>zinoviev@yandex</v>
      </c>
      <c r="G508" s="11" t="str">
        <f>RAW_Клиенты!F507</f>
        <v>Чебоксары</v>
      </c>
      <c r="H508" s="11" t="str">
        <f>RAW_Клиенты!G507</f>
        <v>2036-01-15</v>
      </c>
      <c r="I508" s="12" t="str">
        <f t="shared" si="424"/>
        <v>89034567890</v>
      </c>
      <c r="J508" s="12" t="str">
        <f t="shared" si="425"/>
        <v>zinoviev@yandex</v>
      </c>
      <c r="K508" s="12" t="str">
        <f t="shared" si="426"/>
        <v>Чебоксары</v>
      </c>
      <c r="L508" s="13" t="str">
        <f t="shared" si="427"/>
        <v>C0506</v>
      </c>
      <c r="M508" s="13" t="str">
        <f t="shared" si="428"/>
        <v xml:space="preserve">Зиновьев Андрей Олегович</v>
      </c>
      <c r="N508" s="13" t="str">
        <f t="shared" si="429"/>
        <v>OK</v>
      </c>
      <c r="O508" s="19">
        <f t="shared" si="430"/>
        <v>33350</v>
      </c>
      <c r="P508" s="19">
        <f t="shared" si="431"/>
        <v>49689</v>
      </c>
      <c r="Q508" s="13">
        <f t="shared" ca="1" si="432"/>
        <v>35</v>
      </c>
      <c r="R508" s="13" t="str">
        <f t="shared" si="433"/>
        <v>OK</v>
      </c>
      <c r="S508" s="13" t="str">
        <f t="shared" si="434"/>
        <v xml:space="preserve">+7 (903) 456-78-90</v>
      </c>
      <c r="T508" s="13" t="str">
        <f t="shared" si="435"/>
        <v>zinoviev@yandex</v>
      </c>
      <c r="U508" s="18" t="str">
        <f t="shared" si="436"/>
        <v xml:space="preserve">Ошибка Email</v>
      </c>
      <c r="V508" s="13" t="str">
        <f>IFERROR(VLOOKUP(K508,Справочники!$K$6:$L$13,2,0),K508)</f>
        <v>Чебоксары</v>
      </c>
    </row>
    <row r="509" ht="15" customHeight="1">
      <c r="A509" s="10">
        <v>507</v>
      </c>
      <c r="B509" s="11" t="str">
        <f>RAW_Клиенты!A508</f>
        <v>C0507</v>
      </c>
      <c r="C509" s="11" t="str">
        <f>RAW_Клиенты!B508</f>
        <v xml:space="preserve">Рябова Мария Сергеевна</v>
      </c>
      <c r="D509" s="11" t="str">
        <f>RAW_Клиенты!C508</f>
        <v>15.01.1978</v>
      </c>
      <c r="E509" s="11" t="str">
        <f>RAW_Клиенты!D508</f>
        <v xml:space="preserve">8 903 567 89 01</v>
      </c>
      <c r="F509" s="11" t="str">
        <f>RAW_Клиенты!E508</f>
        <v>ryabova@gmail</v>
      </c>
      <c r="G509" s="11" t="str">
        <f>RAW_Клиенты!F508</f>
        <v>Мурманск</v>
      </c>
      <c r="H509" s="11" t="str">
        <f>RAW_Клиенты!G508</f>
        <v>15.01.2036</v>
      </c>
      <c r="I509" s="12" t="str">
        <f t="shared" si="424"/>
        <v>89035678901</v>
      </c>
      <c r="J509" s="12" t="str">
        <f t="shared" si="425"/>
        <v>ryabova@gmail</v>
      </c>
      <c r="K509" s="12" t="str">
        <f t="shared" si="426"/>
        <v>Мурманск</v>
      </c>
      <c r="L509" s="13" t="str">
        <f t="shared" si="427"/>
        <v>C0507</v>
      </c>
      <c r="M509" s="13" t="str">
        <f t="shared" si="428"/>
        <v xml:space="preserve">Рябова Мария Сергеевна</v>
      </c>
      <c r="N509" s="13" t="str">
        <f t="shared" si="429"/>
        <v>OK</v>
      </c>
      <c r="O509" s="19">
        <f t="shared" si="430"/>
        <v>28505</v>
      </c>
      <c r="P509" s="19">
        <f t="shared" si="431"/>
        <v>49689</v>
      </c>
      <c r="Q509" s="13">
        <f t="shared" ca="1" si="432"/>
        <v>48</v>
      </c>
      <c r="R509" s="13" t="str">
        <f t="shared" si="433"/>
        <v>OK</v>
      </c>
      <c r="S509" s="13" t="str">
        <f t="shared" si="434"/>
        <v xml:space="preserve">+7 (903) 567-89-01</v>
      </c>
      <c r="T509" s="13" t="str">
        <f t="shared" si="435"/>
        <v>ryabova@gmail</v>
      </c>
      <c r="U509" s="18" t="str">
        <f t="shared" si="436"/>
        <v xml:space="preserve">Ошибка Email</v>
      </c>
      <c r="V509" s="13" t="str">
        <f>IFERROR(VLOOKUP(K509,Справочники!$K$6:$L$13,2,0),K509)</f>
        <v>Мурманск</v>
      </c>
    </row>
    <row r="510" ht="15" customHeight="1">
      <c r="A510" s="10">
        <v>508</v>
      </c>
      <c r="B510" s="11" t="str">
        <f>RAW_Клиенты!A509</f>
        <v>C0508</v>
      </c>
      <c r="C510" s="11" t="str">
        <f>RAW_Клиенты!B509</f>
        <v xml:space="preserve">Солнцев Денис Павлович</v>
      </c>
      <c r="D510" s="11" t="str">
        <f>RAW_Клиенты!C509</f>
        <v>17.08.1982</v>
      </c>
      <c r="E510" s="11" t="str">
        <f>RAW_Клиенты!D509</f>
        <v>+79035678901</v>
      </c>
      <c r="F510" s="11" t="str">
        <f>RAW_Клиенты!E509</f>
        <v>solntsev@mail</v>
      </c>
      <c r="G510" s="11" t="str">
        <f>RAW_Клиенты!F509</f>
        <v>Смоленск</v>
      </c>
      <c r="H510" s="11" t="str">
        <f>RAW_Клиенты!G509</f>
        <v>01.02.2036</v>
      </c>
      <c r="I510" s="12" t="str">
        <f t="shared" si="424"/>
        <v>79035678901</v>
      </c>
      <c r="J510" s="12" t="str">
        <f t="shared" si="425"/>
        <v>solntsev@mail</v>
      </c>
      <c r="K510" s="12" t="str">
        <f t="shared" si="426"/>
        <v>Смоленск</v>
      </c>
      <c r="L510" s="13" t="str">
        <f t="shared" si="427"/>
        <v>C0508</v>
      </c>
      <c r="M510" s="13" t="str">
        <f t="shared" si="428"/>
        <v xml:space="preserve">Солнцев Денис Павлович</v>
      </c>
      <c r="N510" s="13" t="str">
        <f t="shared" si="429"/>
        <v>OK</v>
      </c>
      <c r="O510" s="19">
        <f t="shared" si="430"/>
        <v>30180</v>
      </c>
      <c r="P510" s="19">
        <f t="shared" si="431"/>
        <v>49706</v>
      </c>
      <c r="Q510" s="13">
        <f t="shared" ca="1" si="432"/>
        <v>44</v>
      </c>
      <c r="R510" s="13" t="str">
        <f t="shared" si="433"/>
        <v>OK</v>
      </c>
      <c r="S510" s="13" t="str">
        <f t="shared" si="434"/>
        <v xml:space="preserve">+7 (903) 567-89-01</v>
      </c>
      <c r="T510" s="13" t="str">
        <f t="shared" si="435"/>
        <v>solntsev@mail</v>
      </c>
      <c r="U510" s="18" t="str">
        <f t="shared" si="436"/>
        <v xml:space="preserve">Ошибка Email</v>
      </c>
      <c r="V510" s="13" t="str">
        <f>IFERROR(VLOOKUP(K510,Справочники!$K$6:$L$13,2,0),K510)</f>
        <v>Смоленск</v>
      </c>
    </row>
    <row r="511" ht="15" customHeight="1">
      <c r="A511" s="10">
        <v>509</v>
      </c>
      <c r="B511" s="11" t="str">
        <f>RAW_Клиенты!A510</f>
        <v>C0509</v>
      </c>
      <c r="C511" s="11" t="str">
        <f>RAW_Клиенты!B510</f>
        <v xml:space="preserve">Ткачева Ольга Владимировна</v>
      </c>
      <c r="D511" s="11" t="str">
        <f>RAW_Клиенты!C510</f>
        <v>30.11.1986</v>
      </c>
      <c r="E511" s="11" t="str">
        <f>RAW_Клиенты!D510</f>
        <v>8-903-567-89-01</v>
      </c>
      <c r="F511" s="11" t="str">
        <f>RAW_Клиенты!E510</f>
        <v>tkacheva@yandex</v>
      </c>
      <c r="G511" s="11" t="str">
        <f>RAW_Клиенты!F510</f>
        <v>Тула</v>
      </c>
      <c r="H511" s="11" t="str">
        <f>RAW_Клиенты!G510</f>
        <v>2036-02-10</v>
      </c>
      <c r="I511" s="12" t="str">
        <f t="shared" si="424"/>
        <v>89035678901</v>
      </c>
      <c r="J511" s="12" t="str">
        <f t="shared" si="425"/>
        <v>tkacheva@yandex</v>
      </c>
      <c r="K511" s="12" t="str">
        <f t="shared" si="426"/>
        <v>Тула</v>
      </c>
      <c r="L511" s="13" t="str">
        <f t="shared" si="427"/>
        <v>C0509</v>
      </c>
      <c r="M511" s="13" t="str">
        <f t="shared" si="428"/>
        <v xml:space="preserve">Ткачева Ольга Владимировна</v>
      </c>
      <c r="N511" s="13" t="str">
        <f t="shared" si="429"/>
        <v>OK</v>
      </c>
      <c r="O511" s="19">
        <f t="shared" si="430"/>
        <v>31746</v>
      </c>
      <c r="P511" s="19">
        <f t="shared" si="431"/>
        <v>49715</v>
      </c>
      <c r="Q511" s="13">
        <f t="shared" ca="1" si="432"/>
        <v>39</v>
      </c>
      <c r="R511" s="13" t="str">
        <f t="shared" si="433"/>
        <v>OK</v>
      </c>
      <c r="S511" s="13" t="str">
        <f t="shared" si="434"/>
        <v xml:space="preserve">+7 (903) 567-89-01</v>
      </c>
      <c r="T511" s="13" t="str">
        <f t="shared" si="435"/>
        <v>tkacheva@yandex</v>
      </c>
      <c r="U511" s="18" t="str">
        <f t="shared" si="436"/>
        <v xml:space="preserve">Ошибка Email</v>
      </c>
      <c r="V511" s="13" t="str">
        <f>IFERROR(VLOOKUP(K511,Справочники!$K$6:$L$13,2,0),K511)</f>
        <v>Тула</v>
      </c>
    </row>
    <row r="512" ht="15" customHeight="1">
      <c r="A512" s="10">
        <v>510</v>
      </c>
      <c r="B512" s="11" t="str">
        <f>RAW_Клиенты!A511</f>
        <v>C0510</v>
      </c>
      <c r="C512" s="11" t="str">
        <f>RAW_Клиенты!B511</f>
        <v xml:space="preserve">Цветков Илья Александрович</v>
      </c>
      <c r="D512" s="11" t="str">
        <f>RAW_Клиенты!C511</f>
        <v>13.06.1974</v>
      </c>
      <c r="E512" s="11" t="str">
        <f>RAW_Клиенты!D511</f>
        <v xml:space="preserve">8 903 678 90 12</v>
      </c>
      <c r="F512" s="11" t="str">
        <f>RAW_Клиенты!E511</f>
        <v>tsvetkov@gmail</v>
      </c>
      <c r="G512" s="11" t="str">
        <f>RAW_Клиенты!F511</f>
        <v>Калуга</v>
      </c>
      <c r="H512" s="11" t="str">
        <f>RAW_Клиенты!G511</f>
        <v>10.02.2036</v>
      </c>
      <c r="I512" s="12" t="str">
        <f t="shared" si="424"/>
        <v>89036789012</v>
      </c>
      <c r="J512" s="12" t="str">
        <f t="shared" si="425"/>
        <v>tsvetkov@gmail</v>
      </c>
      <c r="K512" s="12" t="str">
        <f t="shared" si="426"/>
        <v>Калуга</v>
      </c>
      <c r="L512" s="13" t="str">
        <f t="shared" si="427"/>
        <v>C0510</v>
      </c>
      <c r="M512" s="13" t="str">
        <f t="shared" si="428"/>
        <v xml:space="preserve">Цветков Илья Александрович</v>
      </c>
      <c r="N512" s="13" t="str">
        <f t="shared" si="429"/>
        <v>OK</v>
      </c>
      <c r="O512" s="19">
        <f t="shared" si="430"/>
        <v>27193</v>
      </c>
      <c r="P512" s="19">
        <f t="shared" si="431"/>
        <v>49715</v>
      </c>
      <c r="Q512" s="13">
        <f t="shared" ca="1" si="432"/>
        <v>52</v>
      </c>
      <c r="R512" s="13" t="str">
        <f t="shared" si="433"/>
        <v>OK</v>
      </c>
      <c r="S512" s="13" t="str">
        <f t="shared" si="434"/>
        <v xml:space="preserve">+7 (903) 678-90-12</v>
      </c>
      <c r="T512" s="13" t="str">
        <f t="shared" si="435"/>
        <v>tsvetkov@gmail</v>
      </c>
      <c r="U512" s="18" t="str">
        <f t="shared" si="436"/>
        <v xml:space="preserve">Ошибка Email</v>
      </c>
      <c r="V512" s="13" t="str">
        <f>IFERROR(VLOOKUP(K512,Справочники!$K$6:$L$13,2,0),K512)</f>
        <v>Калуга</v>
      </c>
    </row>
    <row r="513" ht="15" customHeight="1">
      <c r="A513" s="10">
        <v>511</v>
      </c>
      <c r="B513" s="11" t="str">
        <f>RAW_Клиенты!A512</f>
        <v>C0511</v>
      </c>
      <c r="C513" s="11" t="str">
        <f>RAW_Клиенты!B512</f>
        <v xml:space="preserve">Балашова Елена Сергеевна</v>
      </c>
      <c r="D513" s="11" t="str">
        <f>RAW_Клиенты!C512</f>
        <v>03.03.1983</v>
      </c>
      <c r="E513" s="11" t="str">
        <f>RAW_Клиенты!D512</f>
        <v>+79036789012</v>
      </c>
      <c r="F513" s="11" t="str">
        <f>RAW_Клиенты!E512</f>
        <v>balashova@mail</v>
      </c>
      <c r="G513" s="11" t="str">
        <f>RAW_Клиенты!F512</f>
        <v>Владикавказ</v>
      </c>
      <c r="H513" s="11" t="str">
        <f>RAW_Клиенты!G512</f>
        <v>01.03.2036</v>
      </c>
      <c r="I513" s="12" t="str">
        <f t="shared" si="424"/>
        <v>79036789012</v>
      </c>
      <c r="J513" s="12" t="str">
        <f t="shared" si="425"/>
        <v>balashova@mail</v>
      </c>
      <c r="K513" s="12" t="str">
        <f t="shared" si="426"/>
        <v>Владикавказ</v>
      </c>
      <c r="L513" s="13" t="str">
        <f t="shared" si="427"/>
        <v>C0511</v>
      </c>
      <c r="M513" s="13" t="str">
        <f t="shared" si="428"/>
        <v xml:space="preserve">Балашова Елена Сергеевна</v>
      </c>
      <c r="N513" s="13" t="str">
        <f t="shared" si="429"/>
        <v>OK</v>
      </c>
      <c r="O513" s="19">
        <f t="shared" si="430"/>
        <v>30378</v>
      </c>
      <c r="P513" s="19">
        <f t="shared" si="431"/>
        <v>49735</v>
      </c>
      <c r="Q513" s="13">
        <f t="shared" ca="1" si="432"/>
        <v>43</v>
      </c>
      <c r="R513" s="13" t="str">
        <f t="shared" si="433"/>
        <v>OK</v>
      </c>
      <c r="S513" s="13" t="str">
        <f t="shared" si="434"/>
        <v xml:space="preserve">+7 (903) 678-90-12</v>
      </c>
      <c r="T513" s="13" t="str">
        <f t="shared" si="435"/>
        <v>balashova@mail</v>
      </c>
      <c r="U513" s="18" t="str">
        <f t="shared" si="436"/>
        <v xml:space="preserve">Ошибка Email</v>
      </c>
      <c r="V513" s="13" t="str">
        <f>IFERROR(VLOOKUP(K513,Справочники!$K$6:$L$13,2,0),K513)</f>
        <v>Владикавказ</v>
      </c>
    </row>
    <row r="514" ht="15" customHeight="1">
      <c r="A514" s="10">
        <v>512</v>
      </c>
      <c r="B514" s="11" t="str">
        <f>RAW_Клиенты!A513</f>
        <v>C0512</v>
      </c>
      <c r="C514" s="11" t="str">
        <f>RAW_Клиенты!B513</f>
        <v xml:space="preserve">Осипов Андрей Викторович</v>
      </c>
      <c r="D514" s="11" t="str">
        <f>RAW_Клиенты!C513</f>
        <v>25.10.1992</v>
      </c>
      <c r="E514" s="11" t="str">
        <f>RAW_Клиенты!D513</f>
        <v>8-903-678-90-12</v>
      </c>
      <c r="F514" s="11" t="str">
        <f>RAW_Клиенты!E513</f>
        <v>osipov@yandex</v>
      </c>
      <c r="G514" s="11" t="str">
        <f>RAW_Клиенты!F513</f>
        <v>Смоленск</v>
      </c>
      <c r="H514" s="11" t="str">
        <f>RAW_Клиенты!G513</f>
        <v>2036-03-15</v>
      </c>
      <c r="I514" s="12" t="str">
        <f t="shared" si="424"/>
        <v>89036789012</v>
      </c>
      <c r="J514" s="12" t="str">
        <f t="shared" si="425"/>
        <v>osipov@yandex</v>
      </c>
      <c r="K514" s="12" t="str">
        <f t="shared" si="426"/>
        <v>Смоленск</v>
      </c>
      <c r="L514" s="13" t="str">
        <f t="shared" si="427"/>
        <v>C0512</v>
      </c>
      <c r="M514" s="13" t="str">
        <f t="shared" si="428"/>
        <v xml:space="preserve">Осипов Андрей Викторович</v>
      </c>
      <c r="N514" s="13" t="str">
        <f t="shared" si="429"/>
        <v>OK</v>
      </c>
      <c r="O514" s="19">
        <f t="shared" si="430"/>
        <v>33902</v>
      </c>
      <c r="P514" s="19">
        <f t="shared" si="431"/>
        <v>49749</v>
      </c>
      <c r="Q514" s="13">
        <f t="shared" ca="1" si="432"/>
        <v>33</v>
      </c>
      <c r="R514" s="13" t="str">
        <f t="shared" si="433"/>
        <v>OK</v>
      </c>
      <c r="S514" s="13" t="str">
        <f t="shared" si="434"/>
        <v xml:space="preserve">+7 (903) 678-90-12</v>
      </c>
      <c r="T514" s="13" t="str">
        <f t="shared" si="435"/>
        <v>osipov@yandex</v>
      </c>
      <c r="U514" s="18" t="str">
        <f t="shared" si="436"/>
        <v xml:space="preserve">Ошибка Email</v>
      </c>
      <c r="V514" s="13" t="str">
        <f>IFERROR(VLOOKUP(K514,Справочники!$K$6:$L$13,2,0),K514)</f>
        <v>Смоленск</v>
      </c>
    </row>
    <row r="515" ht="15" customHeight="1">
      <c r="A515" s="10">
        <v>513</v>
      </c>
      <c r="B515" s="11" t="str">
        <f>RAW_Клиенты!A514</f>
        <v>C0513</v>
      </c>
      <c r="C515" s="11" t="str">
        <f>RAW_Клиенты!B514</f>
        <v xml:space="preserve">Краснова Мария Павловна</v>
      </c>
      <c r="D515" s="11" t="str">
        <f>RAW_Клиенты!C514</f>
        <v>14.07.1976</v>
      </c>
      <c r="E515" s="11" t="str">
        <f>RAW_Клиенты!D514</f>
        <v xml:space="preserve">8 903 789 01 23</v>
      </c>
      <c r="F515" s="11" t="str">
        <f>RAW_Клиенты!E514</f>
        <v>krasnova@gmail</v>
      </c>
      <c r="G515" s="11" t="str">
        <f>RAW_Клиенты!F514</f>
        <v>Белгород</v>
      </c>
      <c r="H515" s="11" t="str">
        <f>RAW_Клиенты!G514</f>
        <v>15.03.2036</v>
      </c>
      <c r="I515" s="12" t="str">
        <f t="shared" si="424"/>
        <v>89037890123</v>
      </c>
      <c r="J515" s="12" t="str">
        <f t="shared" si="425"/>
        <v>krasnova@gmail</v>
      </c>
      <c r="K515" s="12" t="str">
        <f t="shared" si="426"/>
        <v>Белгород</v>
      </c>
      <c r="L515" s="13" t="str">
        <f t="shared" si="427"/>
        <v>C0513</v>
      </c>
      <c r="M515" s="13" t="str">
        <f t="shared" si="428"/>
        <v xml:space="preserve">Краснова Мария Павловна</v>
      </c>
      <c r="N515" s="13" t="str">
        <f t="shared" si="429"/>
        <v>OK</v>
      </c>
      <c r="O515" s="19">
        <f t="shared" si="430"/>
        <v>27955</v>
      </c>
      <c r="P515" s="19">
        <f t="shared" si="431"/>
        <v>49749</v>
      </c>
      <c r="Q515" s="13">
        <f t="shared" ca="1" si="432"/>
        <v>50</v>
      </c>
      <c r="R515" s="13" t="str">
        <f t="shared" si="433"/>
        <v>OK</v>
      </c>
      <c r="S515" s="13" t="str">
        <f t="shared" si="434"/>
        <v xml:space="preserve">+7 (903) 789-01-23</v>
      </c>
      <c r="T515" s="13" t="str">
        <f t="shared" si="435"/>
        <v>krasnova@gmail</v>
      </c>
      <c r="U515" s="18" t="str">
        <f t="shared" si="436"/>
        <v xml:space="preserve">Ошибка Email</v>
      </c>
      <c r="V515" s="13" t="str">
        <f>IFERROR(VLOOKUP(K515,Справочники!$K$6:$L$13,2,0),K515)</f>
        <v>Белгород</v>
      </c>
    </row>
    <row r="516" ht="15" customHeight="1">
      <c r="A516" s="10">
        <v>514</v>
      </c>
      <c r="B516" s="11" t="str">
        <f>RAW_Клиенты!A515</f>
        <v>C0514</v>
      </c>
      <c r="C516" s="11" t="str">
        <f>RAW_Клиенты!B515</f>
        <v xml:space="preserve">Мальков Денис Олегович</v>
      </c>
      <c r="D516" s="11" t="str">
        <f>RAW_Клиенты!C515</f>
        <v>09.12.1981</v>
      </c>
      <c r="E516" s="11" t="str">
        <f>RAW_Клиенты!D515</f>
        <v>+79037890123</v>
      </c>
      <c r="F516" s="11" t="str">
        <f>RAW_Клиенты!E515</f>
        <v>malkov@mail</v>
      </c>
      <c r="G516" s="11" t="str">
        <f>RAW_Клиенты!F515</f>
        <v>Мурманск</v>
      </c>
      <c r="H516" s="11" t="str">
        <f>RAW_Клиенты!G515</f>
        <v>01.04.2036</v>
      </c>
      <c r="I516" s="12" t="str">
        <f t="shared" si="424"/>
        <v>79037890123</v>
      </c>
      <c r="J516" s="12" t="str">
        <f t="shared" si="425"/>
        <v>malkov@mail</v>
      </c>
      <c r="K516" s="12" t="str">
        <f t="shared" si="426"/>
        <v>Мурманск</v>
      </c>
      <c r="L516" s="13" t="str">
        <f t="shared" si="427"/>
        <v>C0514</v>
      </c>
      <c r="M516" s="13" t="str">
        <f t="shared" si="428"/>
        <v xml:space="preserve">Мальков Денис Олегович</v>
      </c>
      <c r="N516" s="13" t="str">
        <f t="shared" si="429"/>
        <v>OK</v>
      </c>
      <c r="O516" s="19">
        <f t="shared" si="430"/>
        <v>29929</v>
      </c>
      <c r="P516" s="19">
        <f t="shared" si="431"/>
        <v>49766</v>
      </c>
      <c r="Q516" s="13">
        <f t="shared" ca="1" si="432"/>
        <v>44</v>
      </c>
      <c r="R516" s="13" t="str">
        <f t="shared" si="433"/>
        <v>OK</v>
      </c>
      <c r="S516" s="13" t="str">
        <f t="shared" si="434"/>
        <v xml:space="preserve">+7 (903) 789-01-23</v>
      </c>
      <c r="T516" s="13" t="str">
        <f t="shared" si="435"/>
        <v>malkov@mail</v>
      </c>
      <c r="U516" s="18" t="str">
        <f t="shared" si="436"/>
        <v xml:space="preserve">Ошибка Email</v>
      </c>
      <c r="V516" s="13" t="str">
        <f>IFERROR(VLOOKUP(K516,Справочники!$K$6:$L$13,2,0),K516)</f>
        <v>Мурманск</v>
      </c>
    </row>
    <row r="517" ht="15" customHeight="1">
      <c r="A517" s="10">
        <v>515</v>
      </c>
      <c r="B517" s="11" t="str">
        <f>RAW_Клиенты!A516</f>
        <v>C0515</v>
      </c>
      <c r="C517" s="11" t="str">
        <f>RAW_Клиенты!B516</f>
        <v xml:space="preserve">Дьячкова Ольга Сергеевна</v>
      </c>
      <c r="D517" s="11" t="str">
        <f>RAW_Клиенты!C516</f>
        <v>04.08.1988</v>
      </c>
      <c r="E517" s="11" t="str">
        <f>RAW_Клиенты!D516</f>
        <v>8-903-789-01-23</v>
      </c>
      <c r="F517" s="11" t="str">
        <f>RAW_Клиенты!E516</f>
        <v>dyachkova@yandex</v>
      </c>
      <c r="G517" s="11" t="str">
        <f>RAW_Клиенты!F516</f>
        <v>Ставрополь</v>
      </c>
      <c r="H517" s="11" t="str">
        <f>RAW_Клиенты!G516</f>
        <v>2036-04-10</v>
      </c>
      <c r="I517" s="12" t="str">
        <f t="shared" si="424"/>
        <v>89037890123</v>
      </c>
      <c r="J517" s="12" t="str">
        <f t="shared" si="425"/>
        <v>dyachkova@yandex</v>
      </c>
      <c r="K517" s="12" t="str">
        <f t="shared" si="426"/>
        <v>Ставрополь</v>
      </c>
      <c r="L517" s="13" t="str">
        <f t="shared" si="427"/>
        <v>C0515</v>
      </c>
      <c r="M517" s="13" t="str">
        <f t="shared" si="428"/>
        <v xml:space="preserve">Дьячкова Ольга Сергеевна</v>
      </c>
      <c r="N517" s="13" t="str">
        <f t="shared" si="429"/>
        <v>OK</v>
      </c>
      <c r="O517" s="19">
        <f t="shared" si="430"/>
        <v>32359</v>
      </c>
      <c r="P517" s="19">
        <f t="shared" si="431"/>
        <v>49775</v>
      </c>
      <c r="Q517" s="13">
        <f t="shared" ca="1" si="432"/>
        <v>38</v>
      </c>
      <c r="R517" s="13" t="str">
        <f t="shared" si="433"/>
        <v>OK</v>
      </c>
      <c r="S517" s="13" t="str">
        <f t="shared" si="434"/>
        <v xml:space="preserve">+7 (903) 789-01-23</v>
      </c>
      <c r="T517" s="13" t="str">
        <f t="shared" si="435"/>
        <v>dyachkova@yandex</v>
      </c>
      <c r="U517" s="18" t="str">
        <f t="shared" si="436"/>
        <v xml:space="preserve">Ошибка Email</v>
      </c>
      <c r="V517" s="13" t="str">
        <f>IFERROR(VLOOKUP(K517,Справочники!$K$6:$L$13,2,0),K517)</f>
        <v>Ставрополь</v>
      </c>
    </row>
    <row r="518" ht="15" customHeight="1">
      <c r="A518" s="10">
        <v>516</v>
      </c>
      <c r="B518" s="11" t="str">
        <f>RAW_Клиенты!A517</f>
        <v>C0516</v>
      </c>
      <c r="C518" s="11" t="str">
        <f>RAW_Клиенты!B517</f>
        <v xml:space="preserve">Кулешов Илья Игоревич</v>
      </c>
      <c r="D518" s="11" t="str">
        <f>RAW_Клиенты!C517</f>
        <v>16.05.1972</v>
      </c>
      <c r="E518" s="11" t="str">
        <f>RAW_Клиенты!D517</f>
        <v xml:space="preserve">8 903 890 12 34</v>
      </c>
      <c r="F518" s="11" t="str">
        <f>RAW_Клиенты!E517</f>
        <v>kuleshov@gmail</v>
      </c>
      <c r="G518" s="11" t="str">
        <f>RAW_Клиенты!F517</f>
        <v>Севастополь</v>
      </c>
      <c r="H518" s="11" t="str">
        <f>RAW_Клиенты!G517</f>
        <v>10.04.2036</v>
      </c>
      <c r="I518" s="12" t="str">
        <f t="shared" si="424"/>
        <v>89038901234</v>
      </c>
      <c r="J518" s="12" t="str">
        <f t="shared" si="425"/>
        <v>kuleshov@gmail</v>
      </c>
      <c r="K518" s="12" t="str">
        <f t="shared" si="426"/>
        <v>Севастополь</v>
      </c>
      <c r="L518" s="13" t="str">
        <f t="shared" si="427"/>
        <v>C0516</v>
      </c>
      <c r="M518" s="13" t="str">
        <f t="shared" si="428"/>
        <v xml:space="preserve">Кулешов Илья Игоревич</v>
      </c>
      <c r="N518" s="13" t="str">
        <f t="shared" si="429"/>
        <v>OK</v>
      </c>
      <c r="O518" s="19">
        <f t="shared" si="430"/>
        <v>26435</v>
      </c>
      <c r="P518" s="19">
        <f t="shared" si="431"/>
        <v>49775</v>
      </c>
      <c r="Q518" s="13">
        <f t="shared" ca="1" si="432"/>
        <v>54</v>
      </c>
      <c r="R518" s="13" t="str">
        <f t="shared" si="433"/>
        <v>OK</v>
      </c>
      <c r="S518" s="13" t="str">
        <f t="shared" si="434"/>
        <v xml:space="preserve">+7 (903) 890-12-34</v>
      </c>
      <c r="T518" s="13" t="str">
        <f t="shared" si="435"/>
        <v>kuleshov@gmail</v>
      </c>
      <c r="U518" s="18" t="str">
        <f t="shared" si="436"/>
        <v xml:space="preserve">Ошибка Email</v>
      </c>
      <c r="V518" s="13" t="str">
        <f>IFERROR(VLOOKUP(K518,Справочники!$K$6:$L$13,2,0),K518)</f>
        <v>Севастополь</v>
      </c>
    </row>
    <row r="519" ht="15" customHeight="1">
      <c r="A519" s="10">
        <v>517</v>
      </c>
      <c r="B519" s="11" t="str">
        <f>RAW_Клиенты!A518</f>
        <v>C0517</v>
      </c>
      <c r="C519" s="11" t="str">
        <f>RAW_Клиенты!B518</f>
        <v xml:space="preserve">Панкратова Екатерина Владимировна</v>
      </c>
      <c r="D519" s="11" t="str">
        <f>RAW_Клиенты!C518</f>
        <v>27.09.1985</v>
      </c>
      <c r="E519" s="11" t="str">
        <f>RAW_Клиенты!D518</f>
        <v>+79038901234</v>
      </c>
      <c r="F519" s="11" t="str">
        <f>RAW_Клиенты!E518</f>
        <v>pankratova@mail</v>
      </c>
      <c r="G519" s="11" t="str">
        <f>RAW_Клиенты!F518</f>
        <v>Сочи</v>
      </c>
      <c r="H519" s="11" t="str">
        <f>RAW_Клиенты!G518</f>
        <v>01.05.2036</v>
      </c>
      <c r="I519" s="12" t="str">
        <f t="shared" si="424"/>
        <v>79038901234</v>
      </c>
      <c r="J519" s="12" t="str">
        <f t="shared" si="425"/>
        <v>pankratova@mail</v>
      </c>
      <c r="K519" s="12" t="str">
        <f t="shared" si="426"/>
        <v>Сочи</v>
      </c>
      <c r="L519" s="13" t="str">
        <f t="shared" si="427"/>
        <v>C0517</v>
      </c>
      <c r="M519" s="13" t="str">
        <f t="shared" si="428"/>
        <v xml:space="preserve">Панкратова Екатерина Владимировна</v>
      </c>
      <c r="N519" s="13" t="str">
        <f t="shared" si="429"/>
        <v>OK</v>
      </c>
      <c r="O519" s="19">
        <f t="shared" si="430"/>
        <v>31317</v>
      </c>
      <c r="P519" s="19">
        <f t="shared" si="431"/>
        <v>49796</v>
      </c>
      <c r="Q519" s="13">
        <f t="shared" ca="1" si="432"/>
        <v>40</v>
      </c>
      <c r="R519" s="13" t="str">
        <f t="shared" si="433"/>
        <v>OK</v>
      </c>
      <c r="S519" s="13" t="str">
        <f t="shared" si="434"/>
        <v xml:space="preserve">+7 (903) 890-12-34</v>
      </c>
      <c r="T519" s="13" t="str">
        <f t="shared" si="435"/>
        <v>pankratova@mail</v>
      </c>
      <c r="U519" s="18" t="str">
        <f t="shared" si="436"/>
        <v xml:space="preserve">Ошибка Email</v>
      </c>
      <c r="V519" s="13" t="str">
        <f>IFERROR(VLOOKUP(K519,Справочники!$K$6:$L$13,2,0),K519)</f>
        <v>Сочи</v>
      </c>
    </row>
    <row r="520" ht="15" customHeight="1">
      <c r="A520" s="10">
        <v>518</v>
      </c>
      <c r="B520" s="11" t="str">
        <f>RAW_Клиенты!A519</f>
        <v>C0518</v>
      </c>
      <c r="C520" s="11" t="str">
        <f>RAW_Клиенты!B519</f>
        <v xml:space="preserve">Доронин Андрей Павлович</v>
      </c>
      <c r="D520" s="11" t="str">
        <f>RAW_Клиенты!C519</f>
        <v>21.02.1990</v>
      </c>
      <c r="E520" s="11" t="str">
        <f>RAW_Клиенты!D519</f>
        <v>8-903-890-12-34</v>
      </c>
      <c r="F520" s="11" t="str">
        <f>RAW_Клиенты!E519</f>
        <v>doronin@yandex</v>
      </c>
      <c r="G520" s="11" t="str">
        <f>RAW_Клиенты!F519</f>
        <v>Симферополь</v>
      </c>
      <c r="H520" s="11" t="str">
        <f>RAW_Клиенты!G519</f>
        <v>2036-05-15</v>
      </c>
      <c r="I520" s="12" t="str">
        <f t="shared" si="424"/>
        <v>89038901234</v>
      </c>
      <c r="J520" s="12" t="str">
        <f t="shared" si="425"/>
        <v>doronin@yandex</v>
      </c>
      <c r="K520" s="12" t="str">
        <f t="shared" si="426"/>
        <v>Симферополь</v>
      </c>
      <c r="L520" s="13" t="str">
        <f t="shared" si="427"/>
        <v>C0518</v>
      </c>
      <c r="M520" s="13" t="str">
        <f t="shared" si="428"/>
        <v xml:space="preserve">Доронин Андрей Павлович</v>
      </c>
      <c r="N520" s="13" t="str">
        <f t="shared" si="429"/>
        <v>OK</v>
      </c>
      <c r="O520" s="19">
        <f t="shared" si="430"/>
        <v>32925</v>
      </c>
      <c r="P520" s="19">
        <f t="shared" si="431"/>
        <v>49810</v>
      </c>
      <c r="Q520" s="13">
        <f t="shared" ca="1" si="432"/>
        <v>36</v>
      </c>
      <c r="R520" s="13" t="str">
        <f t="shared" si="433"/>
        <v>OK</v>
      </c>
      <c r="S520" s="13" t="str">
        <f t="shared" si="434"/>
        <v xml:space="preserve">+7 (903) 890-12-34</v>
      </c>
      <c r="T520" s="13" t="str">
        <f t="shared" si="435"/>
        <v>doronin@yandex</v>
      </c>
      <c r="U520" s="18" t="str">
        <f t="shared" si="436"/>
        <v xml:space="preserve">Ошибка Email</v>
      </c>
      <c r="V520" s="13" t="str">
        <f>IFERROR(VLOOKUP(K520,Справочники!$K$6:$L$13,2,0),K520)</f>
        <v>Симферополь</v>
      </c>
    </row>
    <row r="521" ht="15" customHeight="1">
      <c r="A521" s="10">
        <v>519</v>
      </c>
      <c r="B521" s="11" t="str">
        <f>RAW_Клиенты!A520</f>
        <v>C0519</v>
      </c>
      <c r="C521" s="11" t="str">
        <f>RAW_Клиенты!B520</f>
        <v xml:space="preserve">Щукина Мария Олеговна</v>
      </c>
      <c r="D521" s="11" t="str">
        <f>RAW_Клиенты!C520</f>
        <v>12.11.1979</v>
      </c>
      <c r="E521" s="11" t="str">
        <f>RAW_Клиенты!D520</f>
        <v xml:space="preserve">8 903 901 23 45</v>
      </c>
      <c r="F521" s="11" t="str">
        <f>RAW_Клиенты!E520</f>
        <v>schukina@gmail</v>
      </c>
      <c r="G521" s="11" t="str">
        <f>RAW_Клиенты!F520</f>
        <v>Брянск</v>
      </c>
      <c r="H521" s="11" t="str">
        <f>RAW_Клиенты!G520</f>
        <v>15.05.2036</v>
      </c>
      <c r="I521" s="12" t="str">
        <f t="shared" si="424"/>
        <v>89039012345</v>
      </c>
      <c r="J521" s="12" t="str">
        <f t="shared" si="425"/>
        <v>schukina@gmail</v>
      </c>
      <c r="K521" s="12" t="str">
        <f t="shared" si="426"/>
        <v>Брянск</v>
      </c>
      <c r="L521" s="13" t="str">
        <f t="shared" si="427"/>
        <v>C0519</v>
      </c>
      <c r="M521" s="13" t="str">
        <f t="shared" si="428"/>
        <v xml:space="preserve">Щукина Мария Олеговна</v>
      </c>
      <c r="N521" s="13" t="str">
        <f t="shared" si="429"/>
        <v>OK</v>
      </c>
      <c r="O521" s="19">
        <f t="shared" si="430"/>
        <v>29171</v>
      </c>
      <c r="P521" s="19">
        <f t="shared" si="431"/>
        <v>49810</v>
      </c>
      <c r="Q521" s="13">
        <f t="shared" ca="1" si="432"/>
        <v>46</v>
      </c>
      <c r="R521" s="13" t="str">
        <f t="shared" si="433"/>
        <v>OK</v>
      </c>
      <c r="S521" s="13" t="str">
        <f t="shared" si="434"/>
        <v xml:space="preserve">+7 (903) 901-23-45</v>
      </c>
      <c r="T521" s="13" t="str">
        <f t="shared" si="435"/>
        <v>schukina@gmail</v>
      </c>
      <c r="U521" s="18" t="str">
        <f t="shared" si="436"/>
        <v xml:space="preserve">Ошибка Email</v>
      </c>
      <c r="V521" s="13" t="str">
        <f>IFERROR(VLOOKUP(K521,Справочники!$K$6:$L$13,2,0),K521)</f>
        <v>Брянск</v>
      </c>
    </row>
    <row r="522" ht="15" customHeight="1">
      <c r="A522" s="10">
        <v>520</v>
      </c>
      <c r="B522" s="11" t="str">
        <f>RAW_Клиенты!A521</f>
        <v>C0520</v>
      </c>
      <c r="C522" s="11" t="str">
        <f>RAW_Клиенты!B521</f>
        <v xml:space="preserve">Князев Денис Сергеевич</v>
      </c>
      <c r="D522" s="11" t="str">
        <f>RAW_Клиенты!C521</f>
        <v>06.06.1984</v>
      </c>
      <c r="E522" s="11" t="str">
        <f>RAW_Клиенты!D521</f>
        <v>+79039012345</v>
      </c>
      <c r="F522" s="11" t="str">
        <f>RAW_Клиенты!E521</f>
        <v>knyazev@mail</v>
      </c>
      <c r="G522" s="11" t="str">
        <f>RAW_Клиенты!F521</f>
        <v>Абакан</v>
      </c>
      <c r="H522" s="11" t="str">
        <f>RAW_Клиенты!G521</f>
        <v>01.06.2036</v>
      </c>
      <c r="I522" s="12" t="str">
        <f t="shared" si="424"/>
        <v>79039012345</v>
      </c>
      <c r="J522" s="12" t="str">
        <f t="shared" si="425"/>
        <v>knyazev@mail</v>
      </c>
      <c r="K522" s="12" t="str">
        <f t="shared" si="426"/>
        <v>Абакан</v>
      </c>
      <c r="L522" s="13" t="str">
        <f t="shared" si="427"/>
        <v>C0520</v>
      </c>
      <c r="M522" s="13" t="str">
        <f t="shared" si="428"/>
        <v xml:space="preserve">Князев Денис Сергеевич</v>
      </c>
      <c r="N522" s="13" t="str">
        <f t="shared" si="429"/>
        <v>OK</v>
      </c>
      <c r="O522" s="19">
        <f t="shared" si="430"/>
        <v>30839</v>
      </c>
      <c r="P522" s="19">
        <f t="shared" si="431"/>
        <v>49827</v>
      </c>
      <c r="Q522" s="13">
        <f t="shared" ca="1" si="432"/>
        <v>42</v>
      </c>
      <c r="R522" s="13" t="str">
        <f t="shared" si="433"/>
        <v>OK</v>
      </c>
      <c r="S522" s="13" t="str">
        <f t="shared" si="434"/>
        <v xml:space="preserve">+7 (903) 901-23-45</v>
      </c>
      <c r="T522" s="13" t="str">
        <f t="shared" si="435"/>
        <v>knyazev@mail</v>
      </c>
      <c r="U522" s="18" t="str">
        <f t="shared" si="436"/>
        <v xml:space="preserve">Ошибка Email</v>
      </c>
      <c r="V522" s="13" t="str">
        <f>IFERROR(VLOOKUP(K522,Справочники!$K$6:$L$13,2,0),K522)</f>
        <v>Абакан</v>
      </c>
    </row>
    <row r="523" ht="15" customHeight="1">
      <c r="A523" s="10">
        <v>521</v>
      </c>
      <c r="B523" s="11" t="str">
        <f>RAW_Клиенты!A522</f>
        <v>C0521</v>
      </c>
      <c r="C523" s="11" t="str">
        <f>RAW_Клиенты!B522</f>
        <v xml:space="preserve">Зинченко Ольга Павловна</v>
      </c>
      <c r="D523" s="11" t="str">
        <f>RAW_Клиенты!C522</f>
        <v>19.10.1991</v>
      </c>
      <c r="E523" s="11" t="str">
        <f>RAW_Клиенты!D522</f>
        <v>8-903-901-23-45</v>
      </c>
      <c r="F523" s="11" t="str">
        <f>RAW_Клиенты!E522</f>
        <v>zinchenko@yandex</v>
      </c>
      <c r="G523" s="11" t="str">
        <f>RAW_Клиенты!F522</f>
        <v>Грозный</v>
      </c>
      <c r="H523" s="11" t="str">
        <f>RAW_Клиенты!G522</f>
        <v>2036-06-10</v>
      </c>
      <c r="I523" s="12" t="str">
        <f t="shared" si="424"/>
        <v>89039012345</v>
      </c>
      <c r="J523" s="12" t="str">
        <f t="shared" si="425"/>
        <v>zinchenko@yandex</v>
      </c>
      <c r="K523" s="12" t="str">
        <f t="shared" si="426"/>
        <v>Грозный</v>
      </c>
      <c r="L523" s="13" t="str">
        <f t="shared" si="427"/>
        <v>C0521</v>
      </c>
      <c r="M523" s="13" t="str">
        <f t="shared" si="428"/>
        <v xml:space="preserve">Зинченко Ольга Павловна</v>
      </c>
      <c r="N523" s="13" t="str">
        <f t="shared" si="429"/>
        <v>OK</v>
      </c>
      <c r="O523" s="19">
        <f t="shared" si="430"/>
        <v>33530</v>
      </c>
      <c r="P523" s="19">
        <f t="shared" si="431"/>
        <v>49836</v>
      </c>
      <c r="Q523" s="13">
        <f t="shared" ca="1" si="432"/>
        <v>34</v>
      </c>
      <c r="R523" s="13" t="str">
        <f t="shared" si="433"/>
        <v>OK</v>
      </c>
      <c r="S523" s="13" t="str">
        <f t="shared" si="434"/>
        <v xml:space="preserve">+7 (903) 901-23-45</v>
      </c>
      <c r="T523" s="13" t="str">
        <f t="shared" si="435"/>
        <v>zinchenko@yandex</v>
      </c>
      <c r="U523" s="18" t="str">
        <f t="shared" si="436"/>
        <v xml:space="preserve">Ошибка Email</v>
      </c>
      <c r="V523" s="13" t="str">
        <f>IFERROR(VLOOKUP(K523,Справочники!$K$6:$L$13,2,0),K523)</f>
        <v>Грозный</v>
      </c>
    </row>
    <row r="524" ht="15" customHeight="1">
      <c r="A524" s="10">
        <v>522</v>
      </c>
      <c r="B524" s="11" t="str">
        <f>RAW_Клиенты!A523</f>
        <v>C0522</v>
      </c>
      <c r="C524" s="11" t="str">
        <f>RAW_Клиенты!B523</f>
        <v xml:space="preserve">Столяров Илья Викторович</v>
      </c>
      <c r="D524" s="11" t="str">
        <f>RAW_Клиенты!C523</f>
        <v>01.04.1973</v>
      </c>
      <c r="E524" s="11" t="str">
        <f>RAW_Клиенты!D523</f>
        <v xml:space="preserve">8 903 012 34 56</v>
      </c>
      <c r="F524" s="11" t="str">
        <f>RAW_Клиенты!E523</f>
        <v>stolyarov@gmail</v>
      </c>
      <c r="G524" s="11" t="str">
        <f>RAW_Клиенты!F523</f>
        <v>Бийск</v>
      </c>
      <c r="H524" s="11" t="str">
        <f>RAW_Клиенты!G523</f>
        <v>10.06.2036</v>
      </c>
      <c r="I524" s="12" t="str">
        <f t="shared" si="424"/>
        <v>89030123456</v>
      </c>
      <c r="J524" s="12" t="str">
        <f t="shared" si="425"/>
        <v>stolyarov@gmail</v>
      </c>
      <c r="K524" s="12" t="str">
        <f t="shared" si="426"/>
        <v>Бийск</v>
      </c>
      <c r="L524" s="13" t="str">
        <f t="shared" si="427"/>
        <v>C0522</v>
      </c>
      <c r="M524" s="13" t="str">
        <f t="shared" si="428"/>
        <v xml:space="preserve">Столяров Илья Викторович</v>
      </c>
      <c r="N524" s="13" t="str">
        <f t="shared" si="429"/>
        <v>OK</v>
      </c>
      <c r="O524" s="19">
        <f t="shared" si="430"/>
        <v>26755</v>
      </c>
      <c r="P524" s="19">
        <f t="shared" si="431"/>
        <v>49836</v>
      </c>
      <c r="Q524" s="13">
        <f t="shared" ca="1" si="432"/>
        <v>53</v>
      </c>
      <c r="R524" s="13" t="str">
        <f t="shared" si="433"/>
        <v>OK</v>
      </c>
      <c r="S524" s="13" t="str">
        <f t="shared" si="434"/>
        <v xml:space="preserve">+7 (903) 012-34-56</v>
      </c>
      <c r="T524" s="13" t="str">
        <f t="shared" si="435"/>
        <v>stolyarov@gmail</v>
      </c>
      <c r="U524" s="18" t="str">
        <f t="shared" si="436"/>
        <v xml:space="preserve">Ошибка Email</v>
      </c>
      <c r="V524" s="13" t="str">
        <f>IFERROR(VLOOKUP(K524,Справочники!$K$6:$L$13,2,0),K524)</f>
        <v>Бийск</v>
      </c>
    </row>
    <row r="525" ht="15" customHeight="1">
      <c r="A525" s="10">
        <v>523</v>
      </c>
      <c r="B525" s="11" t="str">
        <f>RAW_Клиенты!A524</f>
        <v>C0523</v>
      </c>
      <c r="C525" s="11" t="str">
        <f>RAW_Клиенты!B524</f>
        <v xml:space="preserve">Галкина Екатерина Сергеевна</v>
      </c>
      <c r="D525" s="11" t="str">
        <f>RAW_Клиенты!C524</f>
        <v>14.07.1986</v>
      </c>
      <c r="E525" s="11" t="str">
        <f>RAW_Клиенты!D524</f>
        <v>+79030123456</v>
      </c>
      <c r="F525" s="11" t="str">
        <f>RAW_Клиенты!E524</f>
        <v>galkina@mail</v>
      </c>
      <c r="G525" s="11" t="str">
        <f>RAW_Клиенты!F524</f>
        <v>Йошкар-Ола</v>
      </c>
      <c r="H525" s="11" t="str">
        <f>RAW_Клиенты!G524</f>
        <v>01.07.2036</v>
      </c>
      <c r="I525" s="12" t="str">
        <f t="shared" si="424"/>
        <v>79030123456</v>
      </c>
      <c r="J525" s="12" t="str">
        <f t="shared" si="425"/>
        <v>galkina@mail</v>
      </c>
      <c r="K525" s="12" t="str">
        <f t="shared" si="426"/>
        <v>Йошкар-Ола</v>
      </c>
      <c r="L525" s="13" t="str">
        <f t="shared" si="427"/>
        <v>C0523</v>
      </c>
      <c r="M525" s="13" t="str">
        <f t="shared" si="428"/>
        <v xml:space="preserve">Галкина Екатерина Сергеевна</v>
      </c>
      <c r="N525" s="13" t="str">
        <f t="shared" si="429"/>
        <v>OK</v>
      </c>
      <c r="O525" s="19">
        <f t="shared" si="430"/>
        <v>31607</v>
      </c>
      <c r="P525" s="19">
        <f t="shared" si="431"/>
        <v>49857</v>
      </c>
      <c r="Q525" s="13">
        <f t="shared" ca="1" si="432"/>
        <v>40</v>
      </c>
      <c r="R525" s="13" t="str">
        <f t="shared" si="433"/>
        <v>OK</v>
      </c>
      <c r="S525" s="13" t="str">
        <f t="shared" si="434"/>
        <v xml:space="preserve">+7 (903) 012-34-56</v>
      </c>
      <c r="T525" s="13" t="str">
        <f t="shared" si="435"/>
        <v>galkina@mail</v>
      </c>
      <c r="U525" s="18" t="str">
        <f t="shared" si="436"/>
        <v xml:space="preserve">Ошибка Email</v>
      </c>
      <c r="V525" s="13" t="str">
        <f>IFERROR(VLOOKUP(K525,Справочники!$K$6:$L$13,2,0),K525)</f>
        <v>Йошкар-Ола</v>
      </c>
    </row>
    <row r="526" ht="15" customHeight="1">
      <c r="A526" s="10">
        <v>524</v>
      </c>
      <c r="B526" s="11" t="str">
        <f>RAW_Клиенты!A525</f>
        <v>C0524</v>
      </c>
      <c r="C526" s="11" t="str">
        <f>RAW_Клиенты!B525</f>
        <v xml:space="preserve">Коробов Андрей Олегович</v>
      </c>
      <c r="D526" s="11" t="str">
        <f>RAW_Клиенты!C525</f>
        <v>22.12.1982</v>
      </c>
      <c r="E526" s="11" t="str">
        <f>RAW_Клиенты!D525</f>
        <v>8-903-012-34-56</v>
      </c>
      <c r="F526" s="11" t="str">
        <f>RAW_Клиенты!E525</f>
        <v>korobov@yandex</v>
      </c>
      <c r="G526" s="11" t="str">
        <f>RAW_Клиенты!F525</f>
        <v>Курган</v>
      </c>
      <c r="H526" s="11" t="str">
        <f>RAW_Клиенты!G525</f>
        <v>2036-07-15</v>
      </c>
      <c r="I526" s="12" t="str">
        <f t="shared" si="424"/>
        <v>89030123456</v>
      </c>
      <c r="J526" s="12" t="str">
        <f t="shared" si="425"/>
        <v>korobov@yandex</v>
      </c>
      <c r="K526" s="12" t="str">
        <f t="shared" si="426"/>
        <v>Курган</v>
      </c>
      <c r="L526" s="13" t="str">
        <f t="shared" si="427"/>
        <v>C0524</v>
      </c>
      <c r="M526" s="13" t="str">
        <f t="shared" si="428"/>
        <v xml:space="preserve">Коробов Андрей Олегович</v>
      </c>
      <c r="N526" s="13" t="str">
        <f t="shared" si="429"/>
        <v>OK</v>
      </c>
      <c r="O526" s="19">
        <f t="shared" si="430"/>
        <v>30307</v>
      </c>
      <c r="P526" s="19">
        <f t="shared" si="431"/>
        <v>49871</v>
      </c>
      <c r="Q526" s="13">
        <f t="shared" ca="1" si="432"/>
        <v>43</v>
      </c>
      <c r="R526" s="13" t="str">
        <f t="shared" si="433"/>
        <v>OK</v>
      </c>
      <c r="S526" s="13" t="str">
        <f t="shared" si="434"/>
        <v xml:space="preserve">+7 (903) 012-34-56</v>
      </c>
      <c r="T526" s="13" t="str">
        <f t="shared" si="435"/>
        <v>korobov@yandex</v>
      </c>
      <c r="U526" s="18" t="str">
        <f t="shared" si="436"/>
        <v xml:space="preserve">Ошибка Email</v>
      </c>
      <c r="V526" s="13" t="str">
        <f>IFERROR(VLOOKUP(K526,Справочники!$K$6:$L$13,2,0),K526)</f>
        <v>Курган</v>
      </c>
    </row>
    <row r="527" ht="15" customHeight="1">
      <c r="A527" s="10">
        <v>525</v>
      </c>
      <c r="B527" s="11" t="str">
        <f>RAW_Клиенты!A526</f>
        <v>C0525</v>
      </c>
      <c r="C527" s="11" t="str">
        <f>RAW_Клиенты!B526</f>
        <v xml:space="preserve">Шапкина Мария Владимировна</v>
      </c>
      <c r="D527" s="11" t="str">
        <f>RAW_Клиенты!C526</f>
        <v>18.09.1977</v>
      </c>
      <c r="E527" s="11" t="str">
        <f>RAW_Клиенты!D526</f>
        <v xml:space="preserve">8 903 123 45 67</v>
      </c>
      <c r="F527" s="11" t="str">
        <f>RAW_Клиенты!E526</f>
        <v>shapkina@gmail</v>
      </c>
      <c r="G527" s="11" t="str">
        <f>RAW_Клиенты!F526</f>
        <v>Архангельск</v>
      </c>
      <c r="H527" s="11" t="str">
        <f>RAW_Клиенты!G526</f>
        <v>15.07.2036</v>
      </c>
      <c r="I527" s="12" t="str">
        <f t="shared" si="424"/>
        <v>89031234567</v>
      </c>
      <c r="J527" s="12" t="str">
        <f t="shared" si="425"/>
        <v>shapkina@gmail</v>
      </c>
      <c r="K527" s="12" t="str">
        <f t="shared" si="426"/>
        <v>Архангельск</v>
      </c>
      <c r="L527" s="13" t="str">
        <f t="shared" si="427"/>
        <v>C0525</v>
      </c>
      <c r="M527" s="13" t="str">
        <f t="shared" si="428"/>
        <v xml:space="preserve">Шапкина Мария Владимировна</v>
      </c>
      <c r="N527" s="13" t="str">
        <f t="shared" si="429"/>
        <v>OK</v>
      </c>
      <c r="O527" s="19">
        <f t="shared" si="430"/>
        <v>28386</v>
      </c>
      <c r="P527" s="19">
        <f t="shared" si="431"/>
        <v>49871</v>
      </c>
      <c r="Q527" s="13">
        <f t="shared" ca="1" si="432"/>
        <v>49</v>
      </c>
      <c r="R527" s="13" t="str">
        <f t="shared" si="433"/>
        <v>OK</v>
      </c>
      <c r="S527" s="13" t="str">
        <f t="shared" si="434"/>
        <v xml:space="preserve">+7 (903) 123-45-67</v>
      </c>
      <c r="T527" s="13" t="str">
        <f t="shared" si="435"/>
        <v>shapkina@gmail</v>
      </c>
      <c r="U527" s="18" t="str">
        <f t="shared" si="436"/>
        <v xml:space="preserve">Ошибка Email</v>
      </c>
      <c r="V527" s="13" t="str">
        <f>IFERROR(VLOOKUP(K527,Справочники!$K$6:$L$13,2,0),K527)</f>
        <v>Архангельск</v>
      </c>
    </row>
    <row r="528" ht="15" customHeight="1">
      <c r="A528" s="10">
        <v>526</v>
      </c>
      <c r="B528" s="11" t="str">
        <f>RAW_Клиенты!A527</f>
        <v>C0526</v>
      </c>
      <c r="C528" s="11" t="str">
        <f>RAW_Клиенты!B527</f>
        <v xml:space="preserve">Винокуров Денис Алексеевич</v>
      </c>
      <c r="D528" s="11" t="str">
        <f>RAW_Клиенты!C527</f>
        <v>30.05.1993</v>
      </c>
      <c r="E528" s="11" t="str">
        <f>RAW_Клиенты!D527</f>
        <v>+79031234567</v>
      </c>
      <c r="F528" s="11" t="str">
        <f>RAW_Клиенты!E527</f>
        <v>vinokurov@mail</v>
      </c>
      <c r="G528" s="11" t="str">
        <f>RAW_Клиенты!F527</f>
        <v>Благовещенск</v>
      </c>
      <c r="H528" s="11" t="str">
        <f>RAW_Клиенты!G527</f>
        <v>01.08.2036</v>
      </c>
      <c r="I528" s="12" t="str">
        <f t="shared" si="424"/>
        <v>79031234567</v>
      </c>
      <c r="J528" s="12" t="str">
        <f t="shared" si="425"/>
        <v>vinokurov@mail</v>
      </c>
      <c r="K528" s="12" t="str">
        <f t="shared" si="426"/>
        <v>Благовещенск</v>
      </c>
      <c r="L528" s="13" t="str">
        <f t="shared" si="427"/>
        <v>C0526</v>
      </c>
      <c r="M528" s="13" t="str">
        <f t="shared" si="428"/>
        <v xml:space="preserve">Винокуров Денис Алексеевич</v>
      </c>
      <c r="N528" s="13" t="str">
        <f t="shared" si="429"/>
        <v>OK</v>
      </c>
      <c r="O528" s="19">
        <f t="shared" si="430"/>
        <v>34119</v>
      </c>
      <c r="P528" s="19">
        <f t="shared" si="431"/>
        <v>49888</v>
      </c>
      <c r="Q528" s="13">
        <f t="shared" ca="1" si="432"/>
        <v>33</v>
      </c>
      <c r="R528" s="13" t="str">
        <f t="shared" si="433"/>
        <v>OK</v>
      </c>
      <c r="S528" s="13" t="str">
        <f t="shared" si="434"/>
        <v xml:space="preserve">+7 (903) 123-45-67</v>
      </c>
      <c r="T528" s="13" t="str">
        <f t="shared" si="435"/>
        <v>vinokurov@mail</v>
      </c>
      <c r="U528" s="18" t="str">
        <f t="shared" si="436"/>
        <v xml:space="preserve">Ошибка Email</v>
      </c>
      <c r="V528" s="13" t="str">
        <f>IFERROR(VLOOKUP(K528,Справочники!$K$6:$L$13,2,0),K528)</f>
        <v>Благовещенск</v>
      </c>
    </row>
    <row r="529" ht="15" customHeight="1">
      <c r="A529" s="10">
        <v>527</v>
      </c>
      <c r="B529" s="11" t="str">
        <f>RAW_Клиенты!A528</f>
        <v>C0527</v>
      </c>
      <c r="C529" s="11" t="str">
        <f>RAW_Клиенты!B528</f>
        <v xml:space="preserve">Трифонова Ольга Павловна</v>
      </c>
      <c r="D529" s="11" t="str">
        <f>RAW_Клиенты!C528</f>
        <v>23.11.1980</v>
      </c>
      <c r="E529" s="11" t="str">
        <f>RAW_Клиенты!D528</f>
        <v>8-903-123-45-67</v>
      </c>
      <c r="F529" s="11" t="str">
        <f>RAW_Клиенты!E528</f>
        <v>trifonova@yandex</v>
      </c>
      <c r="G529" s="11" t="str">
        <f>RAW_Клиенты!F528</f>
        <v>Майкоп</v>
      </c>
      <c r="H529" s="11" t="str">
        <f>RAW_Клиенты!G528</f>
        <v>2036-08-10</v>
      </c>
      <c r="I529" s="12" t="str">
        <f t="shared" si="424"/>
        <v>89031234567</v>
      </c>
      <c r="J529" s="12" t="str">
        <f t="shared" si="425"/>
        <v>trifonova@yandex</v>
      </c>
      <c r="K529" s="12" t="str">
        <f t="shared" si="426"/>
        <v>Майкоп</v>
      </c>
      <c r="L529" s="13" t="str">
        <f t="shared" si="427"/>
        <v>C0527</v>
      </c>
      <c r="M529" s="13" t="str">
        <f t="shared" si="428"/>
        <v xml:space="preserve">Трифонова Ольга Павловна</v>
      </c>
      <c r="N529" s="13" t="str">
        <f t="shared" si="429"/>
        <v>OK</v>
      </c>
      <c r="O529" s="19">
        <f t="shared" si="430"/>
        <v>29548</v>
      </c>
      <c r="P529" s="19">
        <f t="shared" si="431"/>
        <v>49897</v>
      </c>
      <c r="Q529" s="13">
        <f t="shared" ca="1" si="432"/>
        <v>45</v>
      </c>
      <c r="R529" s="13" t="str">
        <f t="shared" si="433"/>
        <v>OK</v>
      </c>
      <c r="S529" s="13" t="str">
        <f t="shared" si="434"/>
        <v xml:space="preserve">+7 (903) 123-45-67</v>
      </c>
      <c r="T529" s="13" t="str">
        <f t="shared" si="435"/>
        <v>trifonova@yandex</v>
      </c>
      <c r="U529" s="18" t="str">
        <f t="shared" si="436"/>
        <v xml:space="preserve">Ошибка Email</v>
      </c>
      <c r="V529" s="13" t="str">
        <f>IFERROR(VLOOKUP(K529,Справочники!$K$6:$L$13,2,0),K529)</f>
        <v>Майкоп</v>
      </c>
    </row>
    <row r="530" ht="15" customHeight="1">
      <c r="A530" s="10">
        <v>528</v>
      </c>
      <c r="B530" s="11" t="str">
        <f>RAW_Клиенты!A529</f>
        <v>C0528</v>
      </c>
      <c r="C530" s="11" t="str">
        <f>RAW_Клиенты!B529</f>
        <v xml:space="preserve">Червяков Илья Александрович</v>
      </c>
      <c r="D530" s="11" t="str">
        <f>RAW_Клиенты!C529</f>
        <v>07.08.1985</v>
      </c>
      <c r="E530" s="11" t="str">
        <f>RAW_Клиенты!D529</f>
        <v xml:space="preserve">8 903 234 56 78</v>
      </c>
      <c r="F530" s="11" t="str">
        <f>RAW_Клиенты!E529</f>
        <v>chervyakov@gmail</v>
      </c>
      <c r="G530" s="11" t="str">
        <f>RAW_Клиенты!F529</f>
        <v>Уссурийск</v>
      </c>
      <c r="H530" s="11" t="str">
        <f>RAW_Клиенты!G529</f>
        <v>10.08.2036</v>
      </c>
      <c r="I530" s="12" t="str">
        <f t="shared" si="424"/>
        <v>89032345678</v>
      </c>
      <c r="J530" s="12" t="str">
        <f t="shared" si="425"/>
        <v>chervyakov@gmail</v>
      </c>
      <c r="K530" s="12" t="str">
        <f t="shared" si="426"/>
        <v>Уссурийск</v>
      </c>
      <c r="L530" s="13" t="str">
        <f t="shared" si="427"/>
        <v>C0528</v>
      </c>
      <c r="M530" s="13" t="str">
        <f t="shared" si="428"/>
        <v xml:space="preserve">Червяков Илья Александрович</v>
      </c>
      <c r="N530" s="13" t="str">
        <f t="shared" si="429"/>
        <v>OK</v>
      </c>
      <c r="O530" s="19">
        <f t="shared" si="430"/>
        <v>31266</v>
      </c>
      <c r="P530" s="19">
        <f t="shared" si="431"/>
        <v>49897</v>
      </c>
      <c r="Q530" s="13">
        <f t="shared" ca="1" si="432"/>
        <v>41</v>
      </c>
      <c r="R530" s="13" t="str">
        <f t="shared" si="433"/>
        <v>OK</v>
      </c>
      <c r="S530" s="13" t="str">
        <f t="shared" si="434"/>
        <v xml:space="preserve">+7 (903) 234-56-78</v>
      </c>
      <c r="T530" s="13" t="str">
        <f t="shared" si="435"/>
        <v>chervyakov@gmail</v>
      </c>
      <c r="U530" s="18" t="str">
        <f t="shared" si="436"/>
        <v xml:space="preserve">Ошибка Email</v>
      </c>
      <c r="V530" s="13" t="str">
        <f>IFERROR(VLOOKUP(K530,Справочники!$K$6:$L$13,2,0),K530)</f>
        <v>Уссурийск</v>
      </c>
    </row>
    <row r="531" ht="15" customHeight="1">
      <c r="A531" s="10">
        <v>529</v>
      </c>
      <c r="B531" s="11" t="str">
        <f>RAW_Клиенты!A530</f>
        <v>C0529</v>
      </c>
      <c r="C531" s="11" t="str">
        <f>RAW_Клиенты!B530</f>
        <v xml:space="preserve">Потапова Екатерина Сергеевна</v>
      </c>
      <c r="D531" s="11" t="str">
        <f>RAW_Клиенты!C530</f>
        <v>20.04.1978</v>
      </c>
      <c r="E531" s="11" t="str">
        <f>RAW_Клиенты!D530</f>
        <v>+79032345678</v>
      </c>
      <c r="F531" s="11" t="str">
        <f>RAW_Клиенты!E530</f>
        <v>potapova@mail</v>
      </c>
      <c r="G531" s="11" t="str">
        <f>RAW_Клиенты!F530</f>
        <v>Миасс</v>
      </c>
      <c r="H531" s="11" t="str">
        <f>RAW_Клиенты!G530</f>
        <v>01.09.2036</v>
      </c>
      <c r="I531" s="12" t="str">
        <f t="shared" si="424"/>
        <v>79032345678</v>
      </c>
      <c r="J531" s="12" t="str">
        <f t="shared" si="425"/>
        <v>potapova@mail</v>
      </c>
      <c r="K531" s="12" t="str">
        <f t="shared" si="426"/>
        <v>Миасс</v>
      </c>
      <c r="L531" s="13" t="str">
        <f t="shared" si="427"/>
        <v>C0529</v>
      </c>
      <c r="M531" s="13" t="str">
        <f t="shared" si="428"/>
        <v xml:space="preserve">Потапова Екатерина Сергеевна</v>
      </c>
      <c r="N531" s="13" t="str">
        <f t="shared" si="429"/>
        <v>OK</v>
      </c>
      <c r="O531" s="19">
        <f t="shared" si="430"/>
        <v>28600</v>
      </c>
      <c r="P531" s="19">
        <f t="shared" si="431"/>
        <v>49919</v>
      </c>
      <c r="Q531" s="13">
        <f t="shared" ca="1" si="432"/>
        <v>48</v>
      </c>
      <c r="R531" s="13" t="str">
        <f t="shared" si="433"/>
        <v>OK</v>
      </c>
      <c r="S531" s="13" t="str">
        <f t="shared" si="434"/>
        <v xml:space="preserve">+7 (903) 234-56-78</v>
      </c>
      <c r="T531" s="13" t="str">
        <f t="shared" si="435"/>
        <v>potapova@mail</v>
      </c>
      <c r="U531" s="18" t="str">
        <f t="shared" si="436"/>
        <v xml:space="preserve">Ошибка Email</v>
      </c>
      <c r="V531" s="13" t="str">
        <f>IFERROR(VLOOKUP(K531,Справочники!$K$6:$L$13,2,0),K531)</f>
        <v>Миасс</v>
      </c>
    </row>
    <row r="532" ht="15" customHeight="1">
      <c r="A532" s="10">
        <v>530</v>
      </c>
      <c r="B532" s="11" t="str">
        <f>RAW_Клиенты!A531</f>
        <v>C0530</v>
      </c>
      <c r="C532" s="11" t="str">
        <f>RAW_Клиенты!B531</f>
        <v xml:space="preserve">Рогов Андрей Викторович</v>
      </c>
      <c r="D532" s="11" t="str">
        <f>RAW_Клиенты!C531</f>
        <v>15.12.1984</v>
      </c>
      <c r="E532" s="11" t="str">
        <f>RAW_Клиенты!D531</f>
        <v>8-903-234-56-78</v>
      </c>
      <c r="F532" s="11" t="str">
        <f>RAW_Клиенты!E531</f>
        <v>rogov@yandex</v>
      </c>
      <c r="G532" s="11" t="str">
        <f>RAW_Клиенты!F531</f>
        <v>Кызыл</v>
      </c>
      <c r="H532" s="11" t="str">
        <f>RAW_Клиенты!G531</f>
        <v>2036-09-15</v>
      </c>
      <c r="I532" s="12" t="str">
        <f t="shared" si="424"/>
        <v>89032345678</v>
      </c>
      <c r="J532" s="12" t="str">
        <f t="shared" si="425"/>
        <v>rogov@yandex</v>
      </c>
      <c r="K532" s="12" t="str">
        <f t="shared" si="426"/>
        <v>Кызыл</v>
      </c>
      <c r="L532" s="13" t="str">
        <f t="shared" si="427"/>
        <v>C0530</v>
      </c>
      <c r="M532" s="13" t="str">
        <f t="shared" si="428"/>
        <v xml:space="preserve">Рогов Андрей Викторович</v>
      </c>
      <c r="N532" s="13" t="str">
        <f t="shared" si="429"/>
        <v>OK</v>
      </c>
      <c r="O532" s="19">
        <f t="shared" si="430"/>
        <v>31031</v>
      </c>
      <c r="P532" s="19">
        <f t="shared" si="431"/>
        <v>49933</v>
      </c>
      <c r="Q532" s="13">
        <f t="shared" ca="1" si="432"/>
        <v>41</v>
      </c>
      <c r="R532" s="13" t="str">
        <f t="shared" si="433"/>
        <v>OK</v>
      </c>
      <c r="S532" s="13" t="str">
        <f t="shared" si="434"/>
        <v xml:space="preserve">+7 (903) 234-56-78</v>
      </c>
      <c r="T532" s="13" t="str">
        <f t="shared" si="435"/>
        <v>rogov@yandex</v>
      </c>
      <c r="U532" s="18" t="str">
        <f t="shared" si="436"/>
        <v xml:space="preserve">Ошибка Email</v>
      </c>
      <c r="V532" s="13" t="str">
        <f>IFERROR(VLOOKUP(K532,Справочники!$K$6:$L$13,2,0),K532)</f>
        <v>Кызыл</v>
      </c>
    </row>
    <row r="533" ht="15" customHeight="1">
      <c r="A533" s="10">
        <v>531</v>
      </c>
      <c r="B533" s="11" t="str">
        <f>RAW_Клиенты!A532</f>
        <v>C0531</v>
      </c>
      <c r="C533" s="11" t="str">
        <f>RAW_Клиенты!B532</f>
        <v xml:space="preserve">Беспалова Мария Олеговна</v>
      </c>
      <c r="D533" s="11" t="str">
        <f>RAW_Клиенты!C532</f>
        <v>11.09.1989</v>
      </c>
      <c r="E533" s="11" t="str">
        <f>RAW_Клиенты!D532</f>
        <v xml:space="preserve">8 903 345 67 89</v>
      </c>
      <c r="F533" s="11" t="str">
        <f>RAW_Клиенты!E532</f>
        <v>bespalova@gmail</v>
      </c>
      <c r="G533" s="11" t="str">
        <f>RAW_Клиенты!F532</f>
        <v>Калининград</v>
      </c>
      <c r="H533" s="11" t="str">
        <f>RAW_Клиенты!G532</f>
        <v>15.09.2036</v>
      </c>
      <c r="I533" s="12" t="str">
        <f t="shared" si="424"/>
        <v>89033456789</v>
      </c>
      <c r="J533" s="12" t="str">
        <f t="shared" si="425"/>
        <v>bespalova@gmail</v>
      </c>
      <c r="K533" s="12" t="str">
        <f t="shared" si="426"/>
        <v>Калининград</v>
      </c>
      <c r="L533" s="13" t="str">
        <f t="shared" si="427"/>
        <v>C0531</v>
      </c>
      <c r="M533" s="13" t="str">
        <f t="shared" si="428"/>
        <v xml:space="preserve">Беспалова Мария Олеговна</v>
      </c>
      <c r="N533" s="13" t="str">
        <f t="shared" si="429"/>
        <v>OK</v>
      </c>
      <c r="O533" s="19">
        <f t="shared" si="430"/>
        <v>32762</v>
      </c>
      <c r="P533" s="19">
        <f t="shared" si="431"/>
        <v>49933</v>
      </c>
      <c r="Q533" s="13">
        <f t="shared" ca="1" si="432"/>
        <v>37</v>
      </c>
      <c r="R533" s="13" t="str">
        <f t="shared" si="433"/>
        <v>OK</v>
      </c>
      <c r="S533" s="13" t="str">
        <f t="shared" si="434"/>
        <v xml:space="preserve">+7 (903) 345-67-89</v>
      </c>
      <c r="T533" s="13" t="str">
        <f t="shared" si="435"/>
        <v>bespalova@gmail</v>
      </c>
      <c r="U533" s="18" t="str">
        <f t="shared" si="436"/>
        <v xml:space="preserve">Ошибка Email</v>
      </c>
      <c r="V533" s="13" t="str">
        <f>IFERROR(VLOOKUP(K533,Справочники!$K$6:$L$13,2,0),K533)</f>
        <v>Калининград</v>
      </c>
    </row>
    <row r="534" ht="15" customHeight="1">
      <c r="A534" s="10">
        <v>532</v>
      </c>
      <c r="B534" s="11" t="str">
        <f>RAW_Клиенты!A533</f>
        <v>C0532</v>
      </c>
      <c r="C534" s="11" t="str">
        <f>RAW_Клиенты!B533</f>
        <v xml:space="preserve">Окунев Денис Павлович</v>
      </c>
      <c r="D534" s="11" t="str">
        <f>RAW_Клиенты!C533</f>
        <v>03.02.1975</v>
      </c>
      <c r="E534" s="11" t="str">
        <f>RAW_Клиенты!D533</f>
        <v>+79033456789</v>
      </c>
      <c r="F534" s="11" t="str">
        <f>RAW_Клиенты!E533</f>
        <v>okunev@mail</v>
      </c>
      <c r="G534" s="11" t="str">
        <f>RAW_Клиенты!F533</f>
        <v>Петрозаводск</v>
      </c>
      <c r="H534" s="11" t="str">
        <f>RAW_Клиенты!G533</f>
        <v>01.10.2036</v>
      </c>
      <c r="I534" s="12" t="str">
        <f t="shared" si="424"/>
        <v>79033456789</v>
      </c>
      <c r="J534" s="12" t="str">
        <f t="shared" si="425"/>
        <v>okunev@mail</v>
      </c>
      <c r="K534" s="12" t="str">
        <f t="shared" si="426"/>
        <v>Петрозаводск</v>
      </c>
      <c r="L534" s="13" t="str">
        <f t="shared" si="427"/>
        <v>C0532</v>
      </c>
      <c r="M534" s="13" t="str">
        <f t="shared" si="428"/>
        <v xml:space="preserve">Окунев Денис Павлович</v>
      </c>
      <c r="N534" s="13" t="str">
        <f t="shared" si="429"/>
        <v>OK</v>
      </c>
      <c r="O534" s="19">
        <f t="shared" si="430"/>
        <v>27428</v>
      </c>
      <c r="P534" s="19">
        <f t="shared" si="431"/>
        <v>49949</v>
      </c>
      <c r="Q534" s="13">
        <f t="shared" ca="1" si="432"/>
        <v>51</v>
      </c>
      <c r="R534" s="13" t="str">
        <f t="shared" si="433"/>
        <v>OK</v>
      </c>
      <c r="S534" s="13" t="str">
        <f t="shared" si="434"/>
        <v xml:space="preserve">+7 (903) 345-67-89</v>
      </c>
      <c r="T534" s="13" t="str">
        <f t="shared" si="435"/>
        <v>okunev@mail</v>
      </c>
      <c r="U534" s="18" t="str">
        <f t="shared" si="436"/>
        <v xml:space="preserve">Ошибка Email</v>
      </c>
      <c r="V534" s="13" t="str">
        <f>IFERROR(VLOOKUP(K534,Справочники!$K$6:$L$13,2,0),K534)</f>
        <v>Петрозаводск</v>
      </c>
    </row>
    <row r="535" ht="15" customHeight="1">
      <c r="A535" s="10">
        <v>533</v>
      </c>
      <c r="B535" s="11" t="str">
        <f>RAW_Клиенты!A534</f>
        <v>C0533</v>
      </c>
      <c r="C535" s="11" t="str">
        <f>RAW_Клиенты!B534</f>
        <v xml:space="preserve">Панова Ольга Владимировна</v>
      </c>
      <c r="D535" s="11" t="str">
        <f>RAW_Клиенты!C534</f>
        <v>26.10.1983</v>
      </c>
      <c r="E535" s="11" t="str">
        <f>RAW_Клиенты!D534</f>
        <v>8-903-345-67-89</v>
      </c>
      <c r="F535" s="11" t="str">
        <f>RAW_Клиенты!E534</f>
        <v>panova@yandex</v>
      </c>
      <c r="G535" s="11" t="str">
        <f>RAW_Клиенты!F534</f>
        <v>Рубцовск</v>
      </c>
      <c r="H535" s="11" t="str">
        <f>RAW_Клиенты!G534</f>
        <v>2036-10-10</v>
      </c>
      <c r="I535" s="12" t="str">
        <f t="shared" si="424"/>
        <v>89033456789</v>
      </c>
      <c r="J535" s="12" t="str">
        <f t="shared" si="425"/>
        <v>panova@yandex</v>
      </c>
      <c r="K535" s="12" t="str">
        <f t="shared" si="426"/>
        <v>Рубцовск</v>
      </c>
      <c r="L535" s="13" t="str">
        <f t="shared" si="427"/>
        <v>C0533</v>
      </c>
      <c r="M535" s="13" t="str">
        <f t="shared" si="428"/>
        <v xml:space="preserve">Панова Ольга Владимировна</v>
      </c>
      <c r="N535" s="13" t="str">
        <f t="shared" si="429"/>
        <v>OK</v>
      </c>
      <c r="O535" s="19">
        <f t="shared" si="430"/>
        <v>30615</v>
      </c>
      <c r="P535" s="19">
        <f t="shared" si="431"/>
        <v>49958</v>
      </c>
      <c r="Q535" s="13">
        <f t="shared" ca="1" si="432"/>
        <v>42</v>
      </c>
      <c r="R535" s="13" t="str">
        <f t="shared" si="433"/>
        <v>OK</v>
      </c>
      <c r="S535" s="13" t="str">
        <f t="shared" si="434"/>
        <v xml:space="preserve">+7 (903) 345-67-89</v>
      </c>
      <c r="T535" s="13" t="str">
        <f t="shared" si="435"/>
        <v>panova@yandex</v>
      </c>
      <c r="U535" s="18" t="str">
        <f t="shared" si="436"/>
        <v xml:space="preserve">Ошибка Email</v>
      </c>
      <c r="V535" s="13" t="str">
        <f>IFERROR(VLOOKUP(K535,Справочники!$K$6:$L$13,2,0),K535)</f>
        <v>Рубцовск</v>
      </c>
    </row>
    <row r="536" ht="15" customHeight="1">
      <c r="A536" s="10">
        <v>534</v>
      </c>
      <c r="B536" s="11" t="str">
        <f>RAW_Клиенты!A535</f>
        <v>C0534</v>
      </c>
      <c r="C536" s="11" t="str">
        <f>RAW_Клиенты!B535</f>
        <v xml:space="preserve">Житков Илья Сергеевич</v>
      </c>
      <c r="D536" s="11" t="str">
        <f>RAW_Клиенты!C535</f>
        <v>17.06.1991</v>
      </c>
      <c r="E536" s="11" t="str">
        <f>RAW_Клиенты!D535</f>
        <v xml:space="preserve">8 903 456 78 90</v>
      </c>
      <c r="F536" s="11" t="str">
        <f>RAW_Клиенты!E535</f>
        <v>zhitkov@gmail</v>
      </c>
      <c r="G536" s="11" t="str">
        <f>RAW_Клиенты!F535</f>
        <v>Элиста</v>
      </c>
      <c r="H536" s="11" t="str">
        <f>RAW_Клиенты!G535</f>
        <v>10.10.2036</v>
      </c>
      <c r="I536" s="12" t="str">
        <f t="shared" si="424"/>
        <v>89034567890</v>
      </c>
      <c r="J536" s="12" t="str">
        <f t="shared" si="425"/>
        <v>zhitkov@gmail</v>
      </c>
      <c r="K536" s="12" t="str">
        <f t="shared" si="426"/>
        <v>Элиста</v>
      </c>
      <c r="L536" s="13" t="str">
        <f t="shared" si="427"/>
        <v>C0534</v>
      </c>
      <c r="M536" s="13" t="str">
        <f t="shared" si="428"/>
        <v xml:space="preserve">Житков Илья Сергеевич</v>
      </c>
      <c r="N536" s="13" t="str">
        <f t="shared" si="429"/>
        <v>OK</v>
      </c>
      <c r="O536" s="19">
        <f t="shared" si="430"/>
        <v>33406</v>
      </c>
      <c r="P536" s="19">
        <f t="shared" si="431"/>
        <v>49958</v>
      </c>
      <c r="Q536" s="13">
        <f t="shared" ca="1" si="432"/>
        <v>35</v>
      </c>
      <c r="R536" s="13" t="str">
        <f t="shared" si="433"/>
        <v>OK</v>
      </c>
      <c r="S536" s="13" t="str">
        <f t="shared" si="434"/>
        <v xml:space="preserve">+7 (903) 456-78-90</v>
      </c>
      <c r="T536" s="13" t="str">
        <f t="shared" si="435"/>
        <v>zhitkov@gmail</v>
      </c>
      <c r="U536" s="18" t="str">
        <f t="shared" si="436"/>
        <v xml:space="preserve">Ошибка Email</v>
      </c>
      <c r="V536" s="13" t="str">
        <f>IFERROR(VLOOKUP(K536,Справочники!$K$6:$L$13,2,0),K536)</f>
        <v>Элиста</v>
      </c>
    </row>
    <row r="537" ht="15" customHeight="1">
      <c r="A537" s="10">
        <v>535</v>
      </c>
      <c r="B537" s="11" t="str">
        <f>RAW_Клиенты!A536</f>
        <v>C0535</v>
      </c>
      <c r="C537" s="11" t="str">
        <f>RAW_Клиенты!B536</f>
        <v xml:space="preserve">Кузьмичева Екатерина Алексеевна</v>
      </c>
      <c r="D537" s="11" t="str">
        <f>RAW_Клиенты!C536</f>
        <v>08.03.1979</v>
      </c>
      <c r="E537" s="11" t="str">
        <f>RAW_Клиенты!D536</f>
        <v>+79034567890</v>
      </c>
      <c r="F537" s="11" t="str">
        <f>RAW_Клиенты!E536</f>
        <v>kuzmicheva@mail</v>
      </c>
      <c r="G537" s="11" t="str">
        <f>RAW_Клиенты!F536</f>
        <v>Орск</v>
      </c>
      <c r="H537" s="11" t="str">
        <f>RAW_Клиенты!G536</f>
        <v>01.11.2036</v>
      </c>
      <c r="I537" s="12" t="str">
        <f t="shared" si="424"/>
        <v>79034567890</v>
      </c>
      <c r="J537" s="12" t="str">
        <f t="shared" si="425"/>
        <v>kuzmicheva@mail</v>
      </c>
      <c r="K537" s="12" t="str">
        <f t="shared" si="426"/>
        <v>Орск</v>
      </c>
      <c r="L537" s="13" t="str">
        <f t="shared" si="427"/>
        <v>C0535</v>
      </c>
      <c r="M537" s="13" t="str">
        <f t="shared" si="428"/>
        <v xml:space="preserve">Кузьмичева Екатерина Алексеевна</v>
      </c>
      <c r="N537" s="13" t="str">
        <f t="shared" si="429"/>
        <v>OK</v>
      </c>
      <c r="O537" s="19">
        <f t="shared" si="430"/>
        <v>28922</v>
      </c>
      <c r="P537" s="19">
        <f t="shared" si="431"/>
        <v>49980</v>
      </c>
      <c r="Q537" s="13">
        <f t="shared" ca="1" si="432"/>
        <v>47</v>
      </c>
      <c r="R537" s="13" t="str">
        <f t="shared" si="433"/>
        <v>OK</v>
      </c>
      <c r="S537" s="13" t="str">
        <f t="shared" si="434"/>
        <v xml:space="preserve">+7 (903) 456-78-90</v>
      </c>
      <c r="T537" s="13" t="str">
        <f t="shared" si="435"/>
        <v>kuzmicheva@mail</v>
      </c>
      <c r="U537" s="18" t="str">
        <f t="shared" si="436"/>
        <v xml:space="preserve">Ошибка Email</v>
      </c>
      <c r="V537" s="13" t="str">
        <f>IFERROR(VLOOKUP(K537,Справочники!$K$6:$L$13,2,0),K537)</f>
        <v>Орск</v>
      </c>
    </row>
    <row r="538" ht="15" customHeight="1">
      <c r="A538" s="10">
        <v>536</v>
      </c>
      <c r="B538" s="11" t="str">
        <f>RAW_Клиенты!A537</f>
        <v>C0536</v>
      </c>
      <c r="C538" s="11" t="str">
        <f>RAW_Клиенты!B537</f>
        <v xml:space="preserve">Филимонов Андрей Олегович</v>
      </c>
      <c r="D538" s="11" t="str">
        <f>RAW_Клиенты!C537</f>
        <v>25.08.1986</v>
      </c>
      <c r="E538" s="11" t="str">
        <f>RAW_Клиенты!D537</f>
        <v>8-903-456-78-90</v>
      </c>
      <c r="F538" s="11" t="str">
        <f>RAW_Клиенты!E537</f>
        <v>filimonov@yandex</v>
      </c>
      <c r="G538" s="11" t="str">
        <f>RAW_Клиенты!F537</f>
        <v>Нижневартовск</v>
      </c>
      <c r="H538" s="11" t="str">
        <f>RAW_Клиенты!G537</f>
        <v>2036-11-15</v>
      </c>
      <c r="I538" s="12" t="str">
        <f t="shared" si="424"/>
        <v>89034567890</v>
      </c>
      <c r="J538" s="12" t="str">
        <f t="shared" si="425"/>
        <v>filimonov@yandex</v>
      </c>
      <c r="K538" s="12" t="str">
        <f t="shared" si="426"/>
        <v>Нижневартовск</v>
      </c>
      <c r="L538" s="13" t="str">
        <f t="shared" si="427"/>
        <v>C0536</v>
      </c>
      <c r="M538" s="13" t="str">
        <f t="shared" si="428"/>
        <v xml:space="preserve">Филимонов Андрей Олегович</v>
      </c>
      <c r="N538" s="13" t="str">
        <f t="shared" si="429"/>
        <v>OK</v>
      </c>
      <c r="O538" s="19">
        <f t="shared" si="430"/>
        <v>31649</v>
      </c>
      <c r="P538" s="19">
        <f t="shared" si="431"/>
        <v>49994</v>
      </c>
      <c r="Q538" s="13">
        <f t="shared" ca="1" si="432"/>
        <v>40</v>
      </c>
      <c r="R538" s="13" t="str">
        <f t="shared" si="433"/>
        <v>OK</v>
      </c>
      <c r="S538" s="13" t="str">
        <f t="shared" si="434"/>
        <v xml:space="preserve">+7 (903) 456-78-90</v>
      </c>
      <c r="T538" s="13" t="str">
        <f t="shared" si="435"/>
        <v>filimonov@yandex</v>
      </c>
      <c r="U538" s="18" t="str">
        <f t="shared" si="436"/>
        <v xml:space="preserve">Ошибка Email</v>
      </c>
      <c r="V538" s="13" t="str">
        <f>IFERROR(VLOOKUP(K538,Справочники!$K$6:$L$13,2,0),K538)</f>
        <v>Нижневартовск</v>
      </c>
    </row>
    <row r="539" ht="15" customHeight="1">
      <c r="A539" s="10">
        <v>537</v>
      </c>
      <c r="B539" s="11" t="str">
        <f>RAW_Клиенты!A538</f>
        <v>C0537</v>
      </c>
      <c r="C539" s="11" t="str">
        <f>RAW_Клиенты!B538</f>
        <v xml:space="preserve">Шестакова Мария Павловна</v>
      </c>
      <c r="D539" s="11" t="str">
        <f>RAW_Клиенты!C538</f>
        <v>19.12.1971</v>
      </c>
      <c r="E539" s="11" t="str">
        <f>RAW_Клиенты!D538</f>
        <v xml:space="preserve">8 903 567 89 01</v>
      </c>
      <c r="F539" s="11" t="str">
        <f>RAW_Клиенты!E538</f>
        <v>shestakova@gmail</v>
      </c>
      <c r="G539" s="11" t="str">
        <f>RAW_Клиенты!F538</f>
        <v>Новороссийск</v>
      </c>
      <c r="H539" s="11" t="str">
        <f>RAW_Клиенты!G538</f>
        <v>15.11.2036</v>
      </c>
      <c r="I539" s="12" t="str">
        <f t="shared" si="424"/>
        <v>89035678901</v>
      </c>
      <c r="J539" s="12" t="str">
        <f t="shared" si="425"/>
        <v>shestakova@gmail</v>
      </c>
      <c r="K539" s="12" t="str">
        <f t="shared" si="426"/>
        <v>Новороссийск</v>
      </c>
      <c r="L539" s="13" t="str">
        <f t="shared" si="427"/>
        <v>C0537</v>
      </c>
      <c r="M539" s="13" t="str">
        <f t="shared" si="428"/>
        <v xml:space="preserve">Шестакова Мария Павловна</v>
      </c>
      <c r="N539" s="13" t="str">
        <f t="shared" si="429"/>
        <v>OK</v>
      </c>
      <c r="O539" s="19">
        <f t="shared" si="430"/>
        <v>26286</v>
      </c>
      <c r="P539" s="19">
        <f t="shared" si="431"/>
        <v>49994</v>
      </c>
      <c r="Q539" s="13">
        <f t="shared" ca="1" si="432"/>
        <v>54</v>
      </c>
      <c r="R539" s="13" t="str">
        <f t="shared" si="433"/>
        <v>OK</v>
      </c>
      <c r="S539" s="13" t="str">
        <f t="shared" si="434"/>
        <v xml:space="preserve">+7 (903) 567-89-01</v>
      </c>
      <c r="T539" s="13" t="str">
        <f t="shared" si="435"/>
        <v>shestakova@gmail</v>
      </c>
      <c r="U539" s="18" t="str">
        <f t="shared" si="436"/>
        <v xml:space="preserve">Ошибка Email</v>
      </c>
      <c r="V539" s="13" t="str">
        <f>IFERROR(VLOOKUP(K539,Справочники!$K$6:$L$13,2,0),K539)</f>
        <v>Новороссийск</v>
      </c>
    </row>
    <row r="540" ht="15" customHeight="1">
      <c r="A540" s="10">
        <v>538</v>
      </c>
      <c r="B540" s="11" t="str">
        <f>RAW_Клиенты!A539</f>
        <v>C0538</v>
      </c>
      <c r="C540" s="11" t="str">
        <f>RAW_Клиенты!B539</f>
        <v xml:space="preserve">Барышников Денис Викторович</v>
      </c>
      <c r="D540" s="11" t="str">
        <f>RAW_Клиенты!C539</f>
        <v>12.05.1982</v>
      </c>
      <c r="E540" s="11" t="str">
        <f>RAW_Клиенты!D539</f>
        <v>+79035678901</v>
      </c>
      <c r="F540" s="11" t="str">
        <f>RAW_Клиенты!E539</f>
        <v>baryshnikov@mail</v>
      </c>
      <c r="G540" s="11" t="str">
        <f>RAW_Клиенты!F539</f>
        <v>Химки</v>
      </c>
      <c r="H540" s="11" t="str">
        <f>RAW_Клиенты!G539</f>
        <v>01.12.2036</v>
      </c>
      <c r="I540" s="12" t="str">
        <f t="shared" si="424"/>
        <v>79035678901</v>
      </c>
      <c r="J540" s="12" t="str">
        <f t="shared" si="425"/>
        <v>baryshnikov@mail</v>
      </c>
      <c r="K540" s="12" t="str">
        <f t="shared" si="426"/>
        <v>Химки</v>
      </c>
      <c r="L540" s="13" t="str">
        <f t="shared" si="427"/>
        <v>C0538</v>
      </c>
      <c r="M540" s="13" t="str">
        <f t="shared" si="428"/>
        <v xml:space="preserve">Барышников Денис Викторович</v>
      </c>
      <c r="N540" s="13" t="str">
        <f t="shared" si="429"/>
        <v>OK</v>
      </c>
      <c r="O540" s="19">
        <f t="shared" si="430"/>
        <v>30083</v>
      </c>
      <c r="P540" s="19">
        <f t="shared" si="431"/>
        <v>50010</v>
      </c>
      <c r="Q540" s="13">
        <f t="shared" ca="1" si="432"/>
        <v>44</v>
      </c>
      <c r="R540" s="13" t="str">
        <f t="shared" si="433"/>
        <v>OK</v>
      </c>
      <c r="S540" s="13" t="str">
        <f t="shared" si="434"/>
        <v xml:space="preserve">+7 (903) 567-89-01</v>
      </c>
      <c r="T540" s="13" t="str">
        <f t="shared" si="435"/>
        <v>baryshnikov@mail</v>
      </c>
      <c r="U540" s="18" t="str">
        <f t="shared" si="436"/>
        <v xml:space="preserve">Ошибка Email</v>
      </c>
      <c r="V540" s="13" t="str">
        <f>IFERROR(VLOOKUP(K540,Справочники!$K$6:$L$13,2,0),K540)</f>
        <v>Химки</v>
      </c>
    </row>
    <row r="541" ht="15" customHeight="1">
      <c r="A541" s="10">
        <v>539</v>
      </c>
      <c r="B541" s="11" t="str">
        <f>RAW_Клиенты!A540</f>
        <v>C0539</v>
      </c>
      <c r="C541" s="11" t="str">
        <f>RAW_Клиенты!B540</f>
        <v xml:space="preserve">Лапшина Ольга Сергеевна</v>
      </c>
      <c r="D541" s="11" t="str">
        <f>RAW_Клиенты!C540</f>
        <v>28.07.1988</v>
      </c>
      <c r="E541" s="11" t="str">
        <f>RAW_Клиенты!D540</f>
        <v>8-903-567-89-01</v>
      </c>
      <c r="F541" s="11" t="str">
        <f>RAW_Клиенты!E540</f>
        <v>lapshina@yandex</v>
      </c>
      <c r="G541" s="11" t="str">
        <f>RAW_Клиенты!F540</f>
        <v>Подольск</v>
      </c>
      <c r="H541" s="11" t="str">
        <f>RAW_Клиенты!G540</f>
        <v>2036-12-10</v>
      </c>
      <c r="I541" s="12" t="str">
        <f t="shared" si="424"/>
        <v>89035678901</v>
      </c>
      <c r="J541" s="12" t="str">
        <f t="shared" si="425"/>
        <v>lapshina@yandex</v>
      </c>
      <c r="K541" s="12" t="str">
        <f t="shared" si="426"/>
        <v>Подольск</v>
      </c>
      <c r="L541" s="13" t="str">
        <f t="shared" si="427"/>
        <v>C0539</v>
      </c>
      <c r="M541" s="13" t="str">
        <f t="shared" si="428"/>
        <v xml:space="preserve">Лапшина Ольга Сергеевна</v>
      </c>
      <c r="N541" s="13" t="str">
        <f t="shared" si="429"/>
        <v>OK</v>
      </c>
      <c r="O541" s="19">
        <f t="shared" si="430"/>
        <v>32352</v>
      </c>
      <c r="P541" s="19">
        <f t="shared" si="431"/>
        <v>50019</v>
      </c>
      <c r="Q541" s="13">
        <f t="shared" ca="1" si="432"/>
        <v>38</v>
      </c>
      <c r="R541" s="13" t="str">
        <f t="shared" si="433"/>
        <v>OK</v>
      </c>
      <c r="S541" s="13" t="str">
        <f t="shared" si="434"/>
        <v xml:space="preserve">+7 (903) 567-89-01</v>
      </c>
      <c r="T541" s="13" t="str">
        <f t="shared" si="435"/>
        <v>lapshina@yandex</v>
      </c>
      <c r="U541" s="18" t="str">
        <f t="shared" si="436"/>
        <v xml:space="preserve">Ошибка Email</v>
      </c>
      <c r="V541" s="13" t="str">
        <f>IFERROR(VLOOKUP(K541,Справочники!$K$6:$L$13,2,0),K541)</f>
        <v>Подольск</v>
      </c>
    </row>
    <row r="542" ht="15" customHeight="1">
      <c r="A542" s="10">
        <v>540</v>
      </c>
      <c r="B542" s="11" t="str">
        <f>RAW_Клиенты!A541</f>
        <v>C0540</v>
      </c>
      <c r="C542" s="11" t="str">
        <f>RAW_Клиенты!B541</f>
        <v xml:space="preserve">Сергеев Илья Николаевич</v>
      </c>
      <c r="D542" s="11" t="str">
        <f>RAW_Клиенты!C541</f>
        <v>04.10.1976</v>
      </c>
      <c r="E542" s="11" t="str">
        <f>RAW_Клиенты!D541</f>
        <v xml:space="preserve">8 903 678 90 12</v>
      </c>
      <c r="F542" s="11" t="str">
        <f>RAW_Клиенты!E541</f>
        <v>sergeev@gmail</v>
      </c>
      <c r="G542" s="11" t="str">
        <f>RAW_Клиенты!F541</f>
        <v>Балашиха</v>
      </c>
      <c r="H542" s="11" t="str">
        <f>RAW_Клиенты!G541</f>
        <v>10.12.2036</v>
      </c>
      <c r="I542" s="12" t="str">
        <f t="shared" si="424"/>
        <v>89036789012</v>
      </c>
      <c r="J542" s="12" t="str">
        <f t="shared" si="425"/>
        <v>sergeev@gmail</v>
      </c>
      <c r="K542" s="12" t="str">
        <f t="shared" si="426"/>
        <v>Балашиха</v>
      </c>
      <c r="L542" s="13" t="str">
        <f t="shared" si="427"/>
        <v>C0540</v>
      </c>
      <c r="M542" s="13" t="str">
        <f t="shared" si="428"/>
        <v xml:space="preserve">Сергеев Илья Николаевич</v>
      </c>
      <c r="N542" s="13" t="str">
        <f t="shared" si="429"/>
        <v>OK</v>
      </c>
      <c r="O542" s="19">
        <f t="shared" si="430"/>
        <v>28037</v>
      </c>
      <c r="P542" s="19">
        <f t="shared" si="431"/>
        <v>50019</v>
      </c>
      <c r="Q542" s="13">
        <f t="shared" ca="1" si="432"/>
        <v>49</v>
      </c>
      <c r="R542" s="13" t="str">
        <f t="shared" si="433"/>
        <v>OK</v>
      </c>
      <c r="S542" s="13" t="str">
        <f t="shared" si="434"/>
        <v xml:space="preserve">+7 (903) 678-90-12</v>
      </c>
      <c r="T542" s="13" t="str">
        <f t="shared" si="435"/>
        <v>sergeev@gmail</v>
      </c>
      <c r="U542" s="18" t="str">
        <f t="shared" si="436"/>
        <v xml:space="preserve">Ошибка Email</v>
      </c>
      <c r="V542" s="13" t="str">
        <f>IFERROR(VLOOKUP(K542,Справочники!$K$6:$L$13,2,0),K542)</f>
        <v>Балашиха</v>
      </c>
    </row>
    <row r="543" ht="15" customHeight="1">
      <c r="A543" s="10">
        <v>541</v>
      </c>
      <c r="B543" s="11" t="str">
        <f>RAW_Клиенты!A542</f>
        <v>C0541</v>
      </c>
      <c r="C543" s="11" t="str">
        <f>RAW_Клиенты!B542</f>
        <v xml:space="preserve">Аникина Екатерина Владимировна</v>
      </c>
      <c r="D543" s="11" t="str">
        <f>RAW_Клиенты!C542</f>
        <v>23.01.1984</v>
      </c>
      <c r="E543" s="11" t="str">
        <f>RAW_Клиенты!D542</f>
        <v>+79036789012</v>
      </c>
      <c r="F543" s="11" t="str">
        <f>RAW_Клиенты!E542</f>
        <v>anikina@mail</v>
      </c>
      <c r="G543" s="11" t="str">
        <f>RAW_Клиенты!F542</f>
        <v>Сургут</v>
      </c>
      <c r="H543" s="11" t="str">
        <f>RAW_Клиенты!G542</f>
        <v>01.01.2037</v>
      </c>
      <c r="I543" s="12" t="str">
        <f t="shared" si="424"/>
        <v>79036789012</v>
      </c>
      <c r="J543" s="12" t="str">
        <f t="shared" si="425"/>
        <v>anikina@mail</v>
      </c>
      <c r="K543" s="12" t="str">
        <f t="shared" si="426"/>
        <v>Сургут</v>
      </c>
      <c r="L543" s="13" t="str">
        <f t="shared" si="427"/>
        <v>C0541</v>
      </c>
      <c r="M543" s="13" t="str">
        <f t="shared" si="428"/>
        <v xml:space="preserve">Аникина Екатерина Владимировна</v>
      </c>
      <c r="N543" s="13" t="str">
        <f t="shared" si="429"/>
        <v>OK</v>
      </c>
      <c r="O543" s="19">
        <f t="shared" si="430"/>
        <v>30704</v>
      </c>
      <c r="P543" s="19">
        <f t="shared" si="431"/>
        <v>50041</v>
      </c>
      <c r="Q543" s="13">
        <f t="shared" ca="1" si="432"/>
        <v>42</v>
      </c>
      <c r="R543" s="13" t="str">
        <f t="shared" si="433"/>
        <v>OK</v>
      </c>
      <c r="S543" s="13" t="str">
        <f t="shared" si="434"/>
        <v xml:space="preserve">+7 (903) 678-90-12</v>
      </c>
      <c r="T543" s="13" t="str">
        <f t="shared" si="435"/>
        <v>anikina@mail</v>
      </c>
      <c r="U543" s="18" t="str">
        <f t="shared" si="436"/>
        <v xml:space="preserve">Ошибка Email</v>
      </c>
      <c r="V543" s="13" t="str">
        <f>IFERROR(VLOOKUP(K543,Справочники!$K$6:$L$13,2,0),K543)</f>
        <v>Сургут</v>
      </c>
    </row>
    <row r="544" ht="15" customHeight="1">
      <c r="A544" s="10">
        <v>542</v>
      </c>
      <c r="B544" s="11" t="str">
        <f>RAW_Клиенты!A543</f>
        <v>C0542</v>
      </c>
      <c r="C544" s="11" t="str">
        <f>RAW_Клиенты!B543</f>
        <v xml:space="preserve">Гуляев Андрей Олегович</v>
      </c>
      <c r="D544" s="11" t="str">
        <f>RAW_Клиенты!C543</f>
        <v>15.06.1990</v>
      </c>
      <c r="E544" s="11" t="str">
        <f>RAW_Клиенты!D543</f>
        <v>8-903-678-90-12</v>
      </c>
      <c r="F544" s="11" t="str">
        <f>RAW_Клиенты!E543</f>
        <v>gulyaev@yandex</v>
      </c>
      <c r="G544" s="11" t="str">
        <f>RAW_Клиенты!F543</f>
        <v>Армавир</v>
      </c>
      <c r="H544" s="11" t="str">
        <f>RAW_Клиенты!G543</f>
        <v>2037-01-15</v>
      </c>
      <c r="I544" s="12" t="str">
        <f t="shared" si="424"/>
        <v>89036789012</v>
      </c>
      <c r="J544" s="12" t="str">
        <f t="shared" si="425"/>
        <v>gulyaev@yandex</v>
      </c>
      <c r="K544" s="12" t="str">
        <f t="shared" si="426"/>
        <v>Армавир</v>
      </c>
      <c r="L544" s="13" t="str">
        <f t="shared" si="427"/>
        <v>C0542</v>
      </c>
      <c r="M544" s="13" t="str">
        <f t="shared" si="428"/>
        <v xml:space="preserve">Гуляев Андрей Олегович</v>
      </c>
      <c r="N544" s="13" t="str">
        <f t="shared" si="429"/>
        <v>OK</v>
      </c>
      <c r="O544" s="19">
        <f t="shared" si="430"/>
        <v>33039</v>
      </c>
      <c r="P544" s="19">
        <f t="shared" si="431"/>
        <v>50055</v>
      </c>
      <c r="Q544" s="13">
        <f t="shared" ca="1" si="432"/>
        <v>36</v>
      </c>
      <c r="R544" s="13" t="str">
        <f t="shared" si="433"/>
        <v>OK</v>
      </c>
      <c r="S544" s="13" t="str">
        <f t="shared" si="434"/>
        <v xml:space="preserve">+7 (903) 678-90-12</v>
      </c>
      <c r="T544" s="13" t="str">
        <f t="shared" si="435"/>
        <v>gulyaev@yandex</v>
      </c>
      <c r="U544" s="18" t="str">
        <f t="shared" si="436"/>
        <v xml:space="preserve">Ошибка Email</v>
      </c>
      <c r="V544" s="13" t="str">
        <f>IFERROR(VLOOKUP(K544,Справочники!$K$6:$L$13,2,0),K544)</f>
        <v>Армавир</v>
      </c>
    </row>
    <row r="545" ht="15" customHeight="1">
      <c r="A545" s="10">
        <v>543</v>
      </c>
      <c r="B545" s="11" t="str">
        <f>RAW_Клиенты!A544</f>
        <v>C0543</v>
      </c>
      <c r="C545" s="11" t="str">
        <f>RAW_Клиенты!B544</f>
        <v xml:space="preserve">Малышева Мария Сергеевна</v>
      </c>
      <c r="D545" s="11" t="str">
        <f>RAW_Клиенты!C544</f>
        <v>09.11.1977</v>
      </c>
      <c r="E545" s="11" t="str">
        <f>RAW_Клиенты!D544</f>
        <v xml:space="preserve">8 903 789 01 23</v>
      </c>
      <c r="F545" s="11" t="str">
        <f>RAW_Клиенты!E544</f>
        <v>malysheva@gmail</v>
      </c>
      <c r="G545" s="11" t="str">
        <f>RAW_Клиенты!F544</f>
        <v>Волжский</v>
      </c>
      <c r="H545" s="11" t="str">
        <f>RAW_Клиенты!G544</f>
        <v>15.01.2037</v>
      </c>
      <c r="I545" s="12" t="str">
        <f t="shared" si="424"/>
        <v>89037890123</v>
      </c>
      <c r="J545" s="12" t="str">
        <f t="shared" si="425"/>
        <v>malysheva@gmail</v>
      </c>
      <c r="K545" s="12" t="str">
        <f t="shared" si="426"/>
        <v>Волжский</v>
      </c>
      <c r="L545" s="13" t="str">
        <f t="shared" si="427"/>
        <v>C0543</v>
      </c>
      <c r="M545" s="13" t="str">
        <f t="shared" si="428"/>
        <v xml:space="preserve">Малышева Мария Сергеевна</v>
      </c>
      <c r="N545" s="13" t="str">
        <f t="shared" si="429"/>
        <v>OK</v>
      </c>
      <c r="O545" s="19">
        <f t="shared" si="430"/>
        <v>28438</v>
      </c>
      <c r="P545" s="19">
        <f t="shared" si="431"/>
        <v>50055</v>
      </c>
      <c r="Q545" s="13">
        <f t="shared" ca="1" si="432"/>
        <v>48</v>
      </c>
      <c r="R545" s="13" t="str">
        <f t="shared" si="433"/>
        <v>OK</v>
      </c>
      <c r="S545" s="13" t="str">
        <f t="shared" si="434"/>
        <v xml:space="preserve">+7 (903) 789-01-23</v>
      </c>
      <c r="T545" s="13" t="str">
        <f t="shared" si="435"/>
        <v>malysheva@gmail</v>
      </c>
      <c r="U545" s="18" t="str">
        <f t="shared" si="436"/>
        <v xml:space="preserve">Ошибка Email</v>
      </c>
      <c r="V545" s="13" t="str">
        <f>IFERROR(VLOOKUP(K545,Справочники!$K$6:$L$13,2,0),K545)</f>
        <v>Волжский</v>
      </c>
    </row>
    <row r="546" ht="15" customHeight="1">
      <c r="A546" s="10">
        <v>544</v>
      </c>
      <c r="B546" s="11" t="str">
        <f>RAW_Клиенты!A545</f>
        <v>C0544</v>
      </c>
      <c r="C546" s="11" t="str">
        <f>RAW_Клиенты!B545</f>
        <v xml:space="preserve">Снегирев Денис Павлович</v>
      </c>
      <c r="D546" s="11" t="str">
        <f>RAW_Клиенты!C545</f>
        <v>02.04.1985</v>
      </c>
      <c r="E546" s="11" t="str">
        <f>RAW_Клиенты!D545</f>
        <v>+79037890123</v>
      </c>
      <c r="F546" s="11" t="str">
        <f>RAW_Клиенты!E545</f>
        <v>snegirev@mail</v>
      </c>
      <c r="G546" s="11" t="str">
        <f>RAW_Клиенты!F545</f>
        <v>Шахты</v>
      </c>
      <c r="H546" s="11" t="str">
        <f>RAW_Клиенты!G545</f>
        <v>01.02.2037</v>
      </c>
      <c r="I546" s="12" t="str">
        <f t="shared" si="424"/>
        <v>79037890123</v>
      </c>
      <c r="J546" s="12" t="str">
        <f t="shared" si="425"/>
        <v>snegirev@mail</v>
      </c>
      <c r="K546" s="12" t="str">
        <f t="shared" si="426"/>
        <v>Шахты</v>
      </c>
      <c r="L546" s="13" t="str">
        <f t="shared" si="427"/>
        <v>C0544</v>
      </c>
      <c r="M546" s="13" t="str">
        <f t="shared" si="428"/>
        <v xml:space="preserve">Снегирев Денис Павлович</v>
      </c>
      <c r="N546" s="13" t="str">
        <f t="shared" si="429"/>
        <v>OK</v>
      </c>
      <c r="O546" s="19">
        <f t="shared" si="430"/>
        <v>31139</v>
      </c>
      <c r="P546" s="19">
        <f t="shared" si="431"/>
        <v>50072</v>
      </c>
      <c r="Q546" s="13">
        <f t="shared" ca="1" si="432"/>
        <v>41</v>
      </c>
      <c r="R546" s="13" t="str">
        <f t="shared" si="433"/>
        <v>OK</v>
      </c>
      <c r="S546" s="13" t="str">
        <f t="shared" si="434"/>
        <v xml:space="preserve">+7 (903) 789-01-23</v>
      </c>
      <c r="T546" s="13" t="str">
        <f t="shared" si="435"/>
        <v>snegirev@mail</v>
      </c>
      <c r="U546" s="18" t="str">
        <f t="shared" si="436"/>
        <v xml:space="preserve">Ошибка Email</v>
      </c>
      <c r="V546" s="13" t="str">
        <f>IFERROR(VLOOKUP(K546,Справочники!$K$6:$L$13,2,0),K546)</f>
        <v>Шахты</v>
      </c>
    </row>
    <row r="547" ht="15" customHeight="1">
      <c r="A547" s="10">
        <v>545</v>
      </c>
      <c r="B547" s="11" t="str">
        <f>RAW_Клиенты!A546</f>
        <v>C0545</v>
      </c>
      <c r="C547" s="11" t="str">
        <f>RAW_Клиенты!B546</f>
        <v xml:space="preserve">Блохина Ольга Игоревна</v>
      </c>
      <c r="D547" s="11" t="str">
        <f>RAW_Клиенты!C546</f>
        <v>18.09.1992</v>
      </c>
      <c r="E547" s="11" t="str">
        <f>RAW_Клиенты!D546</f>
        <v>8-903-789-01-23</v>
      </c>
      <c r="F547" s="11" t="str">
        <f>RAW_Клиенты!E546</f>
        <v>blohina@yandex</v>
      </c>
      <c r="G547" s="11" t="str">
        <f>RAW_Клиенты!F546</f>
        <v>Златоуст</v>
      </c>
      <c r="H547" s="11" t="str">
        <f>RAW_Клиенты!G546</f>
        <v>2037-02-10</v>
      </c>
      <c r="I547" s="12" t="str">
        <f t="shared" si="424"/>
        <v>89037890123</v>
      </c>
      <c r="J547" s="12" t="str">
        <f t="shared" si="425"/>
        <v>blohina@yandex</v>
      </c>
      <c r="K547" s="12" t="str">
        <f t="shared" si="426"/>
        <v>Златоуст</v>
      </c>
      <c r="L547" s="13" t="str">
        <f t="shared" si="427"/>
        <v>C0545</v>
      </c>
      <c r="M547" s="13" t="str">
        <f t="shared" si="428"/>
        <v xml:space="preserve">Блохина Ольга Игоревна</v>
      </c>
      <c r="N547" s="13" t="str">
        <f t="shared" si="429"/>
        <v>OK</v>
      </c>
      <c r="O547" s="19">
        <f t="shared" si="430"/>
        <v>33865</v>
      </c>
      <c r="P547" s="19">
        <f t="shared" si="431"/>
        <v>50081</v>
      </c>
      <c r="Q547" s="13">
        <f t="shared" ca="1" si="432"/>
        <v>34</v>
      </c>
      <c r="R547" s="13" t="str">
        <f t="shared" si="433"/>
        <v>OK</v>
      </c>
      <c r="S547" s="13" t="str">
        <f t="shared" si="434"/>
        <v xml:space="preserve">+7 (903) 789-01-23</v>
      </c>
      <c r="T547" s="13" t="str">
        <f t="shared" si="435"/>
        <v>blohina@yandex</v>
      </c>
      <c r="U547" s="18" t="str">
        <f t="shared" si="436"/>
        <v xml:space="preserve">Ошибка Email</v>
      </c>
      <c r="V547" s="13" t="str">
        <f>IFERROR(VLOOKUP(K547,Справочники!$K$6:$L$13,2,0),K547)</f>
        <v>Златоуст</v>
      </c>
    </row>
    <row r="548" ht="15" customHeight="1">
      <c r="A548" s="10">
        <v>546</v>
      </c>
      <c r="B548" s="11" t="str">
        <f>RAW_Клиенты!A547</f>
        <v>C0546</v>
      </c>
      <c r="C548" s="11" t="str">
        <f>RAW_Клиенты!B547</f>
        <v xml:space="preserve">Таранов Илья Александрович</v>
      </c>
      <c r="D548" s="11" t="str">
        <f>RAW_Клиенты!C547</f>
        <v>22.12.1973</v>
      </c>
      <c r="E548" s="11" t="str">
        <f>RAW_Клиенты!D547</f>
        <v xml:space="preserve">8 903 890 12 34</v>
      </c>
      <c r="F548" s="11" t="str">
        <f>RAW_Клиенты!E547</f>
        <v>taranov@gmail</v>
      </c>
      <c r="G548" s="11" t="str">
        <f>RAW_Клиенты!F547</f>
        <v>Ангарск</v>
      </c>
      <c r="H548" s="11" t="str">
        <f>RAW_Клиенты!G547</f>
        <v>10.02.2037</v>
      </c>
      <c r="I548" s="12" t="str">
        <f t="shared" ref="I548:I611" si="437">SUBSTITUTE(SUBSTITUTE(SUBSTITUTE(SUBSTITUTE(SUBSTITUTE(SUBSTITUTE(E548," ",""),"-",""),"+",""),"(",""),")",""),CHAR(160),"")</f>
        <v>89038901234</v>
      </c>
      <c r="J548" s="12" t="str">
        <f t="shared" ref="J548:J611" si="438">SUBSTITUTE(SUBSTITUTE(TRIM(F548)," ",""),CHAR(160),"")</f>
        <v>taranov@gmail</v>
      </c>
      <c r="K548" s="12" t="str">
        <f t="shared" ref="K548:K611" si="439">TRIM(SUBSTITUTE(SUBSTITUTE(TRIM(G548),"г.",""),"г ",""))</f>
        <v>Ангарск</v>
      </c>
      <c r="L548" s="13" t="str">
        <f t="shared" ref="L548:L611" si="440">B548</f>
        <v>C0546</v>
      </c>
      <c r="M548" s="13" t="str">
        <f t="shared" ref="M548:M611" si="441">PROPER(TRIM(C548))</f>
        <v xml:space="preserve">Таранов Илья Александрович</v>
      </c>
      <c r="N548" s="13" t="str">
        <f t="shared" ref="N548:N611" si="442">IF(ISNUMBER(FIND(".",C548)),"инициалы: проверить",IF(SUMPRODUCT(--ISNUMBER(FIND(MID("abcdefghijklmnopqrstuvwxyz",ROW(INDIRECT("1:26")),1),LOWER(C548))))&gt;0,"латиница: транслит","OK"))</f>
        <v>OK</v>
      </c>
      <c r="O548" s="19">
        <f t="shared" ref="O548:O611" si="443">IF(ISNUMBER(FIND("-",D548)),DATE(VALUE(LEFT(D548,4)),VALUE(MID(D548,6,2)),VALUE(MID(D548,9,2))),DATE(VALUE(MID(D548,7,4)),VALUE(MID(D548,4,2)),VALUE(LEFT(D548,2))))</f>
        <v>27020</v>
      </c>
      <c r="P548" s="19">
        <f t="shared" ref="P548:P611" si="444">IF(ISNUMBER(FIND("-",H548)),DATE(VALUE(LEFT(H548,4)),VALUE(MID(H548,6,2)),VALUE(MID(H548,9,2))),DATE(VALUE(MID(H548,7,4)),VALUE(MID(H548,4,2)),VALUE(LEFT(H548,2))))</f>
        <v>50081</v>
      </c>
      <c r="Q548" s="13">
        <f t="shared" ref="Q548:Q611" ca="1" si="445">DATEDIF(O548,TODAY(),"Y")</f>
        <v>52</v>
      </c>
      <c r="R548" s="13" t="str">
        <f t="shared" ref="R548:R611" si="446">IF(OR(Q548&lt;18,Q548&gt;120),"Ошибка даты рождения","OK")</f>
        <v>OK</v>
      </c>
      <c r="S548" s="13" t="str">
        <f t="shared" ref="S548:S611" si="447">IF(LEN(I548)&gt;=10,"+7 ("&amp;MID(I548,LEN(I548)-9,3)&amp;") "&amp;MID(I548,LEN(I548)-6,3)&amp;"-"&amp;MID(I548,LEN(I548)-3,2)&amp;"-"&amp;RIGHT(I548,2),"Ошибка телефона")</f>
        <v xml:space="preserve">+7 (903) 890-12-34</v>
      </c>
      <c r="T548" s="13" t="str">
        <f t="shared" ref="T548:T611" si="448">J548</f>
        <v>taranov@gmail</v>
      </c>
      <c r="U548" s="18" t="str">
        <f t="shared" ref="U548:U611" si="449">IF(AND(ISNUMBER(FIND("@",J548)),ISNUMBER(FIND(".",MID(J548,FIND("@",J548),100)))),"OK","Ошибка Email")</f>
        <v xml:space="preserve">Ошибка Email</v>
      </c>
      <c r="V548" s="13" t="str">
        <f>IFERROR(VLOOKUP(K548,Справочники!$K$6:$L$13,2,0),K548)</f>
        <v>Ангарск</v>
      </c>
    </row>
    <row r="549" ht="15" customHeight="1">
      <c r="A549" s="10">
        <v>547</v>
      </c>
      <c r="B549" s="11" t="str">
        <f>RAW_Клиенты!A548</f>
        <v>C0547</v>
      </c>
      <c r="C549" s="11" t="str">
        <f>RAW_Клиенты!B548</f>
        <v xml:space="preserve">Бобылева Екатерина Сергеевна</v>
      </c>
      <c r="D549" s="11" t="str">
        <f>RAW_Клиенты!C548</f>
        <v>07.07.1980</v>
      </c>
      <c r="E549" s="11" t="str">
        <f>RAW_Клиенты!D548</f>
        <v>+79038901234</v>
      </c>
      <c r="F549" s="11" t="str">
        <f>RAW_Клиенты!E548</f>
        <v>bobyleva@mail</v>
      </c>
      <c r="G549" s="11" t="str">
        <f>RAW_Клиенты!F548</f>
        <v>Озёрск</v>
      </c>
      <c r="H549" s="11" t="str">
        <f>RAW_Клиенты!G548</f>
        <v>01.03.2037</v>
      </c>
      <c r="I549" s="12" t="str">
        <f t="shared" si="437"/>
        <v>79038901234</v>
      </c>
      <c r="J549" s="12" t="str">
        <f t="shared" si="438"/>
        <v>bobyleva@mail</v>
      </c>
      <c r="K549" s="12" t="str">
        <f t="shared" si="439"/>
        <v>Озёрск</v>
      </c>
      <c r="L549" s="13" t="str">
        <f t="shared" si="440"/>
        <v>C0547</v>
      </c>
      <c r="M549" s="13" t="str">
        <f t="shared" si="441"/>
        <v xml:space="preserve">Бобылева Екатерина Сергеевна</v>
      </c>
      <c r="N549" s="13" t="str">
        <f t="shared" si="442"/>
        <v>OK</v>
      </c>
      <c r="O549" s="19">
        <f t="shared" si="443"/>
        <v>29409</v>
      </c>
      <c r="P549" s="19">
        <f t="shared" si="444"/>
        <v>50100</v>
      </c>
      <c r="Q549" s="13">
        <f t="shared" ca="1" si="445"/>
        <v>46</v>
      </c>
      <c r="R549" s="13" t="str">
        <f t="shared" si="446"/>
        <v>OK</v>
      </c>
      <c r="S549" s="13" t="str">
        <f t="shared" si="447"/>
        <v xml:space="preserve">+7 (903) 890-12-34</v>
      </c>
      <c r="T549" s="13" t="str">
        <f t="shared" si="448"/>
        <v>bobyleva@mail</v>
      </c>
      <c r="U549" s="18" t="str">
        <f t="shared" si="449"/>
        <v xml:space="preserve">Ошибка Email</v>
      </c>
      <c r="V549" s="13" t="str">
        <f>IFERROR(VLOOKUP(K549,Справочники!$K$6:$L$13,2,0),K549)</f>
        <v>Озёрск</v>
      </c>
    </row>
    <row r="550" ht="15" customHeight="1">
      <c r="A550" s="10">
        <v>548</v>
      </c>
      <c r="B550" s="11" t="str">
        <f>RAW_Клиенты!A549</f>
        <v>C0548</v>
      </c>
      <c r="C550" s="11" t="str">
        <f>RAW_Клиенты!B549</f>
        <v xml:space="preserve">Мочалов Андрей Павлович</v>
      </c>
      <c r="D550" s="11" t="str">
        <f>RAW_Клиенты!C549</f>
        <v>27.05.1988</v>
      </c>
      <c r="E550" s="11" t="str">
        <f>RAW_Клиенты!D549</f>
        <v>8-903-890-12-34</v>
      </c>
      <c r="F550" s="11" t="str">
        <f>RAW_Клиенты!E549</f>
        <v>mochalov@yandex</v>
      </c>
      <c r="G550" s="11" t="str">
        <f>RAW_Клиенты!F549</f>
        <v>Орел</v>
      </c>
      <c r="H550" s="11" t="str">
        <f>RAW_Клиенты!G549</f>
        <v>2037-03-15</v>
      </c>
      <c r="I550" s="12" t="str">
        <f t="shared" si="437"/>
        <v>89038901234</v>
      </c>
      <c r="J550" s="12" t="str">
        <f t="shared" si="438"/>
        <v>mochalov@yandex</v>
      </c>
      <c r="K550" s="12" t="str">
        <f t="shared" si="439"/>
        <v>Орел</v>
      </c>
      <c r="L550" s="13" t="str">
        <f t="shared" si="440"/>
        <v>C0548</v>
      </c>
      <c r="M550" s="13" t="str">
        <f t="shared" si="441"/>
        <v xml:space="preserve">Мочалов Андрей Павлович</v>
      </c>
      <c r="N550" s="13" t="str">
        <f t="shared" si="442"/>
        <v>OK</v>
      </c>
      <c r="O550" s="19">
        <f t="shared" si="443"/>
        <v>32290</v>
      </c>
      <c r="P550" s="19">
        <f t="shared" si="444"/>
        <v>50114</v>
      </c>
      <c r="Q550" s="13">
        <f t="shared" ca="1" si="445"/>
        <v>38</v>
      </c>
      <c r="R550" s="13" t="str">
        <f t="shared" si="446"/>
        <v>OK</v>
      </c>
      <c r="S550" s="13" t="str">
        <f t="shared" si="447"/>
        <v xml:space="preserve">+7 (903) 890-12-34</v>
      </c>
      <c r="T550" s="13" t="str">
        <f t="shared" si="448"/>
        <v>mochalov@yandex</v>
      </c>
      <c r="U550" s="18" t="str">
        <f t="shared" si="449"/>
        <v xml:space="preserve">Ошибка Email</v>
      </c>
      <c r="V550" s="13" t="str">
        <f>IFERROR(VLOOKUP(K550,Справочники!$K$6:$L$13,2,0),K550)</f>
        <v>Орел</v>
      </c>
    </row>
    <row r="551" ht="15" customHeight="1">
      <c r="A551" s="10">
        <v>549</v>
      </c>
      <c r="B551" s="11" t="str">
        <f>RAW_Клиенты!A550</f>
        <v>C0549</v>
      </c>
      <c r="C551" s="11" t="str">
        <f>RAW_Клиенты!B550</f>
        <v xml:space="preserve">Курина Мария Владимировна</v>
      </c>
      <c r="D551" s="11" t="str">
        <f>RAW_Клиенты!C550</f>
        <v>13.10.1974</v>
      </c>
      <c r="E551" s="11" t="str">
        <f>RAW_Клиенты!D550</f>
        <v xml:space="preserve">8 903 901 23 45</v>
      </c>
      <c r="F551" s="11" t="str">
        <f>RAW_Клиенты!E550</f>
        <v>kurina@gmail</v>
      </c>
      <c r="G551" s="11" t="str">
        <f>RAW_Клиенты!F550</f>
        <v>Магнитогорск</v>
      </c>
      <c r="H551" s="11" t="str">
        <f>RAW_Клиенты!G550</f>
        <v>15.03.2037</v>
      </c>
      <c r="I551" s="12" t="str">
        <f t="shared" si="437"/>
        <v>89039012345</v>
      </c>
      <c r="J551" s="12" t="str">
        <f t="shared" si="438"/>
        <v>kurina@gmail</v>
      </c>
      <c r="K551" s="12" t="str">
        <f t="shared" si="439"/>
        <v>Магнитогорск</v>
      </c>
      <c r="L551" s="13" t="str">
        <f t="shared" si="440"/>
        <v>C0549</v>
      </c>
      <c r="M551" s="13" t="str">
        <f t="shared" si="441"/>
        <v xml:space="preserve">Курина Мария Владимировна</v>
      </c>
      <c r="N551" s="13" t="str">
        <f t="shared" si="442"/>
        <v>OK</v>
      </c>
      <c r="O551" s="19">
        <f t="shared" si="443"/>
        <v>27315</v>
      </c>
      <c r="P551" s="19">
        <f t="shared" si="444"/>
        <v>50114</v>
      </c>
      <c r="Q551" s="13">
        <f t="shared" ca="1" si="445"/>
        <v>51</v>
      </c>
      <c r="R551" s="13" t="str">
        <f t="shared" si="446"/>
        <v>OK</v>
      </c>
      <c r="S551" s="13" t="str">
        <f t="shared" si="447"/>
        <v xml:space="preserve">+7 (903) 901-23-45</v>
      </c>
      <c r="T551" s="13" t="str">
        <f t="shared" si="448"/>
        <v>kurina@gmail</v>
      </c>
      <c r="U551" s="18" t="str">
        <f t="shared" si="449"/>
        <v xml:space="preserve">Ошибка Email</v>
      </c>
      <c r="V551" s="13" t="str">
        <f>IFERROR(VLOOKUP(K551,Справочники!$K$6:$L$13,2,0),K551)</f>
        <v>Магнитогорск</v>
      </c>
    </row>
    <row r="552" ht="15" customHeight="1">
      <c r="A552" s="10">
        <v>550</v>
      </c>
      <c r="B552" s="11" t="str">
        <f>RAW_Клиенты!A551</f>
        <v>C0550</v>
      </c>
      <c r="C552" s="11" t="str">
        <f>RAW_Клиенты!B551</f>
        <v xml:space="preserve">Клементьев Денис Олегович</v>
      </c>
      <c r="D552" s="11" t="str">
        <f>RAW_Клиенты!C551</f>
        <v>24.02.1983</v>
      </c>
      <c r="E552" s="11" t="str">
        <f>RAW_Клиенты!D551</f>
        <v>+79039012345</v>
      </c>
      <c r="F552" s="11" t="str">
        <f>RAW_Клиенты!E551</f>
        <v>klementev@mail</v>
      </c>
      <c r="G552" s="11" t="str">
        <f>RAW_Клиенты!F551</f>
        <v>Якутск</v>
      </c>
      <c r="H552" s="11" t="str">
        <f>RAW_Клиенты!G551</f>
        <v>01.04.2037</v>
      </c>
      <c r="I552" s="12" t="str">
        <f t="shared" si="437"/>
        <v>79039012345</v>
      </c>
      <c r="J552" s="12" t="str">
        <f t="shared" si="438"/>
        <v>klementev@mail</v>
      </c>
      <c r="K552" s="12" t="str">
        <f t="shared" si="439"/>
        <v>Якутск</v>
      </c>
      <c r="L552" s="13" t="str">
        <f t="shared" si="440"/>
        <v>C0550</v>
      </c>
      <c r="M552" s="13" t="str">
        <f t="shared" si="441"/>
        <v xml:space="preserve">Клементьев Денис Олегович</v>
      </c>
      <c r="N552" s="13" t="str">
        <f t="shared" si="442"/>
        <v>OK</v>
      </c>
      <c r="O552" s="19">
        <f t="shared" si="443"/>
        <v>30371</v>
      </c>
      <c r="P552" s="19">
        <f t="shared" si="444"/>
        <v>50131</v>
      </c>
      <c r="Q552" s="13">
        <f t="shared" ca="1" si="445"/>
        <v>43</v>
      </c>
      <c r="R552" s="13" t="str">
        <f t="shared" si="446"/>
        <v>OK</v>
      </c>
      <c r="S552" s="13" t="str">
        <f t="shared" si="447"/>
        <v xml:space="preserve">+7 (903) 901-23-45</v>
      </c>
      <c r="T552" s="13" t="str">
        <f t="shared" si="448"/>
        <v>klementev@mail</v>
      </c>
      <c r="U552" s="18" t="str">
        <f t="shared" si="449"/>
        <v xml:space="preserve">Ошибка Email</v>
      </c>
      <c r="V552" s="13" t="str">
        <f>IFERROR(VLOOKUP(K552,Справочники!$K$6:$L$13,2,0),K552)</f>
        <v>Якутск</v>
      </c>
    </row>
    <row r="553" ht="15" customHeight="1">
      <c r="A553" s="10">
        <v>551</v>
      </c>
      <c r="B553" s="11" t="str">
        <f>RAW_Клиенты!A552</f>
        <v>C0551</v>
      </c>
      <c r="C553" s="11" t="str">
        <f>RAW_Клиенты!B552</f>
        <v xml:space="preserve">Носова Ольга Павловна</v>
      </c>
      <c r="D553" s="11" t="str">
        <f>RAW_Клиенты!C552</f>
        <v>06.09.1989</v>
      </c>
      <c r="E553" s="11" t="str">
        <f>RAW_Клиенты!D552</f>
        <v>8-903-901-23-45</v>
      </c>
      <c r="F553" s="11" t="str">
        <f>RAW_Клиенты!E552</f>
        <v>nosova@yandex</v>
      </c>
      <c r="G553" s="11" t="str">
        <f>RAW_Клиенты!F552</f>
        <v>Чебоксары</v>
      </c>
      <c r="H553" s="11" t="str">
        <f>RAW_Клиенты!G552</f>
        <v>2037-04-10</v>
      </c>
      <c r="I553" s="12" t="str">
        <f t="shared" si="437"/>
        <v>89039012345</v>
      </c>
      <c r="J553" s="12" t="str">
        <f t="shared" si="438"/>
        <v>nosova@yandex</v>
      </c>
      <c r="K553" s="12" t="str">
        <f t="shared" si="439"/>
        <v>Чебоксары</v>
      </c>
      <c r="L553" s="13" t="str">
        <f t="shared" si="440"/>
        <v>C0551</v>
      </c>
      <c r="M553" s="13" t="str">
        <f t="shared" si="441"/>
        <v xml:space="preserve">Носова Ольга Павловна</v>
      </c>
      <c r="N553" s="13" t="str">
        <f t="shared" si="442"/>
        <v>OK</v>
      </c>
      <c r="O553" s="19">
        <f t="shared" si="443"/>
        <v>32757</v>
      </c>
      <c r="P553" s="19">
        <f t="shared" si="444"/>
        <v>50140</v>
      </c>
      <c r="Q553" s="13">
        <f t="shared" ca="1" si="445"/>
        <v>37</v>
      </c>
      <c r="R553" s="13" t="str">
        <f t="shared" si="446"/>
        <v>OK</v>
      </c>
      <c r="S553" s="13" t="str">
        <f t="shared" si="447"/>
        <v xml:space="preserve">+7 (903) 901-23-45</v>
      </c>
      <c r="T553" s="13" t="str">
        <f t="shared" si="448"/>
        <v>nosova@yandex</v>
      </c>
      <c r="U553" s="18" t="str">
        <f t="shared" si="449"/>
        <v xml:space="preserve">Ошибка Email</v>
      </c>
      <c r="V553" s="13" t="str">
        <f>IFERROR(VLOOKUP(K553,Справочники!$K$6:$L$13,2,0),K553)</f>
        <v>Чебоксары</v>
      </c>
    </row>
    <row r="554" ht="15" customHeight="1">
      <c r="A554" s="10">
        <v>552</v>
      </c>
      <c r="B554" s="11" t="str">
        <f>RAW_Клиенты!A553</f>
        <v>C0552</v>
      </c>
      <c r="C554" s="11" t="str">
        <f>RAW_Клиенты!B553</f>
        <v xml:space="preserve">Ромашин Илья Викторович</v>
      </c>
      <c r="D554" s="11" t="str">
        <f>RAW_Клиенты!C553</f>
        <v>19.11.1976</v>
      </c>
      <c r="E554" s="11" t="str">
        <f>RAW_Клиенты!D553</f>
        <v xml:space="preserve">8 903 012 34 56</v>
      </c>
      <c r="F554" s="11" t="str">
        <f>RAW_Клиенты!E553</f>
        <v>romashin@gmail</v>
      </c>
      <c r="G554" s="11" t="str">
        <f>RAW_Клиенты!F553</f>
        <v>Мурманск</v>
      </c>
      <c r="H554" s="11" t="str">
        <f>RAW_Клиенты!G553</f>
        <v>10.04.2037</v>
      </c>
      <c r="I554" s="12" t="str">
        <f t="shared" si="437"/>
        <v>89030123456</v>
      </c>
      <c r="J554" s="12" t="str">
        <f t="shared" si="438"/>
        <v>romashin@gmail</v>
      </c>
      <c r="K554" s="12" t="str">
        <f t="shared" si="439"/>
        <v>Мурманск</v>
      </c>
      <c r="L554" s="13" t="str">
        <f t="shared" si="440"/>
        <v>C0552</v>
      </c>
      <c r="M554" s="13" t="str">
        <f t="shared" si="441"/>
        <v xml:space="preserve">Ромашин Илья Викторович</v>
      </c>
      <c r="N554" s="13" t="str">
        <f t="shared" si="442"/>
        <v>OK</v>
      </c>
      <c r="O554" s="19">
        <f t="shared" si="443"/>
        <v>28083</v>
      </c>
      <c r="P554" s="19">
        <f t="shared" si="444"/>
        <v>50140</v>
      </c>
      <c r="Q554" s="13">
        <f t="shared" ca="1" si="445"/>
        <v>49</v>
      </c>
      <c r="R554" s="13" t="str">
        <f t="shared" si="446"/>
        <v>OK</v>
      </c>
      <c r="S554" s="13" t="str">
        <f t="shared" si="447"/>
        <v xml:space="preserve">+7 (903) 012-34-56</v>
      </c>
      <c r="T554" s="13" t="str">
        <f t="shared" si="448"/>
        <v>romashin@gmail</v>
      </c>
      <c r="U554" s="18" t="str">
        <f t="shared" si="449"/>
        <v xml:space="preserve">Ошибка Email</v>
      </c>
      <c r="V554" s="13" t="str">
        <f>IFERROR(VLOOKUP(K554,Справочники!$K$6:$L$13,2,0),K554)</f>
        <v>Мурманск</v>
      </c>
    </row>
    <row r="555" ht="15" customHeight="1">
      <c r="A555" s="10">
        <v>553</v>
      </c>
      <c r="B555" s="11" t="str">
        <f>RAW_Клиенты!A554</f>
        <v>C0553</v>
      </c>
      <c r="C555" s="11" t="str">
        <f>RAW_Клиенты!B554</f>
        <v xml:space="preserve">Авдеева Екатерина Сергеевна</v>
      </c>
      <c r="D555" s="11" t="str">
        <f>RAW_Клиенты!C554</f>
        <v>12.04.1981</v>
      </c>
      <c r="E555" s="11" t="str">
        <f>RAW_Клиенты!D554</f>
        <v>+79030123456</v>
      </c>
      <c r="F555" s="11" t="str">
        <f>RAW_Клиенты!E554</f>
        <v>avdeeva@mail</v>
      </c>
      <c r="G555" s="11" t="str">
        <f>RAW_Клиенты!F554</f>
        <v>Смоленск</v>
      </c>
      <c r="H555" s="11" t="str">
        <f>RAW_Клиенты!G554</f>
        <v>01.05.2037</v>
      </c>
      <c r="I555" s="12" t="str">
        <f t="shared" si="437"/>
        <v>79030123456</v>
      </c>
      <c r="J555" s="12" t="str">
        <f t="shared" si="438"/>
        <v>avdeeva@mail</v>
      </c>
      <c r="K555" s="12" t="str">
        <f t="shared" si="439"/>
        <v>Смоленск</v>
      </c>
      <c r="L555" s="13" t="str">
        <f t="shared" si="440"/>
        <v>C0553</v>
      </c>
      <c r="M555" s="13" t="str">
        <f t="shared" si="441"/>
        <v xml:space="preserve">Авдеева Екатерина Сергеевна</v>
      </c>
      <c r="N555" s="13" t="str">
        <f t="shared" si="442"/>
        <v>OK</v>
      </c>
      <c r="O555" s="19">
        <f t="shared" si="443"/>
        <v>29688</v>
      </c>
      <c r="P555" s="19">
        <f t="shared" si="444"/>
        <v>50161</v>
      </c>
      <c r="Q555" s="13">
        <f t="shared" ca="1" si="445"/>
        <v>45</v>
      </c>
      <c r="R555" s="13" t="str">
        <f t="shared" si="446"/>
        <v>OK</v>
      </c>
      <c r="S555" s="13" t="str">
        <f t="shared" si="447"/>
        <v xml:space="preserve">+7 (903) 012-34-56</v>
      </c>
      <c r="T555" s="13" t="str">
        <f t="shared" si="448"/>
        <v>avdeeva@mail</v>
      </c>
      <c r="U555" s="18" t="str">
        <f t="shared" si="449"/>
        <v xml:space="preserve">Ошибка Email</v>
      </c>
      <c r="V555" s="13" t="str">
        <f>IFERROR(VLOOKUP(K555,Справочники!$K$6:$L$13,2,0),K555)</f>
        <v>Смоленск</v>
      </c>
    </row>
    <row r="556" ht="15" customHeight="1">
      <c r="A556" s="10">
        <v>554</v>
      </c>
      <c r="B556" s="11" t="str">
        <f>RAW_Клиенты!A555</f>
        <v>C0554</v>
      </c>
      <c r="C556" s="11" t="str">
        <f>RAW_Клиенты!B555</f>
        <v xml:space="preserve">Ларин Андрей Олегович</v>
      </c>
      <c r="D556" s="11" t="str">
        <f>RAW_Клиенты!C555</f>
        <v>28.07.1990</v>
      </c>
      <c r="E556" s="11" t="str">
        <f>RAW_Клиенты!D555</f>
        <v>8-903-012-34-56</v>
      </c>
      <c r="F556" s="11" t="str">
        <f>RAW_Клиенты!E555</f>
        <v>larin@yandex</v>
      </c>
      <c r="G556" s="11" t="str">
        <f>RAW_Клиенты!F555</f>
        <v>Тула</v>
      </c>
      <c r="H556" s="11" t="str">
        <f>RAW_Клиенты!G555</f>
        <v>2037-05-15</v>
      </c>
      <c r="I556" s="12" t="str">
        <f t="shared" si="437"/>
        <v>89030123456</v>
      </c>
      <c r="J556" s="12" t="str">
        <f t="shared" si="438"/>
        <v>larin@yandex</v>
      </c>
      <c r="K556" s="12" t="str">
        <f t="shared" si="439"/>
        <v>Тула</v>
      </c>
      <c r="L556" s="13" t="str">
        <f t="shared" si="440"/>
        <v>C0554</v>
      </c>
      <c r="M556" s="13" t="str">
        <f t="shared" si="441"/>
        <v xml:space="preserve">Ларин Андрей Олегович</v>
      </c>
      <c r="N556" s="13" t="str">
        <f t="shared" si="442"/>
        <v>OK</v>
      </c>
      <c r="O556" s="19">
        <f t="shared" si="443"/>
        <v>33082</v>
      </c>
      <c r="P556" s="19">
        <f t="shared" si="444"/>
        <v>50175</v>
      </c>
      <c r="Q556" s="13">
        <f t="shared" ca="1" si="445"/>
        <v>36</v>
      </c>
      <c r="R556" s="13" t="str">
        <f t="shared" si="446"/>
        <v>OK</v>
      </c>
      <c r="S556" s="13" t="str">
        <f t="shared" si="447"/>
        <v xml:space="preserve">+7 (903) 012-34-56</v>
      </c>
      <c r="T556" s="13" t="str">
        <f t="shared" si="448"/>
        <v>larin@yandex</v>
      </c>
      <c r="U556" s="18" t="str">
        <f t="shared" si="449"/>
        <v xml:space="preserve">Ошибка Email</v>
      </c>
      <c r="V556" s="13" t="str">
        <f>IFERROR(VLOOKUP(K556,Справочники!$K$6:$L$13,2,0),K556)</f>
        <v>Тула</v>
      </c>
    </row>
    <row r="557" ht="15" customHeight="1">
      <c r="A557" s="10">
        <v>555</v>
      </c>
      <c r="B557" s="11" t="str">
        <f>RAW_Клиенты!A556</f>
        <v>C0555</v>
      </c>
      <c r="C557" s="11" t="str">
        <f>RAW_Клиенты!B556</f>
        <v xml:space="preserve">Журавлева Мария Павловна</v>
      </c>
      <c r="D557" s="11" t="str">
        <f>RAW_Клиенты!C556</f>
        <v>16.12.1978</v>
      </c>
      <c r="E557" s="11" t="str">
        <f>RAW_Клиенты!D556</f>
        <v xml:space="preserve">8 903 123 45 67</v>
      </c>
      <c r="F557" s="11" t="str">
        <f>RAW_Клиенты!E556</f>
        <v>zhuravleva@gmail</v>
      </c>
      <c r="G557" s="11" t="str">
        <f>RAW_Клиенты!F556</f>
        <v>Калуга</v>
      </c>
      <c r="H557" s="11" t="str">
        <f>RAW_Клиенты!G556</f>
        <v>15.05.2037</v>
      </c>
      <c r="I557" s="12" t="str">
        <f t="shared" si="437"/>
        <v>89031234567</v>
      </c>
      <c r="J557" s="12" t="str">
        <f t="shared" si="438"/>
        <v>zhuravleva@gmail</v>
      </c>
      <c r="K557" s="12" t="str">
        <f t="shared" si="439"/>
        <v>Калуга</v>
      </c>
      <c r="L557" s="13" t="str">
        <f t="shared" si="440"/>
        <v>C0555</v>
      </c>
      <c r="M557" s="13" t="str">
        <f t="shared" si="441"/>
        <v xml:space="preserve">Журавлева Мария Павловна</v>
      </c>
      <c r="N557" s="13" t="str">
        <f t="shared" si="442"/>
        <v>OK</v>
      </c>
      <c r="O557" s="19">
        <f t="shared" si="443"/>
        <v>28840</v>
      </c>
      <c r="P557" s="19">
        <f t="shared" si="444"/>
        <v>50175</v>
      </c>
      <c r="Q557" s="13">
        <f t="shared" ca="1" si="445"/>
        <v>47</v>
      </c>
      <c r="R557" s="13" t="str">
        <f t="shared" si="446"/>
        <v>OK</v>
      </c>
      <c r="S557" s="13" t="str">
        <f t="shared" si="447"/>
        <v xml:space="preserve">+7 (903) 123-45-67</v>
      </c>
      <c r="T557" s="13" t="str">
        <f t="shared" si="448"/>
        <v>zhuravleva@gmail</v>
      </c>
      <c r="U557" s="18" t="str">
        <f t="shared" si="449"/>
        <v xml:space="preserve">Ошибка Email</v>
      </c>
      <c r="V557" s="13" t="str">
        <f>IFERROR(VLOOKUP(K557,Справочники!$K$6:$L$13,2,0),K557)</f>
        <v>Калуга</v>
      </c>
    </row>
    <row r="558" ht="15" customHeight="1">
      <c r="A558" s="10">
        <v>556</v>
      </c>
      <c r="B558" s="11" t="str">
        <f>RAW_Клиенты!A557</f>
        <v>C0556</v>
      </c>
      <c r="C558" s="11" t="str">
        <f>RAW_Клиенты!B557</f>
        <v xml:space="preserve">Волков Денис Александрович</v>
      </c>
      <c r="D558" s="11" t="str">
        <f>RAW_Клиенты!C557</f>
        <v>09.03.1985</v>
      </c>
      <c r="E558" s="11" t="str">
        <f>RAW_Клиенты!D557</f>
        <v>+79031234567</v>
      </c>
      <c r="F558" s="11" t="str">
        <f>RAW_Клиенты!E557</f>
        <v>volkov@mail</v>
      </c>
      <c r="G558" s="11" t="str">
        <f>RAW_Клиенты!F557</f>
        <v>Владикавказ</v>
      </c>
      <c r="H558" s="11" t="str">
        <f>RAW_Клиенты!G557</f>
        <v>01.06.2037</v>
      </c>
      <c r="I558" s="12" t="str">
        <f t="shared" si="437"/>
        <v>79031234567</v>
      </c>
      <c r="J558" s="12" t="str">
        <f t="shared" si="438"/>
        <v>volkov@mail</v>
      </c>
      <c r="K558" s="12" t="str">
        <f t="shared" si="439"/>
        <v>Владикавказ</v>
      </c>
      <c r="L558" s="13" t="str">
        <f t="shared" si="440"/>
        <v>C0556</v>
      </c>
      <c r="M558" s="13" t="str">
        <f t="shared" si="441"/>
        <v xml:space="preserve">Волков Денис Александрович</v>
      </c>
      <c r="N558" s="13" t="str">
        <f t="shared" si="442"/>
        <v>OK</v>
      </c>
      <c r="O558" s="19">
        <f t="shared" si="443"/>
        <v>31115</v>
      </c>
      <c r="P558" s="19">
        <f t="shared" si="444"/>
        <v>50192</v>
      </c>
      <c r="Q558" s="13">
        <f t="shared" ca="1" si="445"/>
        <v>41</v>
      </c>
      <c r="R558" s="13" t="str">
        <f t="shared" si="446"/>
        <v>OK</v>
      </c>
      <c r="S558" s="13" t="str">
        <f t="shared" si="447"/>
        <v xml:space="preserve">+7 (903) 123-45-67</v>
      </c>
      <c r="T558" s="13" t="str">
        <f t="shared" si="448"/>
        <v>volkov@mail</v>
      </c>
      <c r="U558" s="18" t="str">
        <f t="shared" si="449"/>
        <v xml:space="preserve">Ошибка Email</v>
      </c>
      <c r="V558" s="13" t="str">
        <f>IFERROR(VLOOKUP(K558,Справочники!$K$6:$L$13,2,0),K558)</f>
        <v>Владикавказ</v>
      </c>
    </row>
    <row r="559" ht="15" customHeight="1">
      <c r="A559" s="10">
        <v>557</v>
      </c>
      <c r="B559" s="11" t="str">
        <f>RAW_Клиенты!A558</f>
        <v>C0557</v>
      </c>
      <c r="C559" s="11" t="str">
        <f>RAW_Клиенты!B558</f>
        <v xml:space="preserve">Плотникова Ольга Владимировна</v>
      </c>
      <c r="D559" s="11" t="str">
        <f>RAW_Клиенты!C558</f>
        <v>25.06.1993</v>
      </c>
      <c r="E559" s="11" t="str">
        <f>RAW_Клиенты!D558</f>
        <v>8-903-123-45-67</v>
      </c>
      <c r="F559" s="11" t="str">
        <f>RAW_Клиенты!E558</f>
        <v>plotnikova@yandex</v>
      </c>
      <c r="G559" s="11" t="str">
        <f>RAW_Клиенты!F558</f>
        <v>Смоленск</v>
      </c>
      <c r="H559" s="11" t="str">
        <f>RAW_Клиенты!G558</f>
        <v>2037-06-10</v>
      </c>
      <c r="I559" s="12" t="str">
        <f t="shared" si="437"/>
        <v>89031234567</v>
      </c>
      <c r="J559" s="12" t="str">
        <f t="shared" si="438"/>
        <v>plotnikova@yandex</v>
      </c>
      <c r="K559" s="12" t="str">
        <f t="shared" si="439"/>
        <v>Смоленск</v>
      </c>
      <c r="L559" s="13" t="str">
        <f t="shared" si="440"/>
        <v>C0557</v>
      </c>
      <c r="M559" s="13" t="str">
        <f t="shared" si="441"/>
        <v xml:space="preserve">Плотникова Ольга Владимировна</v>
      </c>
      <c r="N559" s="13" t="str">
        <f t="shared" si="442"/>
        <v>OK</v>
      </c>
      <c r="O559" s="19">
        <f t="shared" si="443"/>
        <v>34145</v>
      </c>
      <c r="P559" s="19">
        <f t="shared" si="444"/>
        <v>50201</v>
      </c>
      <c r="Q559" s="13">
        <f t="shared" ca="1" si="445"/>
        <v>33</v>
      </c>
      <c r="R559" s="13" t="str">
        <f t="shared" si="446"/>
        <v>OK</v>
      </c>
      <c r="S559" s="13" t="str">
        <f t="shared" si="447"/>
        <v xml:space="preserve">+7 (903) 123-45-67</v>
      </c>
      <c r="T559" s="13" t="str">
        <f t="shared" si="448"/>
        <v>plotnikova@yandex</v>
      </c>
      <c r="U559" s="18" t="str">
        <f t="shared" si="449"/>
        <v xml:space="preserve">Ошибка Email</v>
      </c>
      <c r="V559" s="13" t="str">
        <f>IFERROR(VLOOKUP(K559,Справочники!$K$6:$L$13,2,0),K559)</f>
        <v>Смоленск</v>
      </c>
    </row>
    <row r="560" ht="15" customHeight="1">
      <c r="A560" s="10">
        <v>558</v>
      </c>
      <c r="B560" s="11" t="str">
        <f>RAW_Клиенты!A559</f>
        <v>C0558</v>
      </c>
      <c r="C560" s="11" t="str">
        <f>RAW_Клиенты!B559</f>
        <v xml:space="preserve">Кораблёв Илья Павлович</v>
      </c>
      <c r="D560" s="11" t="str">
        <f>RAW_Клиенты!C559</f>
        <v>01.10.1972</v>
      </c>
      <c r="E560" s="11" t="str">
        <f>RAW_Клиенты!D559</f>
        <v xml:space="preserve">8 903 234 56 78</v>
      </c>
      <c r="F560" s="11" t="str">
        <f>RAW_Клиенты!E559</f>
        <v>korablyov@gmail</v>
      </c>
      <c r="G560" s="11" t="str">
        <f>RAW_Клиенты!F559</f>
        <v>Белгород</v>
      </c>
      <c r="H560" s="11" t="str">
        <f>RAW_Клиенты!G559</f>
        <v>10.06.2037</v>
      </c>
      <c r="I560" s="12" t="str">
        <f t="shared" si="437"/>
        <v>89032345678</v>
      </c>
      <c r="J560" s="12" t="str">
        <f t="shared" si="438"/>
        <v>korablyov@gmail</v>
      </c>
      <c r="K560" s="12" t="str">
        <f t="shared" si="439"/>
        <v>Белгород</v>
      </c>
      <c r="L560" s="13" t="str">
        <f t="shared" si="440"/>
        <v>C0558</v>
      </c>
      <c r="M560" s="13" t="str">
        <f t="shared" si="441"/>
        <v xml:space="preserve">Кораблёв Илья Павлович</v>
      </c>
      <c r="N560" s="13" t="str">
        <f t="shared" si="442"/>
        <v>OK</v>
      </c>
      <c r="O560" s="19">
        <f t="shared" si="443"/>
        <v>26573</v>
      </c>
      <c r="P560" s="19">
        <f t="shared" si="444"/>
        <v>50201</v>
      </c>
      <c r="Q560" s="13">
        <f t="shared" ca="1" si="445"/>
        <v>53</v>
      </c>
      <c r="R560" s="13" t="str">
        <f t="shared" si="446"/>
        <v>OK</v>
      </c>
      <c r="S560" s="13" t="str">
        <f t="shared" si="447"/>
        <v xml:space="preserve">+7 (903) 234-56-78</v>
      </c>
      <c r="T560" s="13" t="str">
        <f t="shared" si="448"/>
        <v>korablyov@gmail</v>
      </c>
      <c r="U560" s="18" t="str">
        <f t="shared" si="449"/>
        <v xml:space="preserve">Ошибка Email</v>
      </c>
      <c r="V560" s="13" t="str">
        <f>IFERROR(VLOOKUP(K560,Справочники!$K$6:$L$13,2,0),K560)</f>
        <v>Белгород</v>
      </c>
    </row>
    <row r="561" ht="15" customHeight="1">
      <c r="A561" s="10">
        <v>559</v>
      </c>
      <c r="B561" s="11" t="str">
        <f>RAW_Клиенты!A560</f>
        <v>C0559</v>
      </c>
      <c r="C561" s="11" t="str">
        <f>RAW_Клиенты!B560</f>
        <v xml:space="preserve">Голубкова Екатерина Сергеевна</v>
      </c>
      <c r="D561" s="11" t="str">
        <f>RAW_Клиенты!C560</f>
        <v>14.08.1986</v>
      </c>
      <c r="E561" s="11" t="str">
        <f>RAW_Клиенты!D560</f>
        <v>+79032345678</v>
      </c>
      <c r="F561" s="11" t="str">
        <f>RAW_Клиенты!E560</f>
        <v>golubkova@mail</v>
      </c>
      <c r="G561" s="11" t="str">
        <f>RAW_Клиенты!F560</f>
        <v>Мурманск</v>
      </c>
      <c r="H561" s="11" t="str">
        <f>RAW_Клиенты!G560</f>
        <v>01.07.2037</v>
      </c>
      <c r="I561" s="12" t="str">
        <f t="shared" si="437"/>
        <v>79032345678</v>
      </c>
      <c r="J561" s="12" t="str">
        <f t="shared" si="438"/>
        <v>golubkova@mail</v>
      </c>
      <c r="K561" s="12" t="str">
        <f t="shared" si="439"/>
        <v>Мурманск</v>
      </c>
      <c r="L561" s="13" t="str">
        <f t="shared" si="440"/>
        <v>C0559</v>
      </c>
      <c r="M561" s="13" t="str">
        <f t="shared" si="441"/>
        <v xml:space="preserve">Голубкова Екатерина Сергеевна</v>
      </c>
      <c r="N561" s="13" t="str">
        <f t="shared" si="442"/>
        <v>OK</v>
      </c>
      <c r="O561" s="19">
        <f t="shared" si="443"/>
        <v>31638</v>
      </c>
      <c r="P561" s="19">
        <f t="shared" si="444"/>
        <v>50222</v>
      </c>
      <c r="Q561" s="13">
        <f t="shared" ca="1" si="445"/>
        <v>40</v>
      </c>
      <c r="R561" s="13" t="str">
        <f t="shared" si="446"/>
        <v>OK</v>
      </c>
      <c r="S561" s="13" t="str">
        <f t="shared" si="447"/>
        <v xml:space="preserve">+7 (903) 234-56-78</v>
      </c>
      <c r="T561" s="13" t="str">
        <f t="shared" si="448"/>
        <v>golubkova@mail</v>
      </c>
      <c r="U561" s="18" t="str">
        <f t="shared" si="449"/>
        <v xml:space="preserve">Ошибка Email</v>
      </c>
      <c r="V561" s="13" t="str">
        <f>IFERROR(VLOOKUP(K561,Справочники!$K$6:$L$13,2,0),K561)</f>
        <v>Мурманск</v>
      </c>
    </row>
    <row r="562" ht="15" customHeight="1">
      <c r="A562" s="10">
        <v>560</v>
      </c>
      <c r="B562" s="11" t="str">
        <f>RAW_Клиенты!A561</f>
        <v>C0560</v>
      </c>
      <c r="C562" s="11" t="str">
        <f>RAW_Клиенты!B561</f>
        <v xml:space="preserve">Уваров Андрей Викторович</v>
      </c>
      <c r="D562" s="11" t="str">
        <f>RAW_Клиенты!C561</f>
        <v>22.11.1981</v>
      </c>
      <c r="E562" s="11" t="str">
        <f>RAW_Клиенты!D561</f>
        <v>8-903-234-56-78</v>
      </c>
      <c r="F562" s="11" t="str">
        <f>RAW_Клиенты!E561</f>
        <v>uvarov@yandex</v>
      </c>
      <c r="G562" s="11" t="str">
        <f>RAW_Клиенты!F561</f>
        <v>Ставрополь</v>
      </c>
      <c r="H562" s="11" t="str">
        <f>RAW_Клиенты!G561</f>
        <v>2037-07-15</v>
      </c>
      <c r="I562" s="12" t="str">
        <f t="shared" si="437"/>
        <v>89032345678</v>
      </c>
      <c r="J562" s="12" t="str">
        <f t="shared" si="438"/>
        <v>uvarov@yandex</v>
      </c>
      <c r="K562" s="12" t="str">
        <f t="shared" si="439"/>
        <v>Ставрополь</v>
      </c>
      <c r="L562" s="13" t="str">
        <f t="shared" si="440"/>
        <v>C0560</v>
      </c>
      <c r="M562" s="13" t="str">
        <f t="shared" si="441"/>
        <v xml:space="preserve">Уваров Андрей Викторович</v>
      </c>
      <c r="N562" s="13" t="str">
        <f t="shared" si="442"/>
        <v>OK</v>
      </c>
      <c r="O562" s="19">
        <f t="shared" si="443"/>
        <v>29912</v>
      </c>
      <c r="P562" s="19">
        <f t="shared" si="444"/>
        <v>50236</v>
      </c>
      <c r="Q562" s="13">
        <f t="shared" ca="1" si="445"/>
        <v>44</v>
      </c>
      <c r="R562" s="13" t="str">
        <f t="shared" si="446"/>
        <v>OK</v>
      </c>
      <c r="S562" s="13" t="str">
        <f t="shared" si="447"/>
        <v xml:space="preserve">+7 (903) 234-56-78</v>
      </c>
      <c r="T562" s="13" t="str">
        <f t="shared" si="448"/>
        <v>uvarov@yandex</v>
      </c>
      <c r="U562" s="18" t="str">
        <f t="shared" si="449"/>
        <v xml:space="preserve">Ошибка Email</v>
      </c>
      <c r="V562" s="13" t="str">
        <f>IFERROR(VLOOKUP(K562,Справочники!$K$6:$L$13,2,0),K562)</f>
        <v>Ставрополь</v>
      </c>
    </row>
    <row r="563" ht="15" customHeight="1">
      <c r="A563" s="10">
        <v>561</v>
      </c>
      <c r="B563" s="11" t="str">
        <f>RAW_Клиенты!A562</f>
        <v>C0561</v>
      </c>
      <c r="C563" s="11" t="str">
        <f>RAW_Клиенты!B562</f>
        <v xml:space="preserve">Чуприна Мария Олеговна</v>
      </c>
      <c r="D563" s="11" t="str">
        <f>RAW_Клиенты!C562</f>
        <v>18.09.1974</v>
      </c>
      <c r="E563" s="11" t="str">
        <f>RAW_Клиенты!D562</f>
        <v xml:space="preserve">8 903 345 67 89</v>
      </c>
      <c r="F563" s="11" t="str">
        <f>RAW_Клиенты!E562</f>
        <v>chupra@gmail</v>
      </c>
      <c r="G563" s="11" t="str">
        <f>RAW_Клиенты!F562</f>
        <v>Севастополь</v>
      </c>
      <c r="H563" s="11" t="str">
        <f>RAW_Клиенты!G562</f>
        <v>15.07.2037</v>
      </c>
      <c r="I563" s="12" t="str">
        <f t="shared" si="437"/>
        <v>89033456789</v>
      </c>
      <c r="J563" s="12" t="str">
        <f t="shared" si="438"/>
        <v>chupra@gmail</v>
      </c>
      <c r="K563" s="12" t="str">
        <f t="shared" si="439"/>
        <v>Севастополь</v>
      </c>
      <c r="L563" s="13" t="str">
        <f t="shared" si="440"/>
        <v>C0561</v>
      </c>
      <c r="M563" s="13" t="str">
        <f t="shared" si="441"/>
        <v xml:space="preserve">Чуприна Мария Олеговна</v>
      </c>
      <c r="N563" s="13" t="str">
        <f t="shared" si="442"/>
        <v>OK</v>
      </c>
      <c r="O563" s="19">
        <f t="shared" si="443"/>
        <v>27290</v>
      </c>
      <c r="P563" s="19">
        <f t="shared" si="444"/>
        <v>50236</v>
      </c>
      <c r="Q563" s="13">
        <f t="shared" ca="1" si="445"/>
        <v>52</v>
      </c>
      <c r="R563" s="13" t="str">
        <f t="shared" si="446"/>
        <v>OK</v>
      </c>
      <c r="S563" s="13" t="str">
        <f t="shared" si="447"/>
        <v xml:space="preserve">+7 (903) 345-67-89</v>
      </c>
      <c r="T563" s="13" t="str">
        <f t="shared" si="448"/>
        <v>chupra@gmail</v>
      </c>
      <c r="U563" s="18" t="str">
        <f t="shared" si="449"/>
        <v xml:space="preserve">Ошибка Email</v>
      </c>
      <c r="V563" s="13" t="str">
        <f>IFERROR(VLOOKUP(K563,Справочники!$K$6:$L$13,2,0),K563)</f>
        <v>Севастополь</v>
      </c>
    </row>
    <row r="564" ht="15" customHeight="1">
      <c r="A564" s="10">
        <v>562</v>
      </c>
      <c r="B564" s="11" t="str">
        <f>RAW_Клиенты!A563</f>
        <v>C0562</v>
      </c>
      <c r="C564" s="11" t="str">
        <f>RAW_Клиенты!B563</f>
        <v xml:space="preserve">Ступин Денис Павлович</v>
      </c>
      <c r="D564" s="11" t="str">
        <f>RAW_Клиенты!C563</f>
        <v>07.05.1988</v>
      </c>
      <c r="E564" s="11" t="str">
        <f>RAW_Клиенты!D563</f>
        <v>+79033456789</v>
      </c>
      <c r="F564" s="11" t="str">
        <f>RAW_Клиенты!E563</f>
        <v>stupin@mail</v>
      </c>
      <c r="G564" s="11" t="str">
        <f>RAW_Клиенты!F563</f>
        <v>Сочи</v>
      </c>
      <c r="H564" s="11" t="str">
        <f>RAW_Клиенты!G563</f>
        <v>01.08.2037</v>
      </c>
      <c r="I564" s="12" t="str">
        <f t="shared" si="437"/>
        <v>79033456789</v>
      </c>
      <c r="J564" s="12" t="str">
        <f t="shared" si="438"/>
        <v>stupin@mail</v>
      </c>
      <c r="K564" s="12" t="str">
        <f t="shared" si="439"/>
        <v>Сочи</v>
      </c>
      <c r="L564" s="13" t="str">
        <f t="shared" si="440"/>
        <v>C0562</v>
      </c>
      <c r="M564" s="13" t="str">
        <f t="shared" si="441"/>
        <v xml:space="preserve">Ступин Денис Павлович</v>
      </c>
      <c r="N564" s="13" t="str">
        <f t="shared" si="442"/>
        <v>OK</v>
      </c>
      <c r="O564" s="19">
        <f t="shared" si="443"/>
        <v>32270</v>
      </c>
      <c r="P564" s="19">
        <f t="shared" si="444"/>
        <v>50253</v>
      </c>
      <c r="Q564" s="13">
        <f t="shared" ca="1" si="445"/>
        <v>38</v>
      </c>
      <c r="R564" s="13" t="str">
        <f t="shared" si="446"/>
        <v>OK</v>
      </c>
      <c r="S564" s="13" t="str">
        <f t="shared" si="447"/>
        <v xml:space="preserve">+7 (903) 345-67-89</v>
      </c>
      <c r="T564" s="13" t="str">
        <f t="shared" si="448"/>
        <v>stupin@mail</v>
      </c>
      <c r="U564" s="18" t="str">
        <f t="shared" si="449"/>
        <v xml:space="preserve">Ошибка Email</v>
      </c>
      <c r="V564" s="13" t="str">
        <f>IFERROR(VLOOKUP(K564,Справочники!$K$6:$L$13,2,0),K564)</f>
        <v>Сочи</v>
      </c>
    </row>
    <row r="565" ht="15" customHeight="1">
      <c r="A565" s="10">
        <v>563</v>
      </c>
      <c r="B565" s="11" t="str">
        <f>RAW_Клиенты!A564</f>
        <v>C0563</v>
      </c>
      <c r="C565" s="11" t="str">
        <f>RAW_Клиенты!B564</f>
        <v xml:space="preserve">Тимошина Ольга Сергеевна</v>
      </c>
      <c r="D565" s="11" t="str">
        <f>RAW_Клиенты!C564</f>
        <v>23.12.1991</v>
      </c>
      <c r="E565" s="11" t="str">
        <f>RAW_Клиенты!D564</f>
        <v>8-903-345-67-89</v>
      </c>
      <c r="F565" s="11" t="str">
        <f>RAW_Клиенты!E564</f>
        <v>timoshina@yandex</v>
      </c>
      <c r="G565" s="11" t="str">
        <f>RAW_Клиенты!F564</f>
        <v>Симферополь</v>
      </c>
      <c r="H565" s="11" t="str">
        <f>RAW_Клиенты!G564</f>
        <v>2037-08-10</v>
      </c>
      <c r="I565" s="12" t="str">
        <f t="shared" si="437"/>
        <v>89033456789</v>
      </c>
      <c r="J565" s="12" t="str">
        <f t="shared" si="438"/>
        <v>timoshina@yandex</v>
      </c>
      <c r="K565" s="12" t="str">
        <f t="shared" si="439"/>
        <v>Симферополь</v>
      </c>
      <c r="L565" s="13" t="str">
        <f t="shared" si="440"/>
        <v>C0563</v>
      </c>
      <c r="M565" s="13" t="str">
        <f t="shared" si="441"/>
        <v xml:space="preserve">Тимошина Ольга Сергеевна</v>
      </c>
      <c r="N565" s="13" t="str">
        <f t="shared" si="442"/>
        <v>OK</v>
      </c>
      <c r="O565" s="19">
        <f t="shared" si="443"/>
        <v>33595</v>
      </c>
      <c r="P565" s="19">
        <f t="shared" si="444"/>
        <v>50262</v>
      </c>
      <c r="Q565" s="13">
        <f t="shared" ca="1" si="445"/>
        <v>34</v>
      </c>
      <c r="R565" s="13" t="str">
        <f t="shared" si="446"/>
        <v>OK</v>
      </c>
      <c r="S565" s="13" t="str">
        <f t="shared" si="447"/>
        <v xml:space="preserve">+7 (903) 345-67-89</v>
      </c>
      <c r="T565" s="13" t="str">
        <f t="shared" si="448"/>
        <v>timoshina@yandex</v>
      </c>
      <c r="U565" s="18" t="str">
        <f t="shared" si="449"/>
        <v xml:space="preserve">Ошибка Email</v>
      </c>
      <c r="V565" s="13" t="str">
        <f>IFERROR(VLOOKUP(K565,Справочники!$K$6:$L$13,2,0),K565)</f>
        <v>Симферополь</v>
      </c>
    </row>
    <row r="566" ht="15" customHeight="1">
      <c r="A566" s="10">
        <v>564</v>
      </c>
      <c r="B566" s="11" t="str">
        <f>RAW_Клиенты!A565</f>
        <v>C0564</v>
      </c>
      <c r="C566" s="11" t="str">
        <f>RAW_Клиенты!B565</f>
        <v xml:space="preserve">Кулаков Илья Алексеевич</v>
      </c>
      <c r="D566" s="11" t="str">
        <f>RAW_Клиенты!C565</f>
        <v>10.03.1977</v>
      </c>
      <c r="E566" s="11" t="str">
        <f>RAW_Клиенты!D565</f>
        <v xml:space="preserve">8 903 456 78 90</v>
      </c>
      <c r="F566" s="11" t="str">
        <f>RAW_Клиенты!E565</f>
        <v>kulakov@gmail</v>
      </c>
      <c r="G566" s="11" t="str">
        <f>RAW_Клиенты!F565</f>
        <v>Брянск</v>
      </c>
      <c r="H566" s="11" t="str">
        <f>RAW_Клиенты!G565</f>
        <v>10.08.2037</v>
      </c>
      <c r="I566" s="12" t="str">
        <f t="shared" si="437"/>
        <v>89034567890</v>
      </c>
      <c r="J566" s="12" t="str">
        <f t="shared" si="438"/>
        <v>kulakov@gmail</v>
      </c>
      <c r="K566" s="12" t="str">
        <f t="shared" si="439"/>
        <v>Брянск</v>
      </c>
      <c r="L566" s="13" t="str">
        <f t="shared" si="440"/>
        <v>C0564</v>
      </c>
      <c r="M566" s="13" t="str">
        <f t="shared" si="441"/>
        <v xml:space="preserve">Кулаков Илья Алексеевич</v>
      </c>
      <c r="N566" s="13" t="str">
        <f t="shared" si="442"/>
        <v>OK</v>
      </c>
      <c r="O566" s="19">
        <f t="shared" si="443"/>
        <v>28194</v>
      </c>
      <c r="P566" s="19">
        <f t="shared" si="444"/>
        <v>50262</v>
      </c>
      <c r="Q566" s="13">
        <f t="shared" ca="1" si="445"/>
        <v>49</v>
      </c>
      <c r="R566" s="13" t="str">
        <f t="shared" si="446"/>
        <v>OK</v>
      </c>
      <c r="S566" s="13" t="str">
        <f t="shared" si="447"/>
        <v xml:space="preserve">+7 (903) 456-78-90</v>
      </c>
      <c r="T566" s="13" t="str">
        <f t="shared" si="448"/>
        <v>kulakov@gmail</v>
      </c>
      <c r="U566" s="18" t="str">
        <f t="shared" si="449"/>
        <v xml:space="preserve">Ошибка Email</v>
      </c>
      <c r="V566" s="13" t="str">
        <f>IFERROR(VLOOKUP(K566,Справочники!$K$6:$L$13,2,0),K566)</f>
        <v>Брянск</v>
      </c>
    </row>
    <row r="567" ht="15" customHeight="1">
      <c r="A567" s="10">
        <v>565</v>
      </c>
      <c r="B567" s="11" t="str">
        <f>RAW_Клиенты!A566</f>
        <v>C0565</v>
      </c>
      <c r="C567" s="11" t="str">
        <f>RAW_Клиенты!B566</f>
        <v xml:space="preserve">Казарина Екатерина Владимировна</v>
      </c>
      <c r="D567" s="11" t="str">
        <f>RAW_Клиенты!C566</f>
        <v>06.07.1983</v>
      </c>
      <c r="E567" s="11" t="str">
        <f>RAW_Клиенты!D566</f>
        <v>+79034567890</v>
      </c>
      <c r="F567" s="11" t="str">
        <f>RAW_Клиенты!E566</f>
        <v>kazarina@mail</v>
      </c>
      <c r="G567" s="11" t="str">
        <f>RAW_Клиенты!F566</f>
        <v>Абакан</v>
      </c>
      <c r="H567" s="11" t="str">
        <f>RAW_Клиенты!G566</f>
        <v>01.09.2037</v>
      </c>
      <c r="I567" s="12" t="str">
        <f t="shared" si="437"/>
        <v>79034567890</v>
      </c>
      <c r="J567" s="12" t="str">
        <f t="shared" si="438"/>
        <v>kazarina@mail</v>
      </c>
      <c r="K567" s="12" t="str">
        <f t="shared" si="439"/>
        <v>Абакан</v>
      </c>
      <c r="L567" s="13" t="str">
        <f t="shared" si="440"/>
        <v>C0565</v>
      </c>
      <c r="M567" s="13" t="str">
        <f t="shared" si="441"/>
        <v xml:space="preserve">Казарина Екатерина Владимировна</v>
      </c>
      <c r="N567" s="13" t="str">
        <f t="shared" si="442"/>
        <v>OK</v>
      </c>
      <c r="O567" s="19">
        <f t="shared" si="443"/>
        <v>30503</v>
      </c>
      <c r="P567" s="19">
        <f t="shared" si="444"/>
        <v>50284</v>
      </c>
      <c r="Q567" s="13">
        <f t="shared" ca="1" si="445"/>
        <v>43</v>
      </c>
      <c r="R567" s="13" t="str">
        <f t="shared" si="446"/>
        <v>OK</v>
      </c>
      <c r="S567" s="13" t="str">
        <f t="shared" si="447"/>
        <v xml:space="preserve">+7 (903) 456-78-90</v>
      </c>
      <c r="T567" s="13" t="str">
        <f t="shared" si="448"/>
        <v>kazarina@mail</v>
      </c>
      <c r="U567" s="18" t="str">
        <f t="shared" si="449"/>
        <v xml:space="preserve">Ошибка Email</v>
      </c>
      <c r="V567" s="13" t="str">
        <f>IFERROR(VLOOKUP(K567,Справочники!$K$6:$L$13,2,0),K567)</f>
        <v>Абакан</v>
      </c>
    </row>
    <row r="568" ht="15" customHeight="1">
      <c r="A568" s="10">
        <v>566</v>
      </c>
      <c r="B568" s="11" t="str">
        <f>RAW_Клиенты!A567</f>
        <v>C0566</v>
      </c>
      <c r="C568" s="11" t="str">
        <f>RAW_Клиенты!B567</f>
        <v xml:space="preserve">Осинцев Андрей Олегович</v>
      </c>
      <c r="D568" s="11" t="str">
        <f>RAW_Клиенты!C567</f>
        <v>27.04.1990</v>
      </c>
      <c r="E568" s="11" t="str">
        <f>RAW_Клиенты!D567</f>
        <v>8-903-456-78-90</v>
      </c>
      <c r="F568" s="11" t="str">
        <f>RAW_Клиенты!E567</f>
        <v>osintsev@yandex</v>
      </c>
      <c r="G568" s="11" t="str">
        <f>RAW_Клиенты!F567</f>
        <v>Грозный</v>
      </c>
      <c r="H568" s="11" t="str">
        <f>RAW_Клиенты!G567</f>
        <v>2037-09-15</v>
      </c>
      <c r="I568" s="12" t="str">
        <f t="shared" si="437"/>
        <v>89034567890</v>
      </c>
      <c r="J568" s="12" t="str">
        <f t="shared" si="438"/>
        <v>osintsev@yandex</v>
      </c>
      <c r="K568" s="12" t="str">
        <f t="shared" si="439"/>
        <v>Грозный</v>
      </c>
      <c r="L568" s="13" t="str">
        <f t="shared" si="440"/>
        <v>C0566</v>
      </c>
      <c r="M568" s="13" t="str">
        <f t="shared" si="441"/>
        <v xml:space="preserve">Осинцев Андрей Олегович</v>
      </c>
      <c r="N568" s="13" t="str">
        <f t="shared" si="442"/>
        <v>OK</v>
      </c>
      <c r="O568" s="19">
        <f t="shared" si="443"/>
        <v>32990</v>
      </c>
      <c r="P568" s="19">
        <f t="shared" si="444"/>
        <v>50298</v>
      </c>
      <c r="Q568" s="13">
        <f t="shared" ca="1" si="445"/>
        <v>36</v>
      </c>
      <c r="R568" s="13" t="str">
        <f t="shared" si="446"/>
        <v>OK</v>
      </c>
      <c r="S568" s="13" t="str">
        <f t="shared" si="447"/>
        <v xml:space="preserve">+7 (903) 456-78-90</v>
      </c>
      <c r="T568" s="13" t="str">
        <f t="shared" si="448"/>
        <v>osintsev@yandex</v>
      </c>
      <c r="U568" s="18" t="str">
        <f t="shared" si="449"/>
        <v xml:space="preserve">Ошибка Email</v>
      </c>
      <c r="V568" s="13" t="str">
        <f>IFERROR(VLOOKUP(K568,Справочники!$K$6:$L$13,2,0),K568)</f>
        <v>Грозный</v>
      </c>
    </row>
    <row r="569" ht="15" customHeight="1">
      <c r="A569" s="10">
        <v>567</v>
      </c>
      <c r="B569" s="11" t="str">
        <f>RAW_Клиенты!A568</f>
        <v>C0567</v>
      </c>
      <c r="C569" s="11" t="str">
        <f>RAW_Клиенты!B568</f>
        <v xml:space="preserve">Седакова Мария Павловна</v>
      </c>
      <c r="D569" s="11" t="str">
        <f>RAW_Клиенты!C568</f>
        <v>19.11.1975</v>
      </c>
      <c r="E569" s="11" t="str">
        <f>RAW_Клиенты!D568</f>
        <v xml:space="preserve">8 903 567 89 01</v>
      </c>
      <c r="F569" s="11" t="str">
        <f>RAW_Клиенты!E568</f>
        <v>sedakova@gmail</v>
      </c>
      <c r="G569" s="11" t="str">
        <f>RAW_Клиенты!F568</f>
        <v>Бийск</v>
      </c>
      <c r="H569" s="11" t="str">
        <f>RAW_Клиенты!G568</f>
        <v>15.09.2037</v>
      </c>
      <c r="I569" s="12" t="str">
        <f t="shared" si="437"/>
        <v>89035678901</v>
      </c>
      <c r="J569" s="12" t="str">
        <f t="shared" si="438"/>
        <v>sedakova@gmail</v>
      </c>
      <c r="K569" s="12" t="str">
        <f t="shared" si="439"/>
        <v>Бийск</v>
      </c>
      <c r="L569" s="13" t="str">
        <f t="shared" si="440"/>
        <v>C0567</v>
      </c>
      <c r="M569" s="13" t="str">
        <f t="shared" si="441"/>
        <v xml:space="preserve">Седакова Мария Павловна</v>
      </c>
      <c r="N569" s="13" t="str">
        <f t="shared" si="442"/>
        <v>OK</v>
      </c>
      <c r="O569" s="19">
        <f t="shared" si="443"/>
        <v>27717</v>
      </c>
      <c r="P569" s="19">
        <f t="shared" si="444"/>
        <v>50298</v>
      </c>
      <c r="Q569" s="13">
        <f t="shared" ca="1" si="445"/>
        <v>50</v>
      </c>
      <c r="R569" s="13" t="str">
        <f t="shared" si="446"/>
        <v>OK</v>
      </c>
      <c r="S569" s="13" t="str">
        <f t="shared" si="447"/>
        <v xml:space="preserve">+7 (903) 567-89-01</v>
      </c>
      <c r="T569" s="13" t="str">
        <f t="shared" si="448"/>
        <v>sedakova@gmail</v>
      </c>
      <c r="U569" s="18" t="str">
        <f t="shared" si="449"/>
        <v xml:space="preserve">Ошибка Email</v>
      </c>
      <c r="V569" s="13" t="str">
        <f>IFERROR(VLOOKUP(K569,Справочники!$K$6:$L$13,2,0),K569)</f>
        <v>Бийск</v>
      </c>
    </row>
    <row r="570" ht="15" customHeight="1">
      <c r="A570" s="10">
        <v>568</v>
      </c>
      <c r="B570" s="11" t="str">
        <f>RAW_Клиенты!A569</f>
        <v>C0568</v>
      </c>
      <c r="C570" s="11" t="str">
        <f>RAW_Клиенты!B569</f>
        <v xml:space="preserve">Кузьмин Денис Викторович</v>
      </c>
      <c r="D570" s="11" t="str">
        <f>RAW_Клиенты!C569</f>
        <v>20.09.1984</v>
      </c>
      <c r="E570" s="11" t="str">
        <f>RAW_Клиенты!D569</f>
        <v>+79035678901</v>
      </c>
      <c r="F570" s="11" t="str">
        <f>RAW_Клиенты!E569</f>
        <v>kuzmin@mail</v>
      </c>
      <c r="G570" s="11" t="str">
        <f>RAW_Клиенты!F569</f>
        <v>Йошкар-Ола</v>
      </c>
      <c r="H570" s="11" t="str">
        <f>RAW_Клиенты!G569</f>
        <v>01.10.2037</v>
      </c>
      <c r="I570" s="12" t="str">
        <f t="shared" si="437"/>
        <v>79035678901</v>
      </c>
      <c r="J570" s="12" t="str">
        <f t="shared" si="438"/>
        <v>kuzmin@mail</v>
      </c>
      <c r="K570" s="12" t="str">
        <f t="shared" si="439"/>
        <v>Йошкар-Ола</v>
      </c>
      <c r="L570" s="13" t="str">
        <f t="shared" si="440"/>
        <v>C0568</v>
      </c>
      <c r="M570" s="13" t="str">
        <f t="shared" si="441"/>
        <v xml:space="preserve">Кузьмин Денис Викторович</v>
      </c>
      <c r="N570" s="13" t="str">
        <f t="shared" si="442"/>
        <v>OK</v>
      </c>
      <c r="O570" s="19">
        <f t="shared" si="443"/>
        <v>30945</v>
      </c>
      <c r="P570" s="19">
        <f t="shared" si="444"/>
        <v>50314</v>
      </c>
      <c r="Q570" s="13">
        <f t="shared" ca="1" si="445"/>
        <v>42</v>
      </c>
      <c r="R570" s="13" t="str">
        <f t="shared" si="446"/>
        <v>OK</v>
      </c>
      <c r="S570" s="13" t="str">
        <f t="shared" si="447"/>
        <v xml:space="preserve">+7 (903) 567-89-01</v>
      </c>
      <c r="T570" s="13" t="str">
        <f t="shared" si="448"/>
        <v>kuzmin@mail</v>
      </c>
      <c r="U570" s="18" t="str">
        <f t="shared" si="449"/>
        <v xml:space="preserve">Ошибка Email</v>
      </c>
      <c r="V570" s="13" t="str">
        <f>IFERROR(VLOOKUP(K570,Справочники!$K$6:$L$13,2,0),K570)</f>
        <v>Йошкар-Ола</v>
      </c>
    </row>
    <row r="571" ht="15" customHeight="1">
      <c r="A571" s="10">
        <v>569</v>
      </c>
      <c r="B571" s="11" t="str">
        <f>RAW_Клиенты!A570</f>
        <v>C0569</v>
      </c>
      <c r="C571" s="11" t="str">
        <f>RAW_Клиенты!B570</f>
        <v xml:space="preserve">Кравцова Ольга Игоревна</v>
      </c>
      <c r="D571" s="11" t="str">
        <f>RAW_Клиенты!C570</f>
        <v>01.06.1987</v>
      </c>
      <c r="E571" s="11" t="str">
        <f>RAW_Клиенты!D570</f>
        <v>8-903-567-89-01</v>
      </c>
      <c r="F571" s="11" t="str">
        <f>RAW_Клиенты!E570</f>
        <v>kravtsova@yandex</v>
      </c>
      <c r="G571" s="11" t="str">
        <f>RAW_Клиенты!F570</f>
        <v>Курган</v>
      </c>
      <c r="H571" s="11" t="str">
        <f>RAW_Клиенты!G570</f>
        <v>2037-10-10</v>
      </c>
      <c r="I571" s="12" t="str">
        <f t="shared" si="437"/>
        <v>89035678901</v>
      </c>
      <c r="J571" s="12" t="str">
        <f t="shared" si="438"/>
        <v>kravtsova@yandex</v>
      </c>
      <c r="K571" s="12" t="str">
        <f t="shared" si="439"/>
        <v>Курган</v>
      </c>
      <c r="L571" s="13" t="str">
        <f t="shared" si="440"/>
        <v>C0569</v>
      </c>
      <c r="M571" s="13" t="str">
        <f t="shared" si="441"/>
        <v xml:space="preserve">Кравцова Ольга Игоревна</v>
      </c>
      <c r="N571" s="13" t="str">
        <f t="shared" si="442"/>
        <v>OK</v>
      </c>
      <c r="O571" s="19">
        <f t="shared" si="443"/>
        <v>31929</v>
      </c>
      <c r="P571" s="19">
        <f t="shared" si="444"/>
        <v>50323</v>
      </c>
      <c r="Q571" s="13">
        <f t="shared" ca="1" si="445"/>
        <v>39</v>
      </c>
      <c r="R571" s="13" t="str">
        <f t="shared" si="446"/>
        <v>OK</v>
      </c>
      <c r="S571" s="13" t="str">
        <f t="shared" si="447"/>
        <v xml:space="preserve">+7 (903) 567-89-01</v>
      </c>
      <c r="T571" s="13" t="str">
        <f t="shared" si="448"/>
        <v>kravtsova@yandex</v>
      </c>
      <c r="U571" s="18" t="str">
        <f t="shared" si="449"/>
        <v xml:space="preserve">Ошибка Email</v>
      </c>
      <c r="V571" s="13" t="str">
        <f>IFERROR(VLOOKUP(K571,Справочники!$K$6:$L$13,2,0),K571)</f>
        <v>Курган</v>
      </c>
    </row>
    <row r="572" ht="15" customHeight="1">
      <c r="A572" s="10">
        <v>570</v>
      </c>
      <c r="B572" s="11" t="str">
        <f>RAW_Клиенты!A571</f>
        <v>C0570</v>
      </c>
      <c r="C572" s="11" t="str">
        <f>RAW_Клиенты!B571</f>
        <v xml:space="preserve">Быстров Илья Александрович</v>
      </c>
      <c r="D572" s="11" t="str">
        <f>RAW_Клиенты!C571</f>
        <v>14.01.1979</v>
      </c>
      <c r="E572" s="11" t="str">
        <f>RAW_Клиенты!D571</f>
        <v xml:space="preserve">8 903 678 90 12</v>
      </c>
      <c r="F572" s="11" t="str">
        <f>RAW_Клиенты!E571</f>
        <v>bystrov@gmail</v>
      </c>
      <c r="G572" s="11" t="str">
        <f>RAW_Клиенты!F571</f>
        <v>Архангельск</v>
      </c>
      <c r="H572" s="11" t="str">
        <f>RAW_Клиенты!G571</f>
        <v>10.10.2037</v>
      </c>
      <c r="I572" s="12" t="str">
        <f t="shared" si="437"/>
        <v>89036789012</v>
      </c>
      <c r="J572" s="12" t="str">
        <f t="shared" si="438"/>
        <v>bystrov@gmail</v>
      </c>
      <c r="K572" s="12" t="str">
        <f t="shared" si="439"/>
        <v>Архангельск</v>
      </c>
      <c r="L572" s="13" t="str">
        <f t="shared" si="440"/>
        <v>C0570</v>
      </c>
      <c r="M572" s="13" t="str">
        <f t="shared" si="441"/>
        <v xml:space="preserve">Быстров Илья Александрович</v>
      </c>
      <c r="N572" s="13" t="str">
        <f t="shared" si="442"/>
        <v>OK</v>
      </c>
      <c r="O572" s="19">
        <f t="shared" si="443"/>
        <v>28869</v>
      </c>
      <c r="P572" s="19">
        <f t="shared" si="444"/>
        <v>50323</v>
      </c>
      <c r="Q572" s="13">
        <f t="shared" ca="1" si="445"/>
        <v>47</v>
      </c>
      <c r="R572" s="13" t="str">
        <f t="shared" si="446"/>
        <v>OK</v>
      </c>
      <c r="S572" s="13" t="str">
        <f t="shared" si="447"/>
        <v xml:space="preserve">+7 (903) 678-90-12</v>
      </c>
      <c r="T572" s="13" t="str">
        <f t="shared" si="448"/>
        <v>bystrov@gmail</v>
      </c>
      <c r="U572" s="18" t="str">
        <f t="shared" si="449"/>
        <v xml:space="preserve">Ошибка Email</v>
      </c>
      <c r="V572" s="13" t="str">
        <f>IFERROR(VLOOKUP(K572,Справочники!$K$6:$L$13,2,0),K572)</f>
        <v>Архангельск</v>
      </c>
    </row>
    <row r="573" ht="15" customHeight="1">
      <c r="A573" s="10">
        <v>571</v>
      </c>
      <c r="B573" s="11" t="str">
        <f>RAW_Клиенты!A572</f>
        <v>C0571</v>
      </c>
      <c r="C573" s="11" t="str">
        <f>RAW_Клиенты!B572</f>
        <v xml:space="preserve">Сафонова Екатерина Сергеевна</v>
      </c>
      <c r="D573" s="11" t="str">
        <f>RAW_Клиенты!C572</f>
        <v>23.08.1992</v>
      </c>
      <c r="E573" s="11" t="str">
        <f>RAW_Клиенты!D572</f>
        <v>+79036789012</v>
      </c>
      <c r="F573" s="11" t="str">
        <f>RAW_Клиенты!E572</f>
        <v>safonova@mail</v>
      </c>
      <c r="G573" s="11" t="str">
        <f>RAW_Клиенты!F572</f>
        <v>Благовещенск</v>
      </c>
      <c r="H573" s="11" t="str">
        <f>RAW_Клиенты!G572</f>
        <v>01.11.2037</v>
      </c>
      <c r="I573" s="12" t="str">
        <f t="shared" si="437"/>
        <v>79036789012</v>
      </c>
      <c r="J573" s="12" t="str">
        <f t="shared" si="438"/>
        <v>safonova@mail</v>
      </c>
      <c r="K573" s="12" t="str">
        <f t="shared" si="439"/>
        <v>Благовещенск</v>
      </c>
      <c r="L573" s="13" t="str">
        <f t="shared" si="440"/>
        <v>C0571</v>
      </c>
      <c r="M573" s="13" t="str">
        <f t="shared" si="441"/>
        <v xml:space="preserve">Сафонова Екатерина Сергеевна</v>
      </c>
      <c r="N573" s="13" t="str">
        <f t="shared" si="442"/>
        <v>OK</v>
      </c>
      <c r="O573" s="19">
        <f t="shared" si="443"/>
        <v>33839</v>
      </c>
      <c r="P573" s="19">
        <f t="shared" si="444"/>
        <v>50345</v>
      </c>
      <c r="Q573" s="13">
        <f t="shared" ca="1" si="445"/>
        <v>34</v>
      </c>
      <c r="R573" s="13" t="str">
        <f t="shared" si="446"/>
        <v>OK</v>
      </c>
      <c r="S573" s="13" t="str">
        <f t="shared" si="447"/>
        <v xml:space="preserve">+7 (903) 678-90-12</v>
      </c>
      <c r="T573" s="13" t="str">
        <f t="shared" si="448"/>
        <v>safonova@mail</v>
      </c>
      <c r="U573" s="18" t="str">
        <f t="shared" si="449"/>
        <v xml:space="preserve">Ошибка Email</v>
      </c>
      <c r="V573" s="13" t="str">
        <f>IFERROR(VLOOKUP(K573,Справочники!$K$6:$L$13,2,0),K573)</f>
        <v>Благовещенск</v>
      </c>
    </row>
    <row r="574" ht="15" customHeight="1">
      <c r="A574" s="10">
        <v>572</v>
      </c>
      <c r="B574" s="11" t="str">
        <f>RAW_Клиенты!A573</f>
        <v>C0572</v>
      </c>
      <c r="C574" s="11" t="str">
        <f>RAW_Клиенты!B573</f>
        <v xml:space="preserve">Рыбин Андрей Олегович</v>
      </c>
      <c r="D574" s="11" t="str">
        <f>RAW_Клиенты!C573</f>
        <v>16.10.1971</v>
      </c>
      <c r="E574" s="11" t="str">
        <f>RAW_Клиенты!D573</f>
        <v>8-903-678-90-12</v>
      </c>
      <c r="F574" s="11" t="str">
        <f>RAW_Клиенты!E573</f>
        <v>rybin@yandex</v>
      </c>
      <c r="G574" s="11" t="str">
        <f>RAW_Клиенты!F573</f>
        <v>Майкоп</v>
      </c>
      <c r="H574" s="11" t="str">
        <f>RAW_Клиенты!G573</f>
        <v>2037-11-15</v>
      </c>
      <c r="I574" s="12" t="str">
        <f t="shared" si="437"/>
        <v>89036789012</v>
      </c>
      <c r="J574" s="12" t="str">
        <f t="shared" si="438"/>
        <v>rybin@yandex</v>
      </c>
      <c r="K574" s="12" t="str">
        <f t="shared" si="439"/>
        <v>Майкоп</v>
      </c>
      <c r="L574" s="13" t="str">
        <f t="shared" si="440"/>
        <v>C0572</v>
      </c>
      <c r="M574" s="13" t="str">
        <f t="shared" si="441"/>
        <v xml:space="preserve">Рыбин Андрей Олегович</v>
      </c>
      <c r="N574" s="13" t="str">
        <f t="shared" si="442"/>
        <v>OK</v>
      </c>
      <c r="O574" s="19">
        <f t="shared" si="443"/>
        <v>26222</v>
      </c>
      <c r="P574" s="19">
        <f t="shared" si="444"/>
        <v>50359</v>
      </c>
      <c r="Q574" s="13">
        <f t="shared" ca="1" si="445"/>
        <v>54</v>
      </c>
      <c r="R574" s="13" t="str">
        <f t="shared" si="446"/>
        <v>OK</v>
      </c>
      <c r="S574" s="13" t="str">
        <f t="shared" si="447"/>
        <v xml:space="preserve">+7 (903) 678-90-12</v>
      </c>
      <c r="T574" s="13" t="str">
        <f t="shared" si="448"/>
        <v>rybin@yandex</v>
      </c>
      <c r="U574" s="18" t="str">
        <f t="shared" si="449"/>
        <v xml:space="preserve">Ошибка Email</v>
      </c>
      <c r="V574" s="13" t="str">
        <f>IFERROR(VLOOKUP(K574,Справочники!$K$6:$L$13,2,0),K574)</f>
        <v>Майкоп</v>
      </c>
    </row>
    <row r="575" ht="15" customHeight="1">
      <c r="A575" s="10">
        <v>573</v>
      </c>
      <c r="B575" s="11" t="str">
        <f>RAW_Клиенты!A574</f>
        <v>C0573</v>
      </c>
      <c r="C575" s="11" t="str">
        <f>RAW_Клиенты!B574</f>
        <v xml:space="preserve">Пирогова Мария Владимировна</v>
      </c>
      <c r="D575" s="11" t="str">
        <f>RAW_Клиенты!C574</f>
        <v>15.07.1985</v>
      </c>
      <c r="E575" s="11" t="str">
        <f>RAW_Клиенты!D574</f>
        <v xml:space="preserve">8 903 789 01 23</v>
      </c>
      <c r="F575" s="11" t="str">
        <f>RAW_Клиенты!E574</f>
        <v>pirogova@gmail</v>
      </c>
      <c r="G575" s="11" t="str">
        <f>RAW_Клиенты!F574</f>
        <v>Уссурийск</v>
      </c>
      <c r="H575" s="11" t="str">
        <f>RAW_Клиенты!G574</f>
        <v>15.11.2037</v>
      </c>
      <c r="I575" s="12" t="str">
        <f t="shared" si="437"/>
        <v>89037890123</v>
      </c>
      <c r="J575" s="12" t="str">
        <f t="shared" si="438"/>
        <v>pirogova@gmail</v>
      </c>
      <c r="K575" s="12" t="str">
        <f t="shared" si="439"/>
        <v>Уссурийск</v>
      </c>
      <c r="L575" s="13" t="str">
        <f t="shared" si="440"/>
        <v>C0573</v>
      </c>
      <c r="M575" s="13" t="str">
        <f t="shared" si="441"/>
        <v xml:space="preserve">Пирогова Мария Владимировна</v>
      </c>
      <c r="N575" s="13" t="str">
        <f t="shared" si="442"/>
        <v>OK</v>
      </c>
      <c r="O575" s="19">
        <f t="shared" si="443"/>
        <v>31243</v>
      </c>
      <c r="P575" s="19">
        <f t="shared" si="444"/>
        <v>50359</v>
      </c>
      <c r="Q575" s="13">
        <f t="shared" ca="1" si="445"/>
        <v>41</v>
      </c>
      <c r="R575" s="13" t="str">
        <f t="shared" si="446"/>
        <v>OK</v>
      </c>
      <c r="S575" s="13" t="str">
        <f t="shared" si="447"/>
        <v xml:space="preserve">+7 (903) 789-01-23</v>
      </c>
      <c r="T575" s="13" t="str">
        <f t="shared" si="448"/>
        <v>pirogova@gmail</v>
      </c>
      <c r="U575" s="18" t="str">
        <f t="shared" si="449"/>
        <v xml:space="preserve">Ошибка Email</v>
      </c>
      <c r="V575" s="13" t="str">
        <f>IFERROR(VLOOKUP(K575,Справочники!$K$6:$L$13,2,0),K575)</f>
        <v>Уссурийск</v>
      </c>
    </row>
    <row r="576" ht="15" customHeight="1">
      <c r="A576" s="10">
        <v>574</v>
      </c>
      <c r="B576" s="11" t="str">
        <f>RAW_Клиенты!A575</f>
        <v>C0574</v>
      </c>
      <c r="C576" s="11" t="str">
        <f>RAW_Клиенты!B575</f>
        <v xml:space="preserve">Агафонов Денис Павлович</v>
      </c>
      <c r="D576" s="11" t="str">
        <f>RAW_Клиенты!C575</f>
        <v>08.05.1988</v>
      </c>
      <c r="E576" s="11" t="str">
        <f>RAW_Клиенты!D575</f>
        <v>+79037890123</v>
      </c>
      <c r="F576" s="11" t="str">
        <f>RAW_Клиенты!E575</f>
        <v>agafonov@mail</v>
      </c>
      <c r="G576" s="11" t="str">
        <f>RAW_Клиенты!F575</f>
        <v>Миасс</v>
      </c>
      <c r="H576" s="11" t="str">
        <f>RAW_Клиенты!G575</f>
        <v>01.12.2037</v>
      </c>
      <c r="I576" s="12" t="str">
        <f t="shared" si="437"/>
        <v>79037890123</v>
      </c>
      <c r="J576" s="12" t="str">
        <f t="shared" si="438"/>
        <v>agafonov@mail</v>
      </c>
      <c r="K576" s="12" t="str">
        <f t="shared" si="439"/>
        <v>Миасс</v>
      </c>
      <c r="L576" s="13" t="str">
        <f t="shared" si="440"/>
        <v>C0574</v>
      </c>
      <c r="M576" s="13" t="str">
        <f t="shared" si="441"/>
        <v xml:space="preserve">Агафонов Денис Павлович</v>
      </c>
      <c r="N576" s="13" t="str">
        <f t="shared" si="442"/>
        <v>OK</v>
      </c>
      <c r="O576" s="19">
        <f t="shared" si="443"/>
        <v>32271</v>
      </c>
      <c r="P576" s="19">
        <f t="shared" si="444"/>
        <v>50375</v>
      </c>
      <c r="Q576" s="13">
        <f t="shared" ca="1" si="445"/>
        <v>38</v>
      </c>
      <c r="R576" s="13" t="str">
        <f t="shared" si="446"/>
        <v>OK</v>
      </c>
      <c r="S576" s="13" t="str">
        <f t="shared" si="447"/>
        <v xml:space="preserve">+7 (903) 789-01-23</v>
      </c>
      <c r="T576" s="13" t="str">
        <f t="shared" si="448"/>
        <v>agafonov@mail</v>
      </c>
      <c r="U576" s="18" t="str">
        <f t="shared" si="449"/>
        <v xml:space="preserve">Ошибка Email</v>
      </c>
      <c r="V576" s="13" t="str">
        <f>IFERROR(VLOOKUP(K576,Справочники!$K$6:$L$13,2,0),K576)</f>
        <v>Миасс</v>
      </c>
    </row>
    <row r="577" ht="15" customHeight="1">
      <c r="A577" s="10">
        <v>575</v>
      </c>
      <c r="B577" s="11" t="str">
        <f>RAW_Клиенты!A576</f>
        <v>C0575</v>
      </c>
      <c r="C577" s="11" t="str">
        <f>RAW_Клиенты!B576</f>
        <v xml:space="preserve">Соболева Ольга Сергеевна</v>
      </c>
      <c r="D577" s="11" t="str">
        <f>RAW_Клиенты!C576</f>
        <v>27.12.1980</v>
      </c>
      <c r="E577" s="11" t="str">
        <f>RAW_Клиенты!D576</f>
        <v>8-903-789-01-23</v>
      </c>
      <c r="F577" s="11" t="str">
        <f>RAW_Клиенты!E576</f>
        <v>soboleva@yandex</v>
      </c>
      <c r="G577" s="11" t="str">
        <f>RAW_Клиенты!F576</f>
        <v>Кызыл</v>
      </c>
      <c r="H577" s="11" t="str">
        <f>RAW_Клиенты!G576</f>
        <v>2037-12-10</v>
      </c>
      <c r="I577" s="12" t="str">
        <f t="shared" si="437"/>
        <v>89037890123</v>
      </c>
      <c r="J577" s="12" t="str">
        <f t="shared" si="438"/>
        <v>soboleva@yandex</v>
      </c>
      <c r="K577" s="12" t="str">
        <f t="shared" si="439"/>
        <v>Кызыл</v>
      </c>
      <c r="L577" s="13" t="str">
        <f t="shared" si="440"/>
        <v>C0575</v>
      </c>
      <c r="M577" s="13" t="str">
        <f t="shared" si="441"/>
        <v xml:space="preserve">Соболева Ольга Сергеевна</v>
      </c>
      <c r="N577" s="13" t="str">
        <f t="shared" si="442"/>
        <v>OK</v>
      </c>
      <c r="O577" s="19">
        <f t="shared" si="443"/>
        <v>29582</v>
      </c>
      <c r="P577" s="19">
        <f t="shared" si="444"/>
        <v>50384</v>
      </c>
      <c r="Q577" s="13">
        <f t="shared" ca="1" si="445"/>
        <v>45</v>
      </c>
      <c r="R577" s="13" t="str">
        <f t="shared" si="446"/>
        <v>OK</v>
      </c>
      <c r="S577" s="13" t="str">
        <f t="shared" si="447"/>
        <v xml:space="preserve">+7 (903) 789-01-23</v>
      </c>
      <c r="T577" s="13" t="str">
        <f t="shared" si="448"/>
        <v>soboleva@yandex</v>
      </c>
      <c r="U577" s="18" t="str">
        <f t="shared" si="449"/>
        <v xml:space="preserve">Ошибка Email</v>
      </c>
      <c r="V577" s="13" t="str">
        <f>IFERROR(VLOOKUP(K577,Справочники!$K$6:$L$13,2,0),K577)</f>
        <v>Кызыл</v>
      </c>
    </row>
    <row r="578" ht="15" customHeight="1">
      <c r="A578" s="10">
        <v>576</v>
      </c>
      <c r="B578" s="11" t="str">
        <f>RAW_Клиенты!A577</f>
        <v>C0576</v>
      </c>
      <c r="C578" s="11" t="str">
        <f>RAW_Клиенты!B577</f>
        <v xml:space="preserve">Кротов Илья Викторович</v>
      </c>
      <c r="D578" s="11" t="str">
        <f>RAW_Клиенты!C577</f>
        <v>22.02.1976</v>
      </c>
      <c r="E578" s="11" t="str">
        <f>RAW_Клиенты!D577</f>
        <v xml:space="preserve">8 903 890 12 34</v>
      </c>
      <c r="F578" s="11" t="str">
        <f>RAW_Клиенты!E577</f>
        <v>krotov@gmail</v>
      </c>
      <c r="G578" s="11" t="str">
        <f>RAW_Клиенты!F577</f>
        <v>Калининград</v>
      </c>
      <c r="H578" s="11" t="str">
        <f>RAW_Клиенты!G577</f>
        <v>10.12.2037</v>
      </c>
      <c r="I578" s="12" t="str">
        <f t="shared" si="437"/>
        <v>89038901234</v>
      </c>
      <c r="J578" s="12" t="str">
        <f t="shared" si="438"/>
        <v>krotov@gmail</v>
      </c>
      <c r="K578" s="12" t="str">
        <f t="shared" si="439"/>
        <v>Калининград</v>
      </c>
      <c r="L578" s="13" t="str">
        <f t="shared" si="440"/>
        <v>C0576</v>
      </c>
      <c r="M578" s="13" t="str">
        <f t="shared" si="441"/>
        <v xml:space="preserve">Кротов Илья Викторович</v>
      </c>
      <c r="N578" s="13" t="str">
        <f t="shared" si="442"/>
        <v>OK</v>
      </c>
      <c r="O578" s="19">
        <f t="shared" si="443"/>
        <v>27812</v>
      </c>
      <c r="P578" s="19">
        <f t="shared" si="444"/>
        <v>50384</v>
      </c>
      <c r="Q578" s="13">
        <f t="shared" ca="1" si="445"/>
        <v>50</v>
      </c>
      <c r="R578" s="13" t="str">
        <f t="shared" si="446"/>
        <v>OK</v>
      </c>
      <c r="S578" s="13" t="str">
        <f t="shared" si="447"/>
        <v xml:space="preserve">+7 (903) 890-12-34</v>
      </c>
      <c r="T578" s="13" t="str">
        <f t="shared" si="448"/>
        <v>krotov@gmail</v>
      </c>
      <c r="U578" s="18" t="str">
        <f t="shared" si="449"/>
        <v xml:space="preserve">Ошибка Email</v>
      </c>
      <c r="V578" s="13" t="str">
        <f>IFERROR(VLOOKUP(K578,Справочники!$K$6:$L$13,2,0),K578)</f>
        <v>Калининград</v>
      </c>
    </row>
    <row r="579" ht="15" customHeight="1">
      <c r="A579" s="10">
        <v>577</v>
      </c>
      <c r="B579" s="11" t="str">
        <f>RAW_Клиенты!A578</f>
        <v>C0577</v>
      </c>
      <c r="C579" s="11" t="str">
        <f>RAW_Клиенты!B578</f>
        <v xml:space="preserve">Судакова Екатерина Алексеевна</v>
      </c>
      <c r="D579" s="11" t="str">
        <f>RAW_Клиенты!C578</f>
        <v>12.11.1984</v>
      </c>
      <c r="E579" s="11" t="str">
        <f>RAW_Клиенты!D578</f>
        <v>+79038901234</v>
      </c>
      <c r="F579" s="11" t="str">
        <f>RAW_Клиенты!E578</f>
        <v>sudakova@mail</v>
      </c>
      <c r="G579" s="11" t="str">
        <f>RAW_Клиенты!F578</f>
        <v>Петрозаводск</v>
      </c>
      <c r="H579" s="11" t="str">
        <f>RAW_Клиенты!G578</f>
        <v>01.01.2038</v>
      </c>
      <c r="I579" s="12" t="str">
        <f t="shared" si="437"/>
        <v>79038901234</v>
      </c>
      <c r="J579" s="12" t="str">
        <f t="shared" si="438"/>
        <v>sudakova@mail</v>
      </c>
      <c r="K579" s="12" t="str">
        <f t="shared" si="439"/>
        <v>Петрозаводск</v>
      </c>
      <c r="L579" s="13" t="str">
        <f t="shared" si="440"/>
        <v>C0577</v>
      </c>
      <c r="M579" s="13" t="str">
        <f t="shared" si="441"/>
        <v xml:space="preserve">Судакова Екатерина Алексеевна</v>
      </c>
      <c r="N579" s="13" t="str">
        <f t="shared" si="442"/>
        <v>OK</v>
      </c>
      <c r="O579" s="19">
        <f t="shared" si="443"/>
        <v>30998</v>
      </c>
      <c r="P579" s="19">
        <f t="shared" si="444"/>
        <v>50406</v>
      </c>
      <c r="Q579" s="13">
        <f t="shared" ca="1" si="445"/>
        <v>41</v>
      </c>
      <c r="R579" s="13" t="str">
        <f t="shared" si="446"/>
        <v>OK</v>
      </c>
      <c r="S579" s="13" t="str">
        <f t="shared" si="447"/>
        <v xml:space="preserve">+7 (903) 890-12-34</v>
      </c>
      <c r="T579" s="13" t="str">
        <f t="shared" si="448"/>
        <v>sudakova@mail</v>
      </c>
      <c r="U579" s="18" t="str">
        <f t="shared" si="449"/>
        <v xml:space="preserve">Ошибка Email</v>
      </c>
      <c r="V579" s="13" t="str">
        <f>IFERROR(VLOOKUP(K579,Справочники!$K$6:$L$13,2,0),K579)</f>
        <v>Петрозаводск</v>
      </c>
    </row>
    <row r="580" ht="15" customHeight="1">
      <c r="A580" s="10">
        <v>578</v>
      </c>
      <c r="B580" s="11" t="str">
        <f>RAW_Клиенты!A579</f>
        <v>C0578</v>
      </c>
      <c r="C580" s="11" t="str">
        <f>RAW_Клиенты!B579</f>
        <v xml:space="preserve">Белкин Андрей Олегович</v>
      </c>
      <c r="D580" s="11" t="str">
        <f>RAW_Клиенты!C579</f>
        <v>29.06.1990</v>
      </c>
      <c r="E580" s="11" t="str">
        <f>RAW_Клиенты!D579</f>
        <v>8-903-890-12-34</v>
      </c>
      <c r="F580" s="11" t="str">
        <f>RAW_Клиенты!E579</f>
        <v>belkin@yandex</v>
      </c>
      <c r="G580" s="11" t="str">
        <f>RAW_Клиенты!F579</f>
        <v>Рубцовск</v>
      </c>
      <c r="H580" s="11" t="str">
        <f>RAW_Клиенты!G579</f>
        <v>2038-01-15</v>
      </c>
      <c r="I580" s="12" t="str">
        <f t="shared" si="437"/>
        <v>89038901234</v>
      </c>
      <c r="J580" s="12" t="str">
        <f t="shared" si="438"/>
        <v>belkin@yandex</v>
      </c>
      <c r="K580" s="12" t="str">
        <f t="shared" si="439"/>
        <v>Рубцовск</v>
      </c>
      <c r="L580" s="13" t="str">
        <f t="shared" si="440"/>
        <v>C0578</v>
      </c>
      <c r="M580" s="13" t="str">
        <f t="shared" si="441"/>
        <v xml:space="preserve">Белкин Андрей Олегович</v>
      </c>
      <c r="N580" s="13" t="str">
        <f t="shared" si="442"/>
        <v>OK</v>
      </c>
      <c r="O580" s="19">
        <f t="shared" si="443"/>
        <v>33053</v>
      </c>
      <c r="P580" s="19">
        <f t="shared" si="444"/>
        <v>50420</v>
      </c>
      <c r="Q580" s="13">
        <f t="shared" ca="1" si="445"/>
        <v>36</v>
      </c>
      <c r="R580" s="13" t="str">
        <f t="shared" si="446"/>
        <v>OK</v>
      </c>
      <c r="S580" s="13" t="str">
        <f t="shared" si="447"/>
        <v xml:space="preserve">+7 (903) 890-12-34</v>
      </c>
      <c r="T580" s="13" t="str">
        <f t="shared" si="448"/>
        <v>belkin@yandex</v>
      </c>
      <c r="U580" s="18" t="str">
        <f t="shared" si="449"/>
        <v xml:space="preserve">Ошибка Email</v>
      </c>
      <c r="V580" s="13" t="str">
        <f>IFERROR(VLOOKUP(K580,Справочники!$K$6:$L$13,2,0),K580)</f>
        <v>Рубцовск</v>
      </c>
    </row>
    <row r="581" ht="15" customHeight="1">
      <c r="A581" s="10">
        <v>579</v>
      </c>
      <c r="B581" s="11" t="str">
        <f>RAW_Клиенты!A580</f>
        <v>C0579</v>
      </c>
      <c r="C581" s="11" t="str">
        <f>RAW_Клиенты!B580</f>
        <v xml:space="preserve">Митрофанова Мария Павловна</v>
      </c>
      <c r="D581" s="11" t="str">
        <f>RAW_Клиенты!C580</f>
        <v>18.01.1973</v>
      </c>
      <c r="E581" s="11" t="str">
        <f>RAW_Клиенты!D580</f>
        <v xml:space="preserve">8 903 901 23 45</v>
      </c>
      <c r="F581" s="11" t="str">
        <f>RAW_Клиенты!E580</f>
        <v>mitrofanova@gmail</v>
      </c>
      <c r="G581" s="11" t="str">
        <f>RAW_Клиенты!F580</f>
        <v>Элиста</v>
      </c>
      <c r="H581" s="11" t="str">
        <f>RAW_Клиенты!G580</f>
        <v>15.01.2038</v>
      </c>
      <c r="I581" s="12" t="str">
        <f t="shared" si="437"/>
        <v>89039012345</v>
      </c>
      <c r="J581" s="12" t="str">
        <f t="shared" si="438"/>
        <v>mitrofanova@gmail</v>
      </c>
      <c r="K581" s="12" t="str">
        <f t="shared" si="439"/>
        <v>Элиста</v>
      </c>
      <c r="L581" s="13" t="str">
        <f t="shared" si="440"/>
        <v>C0579</v>
      </c>
      <c r="M581" s="13" t="str">
        <f t="shared" si="441"/>
        <v xml:space="preserve">Митрофанова Мария Павловна</v>
      </c>
      <c r="N581" s="13" t="str">
        <f t="shared" si="442"/>
        <v>OK</v>
      </c>
      <c r="O581" s="19">
        <f t="shared" si="443"/>
        <v>26682</v>
      </c>
      <c r="P581" s="19">
        <f t="shared" si="444"/>
        <v>50420</v>
      </c>
      <c r="Q581" s="13">
        <f t="shared" ca="1" si="445"/>
        <v>53</v>
      </c>
      <c r="R581" s="13" t="str">
        <f t="shared" si="446"/>
        <v>OK</v>
      </c>
      <c r="S581" s="13" t="str">
        <f t="shared" si="447"/>
        <v xml:space="preserve">+7 (903) 901-23-45</v>
      </c>
      <c r="T581" s="13" t="str">
        <f t="shared" si="448"/>
        <v>mitrofanova@gmail</v>
      </c>
      <c r="U581" s="18" t="str">
        <f t="shared" si="449"/>
        <v xml:space="preserve">Ошибка Email</v>
      </c>
      <c r="V581" s="13" t="str">
        <f>IFERROR(VLOOKUP(K581,Справочники!$K$6:$L$13,2,0),K581)</f>
        <v>Элиста</v>
      </c>
    </row>
    <row r="582" ht="15" customHeight="1">
      <c r="A582" s="10">
        <v>580</v>
      </c>
      <c r="B582" s="11" t="str">
        <f>RAW_Клиенты!A581</f>
        <v>C0580</v>
      </c>
      <c r="C582" s="11" t="str">
        <f>RAW_Клиенты!B581</f>
        <v xml:space="preserve">Лысов Денис Сергеевич</v>
      </c>
      <c r="D582" s="11" t="str">
        <f>RAW_Клиенты!C581</f>
        <v>07.09.1981</v>
      </c>
      <c r="E582" s="11" t="str">
        <f>RAW_Клиенты!D581</f>
        <v>+79039012345</v>
      </c>
      <c r="F582" s="11" t="str">
        <f>RAW_Клиенты!E581</f>
        <v>lysov@mail</v>
      </c>
      <c r="G582" s="11" t="str">
        <f>RAW_Клиенты!F581</f>
        <v>Орск</v>
      </c>
      <c r="H582" s="11" t="str">
        <f>RAW_Клиенты!G581</f>
        <v>01.02.2038</v>
      </c>
      <c r="I582" s="12" t="str">
        <f t="shared" si="437"/>
        <v>79039012345</v>
      </c>
      <c r="J582" s="12" t="str">
        <f t="shared" si="438"/>
        <v>lysov@mail</v>
      </c>
      <c r="K582" s="12" t="str">
        <f t="shared" si="439"/>
        <v>Орск</v>
      </c>
      <c r="L582" s="13" t="str">
        <f t="shared" si="440"/>
        <v>C0580</v>
      </c>
      <c r="M582" s="13" t="str">
        <f t="shared" si="441"/>
        <v xml:space="preserve">Лысов Денис Сергеевич</v>
      </c>
      <c r="N582" s="13" t="str">
        <f t="shared" si="442"/>
        <v>OK</v>
      </c>
      <c r="O582" s="19">
        <f t="shared" si="443"/>
        <v>29836</v>
      </c>
      <c r="P582" s="19">
        <f t="shared" si="444"/>
        <v>50437</v>
      </c>
      <c r="Q582" s="13">
        <f t="shared" ca="1" si="445"/>
        <v>45</v>
      </c>
      <c r="R582" s="13" t="str">
        <f t="shared" si="446"/>
        <v>OK</v>
      </c>
      <c r="S582" s="13" t="str">
        <f t="shared" si="447"/>
        <v xml:space="preserve">+7 (903) 901-23-45</v>
      </c>
      <c r="T582" s="13" t="str">
        <f t="shared" si="448"/>
        <v>lysov@mail</v>
      </c>
      <c r="U582" s="18" t="str">
        <f t="shared" si="449"/>
        <v xml:space="preserve">Ошибка Email</v>
      </c>
      <c r="V582" s="13" t="str">
        <f>IFERROR(VLOOKUP(K582,Справочники!$K$6:$L$13,2,0),K582)</f>
        <v>Орск</v>
      </c>
    </row>
    <row r="583" ht="15" customHeight="1">
      <c r="A583" s="10">
        <v>581</v>
      </c>
      <c r="B583" s="11" t="str">
        <f>RAW_Клиенты!A582</f>
        <v>C0581</v>
      </c>
      <c r="C583" s="11" t="str">
        <f>RAW_Клиенты!B582</f>
        <v xml:space="preserve">Горбачева Ольга Владимировна</v>
      </c>
      <c r="D583" s="11" t="str">
        <f>RAW_Клиенты!C582</f>
        <v>24.07.1986</v>
      </c>
      <c r="E583" s="11" t="str">
        <f>RAW_Клиенты!D582</f>
        <v>8-903-901-23-45</v>
      </c>
      <c r="F583" s="11" t="str">
        <f>RAW_Клиенты!E582</f>
        <v>gorbacheva@yandex</v>
      </c>
      <c r="G583" s="11" t="str">
        <f>RAW_Клиенты!F582</f>
        <v>Нижневартовск</v>
      </c>
      <c r="H583" s="11" t="str">
        <f>RAW_Клиенты!G582</f>
        <v>2038-02-10</v>
      </c>
      <c r="I583" s="12" t="str">
        <f t="shared" si="437"/>
        <v>89039012345</v>
      </c>
      <c r="J583" s="12" t="str">
        <f t="shared" si="438"/>
        <v>gorbacheva@yandex</v>
      </c>
      <c r="K583" s="12" t="str">
        <f t="shared" si="439"/>
        <v>Нижневартовск</v>
      </c>
      <c r="L583" s="13" t="str">
        <f t="shared" si="440"/>
        <v>C0581</v>
      </c>
      <c r="M583" s="13" t="str">
        <f t="shared" si="441"/>
        <v xml:space="preserve">Горбачева Ольга Владимировна</v>
      </c>
      <c r="N583" s="13" t="str">
        <f t="shared" si="442"/>
        <v>OK</v>
      </c>
      <c r="O583" s="19">
        <f t="shared" si="443"/>
        <v>31617</v>
      </c>
      <c r="P583" s="19">
        <f t="shared" si="444"/>
        <v>50446</v>
      </c>
      <c r="Q583" s="13">
        <f t="shared" ca="1" si="445"/>
        <v>40</v>
      </c>
      <c r="R583" s="13" t="str">
        <f t="shared" si="446"/>
        <v>OK</v>
      </c>
      <c r="S583" s="13" t="str">
        <f t="shared" si="447"/>
        <v xml:space="preserve">+7 (903) 901-23-45</v>
      </c>
      <c r="T583" s="13" t="str">
        <f t="shared" si="448"/>
        <v>gorbacheva@yandex</v>
      </c>
      <c r="U583" s="18" t="str">
        <f t="shared" si="449"/>
        <v xml:space="preserve">Ошибка Email</v>
      </c>
      <c r="V583" s="13" t="str">
        <f>IFERROR(VLOOKUP(K583,Справочники!$K$6:$L$13,2,0),K583)</f>
        <v>Нижневартовск</v>
      </c>
    </row>
    <row r="584" ht="15" customHeight="1">
      <c r="A584" s="10">
        <v>582</v>
      </c>
      <c r="B584" s="11" t="str">
        <f>RAW_Клиенты!A583</f>
        <v>C0582</v>
      </c>
      <c r="C584" s="11" t="str">
        <f>RAW_Клиенты!B583</f>
        <v xml:space="preserve">Сыроваткин Илья Алексеевич</v>
      </c>
      <c r="D584" s="11" t="str">
        <f>RAW_Клиенты!C583</f>
        <v>01.12.1977</v>
      </c>
      <c r="E584" s="11" t="str">
        <f>RAW_Клиенты!D583</f>
        <v xml:space="preserve">8 903 012 34 56</v>
      </c>
      <c r="F584" s="11" t="str">
        <f>RAW_Клиенты!E583</f>
        <v>syrovatkin@gmail</v>
      </c>
      <c r="G584" s="11" t="str">
        <f>RAW_Клиенты!F583</f>
        <v>Новороссийск</v>
      </c>
      <c r="H584" s="11" t="str">
        <f>RAW_Клиенты!G583</f>
        <v>10.02.2038</v>
      </c>
      <c r="I584" s="12" t="str">
        <f t="shared" si="437"/>
        <v>89030123456</v>
      </c>
      <c r="J584" s="12" t="str">
        <f t="shared" si="438"/>
        <v>syrovatkin@gmail</v>
      </c>
      <c r="K584" s="12" t="str">
        <f t="shared" si="439"/>
        <v>Новороссийск</v>
      </c>
      <c r="L584" s="13" t="str">
        <f t="shared" si="440"/>
        <v>C0582</v>
      </c>
      <c r="M584" s="13" t="str">
        <f t="shared" si="441"/>
        <v xml:space="preserve">Сыроваткин Илья Алексеевич</v>
      </c>
      <c r="N584" s="13" t="str">
        <f t="shared" si="442"/>
        <v>OK</v>
      </c>
      <c r="O584" s="19">
        <f t="shared" si="443"/>
        <v>28460</v>
      </c>
      <c r="P584" s="19">
        <f t="shared" si="444"/>
        <v>50446</v>
      </c>
      <c r="Q584" s="13">
        <f t="shared" ca="1" si="445"/>
        <v>48</v>
      </c>
      <c r="R584" s="13" t="str">
        <f t="shared" si="446"/>
        <v>OK</v>
      </c>
      <c r="S584" s="13" t="str">
        <f t="shared" si="447"/>
        <v xml:space="preserve">+7 (903) 012-34-56</v>
      </c>
      <c r="T584" s="13" t="str">
        <f t="shared" si="448"/>
        <v>syrovatkin@gmail</v>
      </c>
      <c r="U584" s="18" t="str">
        <f t="shared" si="449"/>
        <v xml:space="preserve">Ошибка Email</v>
      </c>
      <c r="V584" s="13" t="str">
        <f>IFERROR(VLOOKUP(K584,Справочники!$K$6:$L$13,2,0),K584)</f>
        <v>Новороссийск</v>
      </c>
    </row>
    <row r="585" ht="15" customHeight="1">
      <c r="A585" s="10">
        <v>583</v>
      </c>
      <c r="B585" s="11" t="str">
        <f>RAW_Клиенты!A584</f>
        <v>C0583</v>
      </c>
      <c r="C585" s="11" t="str">
        <f>RAW_Клиенты!B584</f>
        <v xml:space="preserve">Блинова Екатерина Сергеевна</v>
      </c>
      <c r="D585" s="11" t="str">
        <f>RAW_Клиенты!C584</f>
        <v>14.04.1983</v>
      </c>
      <c r="E585" s="11" t="str">
        <f>RAW_Клиенты!D584</f>
        <v>+79030123456</v>
      </c>
      <c r="F585" s="11" t="str">
        <f>RAW_Клиенты!E584</f>
        <v>blinova@mail</v>
      </c>
      <c r="G585" s="11" t="str">
        <f>RAW_Клиенты!F584</f>
        <v>Химки</v>
      </c>
      <c r="H585" s="11" t="str">
        <f>RAW_Клиенты!G584</f>
        <v>01.03.2038</v>
      </c>
      <c r="I585" s="12" t="str">
        <f t="shared" si="437"/>
        <v>79030123456</v>
      </c>
      <c r="J585" s="12" t="str">
        <f t="shared" si="438"/>
        <v>blinova@mail</v>
      </c>
      <c r="K585" s="12" t="str">
        <f t="shared" si="439"/>
        <v>Химки</v>
      </c>
      <c r="L585" s="13" t="str">
        <f t="shared" si="440"/>
        <v>C0583</v>
      </c>
      <c r="M585" s="13" t="str">
        <f t="shared" si="441"/>
        <v xml:space="preserve">Блинова Екатерина Сергеевна</v>
      </c>
      <c r="N585" s="13" t="str">
        <f t="shared" si="442"/>
        <v>OK</v>
      </c>
      <c r="O585" s="19">
        <f t="shared" si="443"/>
        <v>30420</v>
      </c>
      <c r="P585" s="19">
        <f t="shared" si="444"/>
        <v>50465</v>
      </c>
      <c r="Q585" s="13">
        <f t="shared" ca="1" si="445"/>
        <v>43</v>
      </c>
      <c r="R585" s="13" t="str">
        <f t="shared" si="446"/>
        <v>OK</v>
      </c>
      <c r="S585" s="13" t="str">
        <f t="shared" si="447"/>
        <v xml:space="preserve">+7 (903) 012-34-56</v>
      </c>
      <c r="T585" s="13" t="str">
        <f t="shared" si="448"/>
        <v>blinova@mail</v>
      </c>
      <c r="U585" s="18" t="str">
        <f t="shared" si="449"/>
        <v xml:space="preserve">Ошибка Email</v>
      </c>
      <c r="V585" s="13" t="str">
        <f>IFERROR(VLOOKUP(K585,Справочники!$K$6:$L$13,2,0),K585)</f>
        <v>Химки</v>
      </c>
    </row>
    <row r="586" ht="15" customHeight="1">
      <c r="A586" s="10">
        <v>584</v>
      </c>
      <c r="B586" s="11" t="str">
        <f>RAW_Клиенты!A585</f>
        <v>C0584</v>
      </c>
      <c r="C586" s="11" t="str">
        <f>RAW_Клиенты!B585</f>
        <v xml:space="preserve">Кочнев Андрей Павлович</v>
      </c>
      <c r="D586" s="11" t="str">
        <f>RAW_Клиенты!C585</f>
        <v>21.10.1989</v>
      </c>
      <c r="E586" s="11" t="str">
        <f>RAW_Клиенты!D585</f>
        <v>8-903-012-34-56</v>
      </c>
      <c r="F586" s="11" t="str">
        <f>RAW_Клиенты!E585</f>
        <v>kochnev@yandex</v>
      </c>
      <c r="G586" s="11" t="str">
        <f>RAW_Клиенты!F585</f>
        <v>Подольск</v>
      </c>
      <c r="H586" s="11" t="str">
        <f>RAW_Клиенты!G585</f>
        <v>2038-03-15</v>
      </c>
      <c r="I586" s="12" t="str">
        <f t="shared" si="437"/>
        <v>89030123456</v>
      </c>
      <c r="J586" s="12" t="str">
        <f t="shared" si="438"/>
        <v>kochnev@yandex</v>
      </c>
      <c r="K586" s="12" t="str">
        <f t="shared" si="439"/>
        <v>Подольск</v>
      </c>
      <c r="L586" s="13" t="str">
        <f t="shared" si="440"/>
        <v>C0584</v>
      </c>
      <c r="M586" s="13" t="str">
        <f t="shared" si="441"/>
        <v xml:space="preserve">Кочнев Андрей Павлович</v>
      </c>
      <c r="N586" s="13" t="str">
        <f t="shared" si="442"/>
        <v>OK</v>
      </c>
      <c r="O586" s="19">
        <f t="shared" si="443"/>
        <v>32802</v>
      </c>
      <c r="P586" s="19">
        <f t="shared" si="444"/>
        <v>50479</v>
      </c>
      <c r="Q586" s="13">
        <f t="shared" ca="1" si="445"/>
        <v>36</v>
      </c>
      <c r="R586" s="13" t="str">
        <f t="shared" si="446"/>
        <v>OK</v>
      </c>
      <c r="S586" s="13" t="str">
        <f t="shared" si="447"/>
        <v xml:space="preserve">+7 (903) 012-34-56</v>
      </c>
      <c r="T586" s="13" t="str">
        <f t="shared" si="448"/>
        <v>kochnev@yandex</v>
      </c>
      <c r="U586" s="18" t="str">
        <f t="shared" si="449"/>
        <v xml:space="preserve">Ошибка Email</v>
      </c>
      <c r="V586" s="13" t="str">
        <f>IFERROR(VLOOKUP(K586,Справочники!$K$6:$L$13,2,0),K586)</f>
        <v>Подольск</v>
      </c>
    </row>
    <row r="587" ht="15" customHeight="1">
      <c r="A587" s="10">
        <v>585</v>
      </c>
      <c r="B587" s="11" t="str">
        <f>RAW_Клиенты!A586</f>
        <v>C0585</v>
      </c>
      <c r="C587" s="11" t="str">
        <f>RAW_Клиенты!B586</f>
        <v xml:space="preserve">Шаповалова Мария Олеговна</v>
      </c>
      <c r="D587" s="11" t="str">
        <f>RAW_Клиенты!C586</f>
        <v>11.03.1975</v>
      </c>
      <c r="E587" s="11" t="str">
        <f>RAW_Клиенты!D586</f>
        <v xml:space="preserve">8 903 123 45 67</v>
      </c>
      <c r="F587" s="11" t="str">
        <f>RAW_Клиенты!E586</f>
        <v>shapovalova@gmail</v>
      </c>
      <c r="G587" s="11" t="str">
        <f>RAW_Клиенты!F586</f>
        <v>Балашиха</v>
      </c>
      <c r="H587" s="11" t="str">
        <f>RAW_Клиенты!G586</f>
        <v>15.03.2038</v>
      </c>
      <c r="I587" s="12" t="str">
        <f t="shared" si="437"/>
        <v>89031234567</v>
      </c>
      <c r="J587" s="12" t="str">
        <f t="shared" si="438"/>
        <v>shapovalova@gmail</v>
      </c>
      <c r="K587" s="12" t="str">
        <f t="shared" si="439"/>
        <v>Балашиха</v>
      </c>
      <c r="L587" s="13" t="str">
        <f t="shared" si="440"/>
        <v>C0585</v>
      </c>
      <c r="M587" s="13" t="str">
        <f t="shared" si="441"/>
        <v xml:space="preserve">Шаповалова Мария Олеговна</v>
      </c>
      <c r="N587" s="13" t="str">
        <f t="shared" si="442"/>
        <v>OK</v>
      </c>
      <c r="O587" s="19">
        <f t="shared" si="443"/>
        <v>27464</v>
      </c>
      <c r="P587" s="19">
        <f t="shared" si="444"/>
        <v>50479</v>
      </c>
      <c r="Q587" s="13">
        <f t="shared" ca="1" si="445"/>
        <v>51</v>
      </c>
      <c r="R587" s="13" t="str">
        <f t="shared" si="446"/>
        <v>OK</v>
      </c>
      <c r="S587" s="13" t="str">
        <f t="shared" si="447"/>
        <v xml:space="preserve">+7 (903) 123-45-67</v>
      </c>
      <c r="T587" s="13" t="str">
        <f t="shared" si="448"/>
        <v>shapovalova@gmail</v>
      </c>
      <c r="U587" s="18" t="str">
        <f t="shared" si="449"/>
        <v xml:space="preserve">Ошибка Email</v>
      </c>
      <c r="V587" s="13" t="str">
        <f>IFERROR(VLOOKUP(K587,Справочники!$K$6:$L$13,2,0),K587)</f>
        <v>Балашиха</v>
      </c>
    </row>
    <row r="588" ht="15" customHeight="1">
      <c r="A588" s="10">
        <v>586</v>
      </c>
      <c r="B588" s="11" t="str">
        <f>RAW_Клиенты!A587</f>
        <v>C0586</v>
      </c>
      <c r="C588" s="11" t="str">
        <f>RAW_Клиенты!B587</f>
        <v xml:space="preserve">Попов Денис Викторович</v>
      </c>
      <c r="D588" s="11" t="str">
        <f>RAW_Клиенты!C587</f>
        <v>05.08.1984</v>
      </c>
      <c r="E588" s="11" t="str">
        <f>RAW_Клиенты!D587</f>
        <v>+79031234567</v>
      </c>
      <c r="F588" s="11" t="str">
        <f>RAW_Клиенты!E587</f>
        <v>popov@mail</v>
      </c>
      <c r="G588" s="11" t="str">
        <f>RAW_Клиенты!F587</f>
        <v>Сургут</v>
      </c>
      <c r="H588" s="11" t="str">
        <f>RAW_Клиенты!G587</f>
        <v>01.04.2038</v>
      </c>
      <c r="I588" s="12" t="str">
        <f t="shared" si="437"/>
        <v>79031234567</v>
      </c>
      <c r="J588" s="12" t="str">
        <f t="shared" si="438"/>
        <v>popov@mail</v>
      </c>
      <c r="K588" s="12" t="str">
        <f t="shared" si="439"/>
        <v>Сургут</v>
      </c>
      <c r="L588" s="13" t="str">
        <f t="shared" si="440"/>
        <v>C0586</v>
      </c>
      <c r="M588" s="13" t="str">
        <f t="shared" si="441"/>
        <v xml:space="preserve">Попов Денис Викторович</v>
      </c>
      <c r="N588" s="13" t="str">
        <f t="shared" si="442"/>
        <v>OK</v>
      </c>
      <c r="O588" s="19">
        <f t="shared" si="443"/>
        <v>30899</v>
      </c>
      <c r="P588" s="19">
        <f t="shared" si="444"/>
        <v>50496</v>
      </c>
      <c r="Q588" s="13">
        <f t="shared" ca="1" si="445"/>
        <v>42</v>
      </c>
      <c r="R588" s="13" t="str">
        <f t="shared" si="446"/>
        <v>OK</v>
      </c>
      <c r="S588" s="13" t="str">
        <f t="shared" si="447"/>
        <v xml:space="preserve">+7 (903) 123-45-67</v>
      </c>
      <c r="T588" s="13" t="str">
        <f t="shared" si="448"/>
        <v>popov@mail</v>
      </c>
      <c r="U588" s="18" t="str">
        <f t="shared" si="449"/>
        <v xml:space="preserve">Ошибка Email</v>
      </c>
      <c r="V588" s="13" t="str">
        <f>IFERROR(VLOOKUP(K588,Справочники!$K$6:$L$13,2,0),K588)</f>
        <v>Сургут</v>
      </c>
    </row>
    <row r="589" ht="15" customHeight="1">
      <c r="A589" s="10">
        <v>587</v>
      </c>
      <c r="B589" s="11" t="str">
        <f>RAW_Клиенты!A588</f>
        <v>C0587</v>
      </c>
      <c r="C589" s="11" t="str">
        <f>RAW_Клиенты!B588</f>
        <v xml:space="preserve">Тарасова Ольга Павловна</v>
      </c>
      <c r="D589" s="11" t="str">
        <f>RAW_Клиенты!C588</f>
        <v>26.11.1991</v>
      </c>
      <c r="E589" s="11" t="str">
        <f>RAW_Клиенты!D588</f>
        <v>8-903-123-45-67</v>
      </c>
      <c r="F589" s="11" t="str">
        <f>RAW_Клиенты!E588</f>
        <v>tarasova@yandex</v>
      </c>
      <c r="G589" s="11" t="str">
        <f>RAW_Клиенты!F588</f>
        <v>Армавир</v>
      </c>
      <c r="H589" s="11" t="str">
        <f>RAW_Клиенты!G588</f>
        <v>2038-04-10</v>
      </c>
      <c r="I589" s="12" t="str">
        <f t="shared" si="437"/>
        <v>89031234567</v>
      </c>
      <c r="J589" s="12" t="str">
        <f t="shared" si="438"/>
        <v>tarasova@yandex</v>
      </c>
      <c r="K589" s="12" t="str">
        <f t="shared" si="439"/>
        <v>Армавир</v>
      </c>
      <c r="L589" s="13" t="str">
        <f t="shared" si="440"/>
        <v>C0587</v>
      </c>
      <c r="M589" s="13" t="str">
        <f t="shared" si="441"/>
        <v xml:space="preserve">Тарасова Ольга Павловна</v>
      </c>
      <c r="N589" s="13" t="str">
        <f t="shared" si="442"/>
        <v>OK</v>
      </c>
      <c r="O589" s="19">
        <f t="shared" si="443"/>
        <v>33568</v>
      </c>
      <c r="P589" s="19">
        <f t="shared" si="444"/>
        <v>50505</v>
      </c>
      <c r="Q589" s="13">
        <f t="shared" ca="1" si="445"/>
        <v>34</v>
      </c>
      <c r="R589" s="13" t="str">
        <f t="shared" si="446"/>
        <v>OK</v>
      </c>
      <c r="S589" s="13" t="str">
        <f t="shared" si="447"/>
        <v xml:space="preserve">+7 (903) 123-45-67</v>
      </c>
      <c r="T589" s="13" t="str">
        <f t="shared" si="448"/>
        <v>tarasova@yandex</v>
      </c>
      <c r="U589" s="18" t="str">
        <f t="shared" si="449"/>
        <v xml:space="preserve">Ошибка Email</v>
      </c>
      <c r="V589" s="13" t="str">
        <f>IFERROR(VLOOKUP(K589,Справочники!$K$6:$L$13,2,0),K589)</f>
        <v>Армавир</v>
      </c>
    </row>
    <row r="590" ht="15" customHeight="1">
      <c r="A590" s="10">
        <v>588</v>
      </c>
      <c r="B590" s="11" t="str">
        <f>RAW_Клиенты!A589</f>
        <v>C0588</v>
      </c>
      <c r="C590" s="11" t="str">
        <f>RAW_Клиенты!B589</f>
        <v xml:space="preserve">Грибов Илья Александрович</v>
      </c>
      <c r="D590" s="11" t="str">
        <f>RAW_Клиенты!C589</f>
        <v>30.06.1972</v>
      </c>
      <c r="E590" s="11" t="str">
        <f>RAW_Клиенты!D589</f>
        <v xml:space="preserve">8 903 234 56 78</v>
      </c>
      <c r="F590" s="11" t="str">
        <f>RAW_Клиенты!E589</f>
        <v>gribov@gmail</v>
      </c>
      <c r="G590" s="11" t="str">
        <f>RAW_Клиенты!F589</f>
        <v>Волжский</v>
      </c>
      <c r="H590" s="11" t="str">
        <f>RAW_Клиенты!G589</f>
        <v>10.04.2038</v>
      </c>
      <c r="I590" s="12" t="str">
        <f t="shared" si="437"/>
        <v>89032345678</v>
      </c>
      <c r="J590" s="12" t="str">
        <f t="shared" si="438"/>
        <v>gribov@gmail</v>
      </c>
      <c r="K590" s="12" t="str">
        <f t="shared" si="439"/>
        <v>Волжский</v>
      </c>
      <c r="L590" s="13" t="str">
        <f t="shared" si="440"/>
        <v>C0588</v>
      </c>
      <c r="M590" s="13" t="str">
        <f t="shared" si="441"/>
        <v xml:space="preserve">Грибов Илья Александрович</v>
      </c>
      <c r="N590" s="13" t="str">
        <f t="shared" si="442"/>
        <v>OK</v>
      </c>
      <c r="O590" s="19">
        <f t="shared" si="443"/>
        <v>26480</v>
      </c>
      <c r="P590" s="19">
        <f t="shared" si="444"/>
        <v>50505</v>
      </c>
      <c r="Q590" s="13">
        <f t="shared" ca="1" si="445"/>
        <v>54</v>
      </c>
      <c r="R590" s="13" t="str">
        <f t="shared" si="446"/>
        <v>OK</v>
      </c>
      <c r="S590" s="13" t="str">
        <f t="shared" si="447"/>
        <v xml:space="preserve">+7 (903) 234-56-78</v>
      </c>
      <c r="T590" s="13" t="str">
        <f t="shared" si="448"/>
        <v>gribov@gmail</v>
      </c>
      <c r="U590" s="18" t="str">
        <f t="shared" si="449"/>
        <v xml:space="preserve">Ошибка Email</v>
      </c>
      <c r="V590" s="13" t="str">
        <f>IFERROR(VLOOKUP(K590,Справочники!$K$6:$L$13,2,0),K590)</f>
        <v>Волжский</v>
      </c>
    </row>
    <row r="591" ht="15" customHeight="1">
      <c r="A591" s="10">
        <v>589</v>
      </c>
      <c r="B591" s="11" t="str">
        <f>RAW_Клиенты!A590</f>
        <v>C0589</v>
      </c>
      <c r="C591" s="11" t="str">
        <f>RAW_Клиенты!B590</f>
        <v xml:space="preserve">Костюкова Екатерина Сергеевна</v>
      </c>
      <c r="D591" s="11" t="str">
        <f>RAW_Клиенты!C590</f>
        <v>16.09.1980</v>
      </c>
      <c r="E591" s="11" t="str">
        <f>RAW_Клиенты!D590</f>
        <v>+79032345678</v>
      </c>
      <c r="F591" s="11" t="str">
        <f>RAW_Клиенты!E590</f>
        <v>kostyukova@mail</v>
      </c>
      <c r="G591" s="11" t="str">
        <f>RAW_Клиенты!F590</f>
        <v>Шахты</v>
      </c>
      <c r="H591" s="11" t="str">
        <f>RAW_Клиенты!G590</f>
        <v>01.05.2038</v>
      </c>
      <c r="I591" s="12" t="str">
        <f t="shared" si="437"/>
        <v>79032345678</v>
      </c>
      <c r="J591" s="12" t="str">
        <f t="shared" si="438"/>
        <v>kostyukova@mail</v>
      </c>
      <c r="K591" s="12" t="str">
        <f t="shared" si="439"/>
        <v>Шахты</v>
      </c>
      <c r="L591" s="13" t="str">
        <f t="shared" si="440"/>
        <v>C0589</v>
      </c>
      <c r="M591" s="13" t="str">
        <f t="shared" si="441"/>
        <v xml:space="preserve">Костюкова Екатерина Сергеевна</v>
      </c>
      <c r="N591" s="13" t="str">
        <f t="shared" si="442"/>
        <v>OK</v>
      </c>
      <c r="O591" s="19">
        <f t="shared" si="443"/>
        <v>29480</v>
      </c>
      <c r="P591" s="19">
        <f t="shared" si="444"/>
        <v>50526</v>
      </c>
      <c r="Q591" s="13">
        <f t="shared" ca="1" si="445"/>
        <v>46</v>
      </c>
      <c r="R591" s="13" t="str">
        <f t="shared" si="446"/>
        <v>OK</v>
      </c>
      <c r="S591" s="13" t="str">
        <f t="shared" si="447"/>
        <v xml:space="preserve">+7 (903) 234-56-78</v>
      </c>
      <c r="T591" s="13" t="str">
        <f t="shared" si="448"/>
        <v>kostyukova@mail</v>
      </c>
      <c r="U591" s="18" t="str">
        <f t="shared" si="449"/>
        <v xml:space="preserve">Ошибка Email</v>
      </c>
      <c r="V591" s="13" t="str">
        <f>IFERROR(VLOOKUP(K591,Справочники!$K$6:$L$13,2,0),K591)</f>
        <v>Шахты</v>
      </c>
    </row>
    <row r="592" ht="15" customHeight="1">
      <c r="A592" s="10">
        <v>590</v>
      </c>
      <c r="B592" s="11" t="str">
        <f>RAW_Клиенты!A591</f>
        <v>C0590</v>
      </c>
      <c r="C592" s="11" t="str">
        <f>RAW_Клиенты!B591</f>
        <v xml:space="preserve">Чеботарев Андрей Олегович</v>
      </c>
      <c r="D592" s="11" t="str">
        <f>RAW_Клиенты!C591</f>
        <v>22.03.1987</v>
      </c>
      <c r="E592" s="11" t="str">
        <f>RAW_Клиенты!D591</f>
        <v>8-903-234-56-78</v>
      </c>
      <c r="F592" s="11" t="str">
        <f>RAW_Клиенты!E591</f>
        <v>chebotarev@yandex</v>
      </c>
      <c r="G592" s="11" t="str">
        <f>RAW_Клиенты!F591</f>
        <v>Златоуст</v>
      </c>
      <c r="H592" s="11" t="str">
        <f>RAW_Клиенты!G591</f>
        <v>2038-05-15</v>
      </c>
      <c r="I592" s="12" t="str">
        <f t="shared" si="437"/>
        <v>89032345678</v>
      </c>
      <c r="J592" s="12" t="str">
        <f t="shared" si="438"/>
        <v>chebotarev@yandex</v>
      </c>
      <c r="K592" s="12" t="str">
        <f t="shared" si="439"/>
        <v>Златоуст</v>
      </c>
      <c r="L592" s="13" t="str">
        <f t="shared" si="440"/>
        <v>C0590</v>
      </c>
      <c r="M592" s="13" t="str">
        <f t="shared" si="441"/>
        <v xml:space="preserve">Чеботарев Андрей Олегович</v>
      </c>
      <c r="N592" s="13" t="str">
        <f t="shared" si="442"/>
        <v>OK</v>
      </c>
      <c r="O592" s="19">
        <f t="shared" si="443"/>
        <v>31858</v>
      </c>
      <c r="P592" s="19">
        <f t="shared" si="444"/>
        <v>50540</v>
      </c>
      <c r="Q592" s="13">
        <f t="shared" ca="1" si="445"/>
        <v>39</v>
      </c>
      <c r="R592" s="13" t="str">
        <f t="shared" si="446"/>
        <v>OK</v>
      </c>
      <c r="S592" s="13" t="str">
        <f t="shared" si="447"/>
        <v xml:space="preserve">+7 (903) 234-56-78</v>
      </c>
      <c r="T592" s="13" t="str">
        <f t="shared" si="448"/>
        <v>chebotarev@yandex</v>
      </c>
      <c r="U592" s="18" t="str">
        <f t="shared" si="449"/>
        <v xml:space="preserve">Ошибка Email</v>
      </c>
      <c r="V592" s="13" t="str">
        <f>IFERROR(VLOOKUP(K592,Справочники!$K$6:$L$13,2,0),K592)</f>
        <v>Златоуст</v>
      </c>
    </row>
    <row r="593" ht="15" customHeight="1">
      <c r="A593" s="10">
        <v>591</v>
      </c>
      <c r="B593" s="11" t="str">
        <f>RAW_Клиенты!A592</f>
        <v>C0591</v>
      </c>
      <c r="C593" s="11" t="str">
        <f>RAW_Клиенты!B592</f>
        <v xml:space="preserve">Зорина Мария Владимировна</v>
      </c>
      <c r="D593" s="11" t="str">
        <f>RAW_Клиенты!C592</f>
        <v>08.07.1976</v>
      </c>
      <c r="E593" s="11" t="str">
        <f>RAW_Клиенты!D592</f>
        <v xml:space="preserve">8 903 345 67 89</v>
      </c>
      <c r="F593" s="11" t="str">
        <f>RAW_Клиенты!E592</f>
        <v>zorina@gmail</v>
      </c>
      <c r="G593" s="11" t="str">
        <f>RAW_Клиенты!F592</f>
        <v>Ангарск</v>
      </c>
      <c r="H593" s="11" t="str">
        <f>RAW_Клиенты!G592</f>
        <v>15.05.2038</v>
      </c>
      <c r="I593" s="12" t="str">
        <f t="shared" si="437"/>
        <v>89033456789</v>
      </c>
      <c r="J593" s="12" t="str">
        <f t="shared" si="438"/>
        <v>zorina@gmail</v>
      </c>
      <c r="K593" s="12" t="str">
        <f t="shared" si="439"/>
        <v>Ангарск</v>
      </c>
      <c r="L593" s="13" t="str">
        <f t="shared" si="440"/>
        <v>C0591</v>
      </c>
      <c r="M593" s="13" t="str">
        <f t="shared" si="441"/>
        <v xml:space="preserve">Зорина Мария Владимировна</v>
      </c>
      <c r="N593" s="13" t="str">
        <f t="shared" si="442"/>
        <v>OK</v>
      </c>
      <c r="O593" s="19">
        <f t="shared" si="443"/>
        <v>27949</v>
      </c>
      <c r="P593" s="19">
        <f t="shared" si="444"/>
        <v>50540</v>
      </c>
      <c r="Q593" s="13">
        <f t="shared" ca="1" si="445"/>
        <v>50</v>
      </c>
      <c r="R593" s="13" t="str">
        <f t="shared" si="446"/>
        <v>OK</v>
      </c>
      <c r="S593" s="13" t="str">
        <f t="shared" si="447"/>
        <v xml:space="preserve">+7 (903) 345-67-89</v>
      </c>
      <c r="T593" s="13" t="str">
        <f t="shared" si="448"/>
        <v>zorina@gmail</v>
      </c>
      <c r="U593" s="18" t="str">
        <f t="shared" si="449"/>
        <v xml:space="preserve">Ошибка Email</v>
      </c>
      <c r="V593" s="13" t="str">
        <f>IFERROR(VLOOKUP(K593,Справочники!$K$6:$L$13,2,0),K593)</f>
        <v>Ангарск</v>
      </c>
    </row>
    <row r="594" ht="15" customHeight="1">
      <c r="A594" s="10">
        <v>592</v>
      </c>
      <c r="B594" s="11" t="str">
        <f>RAW_Клиенты!A593</f>
        <v>C0592</v>
      </c>
      <c r="C594" s="11" t="str">
        <f>RAW_Клиенты!B593</f>
        <v xml:space="preserve">Лопатин Денис Павлович</v>
      </c>
      <c r="D594" s="11" t="str">
        <f>RAW_Клиенты!C593</f>
        <v>19.12.1983</v>
      </c>
      <c r="E594" s="11" t="str">
        <f>RAW_Клиенты!D593</f>
        <v>+79033456789</v>
      </c>
      <c r="F594" s="11" t="str">
        <f>RAW_Клиенты!E593</f>
        <v>lopatin@mail</v>
      </c>
      <c r="G594" s="11" t="str">
        <f>RAW_Клиенты!F593</f>
        <v>Озёрск</v>
      </c>
      <c r="H594" s="11" t="str">
        <f>RAW_Клиенты!G593</f>
        <v>01.06.2038</v>
      </c>
      <c r="I594" s="12" t="str">
        <f t="shared" si="437"/>
        <v>79033456789</v>
      </c>
      <c r="J594" s="12" t="str">
        <f t="shared" si="438"/>
        <v>lopatin@mail</v>
      </c>
      <c r="K594" s="12" t="str">
        <f t="shared" si="439"/>
        <v>Озёрск</v>
      </c>
      <c r="L594" s="13" t="str">
        <f t="shared" si="440"/>
        <v>C0592</v>
      </c>
      <c r="M594" s="13" t="str">
        <f t="shared" si="441"/>
        <v xml:space="preserve">Лопатин Денис Павлович</v>
      </c>
      <c r="N594" s="13" t="str">
        <f t="shared" si="442"/>
        <v>OK</v>
      </c>
      <c r="O594" s="19">
        <f t="shared" si="443"/>
        <v>30669</v>
      </c>
      <c r="P594" s="19">
        <f t="shared" si="444"/>
        <v>50557</v>
      </c>
      <c r="Q594" s="13">
        <f t="shared" ca="1" si="445"/>
        <v>42</v>
      </c>
      <c r="R594" s="13" t="str">
        <f t="shared" si="446"/>
        <v>OK</v>
      </c>
      <c r="S594" s="13" t="str">
        <f t="shared" si="447"/>
        <v xml:space="preserve">+7 (903) 345-67-89</v>
      </c>
      <c r="T594" s="13" t="str">
        <f t="shared" si="448"/>
        <v>lopatin@mail</v>
      </c>
      <c r="U594" s="18" t="str">
        <f t="shared" si="449"/>
        <v xml:space="preserve">Ошибка Email</v>
      </c>
      <c r="V594" s="13" t="str">
        <f>IFERROR(VLOOKUP(K594,Справочники!$K$6:$L$13,2,0),K594)</f>
        <v>Озёрск</v>
      </c>
    </row>
    <row r="595" ht="15" customHeight="1">
      <c r="A595" s="10">
        <v>593</v>
      </c>
      <c r="B595" s="11" t="str">
        <f>RAW_Клиенты!A594</f>
        <v>C0593</v>
      </c>
      <c r="C595" s="11" t="str">
        <f>RAW_Клиенты!B594</f>
        <v xml:space="preserve">Овсянникова Ольга Сергеевна</v>
      </c>
      <c r="D595" s="11" t="str">
        <f>RAW_Клиенты!C594</f>
        <v>01.05.1988</v>
      </c>
      <c r="E595" s="11" t="str">
        <f>RAW_Клиенты!D594</f>
        <v>8-903-345-67-89</v>
      </c>
      <c r="F595" s="11" t="str">
        <f>RAW_Клиенты!E594</f>
        <v>ovsyannikova@yandex</v>
      </c>
      <c r="G595" s="11" t="str">
        <f>RAW_Клиенты!F594</f>
        <v>Орел</v>
      </c>
      <c r="H595" s="11" t="str">
        <f>RAW_Клиенты!G594</f>
        <v>2038-06-10</v>
      </c>
      <c r="I595" s="12" t="str">
        <f t="shared" si="437"/>
        <v>89033456789</v>
      </c>
      <c r="J595" s="12" t="str">
        <f t="shared" si="438"/>
        <v>ovsyannikova@yandex</v>
      </c>
      <c r="K595" s="12" t="str">
        <f t="shared" si="439"/>
        <v>Орел</v>
      </c>
      <c r="L595" s="13" t="str">
        <f t="shared" si="440"/>
        <v>C0593</v>
      </c>
      <c r="M595" s="13" t="str">
        <f t="shared" si="441"/>
        <v xml:space="preserve">Овсянникова Ольга Сергеевна</v>
      </c>
      <c r="N595" s="13" t="str">
        <f t="shared" si="442"/>
        <v>OK</v>
      </c>
      <c r="O595" s="19">
        <f t="shared" si="443"/>
        <v>32264</v>
      </c>
      <c r="P595" s="19">
        <f t="shared" si="444"/>
        <v>50566</v>
      </c>
      <c r="Q595" s="13">
        <f t="shared" ca="1" si="445"/>
        <v>38</v>
      </c>
      <c r="R595" s="13" t="str">
        <f t="shared" si="446"/>
        <v>OK</v>
      </c>
      <c r="S595" s="13" t="str">
        <f t="shared" si="447"/>
        <v xml:space="preserve">+7 (903) 345-67-89</v>
      </c>
      <c r="T595" s="13" t="str">
        <f t="shared" si="448"/>
        <v>ovsyannikova@yandex</v>
      </c>
      <c r="U595" s="18" t="str">
        <f t="shared" si="449"/>
        <v xml:space="preserve">Ошибка Email</v>
      </c>
      <c r="V595" s="13" t="str">
        <f>IFERROR(VLOOKUP(K595,Справочники!$K$6:$L$13,2,0),K595)</f>
        <v>Орел</v>
      </c>
    </row>
    <row r="596" ht="15" customHeight="1">
      <c r="A596" s="10">
        <v>594</v>
      </c>
      <c r="B596" s="11" t="str">
        <f>RAW_Клиенты!A595</f>
        <v>C0594</v>
      </c>
      <c r="C596" s="11" t="str">
        <f>RAW_Клиенты!B595</f>
        <v xml:space="preserve">Руднев Илья Викторович</v>
      </c>
      <c r="D596" s="11" t="str">
        <f>RAW_Клиенты!C595</f>
        <v>17.10.1974</v>
      </c>
      <c r="E596" s="11" t="str">
        <f>RAW_Клиенты!D595</f>
        <v xml:space="preserve">8 903 456 78 90</v>
      </c>
      <c r="F596" s="11" t="str">
        <f>RAW_Клиенты!E595</f>
        <v>rudnev@gmail</v>
      </c>
      <c r="G596" s="11" t="str">
        <f>RAW_Клиенты!F595</f>
        <v>Магнитогорск</v>
      </c>
      <c r="H596" s="11" t="str">
        <f>RAW_Клиенты!G595</f>
        <v>10.06.2038</v>
      </c>
      <c r="I596" s="12" t="str">
        <f t="shared" si="437"/>
        <v>89034567890</v>
      </c>
      <c r="J596" s="12" t="str">
        <f t="shared" si="438"/>
        <v>rudnev@gmail</v>
      </c>
      <c r="K596" s="12" t="str">
        <f t="shared" si="439"/>
        <v>Магнитогорск</v>
      </c>
      <c r="L596" s="13" t="str">
        <f t="shared" si="440"/>
        <v>C0594</v>
      </c>
      <c r="M596" s="13" t="str">
        <f t="shared" si="441"/>
        <v xml:space="preserve">Руднев Илья Викторович</v>
      </c>
      <c r="N596" s="13" t="str">
        <f t="shared" si="442"/>
        <v>OK</v>
      </c>
      <c r="O596" s="19">
        <f t="shared" si="443"/>
        <v>27319</v>
      </c>
      <c r="P596" s="19">
        <f t="shared" si="444"/>
        <v>50566</v>
      </c>
      <c r="Q596" s="13">
        <f t="shared" ca="1" si="445"/>
        <v>51</v>
      </c>
      <c r="R596" s="13" t="str">
        <f t="shared" si="446"/>
        <v>OK</v>
      </c>
      <c r="S596" s="13" t="str">
        <f t="shared" si="447"/>
        <v xml:space="preserve">+7 (903) 456-78-90</v>
      </c>
      <c r="T596" s="13" t="str">
        <f t="shared" si="448"/>
        <v>rudnev@gmail</v>
      </c>
      <c r="U596" s="18" t="str">
        <f t="shared" si="449"/>
        <v xml:space="preserve">Ошибка Email</v>
      </c>
      <c r="V596" s="13" t="str">
        <f>IFERROR(VLOOKUP(K596,Справочники!$K$6:$L$13,2,0),K596)</f>
        <v>Магнитогорск</v>
      </c>
    </row>
    <row r="597" ht="15" customHeight="1">
      <c r="A597" s="10">
        <v>595</v>
      </c>
      <c r="B597" s="11" t="str">
        <f>RAW_Клиенты!A596</f>
        <v>C0595</v>
      </c>
      <c r="C597" s="11" t="str">
        <f>RAW_Клиенты!B596</f>
        <v xml:space="preserve">Кулагина Екатерина Алексеевна</v>
      </c>
      <c r="D597" s="11" t="str">
        <f>RAW_Клиенты!C596</f>
        <v>25.02.1982</v>
      </c>
      <c r="E597" s="11" t="str">
        <f>RAW_Клиенты!D596</f>
        <v>+79034567890</v>
      </c>
      <c r="F597" s="11" t="str">
        <f>RAW_Клиенты!E596</f>
        <v>kulagina@mail</v>
      </c>
      <c r="G597" s="11" t="str">
        <f>RAW_Клиенты!F596</f>
        <v>Якутск</v>
      </c>
      <c r="H597" s="11" t="str">
        <f>RAW_Клиенты!G596</f>
        <v>01.07.2038</v>
      </c>
      <c r="I597" s="12" t="str">
        <f t="shared" si="437"/>
        <v>79034567890</v>
      </c>
      <c r="J597" s="12" t="str">
        <f t="shared" si="438"/>
        <v>kulagina@mail</v>
      </c>
      <c r="K597" s="12" t="str">
        <f t="shared" si="439"/>
        <v>Якутск</v>
      </c>
      <c r="L597" s="13" t="str">
        <f t="shared" si="440"/>
        <v>C0595</v>
      </c>
      <c r="M597" s="13" t="str">
        <f t="shared" si="441"/>
        <v xml:space="preserve">Кулагина Екатерина Алексеевна</v>
      </c>
      <c r="N597" s="13" t="str">
        <f t="shared" si="442"/>
        <v>OK</v>
      </c>
      <c r="O597" s="19">
        <f t="shared" si="443"/>
        <v>30007</v>
      </c>
      <c r="P597" s="19">
        <f t="shared" si="444"/>
        <v>50587</v>
      </c>
      <c r="Q597" s="13">
        <f t="shared" ca="1" si="445"/>
        <v>44</v>
      </c>
      <c r="R597" s="13" t="str">
        <f t="shared" si="446"/>
        <v>OK</v>
      </c>
      <c r="S597" s="13" t="str">
        <f t="shared" si="447"/>
        <v xml:space="preserve">+7 (903) 456-78-90</v>
      </c>
      <c r="T597" s="13" t="str">
        <f t="shared" si="448"/>
        <v>kulagina@mail</v>
      </c>
      <c r="U597" s="18" t="str">
        <f t="shared" si="449"/>
        <v xml:space="preserve">Ошибка Email</v>
      </c>
      <c r="V597" s="13" t="str">
        <f>IFERROR(VLOOKUP(K597,Справочники!$K$6:$L$13,2,0),K597)</f>
        <v>Якутск</v>
      </c>
    </row>
    <row r="598" ht="15" customHeight="1">
      <c r="A598" s="10">
        <v>596</v>
      </c>
      <c r="B598" s="11" t="str">
        <f>RAW_Клиенты!A597</f>
        <v>C0596</v>
      </c>
      <c r="C598" s="11" t="str">
        <f>RAW_Клиенты!B597</f>
        <v xml:space="preserve">Прохоров Андрей Олегович</v>
      </c>
      <c r="D598" s="11" t="str">
        <f>RAW_Клиенты!C597</f>
        <v>06.08.1990</v>
      </c>
      <c r="E598" s="11" t="str">
        <f>RAW_Клиенты!D597</f>
        <v>8-903-456-78-90</v>
      </c>
      <c r="F598" s="11" t="str">
        <f>RAW_Клиенты!E597</f>
        <v>prohorov@yandex</v>
      </c>
      <c r="G598" s="11" t="str">
        <f>RAW_Клиенты!F597</f>
        <v>Чебоксары</v>
      </c>
      <c r="H598" s="11" t="str">
        <f>RAW_Клиенты!G597</f>
        <v>2038-07-15</v>
      </c>
      <c r="I598" s="12" t="str">
        <f t="shared" si="437"/>
        <v>89034567890</v>
      </c>
      <c r="J598" s="12" t="str">
        <f t="shared" si="438"/>
        <v>prohorov@yandex</v>
      </c>
      <c r="K598" s="12" t="str">
        <f t="shared" si="439"/>
        <v>Чебоксары</v>
      </c>
      <c r="L598" s="13" t="str">
        <f t="shared" si="440"/>
        <v>C0596</v>
      </c>
      <c r="M598" s="13" t="str">
        <f t="shared" si="441"/>
        <v xml:space="preserve">Прохоров Андрей Олегович</v>
      </c>
      <c r="N598" s="13" t="str">
        <f t="shared" si="442"/>
        <v>OK</v>
      </c>
      <c r="O598" s="19">
        <f t="shared" si="443"/>
        <v>33091</v>
      </c>
      <c r="P598" s="19">
        <f t="shared" si="444"/>
        <v>50601</v>
      </c>
      <c r="Q598" s="13">
        <f t="shared" ca="1" si="445"/>
        <v>36</v>
      </c>
      <c r="R598" s="13" t="str">
        <f t="shared" si="446"/>
        <v>OK</v>
      </c>
      <c r="S598" s="13" t="str">
        <f t="shared" si="447"/>
        <v xml:space="preserve">+7 (903) 456-78-90</v>
      </c>
      <c r="T598" s="13" t="str">
        <f t="shared" si="448"/>
        <v>prohorov@yandex</v>
      </c>
      <c r="U598" s="18" t="str">
        <f t="shared" si="449"/>
        <v xml:space="preserve">Ошибка Email</v>
      </c>
      <c r="V598" s="13" t="str">
        <f>IFERROR(VLOOKUP(K598,Справочники!$K$6:$L$13,2,0),K598)</f>
        <v>Чебоксары</v>
      </c>
    </row>
    <row r="599" ht="15" customHeight="1">
      <c r="A599" s="10">
        <v>597</v>
      </c>
      <c r="B599" s="11" t="str">
        <f>RAW_Клиенты!A598</f>
        <v>C0597</v>
      </c>
      <c r="C599" s="11" t="str">
        <f>RAW_Клиенты!B598</f>
        <v xml:space="preserve">Ермилова Мария Павловна</v>
      </c>
      <c r="D599" s="11" t="str">
        <f>RAW_Клиенты!C598</f>
        <v>15.12.1977</v>
      </c>
      <c r="E599" s="11" t="str">
        <f>RAW_Клиенты!D598</f>
        <v xml:space="preserve">8 903 567 89 01</v>
      </c>
      <c r="F599" s="11" t="str">
        <f>RAW_Клиенты!E598</f>
        <v>ermilova@gmail</v>
      </c>
      <c r="G599" s="11" t="str">
        <f>RAW_Клиенты!F598</f>
        <v>Мурманск</v>
      </c>
      <c r="H599" s="11" t="str">
        <f>RAW_Клиенты!G598</f>
        <v>15.07.2038</v>
      </c>
      <c r="I599" s="12" t="str">
        <f t="shared" si="437"/>
        <v>89035678901</v>
      </c>
      <c r="J599" s="12" t="str">
        <f t="shared" si="438"/>
        <v>ermilova@gmail</v>
      </c>
      <c r="K599" s="12" t="str">
        <f t="shared" si="439"/>
        <v>Мурманск</v>
      </c>
      <c r="L599" s="13" t="str">
        <f t="shared" si="440"/>
        <v>C0597</v>
      </c>
      <c r="M599" s="13" t="str">
        <f t="shared" si="441"/>
        <v xml:space="preserve">Ермилова Мария Павловна</v>
      </c>
      <c r="N599" s="13" t="str">
        <f t="shared" si="442"/>
        <v>OK</v>
      </c>
      <c r="O599" s="19">
        <f t="shared" si="443"/>
        <v>28474</v>
      </c>
      <c r="P599" s="19">
        <f t="shared" si="444"/>
        <v>50601</v>
      </c>
      <c r="Q599" s="13">
        <f t="shared" ca="1" si="445"/>
        <v>48</v>
      </c>
      <c r="R599" s="13" t="str">
        <f t="shared" si="446"/>
        <v>OK</v>
      </c>
      <c r="S599" s="13" t="str">
        <f t="shared" si="447"/>
        <v xml:space="preserve">+7 (903) 567-89-01</v>
      </c>
      <c r="T599" s="13" t="str">
        <f t="shared" si="448"/>
        <v>ermilova@gmail</v>
      </c>
      <c r="U599" s="18" t="str">
        <f t="shared" si="449"/>
        <v xml:space="preserve">Ошибка Email</v>
      </c>
      <c r="V599" s="13" t="str">
        <f>IFERROR(VLOOKUP(K599,Справочники!$K$6:$L$13,2,0),K599)</f>
        <v>Мурманск</v>
      </c>
    </row>
    <row r="600" ht="15" customHeight="1">
      <c r="A600" s="10">
        <v>598</v>
      </c>
      <c r="B600" s="11" t="str">
        <f>RAW_Клиенты!A599</f>
        <v>C0598</v>
      </c>
      <c r="C600" s="11" t="str">
        <f>RAW_Клиенты!B599</f>
        <v xml:space="preserve">Крайнов Денис Сергеевич</v>
      </c>
      <c r="D600" s="11" t="str">
        <f>RAW_Клиенты!C599</f>
        <v>29.04.1985</v>
      </c>
      <c r="E600" s="11" t="str">
        <f>RAW_Клиенты!D599</f>
        <v>+79035678901</v>
      </c>
      <c r="F600" s="11" t="str">
        <f>RAW_Клиенты!E599</f>
        <v>kraynov@mail</v>
      </c>
      <c r="G600" s="11" t="str">
        <f>RAW_Клиенты!F599</f>
        <v>Смоленск</v>
      </c>
      <c r="H600" s="11" t="str">
        <f>RAW_Клиенты!G599</f>
        <v>01.08.2038</v>
      </c>
      <c r="I600" s="12" t="str">
        <f t="shared" si="437"/>
        <v>79035678901</v>
      </c>
      <c r="J600" s="12" t="str">
        <f t="shared" si="438"/>
        <v>kraynov@mail</v>
      </c>
      <c r="K600" s="12" t="str">
        <f t="shared" si="439"/>
        <v>Смоленск</v>
      </c>
      <c r="L600" s="13" t="str">
        <f t="shared" si="440"/>
        <v>C0598</v>
      </c>
      <c r="M600" s="13" t="str">
        <f t="shared" si="441"/>
        <v xml:space="preserve">Крайнов Денис Сергеевич</v>
      </c>
      <c r="N600" s="13" t="str">
        <f t="shared" si="442"/>
        <v>OK</v>
      </c>
      <c r="O600" s="19">
        <f t="shared" si="443"/>
        <v>31166</v>
      </c>
      <c r="P600" s="19">
        <f t="shared" si="444"/>
        <v>50618</v>
      </c>
      <c r="Q600" s="13">
        <f t="shared" ca="1" si="445"/>
        <v>41</v>
      </c>
      <c r="R600" s="13" t="str">
        <f t="shared" si="446"/>
        <v>OK</v>
      </c>
      <c r="S600" s="13" t="str">
        <f t="shared" si="447"/>
        <v xml:space="preserve">+7 (903) 567-89-01</v>
      </c>
      <c r="T600" s="13" t="str">
        <f t="shared" si="448"/>
        <v>kraynov@mail</v>
      </c>
      <c r="U600" s="18" t="str">
        <f t="shared" si="449"/>
        <v xml:space="preserve">Ошибка Email</v>
      </c>
      <c r="V600" s="13" t="str">
        <f>IFERROR(VLOOKUP(K600,Справочники!$K$6:$L$13,2,0),K600)</f>
        <v>Смоленск</v>
      </c>
    </row>
    <row r="601" ht="15" customHeight="1">
      <c r="A601" s="10">
        <v>599</v>
      </c>
      <c r="B601" s="11" t="str">
        <f>RAW_Клиенты!A600</f>
        <v>C0599</v>
      </c>
      <c r="C601" s="11" t="str">
        <f>RAW_Клиенты!B600</f>
        <v xml:space="preserve">Московцева Ольга Владимировна</v>
      </c>
      <c r="D601" s="11" t="str">
        <f>RAW_Клиенты!C600</f>
        <v>03.09.1992</v>
      </c>
      <c r="E601" s="11" t="str">
        <f>RAW_Клиенты!D600</f>
        <v>8-903-567-89-01</v>
      </c>
      <c r="F601" s="11" t="str">
        <f>RAW_Клиенты!E600</f>
        <v>moskovtseva@yandex</v>
      </c>
      <c r="G601" s="11" t="str">
        <f>RAW_Клиенты!F600</f>
        <v>Тула</v>
      </c>
      <c r="H601" s="11" t="str">
        <f>RAW_Клиенты!G600</f>
        <v>2038-08-10</v>
      </c>
      <c r="I601" s="12" t="str">
        <f t="shared" si="437"/>
        <v>89035678901</v>
      </c>
      <c r="J601" s="12" t="str">
        <f t="shared" si="438"/>
        <v>moskovtseva@yandex</v>
      </c>
      <c r="K601" s="12" t="str">
        <f t="shared" si="439"/>
        <v>Тула</v>
      </c>
      <c r="L601" s="13" t="str">
        <f t="shared" si="440"/>
        <v>C0599</v>
      </c>
      <c r="M601" s="13" t="str">
        <f t="shared" si="441"/>
        <v xml:space="preserve">Московцева Ольга Владимировна</v>
      </c>
      <c r="N601" s="13" t="str">
        <f t="shared" si="442"/>
        <v>OK</v>
      </c>
      <c r="O601" s="19">
        <f t="shared" si="443"/>
        <v>33850</v>
      </c>
      <c r="P601" s="19">
        <f t="shared" si="444"/>
        <v>50627</v>
      </c>
      <c r="Q601" s="13">
        <f t="shared" ca="1" si="445"/>
        <v>34</v>
      </c>
      <c r="R601" s="13" t="str">
        <f t="shared" si="446"/>
        <v>OK</v>
      </c>
      <c r="S601" s="13" t="str">
        <f t="shared" si="447"/>
        <v xml:space="preserve">+7 (903) 567-89-01</v>
      </c>
      <c r="T601" s="13" t="str">
        <f t="shared" si="448"/>
        <v>moskovtseva@yandex</v>
      </c>
      <c r="U601" s="18" t="str">
        <f t="shared" si="449"/>
        <v xml:space="preserve">Ошибка Email</v>
      </c>
      <c r="V601" s="13" t="str">
        <f>IFERROR(VLOOKUP(K601,Справочники!$K$6:$L$13,2,0),K601)</f>
        <v>Тула</v>
      </c>
    </row>
    <row r="602" ht="15" customHeight="1">
      <c r="A602" s="10">
        <v>600</v>
      </c>
      <c r="B602" s="11" t="str">
        <f>RAW_Клиенты!A601</f>
        <v>C0600</v>
      </c>
      <c r="C602" s="11" t="str">
        <f>RAW_Клиенты!B601</f>
        <v xml:space="preserve">Шапкин Илья Александрович</v>
      </c>
      <c r="D602" s="11" t="str">
        <f>RAW_Клиенты!C601</f>
        <v>16.11.1971</v>
      </c>
      <c r="E602" s="11" t="str">
        <f>RAW_Клиенты!D601</f>
        <v xml:space="preserve">8 903 678 90 12</v>
      </c>
      <c r="F602" s="11" t="str">
        <f>RAW_Клиенты!E601</f>
        <v>shapkin@gmail</v>
      </c>
      <c r="G602" s="11" t="str">
        <f>RAW_Клиенты!F601</f>
        <v>Калуга</v>
      </c>
      <c r="H602" s="11" t="str">
        <f>RAW_Клиенты!G601</f>
        <v>10.08.2038</v>
      </c>
      <c r="I602" s="12" t="str">
        <f t="shared" si="437"/>
        <v>89036789012</v>
      </c>
      <c r="J602" s="12" t="str">
        <f t="shared" si="438"/>
        <v>shapkin@gmail</v>
      </c>
      <c r="K602" s="12" t="str">
        <f t="shared" si="439"/>
        <v>Калуга</v>
      </c>
      <c r="L602" s="13" t="str">
        <f t="shared" si="440"/>
        <v>C0600</v>
      </c>
      <c r="M602" s="13" t="str">
        <f t="shared" si="441"/>
        <v xml:space="preserve">Шапкин Илья Александрович</v>
      </c>
      <c r="N602" s="13" t="str">
        <f t="shared" si="442"/>
        <v>OK</v>
      </c>
      <c r="O602" s="19">
        <f t="shared" si="443"/>
        <v>26253</v>
      </c>
      <c r="P602" s="19">
        <f t="shared" si="444"/>
        <v>50627</v>
      </c>
      <c r="Q602" s="13">
        <f t="shared" ca="1" si="445"/>
        <v>54</v>
      </c>
      <c r="R602" s="13" t="str">
        <f t="shared" si="446"/>
        <v>OK</v>
      </c>
      <c r="S602" s="13" t="str">
        <f t="shared" si="447"/>
        <v xml:space="preserve">+7 (903) 678-90-12</v>
      </c>
      <c r="T602" s="13" t="str">
        <f t="shared" si="448"/>
        <v>shapkin@gmail</v>
      </c>
      <c r="U602" s="18" t="str">
        <f t="shared" si="449"/>
        <v xml:space="preserve">Ошибка Email</v>
      </c>
      <c r="V602" s="13" t="str">
        <f>IFERROR(VLOOKUP(K602,Справочники!$K$6:$L$13,2,0),K602)</f>
        <v>Калуга</v>
      </c>
    </row>
    <row r="603" ht="15" customHeight="1">
      <c r="A603" s="10">
        <v>601</v>
      </c>
      <c r="B603" s="11" t="str">
        <f>RAW_Клиенты!A602</f>
        <v>C0601</v>
      </c>
      <c r="C603" s="11" t="str">
        <f>RAW_Клиенты!B602</f>
        <v xml:space="preserve">Антонова Екатерина Сергеевна</v>
      </c>
      <c r="D603" s="11" t="str">
        <f>RAW_Клиенты!C602</f>
        <v>20.07.1980</v>
      </c>
      <c r="E603" s="11" t="str">
        <f>RAW_Клиенты!D602</f>
        <v>+79036789012</v>
      </c>
      <c r="F603" s="11" t="str">
        <f>RAW_Клиенты!E602</f>
        <v>antonova@mail</v>
      </c>
      <c r="G603" s="11" t="str">
        <f>RAW_Клиенты!F602</f>
        <v>Владикавказ</v>
      </c>
      <c r="H603" s="11" t="str">
        <f>RAW_Клиенты!G602</f>
        <v>01.09.2038</v>
      </c>
      <c r="I603" s="12" t="str">
        <f t="shared" si="437"/>
        <v>79036789012</v>
      </c>
      <c r="J603" s="12" t="str">
        <f t="shared" si="438"/>
        <v>antonova@mail</v>
      </c>
      <c r="K603" s="12" t="str">
        <f t="shared" si="439"/>
        <v>Владикавказ</v>
      </c>
      <c r="L603" s="13" t="str">
        <f t="shared" si="440"/>
        <v>C0601</v>
      </c>
      <c r="M603" s="13" t="str">
        <f t="shared" si="441"/>
        <v xml:space="preserve">Антонова Екатерина Сергеевна</v>
      </c>
      <c r="N603" s="13" t="str">
        <f t="shared" si="442"/>
        <v>OK</v>
      </c>
      <c r="O603" s="19">
        <f t="shared" si="443"/>
        <v>29422</v>
      </c>
      <c r="P603" s="19">
        <f t="shared" si="444"/>
        <v>50649</v>
      </c>
      <c r="Q603" s="13">
        <f t="shared" ca="1" si="445"/>
        <v>46</v>
      </c>
      <c r="R603" s="13" t="str">
        <f t="shared" si="446"/>
        <v>OK</v>
      </c>
      <c r="S603" s="13" t="str">
        <f t="shared" si="447"/>
        <v xml:space="preserve">+7 (903) 678-90-12</v>
      </c>
      <c r="T603" s="13" t="str">
        <f t="shared" si="448"/>
        <v>antonova@mail</v>
      </c>
      <c r="U603" s="18" t="str">
        <f t="shared" si="449"/>
        <v xml:space="preserve">Ошибка Email</v>
      </c>
      <c r="V603" s="13" t="str">
        <f>IFERROR(VLOOKUP(K603,Справочники!$K$6:$L$13,2,0),K603)</f>
        <v>Владикавказ</v>
      </c>
    </row>
    <row r="604" ht="15" customHeight="1">
      <c r="A604" s="10">
        <v>602</v>
      </c>
      <c r="B604" s="11" t="str">
        <f>RAW_Клиенты!A603</f>
        <v>C0602</v>
      </c>
      <c r="C604" s="11" t="str">
        <f>RAW_Клиенты!B603</f>
        <v xml:space="preserve">Рыжков Андрей Павлович</v>
      </c>
      <c r="D604" s="11" t="str">
        <f>RAW_Клиенты!C603</f>
        <v>08.03.1986</v>
      </c>
      <c r="E604" s="11" t="str">
        <f>RAW_Клиенты!D603</f>
        <v>8-903-678-90-12</v>
      </c>
      <c r="F604" s="11" t="str">
        <f>RAW_Клиенты!E603</f>
        <v>ryzhkov@yandex</v>
      </c>
      <c r="G604" s="11" t="str">
        <f>RAW_Клиенты!F603</f>
        <v>Смоленск</v>
      </c>
      <c r="H604" s="11" t="str">
        <f>RAW_Клиенты!G603</f>
        <v>2038-09-15</v>
      </c>
      <c r="I604" s="12" t="str">
        <f t="shared" si="437"/>
        <v>89036789012</v>
      </c>
      <c r="J604" s="12" t="str">
        <f t="shared" si="438"/>
        <v>ryzhkov@yandex</v>
      </c>
      <c r="K604" s="12" t="str">
        <f t="shared" si="439"/>
        <v>Смоленск</v>
      </c>
      <c r="L604" s="13" t="str">
        <f t="shared" si="440"/>
        <v>C0602</v>
      </c>
      <c r="M604" s="13" t="str">
        <f t="shared" si="441"/>
        <v xml:space="preserve">Рыжков Андрей Павлович</v>
      </c>
      <c r="N604" s="13" t="str">
        <f t="shared" si="442"/>
        <v>OK</v>
      </c>
      <c r="O604" s="19">
        <f t="shared" si="443"/>
        <v>31479</v>
      </c>
      <c r="P604" s="19">
        <f t="shared" si="444"/>
        <v>50663</v>
      </c>
      <c r="Q604" s="13">
        <f t="shared" ca="1" si="445"/>
        <v>40</v>
      </c>
      <c r="R604" s="13" t="str">
        <f t="shared" si="446"/>
        <v>OK</v>
      </c>
      <c r="S604" s="13" t="str">
        <f t="shared" si="447"/>
        <v xml:space="preserve">+7 (903) 678-90-12</v>
      </c>
      <c r="T604" s="13" t="str">
        <f t="shared" si="448"/>
        <v>ryzhkov@yandex</v>
      </c>
      <c r="U604" s="18" t="str">
        <f t="shared" si="449"/>
        <v xml:space="preserve">Ошибка Email</v>
      </c>
      <c r="V604" s="13" t="str">
        <f>IFERROR(VLOOKUP(K604,Справочники!$K$6:$L$13,2,0),K604)</f>
        <v>Смоленск</v>
      </c>
    </row>
    <row r="605" ht="15" customHeight="1">
      <c r="A605" s="10">
        <v>603</v>
      </c>
      <c r="B605" s="11" t="str">
        <f>RAW_Клиенты!A604</f>
        <v>C0603</v>
      </c>
      <c r="C605" s="11" t="str">
        <f>RAW_Клиенты!B604</f>
        <v xml:space="preserve">Зеленина Мария Олеговна</v>
      </c>
      <c r="D605" s="11" t="str">
        <f>RAW_Клиенты!C604</f>
        <v>27.10.1975</v>
      </c>
      <c r="E605" s="11" t="str">
        <f>RAW_Клиенты!D604</f>
        <v xml:space="preserve">8 903 789 01 23</v>
      </c>
      <c r="F605" s="11" t="str">
        <f>RAW_Клиенты!E604</f>
        <v>zelenina@gmail</v>
      </c>
      <c r="G605" s="11" t="str">
        <f>RAW_Клиенты!F604</f>
        <v>Белгород</v>
      </c>
      <c r="H605" s="11" t="str">
        <f>RAW_Клиенты!G604</f>
        <v>15.09.2038</v>
      </c>
      <c r="I605" s="12" t="str">
        <f t="shared" si="437"/>
        <v>89037890123</v>
      </c>
      <c r="J605" s="12" t="str">
        <f t="shared" si="438"/>
        <v>zelenina@gmail</v>
      </c>
      <c r="K605" s="12" t="str">
        <f t="shared" si="439"/>
        <v>Белгород</v>
      </c>
      <c r="L605" s="13" t="str">
        <f t="shared" si="440"/>
        <v>C0603</v>
      </c>
      <c r="M605" s="13" t="str">
        <f t="shared" si="441"/>
        <v xml:space="preserve">Зеленина Мария Олеговна</v>
      </c>
      <c r="N605" s="13" t="str">
        <f t="shared" si="442"/>
        <v>OK</v>
      </c>
      <c r="O605" s="19">
        <f t="shared" si="443"/>
        <v>27694</v>
      </c>
      <c r="P605" s="19">
        <f t="shared" si="444"/>
        <v>50663</v>
      </c>
      <c r="Q605" s="13">
        <f t="shared" ca="1" si="445"/>
        <v>50</v>
      </c>
      <c r="R605" s="13" t="str">
        <f t="shared" si="446"/>
        <v>OK</v>
      </c>
      <c r="S605" s="13" t="str">
        <f t="shared" si="447"/>
        <v xml:space="preserve">+7 (903) 789-01-23</v>
      </c>
      <c r="T605" s="13" t="str">
        <f t="shared" si="448"/>
        <v>zelenina@gmail</v>
      </c>
      <c r="U605" s="18" t="str">
        <f t="shared" si="449"/>
        <v xml:space="preserve">Ошибка Email</v>
      </c>
      <c r="V605" s="13" t="str">
        <f>IFERROR(VLOOKUP(K605,Справочники!$K$6:$L$13,2,0),K605)</f>
        <v>Белгород</v>
      </c>
    </row>
    <row r="606" ht="15" customHeight="1">
      <c r="A606" s="10">
        <v>604</v>
      </c>
      <c r="B606" s="11" t="str">
        <f>RAW_Клиенты!A605</f>
        <v>C0604</v>
      </c>
      <c r="C606" s="11" t="str">
        <f>RAW_Клиенты!B605</f>
        <v xml:space="preserve">Суриков Денис Викторович</v>
      </c>
      <c r="D606" s="11" t="str">
        <f>RAW_Клиенты!C605</f>
        <v>13.05.1983</v>
      </c>
      <c r="E606" s="11" t="str">
        <f>RAW_Клиенты!D605</f>
        <v>+79037890123</v>
      </c>
      <c r="F606" s="11" t="str">
        <f>RAW_Клиенты!E605</f>
        <v>sirikov@mail</v>
      </c>
      <c r="G606" s="11" t="str">
        <f>RAW_Клиенты!F605</f>
        <v>Мурманск</v>
      </c>
      <c r="H606" s="11" t="str">
        <f>RAW_Клиенты!G605</f>
        <v>01.10.2038</v>
      </c>
      <c r="I606" s="12" t="str">
        <f t="shared" si="437"/>
        <v>79037890123</v>
      </c>
      <c r="J606" s="12" t="str">
        <f t="shared" si="438"/>
        <v>sirikov@mail</v>
      </c>
      <c r="K606" s="12" t="str">
        <f t="shared" si="439"/>
        <v>Мурманск</v>
      </c>
      <c r="L606" s="13" t="str">
        <f t="shared" si="440"/>
        <v>C0604</v>
      </c>
      <c r="M606" s="13" t="str">
        <f t="shared" si="441"/>
        <v xml:space="preserve">Суриков Денис Викторович</v>
      </c>
      <c r="N606" s="13" t="str">
        <f t="shared" si="442"/>
        <v>OK</v>
      </c>
      <c r="O606" s="19">
        <f t="shared" si="443"/>
        <v>30449</v>
      </c>
      <c r="P606" s="19">
        <f t="shared" si="444"/>
        <v>50679</v>
      </c>
      <c r="Q606" s="13">
        <f t="shared" ca="1" si="445"/>
        <v>43</v>
      </c>
      <c r="R606" s="13" t="str">
        <f t="shared" si="446"/>
        <v>OK</v>
      </c>
      <c r="S606" s="13" t="str">
        <f t="shared" si="447"/>
        <v xml:space="preserve">+7 (903) 789-01-23</v>
      </c>
      <c r="T606" s="13" t="str">
        <f t="shared" si="448"/>
        <v>sirikov@mail</v>
      </c>
      <c r="U606" s="18" t="str">
        <f t="shared" si="449"/>
        <v xml:space="preserve">Ошибка Email</v>
      </c>
      <c r="V606" s="13" t="str">
        <f>IFERROR(VLOOKUP(K606,Справочники!$K$6:$L$13,2,0),K606)</f>
        <v>Мурманск</v>
      </c>
    </row>
    <row r="607" ht="15" customHeight="1">
      <c r="A607" s="10">
        <v>605</v>
      </c>
      <c r="B607" s="11" t="str">
        <f>RAW_Клиенты!A606</f>
        <v>C0605</v>
      </c>
      <c r="C607" s="11" t="str">
        <f>RAW_Клиенты!B606</f>
        <v xml:space="preserve">Петрова Ольга Павловна</v>
      </c>
      <c r="D607" s="11" t="str">
        <f>RAW_Клиенты!C606</f>
        <v>18.12.1988</v>
      </c>
      <c r="E607" s="11" t="str">
        <f>RAW_Клиенты!D606</f>
        <v>8-903-789-01-23</v>
      </c>
      <c r="F607" s="11" t="str">
        <f>RAW_Клиенты!E606</f>
        <v>petrova@yandex</v>
      </c>
      <c r="G607" s="11" t="str">
        <f>RAW_Клиенты!F606</f>
        <v>Ставрополь</v>
      </c>
      <c r="H607" s="11" t="str">
        <f>RAW_Клиенты!G606</f>
        <v>2038-10-10</v>
      </c>
      <c r="I607" s="12" t="str">
        <f t="shared" si="437"/>
        <v>89037890123</v>
      </c>
      <c r="J607" s="12" t="str">
        <f t="shared" si="438"/>
        <v>petrova@yandex</v>
      </c>
      <c r="K607" s="12" t="str">
        <f t="shared" si="439"/>
        <v>Ставрополь</v>
      </c>
      <c r="L607" s="13" t="str">
        <f t="shared" si="440"/>
        <v>C0605</v>
      </c>
      <c r="M607" s="13" t="str">
        <f t="shared" si="441"/>
        <v xml:space="preserve">Петрова Ольга Павловна</v>
      </c>
      <c r="N607" s="13" t="str">
        <f t="shared" si="442"/>
        <v>OK</v>
      </c>
      <c r="O607" s="19">
        <f t="shared" si="443"/>
        <v>32495</v>
      </c>
      <c r="P607" s="19">
        <f t="shared" si="444"/>
        <v>50688</v>
      </c>
      <c r="Q607" s="13">
        <f t="shared" ca="1" si="445"/>
        <v>37</v>
      </c>
      <c r="R607" s="13" t="str">
        <f t="shared" si="446"/>
        <v>OK</v>
      </c>
      <c r="S607" s="13" t="str">
        <f t="shared" si="447"/>
        <v xml:space="preserve">+7 (903) 789-01-23</v>
      </c>
      <c r="T607" s="13" t="str">
        <f t="shared" si="448"/>
        <v>petrova@yandex</v>
      </c>
      <c r="U607" s="18" t="str">
        <f t="shared" si="449"/>
        <v xml:space="preserve">Ошибка Email</v>
      </c>
      <c r="V607" s="13" t="str">
        <f>IFERROR(VLOOKUP(K607,Справочники!$K$6:$L$13,2,0),K607)</f>
        <v>Ставрополь</v>
      </c>
    </row>
    <row r="608" ht="15" customHeight="1">
      <c r="A608" s="10">
        <v>606</v>
      </c>
      <c r="B608" s="11" t="str">
        <f>RAW_Клиенты!A607</f>
        <v>C0606</v>
      </c>
      <c r="C608" s="11" t="str">
        <f>RAW_Клиенты!B607</f>
        <v xml:space="preserve">Беляков Илья Алексеевич</v>
      </c>
      <c r="D608" s="11" t="str">
        <f>RAW_Клиенты!C607</f>
        <v>02.07.1977</v>
      </c>
      <c r="E608" s="11" t="str">
        <f>RAW_Клиенты!D607</f>
        <v xml:space="preserve">8 903 890 12 34</v>
      </c>
      <c r="F608" s="11" t="str">
        <f>RAW_Клиенты!E607</f>
        <v>belyakov@gmail</v>
      </c>
      <c r="G608" s="11" t="str">
        <f>RAW_Клиенты!F607</f>
        <v>Севастополь</v>
      </c>
      <c r="H608" s="11" t="str">
        <f>RAW_Клиенты!G607</f>
        <v>10.10.2038</v>
      </c>
      <c r="I608" s="12" t="str">
        <f t="shared" si="437"/>
        <v>89038901234</v>
      </c>
      <c r="J608" s="12" t="str">
        <f t="shared" si="438"/>
        <v>belyakov@gmail</v>
      </c>
      <c r="K608" s="12" t="str">
        <f t="shared" si="439"/>
        <v>Севастополь</v>
      </c>
      <c r="L608" s="13" t="str">
        <f t="shared" si="440"/>
        <v>C0606</v>
      </c>
      <c r="M608" s="13" t="str">
        <f t="shared" si="441"/>
        <v xml:space="preserve">Беляков Илья Алексеевич</v>
      </c>
      <c r="N608" s="13" t="str">
        <f t="shared" si="442"/>
        <v>OK</v>
      </c>
      <c r="O608" s="19">
        <f t="shared" si="443"/>
        <v>28308</v>
      </c>
      <c r="P608" s="19">
        <f t="shared" si="444"/>
        <v>50688</v>
      </c>
      <c r="Q608" s="13">
        <f t="shared" ca="1" si="445"/>
        <v>49</v>
      </c>
      <c r="R608" s="13" t="str">
        <f t="shared" si="446"/>
        <v>OK</v>
      </c>
      <c r="S608" s="13" t="str">
        <f t="shared" si="447"/>
        <v xml:space="preserve">+7 (903) 890-12-34</v>
      </c>
      <c r="T608" s="13" t="str">
        <f t="shared" si="448"/>
        <v>belyakov@gmail</v>
      </c>
      <c r="U608" s="18" t="str">
        <f t="shared" si="449"/>
        <v xml:space="preserve">Ошибка Email</v>
      </c>
      <c r="V608" s="13" t="str">
        <f>IFERROR(VLOOKUP(K608,Справочники!$K$6:$L$13,2,0),K608)</f>
        <v>Севастополь</v>
      </c>
    </row>
    <row r="609" ht="15" customHeight="1">
      <c r="A609" s="10">
        <v>607</v>
      </c>
      <c r="B609" s="11" t="str">
        <f>RAW_Клиенты!A608</f>
        <v>C0607</v>
      </c>
      <c r="C609" s="11" t="str">
        <f>RAW_Клиенты!B608</f>
        <v xml:space="preserve">Фомина Екатерина Сергеевна</v>
      </c>
      <c r="D609" s="11" t="str">
        <f>RAW_Клиенты!C608</f>
        <v>22.02.1984</v>
      </c>
      <c r="E609" s="11" t="str">
        <f>RAW_Клиенты!D608</f>
        <v>+79038901234</v>
      </c>
      <c r="F609" s="11" t="str">
        <f>RAW_Клиенты!E608</f>
        <v>fomina@mail</v>
      </c>
      <c r="G609" s="11" t="str">
        <f>RAW_Клиенты!F608</f>
        <v>Сочи</v>
      </c>
      <c r="H609" s="11" t="str">
        <f>RAW_Клиенты!G608</f>
        <v>01.11.2038</v>
      </c>
      <c r="I609" s="12" t="str">
        <f t="shared" si="437"/>
        <v>79038901234</v>
      </c>
      <c r="J609" s="12" t="str">
        <f t="shared" si="438"/>
        <v>fomina@mail</v>
      </c>
      <c r="K609" s="12" t="str">
        <f t="shared" si="439"/>
        <v>Сочи</v>
      </c>
      <c r="L609" s="13" t="str">
        <f t="shared" si="440"/>
        <v>C0607</v>
      </c>
      <c r="M609" s="13" t="str">
        <f t="shared" si="441"/>
        <v xml:space="preserve">Фомина Екатерина Сергеевна</v>
      </c>
      <c r="N609" s="13" t="str">
        <f t="shared" si="442"/>
        <v>OK</v>
      </c>
      <c r="O609" s="19">
        <f t="shared" si="443"/>
        <v>30734</v>
      </c>
      <c r="P609" s="19">
        <f t="shared" si="444"/>
        <v>50710</v>
      </c>
      <c r="Q609" s="13">
        <f t="shared" ca="1" si="445"/>
        <v>42</v>
      </c>
      <c r="R609" s="13" t="str">
        <f t="shared" si="446"/>
        <v>OK</v>
      </c>
      <c r="S609" s="13" t="str">
        <f t="shared" si="447"/>
        <v xml:space="preserve">+7 (903) 890-12-34</v>
      </c>
      <c r="T609" s="13" t="str">
        <f t="shared" si="448"/>
        <v>fomina@mail</v>
      </c>
      <c r="U609" s="18" t="str">
        <f t="shared" si="449"/>
        <v xml:space="preserve">Ошибка Email</v>
      </c>
      <c r="V609" s="13" t="str">
        <f>IFERROR(VLOOKUP(K609,Справочники!$K$6:$L$13,2,0),K609)</f>
        <v>Сочи</v>
      </c>
    </row>
    <row r="610" ht="15" customHeight="1">
      <c r="A610" s="10">
        <v>608</v>
      </c>
      <c r="B610" s="11" t="str">
        <f>RAW_Клиенты!A609</f>
        <v>C0608</v>
      </c>
      <c r="C610" s="11" t="str">
        <f>RAW_Клиенты!B609</f>
        <v xml:space="preserve">Галкин Андрей Олегович</v>
      </c>
      <c r="D610" s="11" t="str">
        <f>RAW_Клиенты!C609</f>
        <v>14.09.1991</v>
      </c>
      <c r="E610" s="11" t="str">
        <f>RAW_Клиенты!D609</f>
        <v>8-903-890-12-34</v>
      </c>
      <c r="F610" s="11" t="str">
        <f>RAW_Клиенты!E609</f>
        <v>galkin@yandex</v>
      </c>
      <c r="G610" s="11" t="str">
        <f>RAW_Клиенты!F609</f>
        <v>Симферополь</v>
      </c>
      <c r="H610" s="11" t="str">
        <f>RAW_Клиенты!G609</f>
        <v>2038-11-15</v>
      </c>
      <c r="I610" s="12" t="str">
        <f t="shared" si="437"/>
        <v>89038901234</v>
      </c>
      <c r="J610" s="12" t="str">
        <f t="shared" si="438"/>
        <v>galkin@yandex</v>
      </c>
      <c r="K610" s="12" t="str">
        <f t="shared" si="439"/>
        <v>Симферополь</v>
      </c>
      <c r="L610" s="13" t="str">
        <f t="shared" si="440"/>
        <v>C0608</v>
      </c>
      <c r="M610" s="13" t="str">
        <f t="shared" si="441"/>
        <v xml:space="preserve">Галкин Андрей Олегович</v>
      </c>
      <c r="N610" s="13" t="str">
        <f t="shared" si="442"/>
        <v>OK</v>
      </c>
      <c r="O610" s="19">
        <f t="shared" si="443"/>
        <v>33495</v>
      </c>
      <c r="P610" s="19">
        <f t="shared" si="444"/>
        <v>50724</v>
      </c>
      <c r="Q610" s="13">
        <f t="shared" ca="1" si="445"/>
        <v>35</v>
      </c>
      <c r="R610" s="13" t="str">
        <f t="shared" si="446"/>
        <v>OK</v>
      </c>
      <c r="S610" s="13" t="str">
        <f t="shared" si="447"/>
        <v xml:space="preserve">+7 (903) 890-12-34</v>
      </c>
      <c r="T610" s="13" t="str">
        <f t="shared" si="448"/>
        <v>galkin@yandex</v>
      </c>
      <c r="U610" s="18" t="str">
        <f t="shared" si="449"/>
        <v xml:space="preserve">Ошибка Email</v>
      </c>
      <c r="V610" s="13" t="str">
        <f>IFERROR(VLOOKUP(K610,Справочники!$K$6:$L$13,2,0),K610)</f>
        <v>Симферополь</v>
      </c>
    </row>
    <row r="611" ht="15" customHeight="1">
      <c r="A611" s="10">
        <v>609</v>
      </c>
      <c r="B611" s="11" t="str">
        <f>RAW_Клиенты!A610</f>
        <v>C0609</v>
      </c>
      <c r="C611" s="11" t="str">
        <f>RAW_Клиенты!B610</f>
        <v xml:space="preserve">Чумакова Мария Владимировна</v>
      </c>
      <c r="D611" s="11" t="str">
        <f>RAW_Клиенты!C610</f>
        <v>09.04.1973</v>
      </c>
      <c r="E611" s="11" t="str">
        <f>RAW_Клиенты!D610</f>
        <v xml:space="preserve">8 903 901 23 45</v>
      </c>
      <c r="F611" s="11" t="str">
        <f>RAW_Клиенты!E610</f>
        <v>chumakova@gmail</v>
      </c>
      <c r="G611" s="11" t="str">
        <f>RAW_Клиенты!F610</f>
        <v>Брянск</v>
      </c>
      <c r="H611" s="11" t="str">
        <f>RAW_Клиенты!G610</f>
        <v>15.11.2038</v>
      </c>
      <c r="I611" s="12" t="str">
        <f t="shared" si="437"/>
        <v>89039012345</v>
      </c>
      <c r="J611" s="12" t="str">
        <f t="shared" si="438"/>
        <v>chumakova@gmail</v>
      </c>
      <c r="K611" s="12" t="str">
        <f t="shared" si="439"/>
        <v>Брянск</v>
      </c>
      <c r="L611" s="13" t="str">
        <f t="shared" si="440"/>
        <v>C0609</v>
      </c>
      <c r="M611" s="13" t="str">
        <f t="shared" si="441"/>
        <v xml:space="preserve">Чумакова Мария Владимировна</v>
      </c>
      <c r="N611" s="13" t="str">
        <f t="shared" si="442"/>
        <v>OK</v>
      </c>
      <c r="O611" s="19">
        <f t="shared" si="443"/>
        <v>26763</v>
      </c>
      <c r="P611" s="19">
        <f t="shared" si="444"/>
        <v>50724</v>
      </c>
      <c r="Q611" s="13">
        <f t="shared" ca="1" si="445"/>
        <v>53</v>
      </c>
      <c r="R611" s="13" t="str">
        <f t="shared" si="446"/>
        <v>OK</v>
      </c>
      <c r="S611" s="13" t="str">
        <f t="shared" si="447"/>
        <v xml:space="preserve">+7 (903) 901-23-45</v>
      </c>
      <c r="T611" s="13" t="str">
        <f t="shared" si="448"/>
        <v>chumakova@gmail</v>
      </c>
      <c r="U611" s="18" t="str">
        <f t="shared" si="449"/>
        <v xml:space="preserve">Ошибка Email</v>
      </c>
      <c r="V611" s="13" t="str">
        <f>IFERROR(VLOOKUP(K611,Справочники!$K$6:$L$13,2,0),K611)</f>
        <v>Брянск</v>
      </c>
    </row>
    <row r="612" ht="15" customHeight="1">
      <c r="A612" s="10">
        <v>610</v>
      </c>
      <c r="B612" s="11" t="str">
        <f>RAW_Клиенты!A611</f>
        <v>C0610</v>
      </c>
      <c r="C612" s="11" t="str">
        <f>RAW_Клиенты!B611</f>
        <v xml:space="preserve">Евсеев Денис Павлович</v>
      </c>
      <c r="D612" s="11" t="str">
        <f>RAW_Клиенты!C611</f>
        <v>26.11.1981</v>
      </c>
      <c r="E612" s="11" t="str">
        <f>RAW_Клиенты!D611</f>
        <v>+79039012345</v>
      </c>
      <c r="F612" s="11" t="str">
        <f>RAW_Клиенты!E611</f>
        <v>evseev@mail</v>
      </c>
      <c r="G612" s="11" t="str">
        <f>RAW_Клиенты!F611</f>
        <v>Абакан</v>
      </c>
      <c r="H612" s="11" t="str">
        <f>RAW_Клиенты!G611</f>
        <v>01.12.2038</v>
      </c>
      <c r="I612" s="12" t="str">
        <f t="shared" ref="I612:I675" si="450">SUBSTITUTE(SUBSTITUTE(SUBSTITUTE(SUBSTITUTE(SUBSTITUTE(SUBSTITUTE(E612," ",""),"-",""),"+",""),"(",""),")",""),CHAR(160),"")</f>
        <v>79039012345</v>
      </c>
      <c r="J612" s="12" t="str">
        <f t="shared" ref="J612:J675" si="451">SUBSTITUTE(SUBSTITUTE(TRIM(F612)," ",""),CHAR(160),"")</f>
        <v>evseev@mail</v>
      </c>
      <c r="K612" s="12" t="str">
        <f t="shared" ref="K612:K675" si="452">TRIM(SUBSTITUTE(SUBSTITUTE(TRIM(G612),"г.",""),"г ",""))</f>
        <v>Абакан</v>
      </c>
      <c r="L612" s="13" t="str">
        <f t="shared" ref="L612:L675" si="453">B612</f>
        <v>C0610</v>
      </c>
      <c r="M612" s="13" t="str">
        <f t="shared" ref="M612:M675" si="454">PROPER(TRIM(C612))</f>
        <v xml:space="preserve">Евсеев Денис Павлович</v>
      </c>
      <c r="N612" s="13" t="str">
        <f t="shared" ref="N612:N675" si="455">IF(ISNUMBER(FIND(".",C612)),"инициалы: проверить",IF(SUMPRODUCT(--ISNUMBER(FIND(MID("abcdefghijklmnopqrstuvwxyz",ROW(INDIRECT("1:26")),1),LOWER(C612))))&gt;0,"латиница: транслит","OK"))</f>
        <v>OK</v>
      </c>
      <c r="O612" s="19">
        <f t="shared" ref="O612:O675" si="456">IF(ISNUMBER(FIND("-",D612)),DATE(VALUE(LEFT(D612,4)),VALUE(MID(D612,6,2)),VALUE(MID(D612,9,2))),DATE(VALUE(MID(D612,7,4)),VALUE(MID(D612,4,2)),VALUE(LEFT(D612,2))))</f>
        <v>29916</v>
      </c>
      <c r="P612" s="19">
        <f t="shared" ref="P612:P675" si="457">IF(ISNUMBER(FIND("-",H612)),DATE(VALUE(LEFT(H612,4)),VALUE(MID(H612,6,2)),VALUE(MID(H612,9,2))),DATE(VALUE(MID(H612,7,4)),VALUE(MID(H612,4,2)),VALUE(LEFT(H612,2))))</f>
        <v>50740</v>
      </c>
      <c r="Q612" s="13">
        <f t="shared" ref="Q612:Q675" ca="1" si="458">DATEDIF(O612,TODAY(),"Y")</f>
        <v>44</v>
      </c>
      <c r="R612" s="13" t="str">
        <f t="shared" ref="R612:R675" si="459">IF(OR(Q612&lt;18,Q612&gt;120),"Ошибка даты рождения","OK")</f>
        <v>OK</v>
      </c>
      <c r="S612" s="13" t="str">
        <f t="shared" ref="S612:S675" si="460">IF(LEN(I612)&gt;=10,"+7 ("&amp;MID(I612,LEN(I612)-9,3)&amp;") "&amp;MID(I612,LEN(I612)-6,3)&amp;"-"&amp;MID(I612,LEN(I612)-3,2)&amp;"-"&amp;RIGHT(I612,2),"Ошибка телефона")</f>
        <v xml:space="preserve">+7 (903) 901-23-45</v>
      </c>
      <c r="T612" s="13" t="str">
        <f t="shared" ref="T612:T675" si="461">J612</f>
        <v>evseev@mail</v>
      </c>
      <c r="U612" s="18" t="str">
        <f t="shared" ref="U612:U675" si="462">IF(AND(ISNUMBER(FIND("@",J612)),ISNUMBER(FIND(".",MID(J612,FIND("@",J612),100)))),"OK","Ошибка Email")</f>
        <v xml:space="preserve">Ошибка Email</v>
      </c>
      <c r="V612" s="13" t="str">
        <f>IFERROR(VLOOKUP(K612,Справочники!$K$6:$L$13,2,0),K612)</f>
        <v>Абакан</v>
      </c>
    </row>
    <row r="613" ht="15" customHeight="1">
      <c r="A613" s="10">
        <v>611</v>
      </c>
      <c r="B613" s="11" t="str">
        <f>RAW_Клиенты!A612</f>
        <v>C0611</v>
      </c>
      <c r="C613" s="11" t="str">
        <f>RAW_Клиенты!B612</f>
        <v xml:space="preserve">Климова Ольга Сергеевна</v>
      </c>
      <c r="D613" s="11" t="str">
        <f>RAW_Клиенты!C612</f>
        <v>04.08.1987</v>
      </c>
      <c r="E613" s="11" t="str">
        <f>RAW_Клиенты!D612</f>
        <v>8-903-901-23-45</v>
      </c>
      <c r="F613" s="11" t="str">
        <f>RAW_Клиенты!E612</f>
        <v>klimova@yandex</v>
      </c>
      <c r="G613" s="11" t="str">
        <f>RAW_Клиенты!F612</f>
        <v>Грозный</v>
      </c>
      <c r="H613" s="11" t="str">
        <f>RAW_Клиенты!G612</f>
        <v>2038-12-10</v>
      </c>
      <c r="I613" s="12" t="str">
        <f t="shared" si="450"/>
        <v>89039012345</v>
      </c>
      <c r="J613" s="12" t="str">
        <f t="shared" si="451"/>
        <v>klimova@yandex</v>
      </c>
      <c r="K613" s="12" t="str">
        <f t="shared" si="452"/>
        <v>Грозный</v>
      </c>
      <c r="L613" s="13" t="str">
        <f t="shared" si="453"/>
        <v>C0611</v>
      </c>
      <c r="M613" s="13" t="str">
        <f t="shared" si="454"/>
        <v xml:space="preserve">Климова Ольга Сергеевна</v>
      </c>
      <c r="N613" s="13" t="str">
        <f t="shared" si="455"/>
        <v>OK</v>
      </c>
      <c r="O613" s="19">
        <f t="shared" si="456"/>
        <v>31993</v>
      </c>
      <c r="P613" s="19">
        <f t="shared" si="457"/>
        <v>50749</v>
      </c>
      <c r="Q613" s="13">
        <f t="shared" ca="1" si="458"/>
        <v>39</v>
      </c>
      <c r="R613" s="13" t="str">
        <f t="shared" si="459"/>
        <v>OK</v>
      </c>
      <c r="S613" s="13" t="str">
        <f t="shared" si="460"/>
        <v xml:space="preserve">+7 (903) 901-23-45</v>
      </c>
      <c r="T613" s="13" t="str">
        <f t="shared" si="461"/>
        <v>klimova@yandex</v>
      </c>
      <c r="U613" s="18" t="str">
        <f t="shared" si="462"/>
        <v xml:space="preserve">Ошибка Email</v>
      </c>
      <c r="V613" s="13" t="str">
        <f>IFERROR(VLOOKUP(K613,Справочники!$K$6:$L$13,2,0),K613)</f>
        <v>Грозный</v>
      </c>
    </row>
    <row r="614" ht="15" customHeight="1">
      <c r="A614" s="10">
        <v>612</v>
      </c>
      <c r="B614" s="11" t="str">
        <f>RAW_Клиенты!A613</f>
        <v>C0612</v>
      </c>
      <c r="C614" s="11" t="str">
        <f>RAW_Клиенты!B613</f>
        <v xml:space="preserve">Сазонов Илья Викторович</v>
      </c>
      <c r="D614" s="11" t="str">
        <f>RAW_Клиенты!C613</f>
        <v>18.10.1976</v>
      </c>
      <c r="E614" s="11" t="str">
        <f>RAW_Клиенты!D613</f>
        <v xml:space="preserve">8 903 012 34 56</v>
      </c>
      <c r="F614" s="11" t="str">
        <f>RAW_Клиенты!E613</f>
        <v>sazonov@gmail</v>
      </c>
      <c r="G614" s="11" t="str">
        <f>RAW_Клиенты!F613</f>
        <v>Бийск</v>
      </c>
      <c r="H614" s="11" t="str">
        <f>RAW_Клиенты!G613</f>
        <v>10.12.2038</v>
      </c>
      <c r="I614" s="12" t="str">
        <f t="shared" si="450"/>
        <v>89030123456</v>
      </c>
      <c r="J614" s="12" t="str">
        <f t="shared" si="451"/>
        <v>sazonov@gmail</v>
      </c>
      <c r="K614" s="12" t="str">
        <f t="shared" si="452"/>
        <v>Бийск</v>
      </c>
      <c r="L614" s="13" t="str">
        <f t="shared" si="453"/>
        <v>C0612</v>
      </c>
      <c r="M614" s="13" t="str">
        <f t="shared" si="454"/>
        <v xml:space="preserve">Сазонов Илья Викторович</v>
      </c>
      <c r="N614" s="13" t="str">
        <f t="shared" si="455"/>
        <v>OK</v>
      </c>
      <c r="O614" s="19">
        <f t="shared" si="456"/>
        <v>28051</v>
      </c>
      <c r="P614" s="19">
        <f t="shared" si="457"/>
        <v>50749</v>
      </c>
      <c r="Q614" s="13">
        <f t="shared" ca="1" si="458"/>
        <v>49</v>
      </c>
      <c r="R614" s="13" t="str">
        <f t="shared" si="459"/>
        <v>OK</v>
      </c>
      <c r="S614" s="13" t="str">
        <f t="shared" si="460"/>
        <v xml:space="preserve">+7 (903) 012-34-56</v>
      </c>
      <c r="T614" s="13" t="str">
        <f t="shared" si="461"/>
        <v>sazonov@gmail</v>
      </c>
      <c r="U614" s="18" t="str">
        <f t="shared" si="462"/>
        <v xml:space="preserve">Ошибка Email</v>
      </c>
      <c r="V614" s="13" t="str">
        <f>IFERROR(VLOOKUP(K614,Справочники!$K$6:$L$13,2,0),K614)</f>
        <v>Бийск</v>
      </c>
    </row>
    <row r="615" ht="15" customHeight="1">
      <c r="A615" s="10">
        <v>613</v>
      </c>
      <c r="B615" s="11" t="str">
        <f>RAW_Клиенты!A614</f>
        <v>C0613</v>
      </c>
      <c r="C615" s="11" t="str">
        <f>RAW_Клиенты!B614</f>
        <v xml:space="preserve">Кузина Екатерина Алексеевна</v>
      </c>
      <c r="D615" s="11" t="str">
        <f>RAW_Клиенты!C614</f>
        <v>15.12.1980</v>
      </c>
      <c r="E615" s="11" t="str">
        <f>RAW_Клиенты!D614</f>
        <v>+79030123456</v>
      </c>
      <c r="F615" s="11" t="str">
        <f>RAW_Клиенты!E614</f>
        <v>kuzina@mail</v>
      </c>
      <c r="G615" s="11" t="str">
        <f>RAW_Клиенты!F614</f>
        <v>Йошкар-Ола</v>
      </c>
      <c r="H615" s="11" t="str">
        <f>RAW_Клиенты!G614</f>
        <v>01.01.2039</v>
      </c>
      <c r="I615" s="12" t="str">
        <f t="shared" si="450"/>
        <v>79030123456</v>
      </c>
      <c r="J615" s="12" t="str">
        <f t="shared" si="451"/>
        <v>kuzina@mail</v>
      </c>
      <c r="K615" s="12" t="str">
        <f t="shared" si="452"/>
        <v>Йошкар-Ола</v>
      </c>
      <c r="L615" s="13" t="str">
        <f t="shared" si="453"/>
        <v>C0613</v>
      </c>
      <c r="M615" s="13" t="str">
        <f t="shared" si="454"/>
        <v xml:space="preserve">Кузина Екатерина Алексеевна</v>
      </c>
      <c r="N615" s="13" t="str">
        <f t="shared" si="455"/>
        <v>OK</v>
      </c>
      <c r="O615" s="19">
        <f t="shared" si="456"/>
        <v>29570</v>
      </c>
      <c r="P615" s="19">
        <f t="shared" si="457"/>
        <v>50771</v>
      </c>
      <c r="Q615" s="13">
        <f t="shared" ca="1" si="458"/>
        <v>45</v>
      </c>
      <c r="R615" s="13" t="str">
        <f t="shared" si="459"/>
        <v>OK</v>
      </c>
      <c r="S615" s="13" t="str">
        <f t="shared" si="460"/>
        <v xml:space="preserve">+7 (903) 012-34-56</v>
      </c>
      <c r="T615" s="13" t="str">
        <f t="shared" si="461"/>
        <v>kuzina@mail</v>
      </c>
      <c r="U615" s="18" t="str">
        <f t="shared" si="462"/>
        <v xml:space="preserve">Ошибка Email</v>
      </c>
      <c r="V615" s="13" t="str">
        <f>IFERROR(VLOOKUP(K615,Справочники!$K$6:$L$13,2,0),K615)</f>
        <v>Йошкар-Ола</v>
      </c>
    </row>
    <row r="616" ht="15" customHeight="1">
      <c r="A616" s="10">
        <v>614</v>
      </c>
      <c r="B616" s="11" t="str">
        <f>RAW_Клиенты!A615</f>
        <v>C0614</v>
      </c>
      <c r="C616" s="11" t="str">
        <f>RAW_Клиенты!B615</f>
        <v xml:space="preserve">Самойлов Андрей Олегович</v>
      </c>
      <c r="D616" s="11" t="str">
        <f>RAW_Клиенты!C615</f>
        <v>23.06.1985</v>
      </c>
      <c r="E616" s="11" t="str">
        <f>RAW_Клиенты!D615</f>
        <v>8-903-012-34-56</v>
      </c>
      <c r="F616" s="11" t="str">
        <f>RAW_Клиенты!E615</f>
        <v>samoylov@yandex</v>
      </c>
      <c r="G616" s="11" t="str">
        <f>RAW_Клиенты!F615</f>
        <v>Курган</v>
      </c>
      <c r="H616" s="11" t="str">
        <f>RAW_Клиенты!G615</f>
        <v>2039-01-15</v>
      </c>
      <c r="I616" s="12" t="str">
        <f t="shared" si="450"/>
        <v>89030123456</v>
      </c>
      <c r="J616" s="12" t="str">
        <f t="shared" si="451"/>
        <v>samoylov@yandex</v>
      </c>
      <c r="K616" s="12" t="str">
        <f t="shared" si="452"/>
        <v>Курган</v>
      </c>
      <c r="L616" s="13" t="str">
        <f t="shared" si="453"/>
        <v>C0614</v>
      </c>
      <c r="M616" s="13" t="str">
        <f t="shared" si="454"/>
        <v xml:space="preserve">Самойлов Андрей Олегович</v>
      </c>
      <c r="N616" s="13" t="str">
        <f t="shared" si="455"/>
        <v>OK</v>
      </c>
      <c r="O616" s="19">
        <f t="shared" si="456"/>
        <v>31221</v>
      </c>
      <c r="P616" s="19">
        <f t="shared" si="457"/>
        <v>50785</v>
      </c>
      <c r="Q616" s="13">
        <f t="shared" ca="1" si="458"/>
        <v>41</v>
      </c>
      <c r="R616" s="13" t="str">
        <f t="shared" si="459"/>
        <v>OK</v>
      </c>
      <c r="S616" s="13" t="str">
        <f t="shared" si="460"/>
        <v xml:space="preserve">+7 (903) 012-34-56</v>
      </c>
      <c r="T616" s="13" t="str">
        <f t="shared" si="461"/>
        <v>samoylov@yandex</v>
      </c>
      <c r="U616" s="18" t="str">
        <f t="shared" si="462"/>
        <v xml:space="preserve">Ошибка Email</v>
      </c>
      <c r="V616" s="13" t="str">
        <f>IFERROR(VLOOKUP(K616,Справочники!$K$6:$L$13,2,0),K616)</f>
        <v>Курган</v>
      </c>
    </row>
    <row r="617" ht="15" customHeight="1">
      <c r="A617" s="10">
        <v>615</v>
      </c>
      <c r="B617" s="11" t="str">
        <f>RAW_Клиенты!A616</f>
        <v>C0615</v>
      </c>
      <c r="C617" s="11" t="str">
        <f>RAW_Клиенты!B616</f>
        <v xml:space="preserve">Трофимова Мария Павловна</v>
      </c>
      <c r="D617" s="11" t="str">
        <f>RAW_Клиенты!C616</f>
        <v>16.01.1979</v>
      </c>
      <c r="E617" s="11" t="str">
        <f>RAW_Клиенты!D616</f>
        <v xml:space="preserve">8 903 123 45 67</v>
      </c>
      <c r="F617" s="11" t="str">
        <f>RAW_Клиенты!E616</f>
        <v>trofimova@gmail</v>
      </c>
      <c r="G617" s="11" t="str">
        <f>RAW_Клиенты!F616</f>
        <v>Архангельск</v>
      </c>
      <c r="H617" s="11" t="str">
        <f>RAW_Клиенты!G616</f>
        <v>15.01.2039</v>
      </c>
      <c r="I617" s="12" t="str">
        <f t="shared" si="450"/>
        <v>89031234567</v>
      </c>
      <c r="J617" s="12" t="str">
        <f t="shared" si="451"/>
        <v>trofimova@gmail</v>
      </c>
      <c r="K617" s="12" t="str">
        <f t="shared" si="452"/>
        <v>Архангельск</v>
      </c>
      <c r="L617" s="13" t="str">
        <f t="shared" si="453"/>
        <v>C0615</v>
      </c>
      <c r="M617" s="13" t="str">
        <f t="shared" si="454"/>
        <v xml:space="preserve">Трофимова Мария Павловна</v>
      </c>
      <c r="N617" s="13" t="str">
        <f t="shared" si="455"/>
        <v>OK</v>
      </c>
      <c r="O617" s="19">
        <f t="shared" si="456"/>
        <v>28871</v>
      </c>
      <c r="P617" s="19">
        <f t="shared" si="457"/>
        <v>50785</v>
      </c>
      <c r="Q617" s="13">
        <f t="shared" ca="1" si="458"/>
        <v>47</v>
      </c>
      <c r="R617" s="13" t="str">
        <f t="shared" si="459"/>
        <v>OK</v>
      </c>
      <c r="S617" s="13" t="str">
        <f t="shared" si="460"/>
        <v xml:space="preserve">+7 (903) 123-45-67</v>
      </c>
      <c r="T617" s="13" t="str">
        <f t="shared" si="461"/>
        <v>trofimova@gmail</v>
      </c>
      <c r="U617" s="18" t="str">
        <f t="shared" si="462"/>
        <v xml:space="preserve">Ошибка Email</v>
      </c>
      <c r="V617" s="13" t="str">
        <f>IFERROR(VLOOKUP(K617,Справочники!$K$6:$L$13,2,0),K617)</f>
        <v>Архангельск</v>
      </c>
    </row>
    <row r="618" ht="15" customHeight="1">
      <c r="A618" s="10">
        <v>616</v>
      </c>
      <c r="B618" s="11" t="str">
        <f>RAW_Клиенты!A617</f>
        <v>C0616</v>
      </c>
      <c r="C618" s="11" t="str">
        <f>RAW_Клиенты!B617</f>
        <v xml:space="preserve">Власов Денис Сергеевич</v>
      </c>
      <c r="D618" s="11" t="str">
        <f>RAW_Клиенты!C617</f>
        <v>28.03.1984</v>
      </c>
      <c r="E618" s="11" t="str">
        <f>RAW_Клиенты!D617</f>
        <v>+79031234567</v>
      </c>
      <c r="F618" s="11" t="str">
        <f>RAW_Клиенты!E617</f>
        <v>vlasov@mail</v>
      </c>
      <c r="G618" s="11" t="str">
        <f>RAW_Клиенты!F617</f>
        <v>Благовещенск</v>
      </c>
      <c r="H618" s="11" t="str">
        <f>RAW_Клиенты!G617</f>
        <v>01.02.2039</v>
      </c>
      <c r="I618" s="12" t="str">
        <f t="shared" si="450"/>
        <v>79031234567</v>
      </c>
      <c r="J618" s="12" t="str">
        <f t="shared" si="451"/>
        <v>vlasov@mail</v>
      </c>
      <c r="K618" s="12" t="str">
        <f t="shared" si="452"/>
        <v>Благовещенск</v>
      </c>
      <c r="L618" s="13" t="str">
        <f t="shared" si="453"/>
        <v>C0616</v>
      </c>
      <c r="M618" s="13" t="str">
        <f t="shared" si="454"/>
        <v xml:space="preserve">Власов Денис Сергеевич</v>
      </c>
      <c r="N618" s="13" t="str">
        <f t="shared" si="455"/>
        <v>OK</v>
      </c>
      <c r="O618" s="19">
        <f t="shared" si="456"/>
        <v>30769</v>
      </c>
      <c r="P618" s="19">
        <f t="shared" si="457"/>
        <v>50802</v>
      </c>
      <c r="Q618" s="13">
        <f t="shared" ca="1" si="458"/>
        <v>42</v>
      </c>
      <c r="R618" s="13" t="str">
        <f t="shared" si="459"/>
        <v>OK</v>
      </c>
      <c r="S618" s="13" t="str">
        <f t="shared" si="460"/>
        <v xml:space="preserve">+7 (903) 123-45-67</v>
      </c>
      <c r="T618" s="13" t="str">
        <f t="shared" si="461"/>
        <v>vlasov@mail</v>
      </c>
      <c r="U618" s="18" t="str">
        <f t="shared" si="462"/>
        <v xml:space="preserve">Ошибка Email</v>
      </c>
      <c r="V618" s="13" t="str">
        <f>IFERROR(VLOOKUP(K618,Справочники!$K$6:$L$13,2,0),K618)</f>
        <v>Благовещенск</v>
      </c>
    </row>
    <row r="619" ht="15" customHeight="1">
      <c r="A619" s="10">
        <v>617</v>
      </c>
      <c r="B619" s="11" t="str">
        <f>RAW_Клиенты!A618</f>
        <v>C0617</v>
      </c>
      <c r="C619" s="11" t="str">
        <f>RAW_Клиенты!B618</f>
        <v xml:space="preserve">Андреева Ольга Владимировна</v>
      </c>
      <c r="D619" s="11" t="str">
        <f>RAW_Клиенты!C618</f>
        <v>07.07.1990</v>
      </c>
      <c r="E619" s="11" t="str">
        <f>RAW_Клиенты!D618</f>
        <v>8-903-123-45-67</v>
      </c>
      <c r="F619" s="11" t="str">
        <f>RAW_Клиенты!E618</f>
        <v>andreeva@yandex</v>
      </c>
      <c r="G619" s="11" t="str">
        <f>RAW_Клиенты!F618</f>
        <v>Майкоп</v>
      </c>
      <c r="H619" s="11" t="str">
        <f>RAW_Клиенты!G618</f>
        <v>2039-02-10</v>
      </c>
      <c r="I619" s="12" t="str">
        <f t="shared" si="450"/>
        <v>89031234567</v>
      </c>
      <c r="J619" s="12" t="str">
        <f t="shared" si="451"/>
        <v>andreeva@yandex</v>
      </c>
      <c r="K619" s="12" t="str">
        <f t="shared" si="452"/>
        <v>Майкоп</v>
      </c>
      <c r="L619" s="13" t="str">
        <f t="shared" si="453"/>
        <v>C0617</v>
      </c>
      <c r="M619" s="13" t="str">
        <f t="shared" si="454"/>
        <v xml:space="preserve">Андреева Ольга Владимировна</v>
      </c>
      <c r="N619" s="13" t="str">
        <f t="shared" si="455"/>
        <v>OK</v>
      </c>
      <c r="O619" s="19">
        <f t="shared" si="456"/>
        <v>33061</v>
      </c>
      <c r="P619" s="19">
        <f t="shared" si="457"/>
        <v>50811</v>
      </c>
      <c r="Q619" s="13">
        <f t="shared" ca="1" si="458"/>
        <v>36</v>
      </c>
      <c r="R619" s="13" t="str">
        <f t="shared" si="459"/>
        <v>OK</v>
      </c>
      <c r="S619" s="13" t="str">
        <f t="shared" si="460"/>
        <v xml:space="preserve">+7 (903) 123-45-67</v>
      </c>
      <c r="T619" s="13" t="str">
        <f t="shared" si="461"/>
        <v>andreeva@yandex</v>
      </c>
      <c r="U619" s="18" t="str">
        <f t="shared" si="462"/>
        <v xml:space="preserve">Ошибка Email</v>
      </c>
      <c r="V619" s="13" t="str">
        <f>IFERROR(VLOOKUP(K619,Справочники!$K$6:$L$13,2,0),K619)</f>
        <v>Майкоп</v>
      </c>
    </row>
    <row r="620" ht="15" customHeight="1">
      <c r="A620" s="10">
        <v>618</v>
      </c>
      <c r="B620" s="11" t="str">
        <f>RAW_Клиенты!A619</f>
        <v>C0618</v>
      </c>
      <c r="C620" s="11" t="str">
        <f>RAW_Клиенты!B619</f>
        <v xml:space="preserve">Плотников Илья Александрович</v>
      </c>
      <c r="D620" s="11" t="str">
        <f>RAW_Клиенты!C619</f>
        <v>19.10.1973</v>
      </c>
      <c r="E620" s="11" t="str">
        <f>RAW_Клиенты!D619</f>
        <v xml:space="preserve">8 903 234 56 78</v>
      </c>
      <c r="F620" s="11" t="str">
        <f>RAW_Клиенты!E619</f>
        <v>plotnikov@gmail</v>
      </c>
      <c r="G620" s="11" t="str">
        <f>RAW_Клиенты!F619</f>
        <v>Уссурийск</v>
      </c>
      <c r="H620" s="11" t="str">
        <f>RAW_Клиенты!G619</f>
        <v>10.02.2039</v>
      </c>
      <c r="I620" s="12" t="str">
        <f t="shared" si="450"/>
        <v>89032345678</v>
      </c>
      <c r="J620" s="12" t="str">
        <f t="shared" si="451"/>
        <v>plotnikov@gmail</v>
      </c>
      <c r="K620" s="12" t="str">
        <f t="shared" si="452"/>
        <v>Уссурийск</v>
      </c>
      <c r="L620" s="13" t="str">
        <f t="shared" si="453"/>
        <v>C0618</v>
      </c>
      <c r="M620" s="13" t="str">
        <f t="shared" si="454"/>
        <v xml:space="preserve">Плотников Илья Александрович</v>
      </c>
      <c r="N620" s="13" t="str">
        <f t="shared" si="455"/>
        <v>OK</v>
      </c>
      <c r="O620" s="19">
        <f t="shared" si="456"/>
        <v>26956</v>
      </c>
      <c r="P620" s="19">
        <f t="shared" si="457"/>
        <v>50811</v>
      </c>
      <c r="Q620" s="13">
        <f t="shared" ca="1" si="458"/>
        <v>52</v>
      </c>
      <c r="R620" s="13" t="str">
        <f t="shared" si="459"/>
        <v>OK</v>
      </c>
      <c r="S620" s="13" t="str">
        <f t="shared" si="460"/>
        <v xml:space="preserve">+7 (903) 234-56-78</v>
      </c>
      <c r="T620" s="13" t="str">
        <f t="shared" si="461"/>
        <v>plotnikov@gmail</v>
      </c>
      <c r="U620" s="18" t="str">
        <f t="shared" si="462"/>
        <v xml:space="preserve">Ошибка Email</v>
      </c>
      <c r="V620" s="13" t="str">
        <f>IFERROR(VLOOKUP(K620,Справочники!$K$6:$L$13,2,0),K620)</f>
        <v>Уссурийск</v>
      </c>
    </row>
    <row r="621" ht="15" customHeight="1">
      <c r="A621" s="10">
        <v>619</v>
      </c>
      <c r="B621" s="11" t="str">
        <f>RAW_Клиенты!A620</f>
        <v>C0619</v>
      </c>
      <c r="C621" s="11" t="str">
        <f>RAW_Клиенты!B620</f>
        <v xml:space="preserve">Максимова Екатерина Сергеевна</v>
      </c>
      <c r="D621" s="11" t="str">
        <f>RAW_Клиенты!C620</f>
        <v>20.09.1982</v>
      </c>
      <c r="E621" s="11" t="str">
        <f>RAW_Клиенты!D620</f>
        <v>+79032345678</v>
      </c>
      <c r="F621" s="11" t="str">
        <f>RAW_Клиенты!E620</f>
        <v>maksimova@mail</v>
      </c>
      <c r="G621" s="11" t="str">
        <f>RAW_Клиенты!F620</f>
        <v>Миасс</v>
      </c>
      <c r="H621" s="11" t="str">
        <f>RAW_Клиенты!G620</f>
        <v>01.03.2039</v>
      </c>
      <c r="I621" s="12" t="str">
        <f t="shared" si="450"/>
        <v>79032345678</v>
      </c>
      <c r="J621" s="12" t="str">
        <f t="shared" si="451"/>
        <v>maksimova@mail</v>
      </c>
      <c r="K621" s="12" t="str">
        <f t="shared" si="452"/>
        <v>Миасс</v>
      </c>
      <c r="L621" s="13" t="str">
        <f t="shared" si="453"/>
        <v>C0619</v>
      </c>
      <c r="M621" s="13" t="str">
        <f t="shared" si="454"/>
        <v xml:space="preserve">Максимова Екатерина Сергеевна</v>
      </c>
      <c r="N621" s="13" t="str">
        <f t="shared" si="455"/>
        <v>OK</v>
      </c>
      <c r="O621" s="19">
        <f t="shared" si="456"/>
        <v>30214</v>
      </c>
      <c r="P621" s="19">
        <f t="shared" si="457"/>
        <v>50830</v>
      </c>
      <c r="Q621" s="13">
        <f t="shared" ca="1" si="458"/>
        <v>44</v>
      </c>
      <c r="R621" s="13" t="str">
        <f t="shared" si="459"/>
        <v>OK</v>
      </c>
      <c r="S621" s="13" t="str">
        <f t="shared" si="460"/>
        <v xml:space="preserve">+7 (903) 234-56-78</v>
      </c>
      <c r="T621" s="13" t="str">
        <f t="shared" si="461"/>
        <v>maksimova@mail</v>
      </c>
      <c r="U621" s="18" t="str">
        <f t="shared" si="462"/>
        <v xml:space="preserve">Ошибка Email</v>
      </c>
      <c r="V621" s="13" t="str">
        <f>IFERROR(VLOOKUP(K621,Справочники!$K$6:$L$13,2,0),K621)</f>
        <v>Миасс</v>
      </c>
    </row>
    <row r="622" ht="15" customHeight="1">
      <c r="A622" s="10">
        <v>620</v>
      </c>
      <c r="B622" s="11" t="str">
        <f>RAW_Клиенты!A621</f>
        <v>C0620</v>
      </c>
      <c r="C622" s="11" t="str">
        <f>RAW_Клиенты!B621</f>
        <v xml:space="preserve">Владимиров Андрей Павлович</v>
      </c>
      <c r="D622" s="11" t="str">
        <f>RAW_Клиенты!C621</f>
        <v>01.05.1987</v>
      </c>
      <c r="E622" s="11" t="str">
        <f>RAW_Клиенты!D621</f>
        <v>8-903-234-56-78</v>
      </c>
      <c r="F622" s="11" t="str">
        <f>RAW_Клиенты!E621</f>
        <v>vladimirov@yandex</v>
      </c>
      <c r="G622" s="11" t="str">
        <f>RAW_Клиенты!F621</f>
        <v>Кызыл</v>
      </c>
      <c r="H622" s="11" t="str">
        <f>RAW_Клиенты!G621</f>
        <v>2039-03-15</v>
      </c>
      <c r="I622" s="12" t="str">
        <f t="shared" si="450"/>
        <v>89032345678</v>
      </c>
      <c r="J622" s="12" t="str">
        <f t="shared" si="451"/>
        <v>vladimirov@yandex</v>
      </c>
      <c r="K622" s="12" t="str">
        <f t="shared" si="452"/>
        <v>Кызыл</v>
      </c>
      <c r="L622" s="13" t="str">
        <f t="shared" si="453"/>
        <v>C0620</v>
      </c>
      <c r="M622" s="13" t="str">
        <f t="shared" si="454"/>
        <v xml:space="preserve">Владимиров Андрей Павлович</v>
      </c>
      <c r="N622" s="13" t="str">
        <f t="shared" si="455"/>
        <v>OK</v>
      </c>
      <c r="O622" s="19">
        <f t="shared" si="456"/>
        <v>31898</v>
      </c>
      <c r="P622" s="19">
        <f t="shared" si="457"/>
        <v>50844</v>
      </c>
      <c r="Q622" s="13">
        <f t="shared" ca="1" si="458"/>
        <v>39</v>
      </c>
      <c r="R622" s="13" t="str">
        <f t="shared" si="459"/>
        <v>OK</v>
      </c>
      <c r="S622" s="13" t="str">
        <f t="shared" si="460"/>
        <v xml:space="preserve">+7 (903) 234-56-78</v>
      </c>
      <c r="T622" s="13" t="str">
        <f t="shared" si="461"/>
        <v>vladimirov@yandex</v>
      </c>
      <c r="U622" s="18" t="str">
        <f t="shared" si="462"/>
        <v xml:space="preserve">Ошибка Email</v>
      </c>
      <c r="V622" s="13" t="str">
        <f>IFERROR(VLOOKUP(K622,Справочники!$K$6:$L$13,2,0),K622)</f>
        <v>Кызыл</v>
      </c>
    </row>
    <row r="623" ht="15" customHeight="1">
      <c r="A623" s="10">
        <v>621</v>
      </c>
      <c r="B623" s="11" t="str">
        <f>RAW_Клиенты!A622</f>
        <v>C0621</v>
      </c>
      <c r="C623" s="11" t="str">
        <f>RAW_Клиенты!B622</f>
        <v xml:space="preserve">Грибова Мария Олеговна</v>
      </c>
      <c r="D623" s="11" t="str">
        <f>RAW_Клиенты!C622</f>
        <v>22.12.1976</v>
      </c>
      <c r="E623" s="11" t="str">
        <f>RAW_Клиенты!D622</f>
        <v xml:space="preserve">8 903 345 67 89</v>
      </c>
      <c r="F623" s="11" t="str">
        <f>RAW_Клиенты!E622</f>
        <v>gribova@gmail</v>
      </c>
      <c r="G623" s="11" t="str">
        <f>RAW_Клиенты!F622</f>
        <v>Калининград</v>
      </c>
      <c r="H623" s="11" t="str">
        <f>RAW_Клиенты!G622</f>
        <v>15.03.2039</v>
      </c>
      <c r="I623" s="12" t="str">
        <f t="shared" si="450"/>
        <v>89033456789</v>
      </c>
      <c r="J623" s="12" t="str">
        <f t="shared" si="451"/>
        <v>gribova@gmail</v>
      </c>
      <c r="K623" s="12" t="str">
        <f t="shared" si="452"/>
        <v>Калининград</v>
      </c>
      <c r="L623" s="13" t="str">
        <f t="shared" si="453"/>
        <v>C0621</v>
      </c>
      <c r="M623" s="13" t="str">
        <f t="shared" si="454"/>
        <v xml:space="preserve">Грибова Мария Олеговна</v>
      </c>
      <c r="N623" s="13" t="str">
        <f t="shared" si="455"/>
        <v>OK</v>
      </c>
      <c r="O623" s="19">
        <f t="shared" si="456"/>
        <v>28116</v>
      </c>
      <c r="P623" s="19">
        <f t="shared" si="457"/>
        <v>50844</v>
      </c>
      <c r="Q623" s="13">
        <f t="shared" ca="1" si="458"/>
        <v>49</v>
      </c>
      <c r="R623" s="13" t="str">
        <f t="shared" si="459"/>
        <v>OK</v>
      </c>
      <c r="S623" s="13" t="str">
        <f t="shared" si="460"/>
        <v xml:space="preserve">+7 (903) 345-67-89</v>
      </c>
      <c r="T623" s="13" t="str">
        <f t="shared" si="461"/>
        <v>gribova@gmail</v>
      </c>
      <c r="U623" s="18" t="str">
        <f t="shared" si="462"/>
        <v xml:space="preserve">Ошибка Email</v>
      </c>
      <c r="V623" s="13" t="str">
        <f>IFERROR(VLOOKUP(K623,Справочники!$K$6:$L$13,2,0),K623)</f>
        <v>Калининград</v>
      </c>
    </row>
    <row r="624" ht="15" customHeight="1">
      <c r="A624" s="10">
        <v>622</v>
      </c>
      <c r="B624" s="11" t="str">
        <f>RAW_Клиенты!A623</f>
        <v>C0622</v>
      </c>
      <c r="C624" s="11" t="str">
        <f>RAW_Клиенты!B623</f>
        <v xml:space="preserve">Курочкин Денис Викторович</v>
      </c>
      <c r="D624" s="11" t="str">
        <f>RAW_Клиенты!C623</f>
        <v>15.08.1983</v>
      </c>
      <c r="E624" s="11" t="str">
        <f>RAW_Клиенты!D623</f>
        <v>+79033456789</v>
      </c>
      <c r="F624" s="11" t="str">
        <f>RAW_Клиенты!E623</f>
        <v>kurochkin@mail</v>
      </c>
      <c r="G624" s="11" t="str">
        <f>RAW_Клиенты!F623</f>
        <v>Петрозаводск</v>
      </c>
      <c r="H624" s="11" t="str">
        <f>RAW_Клиенты!G623</f>
        <v>01.04.2039</v>
      </c>
      <c r="I624" s="12" t="str">
        <f t="shared" si="450"/>
        <v>79033456789</v>
      </c>
      <c r="J624" s="12" t="str">
        <f t="shared" si="451"/>
        <v>kurochkin@mail</v>
      </c>
      <c r="K624" s="12" t="str">
        <f t="shared" si="452"/>
        <v>Петрозаводск</v>
      </c>
      <c r="L624" s="13" t="str">
        <f t="shared" si="453"/>
        <v>C0622</v>
      </c>
      <c r="M624" s="13" t="str">
        <f t="shared" si="454"/>
        <v xml:space="preserve">Курочкин Денис Викторович</v>
      </c>
      <c r="N624" s="13" t="str">
        <f t="shared" si="455"/>
        <v>OK</v>
      </c>
      <c r="O624" s="19">
        <f t="shared" si="456"/>
        <v>30543</v>
      </c>
      <c r="P624" s="19">
        <f t="shared" si="457"/>
        <v>50861</v>
      </c>
      <c r="Q624" s="13">
        <f t="shared" ca="1" si="458"/>
        <v>43</v>
      </c>
      <c r="R624" s="13" t="str">
        <f t="shared" si="459"/>
        <v>OK</v>
      </c>
      <c r="S624" s="13" t="str">
        <f t="shared" si="460"/>
        <v xml:space="preserve">+7 (903) 345-67-89</v>
      </c>
      <c r="T624" s="13" t="str">
        <f t="shared" si="461"/>
        <v>kurochkin@mail</v>
      </c>
      <c r="U624" s="18" t="str">
        <f t="shared" si="462"/>
        <v xml:space="preserve">Ошибка Email</v>
      </c>
      <c r="V624" s="13" t="str">
        <f>IFERROR(VLOOKUP(K624,Справочники!$K$6:$L$13,2,0),K624)</f>
        <v>Петрозаводск</v>
      </c>
    </row>
    <row r="625" ht="15" customHeight="1">
      <c r="A625" s="10">
        <v>623</v>
      </c>
      <c r="B625" s="11" t="str">
        <f>RAW_Клиенты!A624</f>
        <v>C0623</v>
      </c>
      <c r="C625" s="11" t="str">
        <f>RAW_Клиенты!B624</f>
        <v xml:space="preserve">Соловьева Ольга Павловна</v>
      </c>
      <c r="D625" s="11" t="str">
        <f>RAW_Клиенты!C624</f>
        <v>26.04.1988</v>
      </c>
      <c r="E625" s="11" t="str">
        <f>RAW_Клиенты!D624</f>
        <v>8-903-345-67-89</v>
      </c>
      <c r="F625" s="11" t="str">
        <f>RAW_Клиенты!E624</f>
        <v>solovieva@yandex</v>
      </c>
      <c r="G625" s="11" t="str">
        <f>RAW_Клиенты!F624</f>
        <v>Рубцовск</v>
      </c>
      <c r="H625" s="11" t="str">
        <f>RAW_Клиенты!G624</f>
        <v>2039-04-10</v>
      </c>
      <c r="I625" s="12" t="str">
        <f t="shared" si="450"/>
        <v>89033456789</v>
      </c>
      <c r="J625" s="12" t="str">
        <f t="shared" si="451"/>
        <v>solovieva@yandex</v>
      </c>
      <c r="K625" s="12" t="str">
        <f t="shared" si="452"/>
        <v>Рубцовск</v>
      </c>
      <c r="L625" s="13" t="str">
        <f t="shared" si="453"/>
        <v>C0623</v>
      </c>
      <c r="M625" s="13" t="str">
        <f t="shared" si="454"/>
        <v xml:space="preserve">Соловьева Ольга Павловна</v>
      </c>
      <c r="N625" s="13" t="str">
        <f t="shared" si="455"/>
        <v>OK</v>
      </c>
      <c r="O625" s="19">
        <f t="shared" si="456"/>
        <v>32259</v>
      </c>
      <c r="P625" s="19">
        <f t="shared" si="457"/>
        <v>50870</v>
      </c>
      <c r="Q625" s="13">
        <f t="shared" ca="1" si="458"/>
        <v>38</v>
      </c>
      <c r="R625" s="13" t="str">
        <f t="shared" si="459"/>
        <v>OK</v>
      </c>
      <c r="S625" s="13" t="str">
        <f t="shared" si="460"/>
        <v xml:space="preserve">+7 (903) 345-67-89</v>
      </c>
      <c r="T625" s="13" t="str">
        <f t="shared" si="461"/>
        <v>solovieva@yandex</v>
      </c>
      <c r="U625" s="18" t="str">
        <f t="shared" si="462"/>
        <v xml:space="preserve">Ошибка Email</v>
      </c>
      <c r="V625" s="13" t="str">
        <f>IFERROR(VLOOKUP(K625,Справочники!$K$6:$L$13,2,0),K625)</f>
        <v>Рубцовск</v>
      </c>
    </row>
    <row r="626" ht="15" customHeight="1">
      <c r="A626" s="10">
        <v>624</v>
      </c>
      <c r="B626" s="11" t="str">
        <f>RAW_Клиенты!A625</f>
        <v>C0624</v>
      </c>
      <c r="C626" s="11" t="str">
        <f>RAW_Клиенты!B625</f>
        <v xml:space="preserve">Звягинцев Илья Алексеевич</v>
      </c>
      <c r="D626" s="11" t="str">
        <f>RAW_Клиенты!C625</f>
        <v>13.11.1974</v>
      </c>
      <c r="E626" s="11" t="str">
        <f>RAW_Клиенты!D625</f>
        <v xml:space="preserve">8 903 456 78 90</v>
      </c>
      <c r="F626" s="11" t="str">
        <f>RAW_Клиенты!E625</f>
        <v>zvyagintsev@gmail</v>
      </c>
      <c r="G626" s="11" t="str">
        <f>RAW_Клиенты!F625</f>
        <v>Элиста</v>
      </c>
      <c r="H626" s="11" t="str">
        <f>RAW_Клиенты!G625</f>
        <v>10.04.2039</v>
      </c>
      <c r="I626" s="12" t="str">
        <f t="shared" si="450"/>
        <v>89034567890</v>
      </c>
      <c r="J626" s="12" t="str">
        <f t="shared" si="451"/>
        <v>zvyagintsev@gmail</v>
      </c>
      <c r="K626" s="12" t="str">
        <f t="shared" si="452"/>
        <v>Элиста</v>
      </c>
      <c r="L626" s="13" t="str">
        <f t="shared" si="453"/>
        <v>C0624</v>
      </c>
      <c r="M626" s="13" t="str">
        <f t="shared" si="454"/>
        <v xml:space="preserve">Звягинцев Илья Алексеевич</v>
      </c>
      <c r="N626" s="13" t="str">
        <f t="shared" si="455"/>
        <v>OK</v>
      </c>
      <c r="O626" s="19">
        <f t="shared" si="456"/>
        <v>27346</v>
      </c>
      <c r="P626" s="19">
        <f t="shared" si="457"/>
        <v>50870</v>
      </c>
      <c r="Q626" s="13">
        <f t="shared" ca="1" si="458"/>
        <v>51</v>
      </c>
      <c r="R626" s="13" t="str">
        <f t="shared" si="459"/>
        <v>OK</v>
      </c>
      <c r="S626" s="13" t="str">
        <f t="shared" si="460"/>
        <v xml:space="preserve">+7 (903) 456-78-90</v>
      </c>
      <c r="T626" s="13" t="str">
        <f t="shared" si="461"/>
        <v>zvyagintsev@gmail</v>
      </c>
      <c r="U626" s="18" t="str">
        <f t="shared" si="462"/>
        <v xml:space="preserve">Ошибка Email</v>
      </c>
      <c r="V626" s="13" t="str">
        <f>IFERROR(VLOOKUP(K626,Справочники!$K$6:$L$13,2,0),K626)</f>
        <v>Элиста</v>
      </c>
    </row>
    <row r="627" ht="15" customHeight="1">
      <c r="A627" s="10">
        <v>625</v>
      </c>
      <c r="B627" s="11" t="str">
        <f>RAW_Клиенты!A626</f>
        <v>C0625</v>
      </c>
      <c r="C627" s="11" t="str">
        <f>RAW_Клиенты!B626</f>
        <v xml:space="preserve">Муромцева Екатерина Сергеевна</v>
      </c>
      <c r="D627" s="11" t="str">
        <f>RAW_Клиенты!C626</f>
        <v>09.06.1981</v>
      </c>
      <c r="E627" s="11" t="str">
        <f>RAW_Клиенты!D626</f>
        <v>+79034567890</v>
      </c>
      <c r="F627" s="11" t="str">
        <f>RAW_Клиенты!E626</f>
        <v>muromtseva@mail</v>
      </c>
      <c r="G627" s="11" t="str">
        <f>RAW_Клиенты!F626</f>
        <v>Орск</v>
      </c>
      <c r="H627" s="11" t="str">
        <f>RAW_Клиенты!G626</f>
        <v>01.05.2039</v>
      </c>
      <c r="I627" s="12" t="str">
        <f t="shared" si="450"/>
        <v>79034567890</v>
      </c>
      <c r="J627" s="12" t="str">
        <f t="shared" si="451"/>
        <v>muromtseva@mail</v>
      </c>
      <c r="K627" s="12" t="str">
        <f t="shared" si="452"/>
        <v>Орск</v>
      </c>
      <c r="L627" s="13" t="str">
        <f t="shared" si="453"/>
        <v>C0625</v>
      </c>
      <c r="M627" s="13" t="str">
        <f t="shared" si="454"/>
        <v xml:space="preserve">Муромцева Екатерина Сергеевна</v>
      </c>
      <c r="N627" s="13" t="str">
        <f t="shared" si="455"/>
        <v>OK</v>
      </c>
      <c r="O627" s="19">
        <f t="shared" si="456"/>
        <v>29746</v>
      </c>
      <c r="P627" s="19">
        <f t="shared" si="457"/>
        <v>50891</v>
      </c>
      <c r="Q627" s="13">
        <f t="shared" ca="1" si="458"/>
        <v>45</v>
      </c>
      <c r="R627" s="13" t="str">
        <f t="shared" si="459"/>
        <v>OK</v>
      </c>
      <c r="S627" s="13" t="str">
        <f t="shared" si="460"/>
        <v xml:space="preserve">+7 (903) 456-78-90</v>
      </c>
      <c r="T627" s="13" t="str">
        <f t="shared" si="461"/>
        <v>muromtseva@mail</v>
      </c>
      <c r="U627" s="18" t="str">
        <f t="shared" si="462"/>
        <v xml:space="preserve">Ошибка Email</v>
      </c>
      <c r="V627" s="13" t="str">
        <f>IFERROR(VLOOKUP(K627,Справочники!$K$6:$L$13,2,0),K627)</f>
        <v>Орск</v>
      </c>
    </row>
    <row r="628" ht="15" customHeight="1">
      <c r="A628" s="10">
        <v>626</v>
      </c>
      <c r="B628" s="11" t="str">
        <f>RAW_Клиенты!A627</f>
        <v>C0626</v>
      </c>
      <c r="C628" s="11" t="str">
        <f>RAW_Клиенты!B627</f>
        <v xml:space="preserve">Бакулин Андрей Олегович</v>
      </c>
      <c r="D628" s="11" t="str">
        <f>RAW_Клиенты!C627</f>
        <v>17.09.1992</v>
      </c>
      <c r="E628" s="11" t="str">
        <f>RAW_Клиенты!D627</f>
        <v>8-903-456-78-90</v>
      </c>
      <c r="F628" s="11" t="str">
        <f>RAW_Клиенты!E627</f>
        <v>bakulin@yandex</v>
      </c>
      <c r="G628" s="11" t="str">
        <f>RAW_Клиенты!F627</f>
        <v>Нижневартовск</v>
      </c>
      <c r="H628" s="11" t="str">
        <f>RAW_Клиенты!G627</f>
        <v>2039-05-15</v>
      </c>
      <c r="I628" s="12" t="str">
        <f t="shared" si="450"/>
        <v>89034567890</v>
      </c>
      <c r="J628" s="12" t="str">
        <f t="shared" si="451"/>
        <v>bakulin@yandex</v>
      </c>
      <c r="K628" s="12" t="str">
        <f t="shared" si="452"/>
        <v>Нижневартовск</v>
      </c>
      <c r="L628" s="13" t="str">
        <f t="shared" si="453"/>
        <v>C0626</v>
      </c>
      <c r="M628" s="13" t="str">
        <f t="shared" si="454"/>
        <v xml:space="preserve">Бакулин Андрей Олегович</v>
      </c>
      <c r="N628" s="13" t="str">
        <f t="shared" si="455"/>
        <v>OK</v>
      </c>
      <c r="O628" s="19">
        <f t="shared" si="456"/>
        <v>33864</v>
      </c>
      <c r="P628" s="19">
        <f t="shared" si="457"/>
        <v>50905</v>
      </c>
      <c r="Q628" s="13">
        <f t="shared" ca="1" si="458"/>
        <v>34</v>
      </c>
      <c r="R628" s="13" t="str">
        <f t="shared" si="459"/>
        <v>OK</v>
      </c>
      <c r="S628" s="13" t="str">
        <f t="shared" si="460"/>
        <v xml:space="preserve">+7 (903) 456-78-90</v>
      </c>
      <c r="T628" s="13" t="str">
        <f t="shared" si="461"/>
        <v>bakulin@yandex</v>
      </c>
      <c r="U628" s="18" t="str">
        <f t="shared" si="462"/>
        <v xml:space="preserve">Ошибка Email</v>
      </c>
      <c r="V628" s="13" t="str">
        <f>IFERROR(VLOOKUP(K628,Справочники!$K$6:$L$13,2,0),K628)</f>
        <v>Нижневартовск</v>
      </c>
    </row>
    <row r="629" ht="15" customHeight="1">
      <c r="A629" s="10">
        <v>627</v>
      </c>
      <c r="B629" s="11" t="str">
        <f>RAW_Клиенты!A628</f>
        <v>C0627</v>
      </c>
      <c r="C629" s="11" t="str">
        <f>RAW_Клиенты!B628</f>
        <v xml:space="preserve">Корнеева Мария Владимировна</v>
      </c>
      <c r="D629" s="11" t="str">
        <f>RAW_Клиенты!C628</f>
        <v>30.01.1975</v>
      </c>
      <c r="E629" s="11" t="str">
        <f>RAW_Клиенты!D628</f>
        <v xml:space="preserve">8 903 567 89 01</v>
      </c>
      <c r="F629" s="11" t="str">
        <f>RAW_Клиенты!E628</f>
        <v>korneeva@gmail</v>
      </c>
      <c r="G629" s="11" t="str">
        <f>RAW_Клиенты!F628</f>
        <v>Новороссийск</v>
      </c>
      <c r="H629" s="11" t="str">
        <f>RAW_Клиенты!G628</f>
        <v>15.05.2039</v>
      </c>
      <c r="I629" s="12" t="str">
        <f t="shared" si="450"/>
        <v>89035678901</v>
      </c>
      <c r="J629" s="12" t="str">
        <f t="shared" si="451"/>
        <v>korneeva@gmail</v>
      </c>
      <c r="K629" s="12" t="str">
        <f t="shared" si="452"/>
        <v>Новороссийск</v>
      </c>
      <c r="L629" s="13" t="str">
        <f t="shared" si="453"/>
        <v>C0627</v>
      </c>
      <c r="M629" s="13" t="str">
        <f t="shared" si="454"/>
        <v xml:space="preserve">Корнеева Мария Владимировна</v>
      </c>
      <c r="N629" s="13" t="str">
        <f t="shared" si="455"/>
        <v>OK</v>
      </c>
      <c r="O629" s="19">
        <f t="shared" si="456"/>
        <v>27424</v>
      </c>
      <c r="P629" s="19">
        <f t="shared" si="457"/>
        <v>50905</v>
      </c>
      <c r="Q629" s="13">
        <f t="shared" ca="1" si="458"/>
        <v>51</v>
      </c>
      <c r="R629" s="13" t="str">
        <f t="shared" si="459"/>
        <v>OK</v>
      </c>
      <c r="S629" s="13" t="str">
        <f t="shared" si="460"/>
        <v xml:space="preserve">+7 (903) 567-89-01</v>
      </c>
      <c r="T629" s="13" t="str">
        <f t="shared" si="461"/>
        <v>korneeva@gmail</v>
      </c>
      <c r="U629" s="18" t="str">
        <f t="shared" si="462"/>
        <v xml:space="preserve">Ошибка Email</v>
      </c>
      <c r="V629" s="13" t="str">
        <f>IFERROR(VLOOKUP(K629,Справочники!$K$6:$L$13,2,0),K629)</f>
        <v>Новороссийск</v>
      </c>
    </row>
    <row r="630" ht="15" customHeight="1">
      <c r="A630" s="10">
        <v>628</v>
      </c>
      <c r="B630" s="11" t="str">
        <f>RAW_Клиенты!A629</f>
        <v>C0628</v>
      </c>
      <c r="C630" s="11" t="str">
        <f>RAW_Клиенты!B629</f>
        <v xml:space="preserve">Сидоров Денис Павлович</v>
      </c>
      <c r="D630" s="11" t="str">
        <f>RAW_Клиенты!C629</f>
        <v>08.07.1984</v>
      </c>
      <c r="E630" s="11" t="str">
        <f>RAW_Клиенты!D629</f>
        <v>+79035678901</v>
      </c>
      <c r="F630" s="11" t="str">
        <f>RAW_Клиенты!E629</f>
        <v>sidorov@mail</v>
      </c>
      <c r="G630" s="11" t="str">
        <f>RAW_Клиенты!F629</f>
        <v>Химки</v>
      </c>
      <c r="H630" s="11" t="str">
        <f>RAW_Клиенты!G629</f>
        <v>01.06.2039</v>
      </c>
      <c r="I630" s="12" t="str">
        <f t="shared" si="450"/>
        <v>79035678901</v>
      </c>
      <c r="J630" s="12" t="str">
        <f t="shared" si="451"/>
        <v>sidorov@mail</v>
      </c>
      <c r="K630" s="12" t="str">
        <f t="shared" si="452"/>
        <v>Химки</v>
      </c>
      <c r="L630" s="13" t="str">
        <f t="shared" si="453"/>
        <v>C0628</v>
      </c>
      <c r="M630" s="13" t="str">
        <f t="shared" si="454"/>
        <v xml:space="preserve">Сидоров Денис Павлович</v>
      </c>
      <c r="N630" s="13" t="str">
        <f t="shared" si="455"/>
        <v>OK</v>
      </c>
      <c r="O630" s="19">
        <f t="shared" si="456"/>
        <v>30871</v>
      </c>
      <c r="P630" s="19">
        <f t="shared" si="457"/>
        <v>50922</v>
      </c>
      <c r="Q630" s="13">
        <f t="shared" ca="1" si="458"/>
        <v>42</v>
      </c>
      <c r="R630" s="13" t="str">
        <f t="shared" si="459"/>
        <v>OK</v>
      </c>
      <c r="S630" s="13" t="str">
        <f t="shared" si="460"/>
        <v xml:space="preserve">+7 (903) 567-89-01</v>
      </c>
      <c r="T630" s="13" t="str">
        <f t="shared" si="461"/>
        <v>sidorov@mail</v>
      </c>
      <c r="U630" s="18" t="str">
        <f t="shared" si="462"/>
        <v xml:space="preserve">Ошибка Email</v>
      </c>
      <c r="V630" s="13" t="str">
        <f>IFERROR(VLOOKUP(K630,Справочники!$K$6:$L$13,2,0),K630)</f>
        <v>Химки</v>
      </c>
    </row>
    <row r="631" ht="15" customHeight="1">
      <c r="A631" s="10">
        <v>629</v>
      </c>
      <c r="B631" s="11" t="str">
        <f>RAW_Клиенты!A630</f>
        <v>C0629</v>
      </c>
      <c r="C631" s="11" t="str">
        <f>RAW_Клиенты!B630</f>
        <v xml:space="preserve">Бирюкова Ольга Сергеевна</v>
      </c>
      <c r="D631" s="11" t="str">
        <f>RAW_Клиенты!C630</f>
        <v>18.03.1990</v>
      </c>
      <c r="E631" s="11" t="str">
        <f>RAW_Клиенты!D630</f>
        <v>8-903-567-89-01</v>
      </c>
      <c r="F631" s="11" t="str">
        <f>RAW_Клиенты!E630</f>
        <v>biryukova@yandex</v>
      </c>
      <c r="G631" s="11" t="str">
        <f>RAW_Клиенты!F630</f>
        <v>Подольск</v>
      </c>
      <c r="H631" s="11" t="str">
        <f>RAW_Клиенты!G630</f>
        <v>2039-06-10</v>
      </c>
      <c r="I631" s="12" t="str">
        <f t="shared" si="450"/>
        <v>89035678901</v>
      </c>
      <c r="J631" s="12" t="str">
        <f t="shared" si="451"/>
        <v>biryukova@yandex</v>
      </c>
      <c r="K631" s="12" t="str">
        <f t="shared" si="452"/>
        <v>Подольск</v>
      </c>
      <c r="L631" s="13" t="str">
        <f t="shared" si="453"/>
        <v>C0629</v>
      </c>
      <c r="M631" s="13" t="str">
        <f t="shared" si="454"/>
        <v xml:space="preserve">Бирюкова Ольга Сергеевна</v>
      </c>
      <c r="N631" s="13" t="str">
        <f t="shared" si="455"/>
        <v>OK</v>
      </c>
      <c r="O631" s="19">
        <f t="shared" si="456"/>
        <v>32950</v>
      </c>
      <c r="P631" s="19">
        <f t="shared" si="457"/>
        <v>50931</v>
      </c>
      <c r="Q631" s="13">
        <f t="shared" ca="1" si="458"/>
        <v>36</v>
      </c>
      <c r="R631" s="13" t="str">
        <f t="shared" si="459"/>
        <v>OK</v>
      </c>
      <c r="S631" s="13" t="str">
        <f t="shared" si="460"/>
        <v xml:space="preserve">+7 (903) 567-89-01</v>
      </c>
      <c r="T631" s="13" t="str">
        <f t="shared" si="461"/>
        <v>biryukova@yandex</v>
      </c>
      <c r="U631" s="18" t="str">
        <f t="shared" si="462"/>
        <v xml:space="preserve">Ошибка Email</v>
      </c>
      <c r="V631" s="13" t="str">
        <f>IFERROR(VLOOKUP(K631,Справочники!$K$6:$L$13,2,0),K631)</f>
        <v>Подольск</v>
      </c>
    </row>
    <row r="632" ht="15" customHeight="1">
      <c r="A632" s="10">
        <v>630</v>
      </c>
      <c r="B632" s="11" t="str">
        <f>RAW_Клиенты!A631</f>
        <v>C0630</v>
      </c>
      <c r="C632" s="11" t="str">
        <f>RAW_Клиенты!B631</f>
        <v xml:space="preserve">Елисеев Илья Викторович</v>
      </c>
      <c r="D632" s="11" t="str">
        <f>RAW_Клиенты!C631</f>
        <v>24.12.1977</v>
      </c>
      <c r="E632" s="11" t="str">
        <f>RAW_Клиенты!D631</f>
        <v xml:space="preserve">8 903 678 90 12</v>
      </c>
      <c r="F632" s="11" t="str">
        <f>RAW_Клиенты!E631</f>
        <v>eliseev@gmail</v>
      </c>
      <c r="G632" s="11" t="str">
        <f>RAW_Клиенты!F631</f>
        <v>Балашиха</v>
      </c>
      <c r="H632" s="11" t="str">
        <f>RAW_Клиенты!G631</f>
        <v>10.06.2039</v>
      </c>
      <c r="I632" s="12" t="str">
        <f t="shared" si="450"/>
        <v>89036789012</v>
      </c>
      <c r="J632" s="12" t="str">
        <f t="shared" si="451"/>
        <v>eliseev@gmail</v>
      </c>
      <c r="K632" s="12" t="str">
        <f t="shared" si="452"/>
        <v>Балашиха</v>
      </c>
      <c r="L632" s="13" t="str">
        <f t="shared" si="453"/>
        <v>C0630</v>
      </c>
      <c r="M632" s="13" t="str">
        <f t="shared" si="454"/>
        <v xml:space="preserve">Елисеев Илья Викторович</v>
      </c>
      <c r="N632" s="13" t="str">
        <f t="shared" si="455"/>
        <v>OK</v>
      </c>
      <c r="O632" s="19">
        <f t="shared" si="456"/>
        <v>28483</v>
      </c>
      <c r="P632" s="19">
        <f t="shared" si="457"/>
        <v>50931</v>
      </c>
      <c r="Q632" s="13">
        <f t="shared" ca="1" si="458"/>
        <v>48</v>
      </c>
      <c r="R632" s="13" t="str">
        <f t="shared" si="459"/>
        <v>OK</v>
      </c>
      <c r="S632" s="13" t="str">
        <f t="shared" si="460"/>
        <v xml:space="preserve">+7 (903) 678-90-12</v>
      </c>
      <c r="T632" s="13" t="str">
        <f t="shared" si="461"/>
        <v>eliseev@gmail</v>
      </c>
      <c r="U632" s="18" t="str">
        <f t="shared" si="462"/>
        <v xml:space="preserve">Ошибка Email</v>
      </c>
      <c r="V632" s="13" t="str">
        <f>IFERROR(VLOOKUP(K632,Справочники!$K$6:$L$13,2,0),K632)</f>
        <v>Балашиха</v>
      </c>
    </row>
    <row r="633" ht="15" customHeight="1">
      <c r="A633" s="10">
        <v>631</v>
      </c>
      <c r="B633" s="11" t="str">
        <f>RAW_Клиенты!A632</f>
        <v>C0631</v>
      </c>
      <c r="C633" s="11" t="str">
        <f>RAW_Клиенты!B632</f>
        <v xml:space="preserve">Демидова Екатерина Алексеевна</v>
      </c>
      <c r="D633" s="11" t="str">
        <f>RAW_Клиенты!C632</f>
        <v>21.10.1986</v>
      </c>
      <c r="E633" s="11" t="str">
        <f>RAW_Клиенты!D632</f>
        <v>+79036789012</v>
      </c>
      <c r="F633" s="11" t="str">
        <f>RAW_Клиенты!E632</f>
        <v>demidova@mail</v>
      </c>
      <c r="G633" s="11" t="str">
        <f>RAW_Клиенты!F632</f>
        <v>Сургут</v>
      </c>
      <c r="H633" s="11" t="str">
        <f>RAW_Клиенты!G632</f>
        <v>01.07.2039</v>
      </c>
      <c r="I633" s="12" t="str">
        <f t="shared" si="450"/>
        <v>79036789012</v>
      </c>
      <c r="J633" s="12" t="str">
        <f t="shared" si="451"/>
        <v>demidova@mail</v>
      </c>
      <c r="K633" s="12" t="str">
        <f t="shared" si="452"/>
        <v>Сургут</v>
      </c>
      <c r="L633" s="13" t="str">
        <f t="shared" si="453"/>
        <v>C0631</v>
      </c>
      <c r="M633" s="13" t="str">
        <f t="shared" si="454"/>
        <v xml:space="preserve">Демидова Екатерина Алексеевна</v>
      </c>
      <c r="N633" s="13" t="str">
        <f t="shared" si="455"/>
        <v>OK</v>
      </c>
      <c r="O633" s="19">
        <f t="shared" si="456"/>
        <v>31706</v>
      </c>
      <c r="P633" s="19">
        <f t="shared" si="457"/>
        <v>50952</v>
      </c>
      <c r="Q633" s="13">
        <f t="shared" ca="1" si="458"/>
        <v>39</v>
      </c>
      <c r="R633" s="13" t="str">
        <f t="shared" si="459"/>
        <v>OK</v>
      </c>
      <c r="S633" s="13" t="str">
        <f t="shared" si="460"/>
        <v xml:space="preserve">+7 (903) 678-90-12</v>
      </c>
      <c r="T633" s="13" t="str">
        <f t="shared" si="461"/>
        <v>demidova@mail</v>
      </c>
      <c r="U633" s="18" t="str">
        <f t="shared" si="462"/>
        <v xml:space="preserve">Ошибка Email</v>
      </c>
      <c r="V633" s="13" t="str">
        <f>IFERROR(VLOOKUP(K633,Справочники!$K$6:$L$13,2,0),K633)</f>
        <v>Сургут</v>
      </c>
    </row>
    <row r="634" ht="15" customHeight="1">
      <c r="A634" s="10">
        <v>632</v>
      </c>
      <c r="B634" s="11" t="str">
        <f>RAW_Клиенты!A633</f>
        <v>C0632</v>
      </c>
      <c r="C634" s="11" t="str">
        <f>RAW_Клиенты!B633</f>
        <v xml:space="preserve">Медведев Андрей Олегович</v>
      </c>
      <c r="D634" s="11" t="str">
        <f>RAW_Клиенты!C633</f>
        <v>07.08.1982</v>
      </c>
      <c r="E634" s="11" t="str">
        <f>RAW_Клиенты!D633</f>
        <v>8-903-678-90-12</v>
      </c>
      <c r="F634" s="11" t="str">
        <f>RAW_Клиенты!E633</f>
        <v>medvedev@yandex</v>
      </c>
      <c r="G634" s="11" t="str">
        <f>RAW_Клиенты!F633</f>
        <v>Армавир</v>
      </c>
      <c r="H634" s="11" t="str">
        <f>RAW_Клиенты!G633</f>
        <v>2039-07-15</v>
      </c>
      <c r="I634" s="12" t="str">
        <f t="shared" si="450"/>
        <v>89036789012</v>
      </c>
      <c r="J634" s="12" t="str">
        <f t="shared" si="451"/>
        <v>medvedev@yandex</v>
      </c>
      <c r="K634" s="12" t="str">
        <f t="shared" si="452"/>
        <v>Армавир</v>
      </c>
      <c r="L634" s="13" t="str">
        <f t="shared" si="453"/>
        <v>C0632</v>
      </c>
      <c r="M634" s="13" t="str">
        <f t="shared" si="454"/>
        <v xml:space="preserve">Медведев Андрей Олегович</v>
      </c>
      <c r="N634" s="13" t="str">
        <f t="shared" si="455"/>
        <v>OK</v>
      </c>
      <c r="O634" s="19">
        <f t="shared" si="456"/>
        <v>30170</v>
      </c>
      <c r="P634" s="19">
        <f t="shared" si="457"/>
        <v>50966</v>
      </c>
      <c r="Q634" s="13">
        <f t="shared" ca="1" si="458"/>
        <v>44</v>
      </c>
      <c r="R634" s="13" t="str">
        <f t="shared" si="459"/>
        <v>OK</v>
      </c>
      <c r="S634" s="13" t="str">
        <f t="shared" si="460"/>
        <v xml:space="preserve">+7 (903) 678-90-12</v>
      </c>
      <c r="T634" s="13" t="str">
        <f t="shared" si="461"/>
        <v>medvedev@yandex</v>
      </c>
      <c r="U634" s="18" t="str">
        <f t="shared" si="462"/>
        <v xml:space="preserve">Ошибка Email</v>
      </c>
      <c r="V634" s="13" t="str">
        <f>IFERROR(VLOOKUP(K634,Справочники!$K$6:$L$13,2,0),K634)</f>
        <v>Армавир</v>
      </c>
    </row>
    <row r="635" ht="15" customHeight="1">
      <c r="A635" s="10">
        <v>633</v>
      </c>
      <c r="B635" s="11" t="str">
        <f>RAW_Клиенты!A634</f>
        <v>C0633</v>
      </c>
      <c r="C635" s="11" t="str">
        <f>RAW_Клиенты!B634</f>
        <v xml:space="preserve">Покровская Мария Павловна</v>
      </c>
      <c r="D635" s="11" t="str">
        <f>RAW_Клиенты!C634</f>
        <v>15.05.1973</v>
      </c>
      <c r="E635" s="11" t="str">
        <f>RAW_Клиенты!D634</f>
        <v xml:space="preserve">8 903 789 01 23</v>
      </c>
      <c r="F635" s="11" t="str">
        <f>RAW_Клиенты!E634</f>
        <v>pokrovskaya@gmail</v>
      </c>
      <c r="G635" s="11" t="str">
        <f>RAW_Клиенты!F634</f>
        <v>Волжский</v>
      </c>
      <c r="H635" s="11" t="str">
        <f>RAW_Клиенты!G634</f>
        <v>15.07.2039</v>
      </c>
      <c r="I635" s="12" t="str">
        <f t="shared" si="450"/>
        <v>89037890123</v>
      </c>
      <c r="J635" s="12" t="str">
        <f t="shared" si="451"/>
        <v>pokrovskaya@gmail</v>
      </c>
      <c r="K635" s="12" t="str">
        <f t="shared" si="452"/>
        <v>Волжский</v>
      </c>
      <c r="L635" s="13" t="str">
        <f t="shared" si="453"/>
        <v>C0633</v>
      </c>
      <c r="M635" s="13" t="str">
        <f t="shared" si="454"/>
        <v xml:space="preserve">Покровская Мария Павловна</v>
      </c>
      <c r="N635" s="13" t="str">
        <f t="shared" si="455"/>
        <v>OK</v>
      </c>
      <c r="O635" s="19">
        <f t="shared" si="456"/>
        <v>26799</v>
      </c>
      <c r="P635" s="19">
        <f t="shared" si="457"/>
        <v>50966</v>
      </c>
      <c r="Q635" s="13">
        <f t="shared" ca="1" si="458"/>
        <v>53</v>
      </c>
      <c r="R635" s="13" t="str">
        <f t="shared" si="459"/>
        <v>OK</v>
      </c>
      <c r="S635" s="13" t="str">
        <f t="shared" si="460"/>
        <v xml:space="preserve">+7 (903) 789-01-23</v>
      </c>
      <c r="T635" s="13" t="str">
        <f t="shared" si="461"/>
        <v>pokrovskaya@gmail</v>
      </c>
      <c r="U635" s="18" t="str">
        <f t="shared" si="462"/>
        <v xml:space="preserve">Ошибка Email</v>
      </c>
      <c r="V635" s="13" t="str">
        <f>IFERROR(VLOOKUP(K635,Справочники!$K$6:$L$13,2,0),K635)</f>
        <v>Волжский</v>
      </c>
    </row>
    <row r="636" ht="15" customHeight="1">
      <c r="A636" s="10">
        <v>634</v>
      </c>
      <c r="B636" s="11" t="str">
        <f>RAW_Клиенты!A635</f>
        <v>C0634</v>
      </c>
      <c r="C636" s="11" t="str">
        <f>RAW_Клиенты!B635</f>
        <v xml:space="preserve">Коршунов Денис Сергеевич</v>
      </c>
      <c r="D636" s="11" t="str">
        <f>RAW_Клиенты!C635</f>
        <v>03.11.1988</v>
      </c>
      <c r="E636" s="11" t="str">
        <f>RAW_Клиенты!D635</f>
        <v>+79037890123</v>
      </c>
      <c r="F636" s="11" t="str">
        <f>RAW_Клиенты!E635</f>
        <v>korshunov@mail</v>
      </c>
      <c r="G636" s="11" t="str">
        <f>RAW_Клиенты!F635</f>
        <v>Шахты</v>
      </c>
      <c r="H636" s="11" t="str">
        <f>RAW_Клиенты!G635</f>
        <v>01.08.2039</v>
      </c>
      <c r="I636" s="12" t="str">
        <f t="shared" si="450"/>
        <v>79037890123</v>
      </c>
      <c r="J636" s="12" t="str">
        <f t="shared" si="451"/>
        <v>korshunov@mail</v>
      </c>
      <c r="K636" s="12" t="str">
        <f t="shared" si="452"/>
        <v>Шахты</v>
      </c>
      <c r="L636" s="13" t="str">
        <f t="shared" si="453"/>
        <v>C0634</v>
      </c>
      <c r="M636" s="13" t="str">
        <f t="shared" si="454"/>
        <v xml:space="preserve">Коршунов Денис Сергеевич</v>
      </c>
      <c r="N636" s="13" t="str">
        <f t="shared" si="455"/>
        <v>OK</v>
      </c>
      <c r="O636" s="19">
        <f t="shared" si="456"/>
        <v>32450</v>
      </c>
      <c r="P636" s="19">
        <f t="shared" si="457"/>
        <v>50983</v>
      </c>
      <c r="Q636" s="13">
        <f t="shared" ca="1" si="458"/>
        <v>37</v>
      </c>
      <c r="R636" s="13" t="str">
        <f t="shared" si="459"/>
        <v>OK</v>
      </c>
      <c r="S636" s="13" t="str">
        <f t="shared" si="460"/>
        <v xml:space="preserve">+7 (903) 789-01-23</v>
      </c>
      <c r="T636" s="13" t="str">
        <f t="shared" si="461"/>
        <v>korshunov@mail</v>
      </c>
      <c r="U636" s="18" t="str">
        <f t="shared" si="462"/>
        <v xml:space="preserve">Ошибка Email</v>
      </c>
      <c r="V636" s="13" t="str">
        <f>IFERROR(VLOOKUP(K636,Справочники!$K$6:$L$13,2,0),K636)</f>
        <v>Шахты</v>
      </c>
    </row>
    <row r="637" ht="15" customHeight="1">
      <c r="A637" s="10">
        <v>635</v>
      </c>
      <c r="B637" s="11" t="str">
        <f>RAW_Клиенты!A636</f>
        <v>C0635</v>
      </c>
      <c r="C637" s="11" t="str">
        <f>RAW_Клиенты!B636</f>
        <v xml:space="preserve">Алексеева Ольга Владимировна</v>
      </c>
      <c r="D637" s="11" t="str">
        <f>RAW_Клиенты!C636</f>
        <v>22.09.1985</v>
      </c>
      <c r="E637" s="11" t="str">
        <f>RAW_Клиенты!D636</f>
        <v>8-903-789-01-23</v>
      </c>
      <c r="F637" s="11" t="str">
        <f>RAW_Клиенты!E636</f>
        <v>alekseeva@yandex</v>
      </c>
      <c r="G637" s="11" t="str">
        <f>RAW_Клиенты!F636</f>
        <v>Златоуст</v>
      </c>
      <c r="H637" s="11" t="str">
        <f>RAW_Клиенты!G636</f>
        <v>2039-08-10</v>
      </c>
      <c r="I637" s="12" t="str">
        <f t="shared" si="450"/>
        <v>89037890123</v>
      </c>
      <c r="J637" s="12" t="str">
        <f t="shared" si="451"/>
        <v>alekseeva@yandex</v>
      </c>
      <c r="K637" s="12" t="str">
        <f t="shared" si="452"/>
        <v>Златоуст</v>
      </c>
      <c r="L637" s="13" t="str">
        <f t="shared" si="453"/>
        <v>C0635</v>
      </c>
      <c r="M637" s="13" t="str">
        <f t="shared" si="454"/>
        <v xml:space="preserve">Алексеева Ольга Владимировна</v>
      </c>
      <c r="N637" s="13" t="str">
        <f t="shared" si="455"/>
        <v>OK</v>
      </c>
      <c r="O637" s="19">
        <f t="shared" si="456"/>
        <v>31312</v>
      </c>
      <c r="P637" s="19">
        <f t="shared" si="457"/>
        <v>50992</v>
      </c>
      <c r="Q637" s="13">
        <f t="shared" ca="1" si="458"/>
        <v>41</v>
      </c>
      <c r="R637" s="13" t="str">
        <f t="shared" si="459"/>
        <v>OK</v>
      </c>
      <c r="S637" s="13" t="str">
        <f t="shared" si="460"/>
        <v xml:space="preserve">+7 (903) 789-01-23</v>
      </c>
      <c r="T637" s="13" t="str">
        <f t="shared" si="461"/>
        <v>alekseeva@yandex</v>
      </c>
      <c r="U637" s="18" t="str">
        <f t="shared" si="462"/>
        <v xml:space="preserve">Ошибка Email</v>
      </c>
      <c r="V637" s="13" t="str">
        <f>IFERROR(VLOOKUP(K637,Справочники!$K$6:$L$13,2,0),K637)</f>
        <v>Златоуст</v>
      </c>
    </row>
    <row r="638" ht="15" customHeight="1">
      <c r="A638" s="10">
        <v>636</v>
      </c>
      <c r="B638" s="11" t="str">
        <f>RAW_Клиенты!A637</f>
        <v>C0636</v>
      </c>
      <c r="C638" s="11" t="str">
        <f>RAW_Клиенты!B637</f>
        <v xml:space="preserve">Баринов Илья Александрович</v>
      </c>
      <c r="D638" s="11" t="str">
        <f>RAW_Клиенты!C637</f>
        <v>14.02.1978</v>
      </c>
      <c r="E638" s="11" t="str">
        <f>RAW_Клиенты!D637</f>
        <v xml:space="preserve">8 903 890 12 34</v>
      </c>
      <c r="F638" s="11" t="str">
        <f>RAW_Клиенты!E637</f>
        <v>barinov@gmail</v>
      </c>
      <c r="G638" s="11" t="str">
        <f>RAW_Клиенты!F637</f>
        <v>Ангарск</v>
      </c>
      <c r="H638" s="11" t="str">
        <f>RAW_Клиенты!G637</f>
        <v>10.08.2039</v>
      </c>
      <c r="I638" s="12" t="str">
        <f t="shared" si="450"/>
        <v>89038901234</v>
      </c>
      <c r="J638" s="12" t="str">
        <f t="shared" si="451"/>
        <v>barinov@gmail</v>
      </c>
      <c r="K638" s="12" t="str">
        <f t="shared" si="452"/>
        <v>Ангарск</v>
      </c>
      <c r="L638" s="13" t="str">
        <f t="shared" si="453"/>
        <v>C0636</v>
      </c>
      <c r="M638" s="13" t="str">
        <f t="shared" si="454"/>
        <v xml:space="preserve">Баринов Илья Александрович</v>
      </c>
      <c r="N638" s="13" t="str">
        <f t="shared" si="455"/>
        <v>OK</v>
      </c>
      <c r="O638" s="19">
        <f t="shared" si="456"/>
        <v>28535</v>
      </c>
      <c r="P638" s="19">
        <f t="shared" si="457"/>
        <v>50992</v>
      </c>
      <c r="Q638" s="13">
        <f t="shared" ca="1" si="458"/>
        <v>48</v>
      </c>
      <c r="R638" s="13" t="str">
        <f t="shared" si="459"/>
        <v>OK</v>
      </c>
      <c r="S638" s="13" t="str">
        <f t="shared" si="460"/>
        <v xml:space="preserve">+7 (903) 890-12-34</v>
      </c>
      <c r="T638" s="13" t="str">
        <f t="shared" si="461"/>
        <v>barinov@gmail</v>
      </c>
      <c r="U638" s="18" t="str">
        <f t="shared" si="462"/>
        <v xml:space="preserve">Ошибка Email</v>
      </c>
      <c r="V638" s="13" t="str">
        <f>IFERROR(VLOOKUP(K638,Справочники!$K$6:$L$13,2,0),K638)</f>
        <v>Ангарск</v>
      </c>
    </row>
    <row r="639" ht="15" customHeight="1">
      <c r="A639" s="10">
        <v>637</v>
      </c>
      <c r="B639" s="11" t="str">
        <f>RAW_Клиенты!A638</f>
        <v>C0637</v>
      </c>
      <c r="C639" s="11" t="str">
        <f>RAW_Клиенты!B638</f>
        <v xml:space="preserve">Савельева Екатерина Сергеевна</v>
      </c>
      <c r="D639" s="11" t="str">
        <f>RAW_Клиенты!C638</f>
        <v>09.07.1991</v>
      </c>
      <c r="E639" s="11" t="str">
        <f>RAW_Клиенты!D638</f>
        <v>+79038901234</v>
      </c>
      <c r="F639" s="11" t="str">
        <f>RAW_Клиенты!E638</f>
        <v>saveleva@mail</v>
      </c>
      <c r="G639" s="11" t="str">
        <f>RAW_Клиенты!F638</f>
        <v>Озёрск</v>
      </c>
      <c r="H639" s="11" t="str">
        <f>RAW_Клиенты!G638</f>
        <v>01.09.2039</v>
      </c>
      <c r="I639" s="12" t="str">
        <f t="shared" si="450"/>
        <v>79038901234</v>
      </c>
      <c r="J639" s="12" t="str">
        <f t="shared" si="451"/>
        <v>saveleva@mail</v>
      </c>
      <c r="K639" s="12" t="str">
        <f t="shared" si="452"/>
        <v>Озёрск</v>
      </c>
      <c r="L639" s="13" t="str">
        <f t="shared" si="453"/>
        <v>C0637</v>
      </c>
      <c r="M639" s="13" t="str">
        <f t="shared" si="454"/>
        <v xml:space="preserve">Савельева Екатерина Сергеевна</v>
      </c>
      <c r="N639" s="13" t="str">
        <f t="shared" si="455"/>
        <v>OK</v>
      </c>
      <c r="O639" s="19">
        <f t="shared" si="456"/>
        <v>33428</v>
      </c>
      <c r="P639" s="19">
        <f t="shared" si="457"/>
        <v>51014</v>
      </c>
      <c r="Q639" s="13">
        <f t="shared" ca="1" si="458"/>
        <v>35</v>
      </c>
      <c r="R639" s="13" t="str">
        <f t="shared" si="459"/>
        <v>OK</v>
      </c>
      <c r="S639" s="13" t="str">
        <f t="shared" si="460"/>
        <v xml:space="preserve">+7 (903) 890-12-34</v>
      </c>
      <c r="T639" s="13" t="str">
        <f t="shared" si="461"/>
        <v>saveleva@mail</v>
      </c>
      <c r="U639" s="18" t="str">
        <f t="shared" si="462"/>
        <v xml:space="preserve">Ошибка Email</v>
      </c>
      <c r="V639" s="13" t="str">
        <f>IFERROR(VLOOKUP(K639,Справочники!$K$6:$L$13,2,0),K639)</f>
        <v>Озёрск</v>
      </c>
    </row>
    <row r="640" ht="15" customHeight="1">
      <c r="A640" s="10">
        <v>638</v>
      </c>
      <c r="B640" s="11" t="str">
        <f>RAW_Клиенты!A639</f>
        <v>C0638</v>
      </c>
      <c r="C640" s="11" t="str">
        <f>RAW_Клиенты!B639</f>
        <v xml:space="preserve">Богданов Андрей Павлович</v>
      </c>
      <c r="D640" s="11" t="str">
        <f>RAW_Клиенты!C639</f>
        <v>29.01.1980</v>
      </c>
      <c r="E640" s="11" t="str">
        <f>RAW_Клиенты!D639</f>
        <v>8-903-890-12-34</v>
      </c>
      <c r="F640" s="11" t="str">
        <f>RAW_Клиенты!E639</f>
        <v>bogdanov@yandex</v>
      </c>
      <c r="G640" s="11" t="str">
        <f>RAW_Клиенты!F639</f>
        <v>Орел</v>
      </c>
      <c r="H640" s="11" t="str">
        <f>RAW_Клиенты!G639</f>
        <v>2039-09-15</v>
      </c>
      <c r="I640" s="12" t="str">
        <f t="shared" si="450"/>
        <v>89038901234</v>
      </c>
      <c r="J640" s="12" t="str">
        <f t="shared" si="451"/>
        <v>bogdanov@yandex</v>
      </c>
      <c r="K640" s="12" t="str">
        <f t="shared" si="452"/>
        <v>Орел</v>
      </c>
      <c r="L640" s="13" t="str">
        <f t="shared" si="453"/>
        <v>C0638</v>
      </c>
      <c r="M640" s="13" t="str">
        <f t="shared" si="454"/>
        <v xml:space="preserve">Богданов Андрей Павлович</v>
      </c>
      <c r="N640" s="13" t="str">
        <f t="shared" si="455"/>
        <v>OK</v>
      </c>
      <c r="O640" s="19">
        <f t="shared" si="456"/>
        <v>29249</v>
      </c>
      <c r="P640" s="19">
        <f t="shared" si="457"/>
        <v>51028</v>
      </c>
      <c r="Q640" s="13">
        <f t="shared" ca="1" si="458"/>
        <v>46</v>
      </c>
      <c r="R640" s="13" t="str">
        <f t="shared" si="459"/>
        <v>OK</v>
      </c>
      <c r="S640" s="13" t="str">
        <f t="shared" si="460"/>
        <v xml:space="preserve">+7 (903) 890-12-34</v>
      </c>
      <c r="T640" s="13" t="str">
        <f t="shared" si="461"/>
        <v>bogdanov@yandex</v>
      </c>
      <c r="U640" s="18" t="str">
        <f t="shared" si="462"/>
        <v xml:space="preserve">Ошибка Email</v>
      </c>
      <c r="V640" s="13" t="str">
        <f>IFERROR(VLOOKUP(K640,Справочники!$K$6:$L$13,2,0),K640)</f>
        <v>Орел</v>
      </c>
    </row>
    <row r="641" ht="15" customHeight="1">
      <c r="A641" s="10">
        <v>639</v>
      </c>
      <c r="B641" s="11" t="str">
        <f>RAW_Клиенты!A640</f>
        <v>C0639</v>
      </c>
      <c r="C641" s="11" t="str">
        <f>RAW_Клиенты!B640</f>
        <v xml:space="preserve">Петрова Мария Олеговна</v>
      </c>
      <c r="D641" s="11" t="str">
        <f>RAW_Клиенты!C640</f>
        <v>18.12.1974</v>
      </c>
      <c r="E641" s="11" t="str">
        <f>RAW_Клиенты!D640</f>
        <v xml:space="preserve">8 903 901 23 45</v>
      </c>
      <c r="F641" s="11" t="str">
        <f>RAW_Клиенты!E640</f>
        <v>petrova@gmail</v>
      </c>
      <c r="G641" s="11" t="str">
        <f>RAW_Клиенты!F640</f>
        <v>Магнитогорск</v>
      </c>
      <c r="H641" s="11" t="str">
        <f>RAW_Клиенты!G640</f>
        <v>15.09.2039</v>
      </c>
      <c r="I641" s="12" t="str">
        <f t="shared" si="450"/>
        <v>89039012345</v>
      </c>
      <c r="J641" s="12" t="str">
        <f t="shared" si="451"/>
        <v>petrova@gmail</v>
      </c>
      <c r="K641" s="12" t="str">
        <f t="shared" si="452"/>
        <v>Магнитогорск</v>
      </c>
      <c r="L641" s="13" t="str">
        <f t="shared" si="453"/>
        <v>C0639</v>
      </c>
      <c r="M641" s="13" t="str">
        <f t="shared" si="454"/>
        <v xml:space="preserve">Петрова Мария Олеговна</v>
      </c>
      <c r="N641" s="13" t="str">
        <f t="shared" si="455"/>
        <v>OK</v>
      </c>
      <c r="O641" s="19">
        <f t="shared" si="456"/>
        <v>27381</v>
      </c>
      <c r="P641" s="19">
        <f t="shared" si="457"/>
        <v>51028</v>
      </c>
      <c r="Q641" s="13">
        <f t="shared" ca="1" si="458"/>
        <v>51</v>
      </c>
      <c r="R641" s="13" t="str">
        <f t="shared" si="459"/>
        <v>OK</v>
      </c>
      <c r="S641" s="13" t="str">
        <f t="shared" si="460"/>
        <v xml:space="preserve">+7 (903) 901-23-45</v>
      </c>
      <c r="T641" s="13" t="str">
        <f t="shared" si="461"/>
        <v>petrova@gmail</v>
      </c>
      <c r="U641" s="18" t="str">
        <f t="shared" si="462"/>
        <v xml:space="preserve">Ошибка Email</v>
      </c>
      <c r="V641" s="13" t="str">
        <f>IFERROR(VLOOKUP(K641,Справочники!$K$6:$L$13,2,0),K641)</f>
        <v>Магнитогорск</v>
      </c>
    </row>
    <row r="642" ht="15" customHeight="1">
      <c r="A642" s="10">
        <v>640</v>
      </c>
      <c r="B642" s="11" t="str">
        <f>RAW_Клиенты!A641</f>
        <v>C0640</v>
      </c>
      <c r="C642" s="11" t="str">
        <f>RAW_Клиенты!B641</f>
        <v xml:space="preserve">Лукоянов Денис Викторович</v>
      </c>
      <c r="D642" s="11" t="str">
        <f>RAW_Клиенты!C641</f>
        <v>03.06.1983</v>
      </c>
      <c r="E642" s="11" t="str">
        <f>RAW_Клиенты!D641</f>
        <v>+79039012345</v>
      </c>
      <c r="F642" s="11" t="str">
        <f>RAW_Клиенты!E641</f>
        <v>lukoyanov@mail</v>
      </c>
      <c r="G642" s="11" t="str">
        <f>RAW_Клиенты!F641</f>
        <v>Якутск</v>
      </c>
      <c r="H642" s="11" t="str">
        <f>RAW_Клиенты!G641</f>
        <v>01.10.2039</v>
      </c>
      <c r="I642" s="12" t="str">
        <f t="shared" si="450"/>
        <v>79039012345</v>
      </c>
      <c r="J642" s="12" t="str">
        <f t="shared" si="451"/>
        <v>lukoyanov@mail</v>
      </c>
      <c r="K642" s="12" t="str">
        <f t="shared" si="452"/>
        <v>Якутск</v>
      </c>
      <c r="L642" s="13" t="str">
        <f t="shared" si="453"/>
        <v>C0640</v>
      </c>
      <c r="M642" s="13" t="str">
        <f t="shared" si="454"/>
        <v xml:space="preserve">Лукоянов Денис Викторович</v>
      </c>
      <c r="N642" s="13" t="str">
        <f t="shared" si="455"/>
        <v>OK</v>
      </c>
      <c r="O642" s="19">
        <f t="shared" si="456"/>
        <v>30470</v>
      </c>
      <c r="P642" s="19">
        <f t="shared" si="457"/>
        <v>51044</v>
      </c>
      <c r="Q642" s="13">
        <f t="shared" ca="1" si="458"/>
        <v>43</v>
      </c>
      <c r="R642" s="13" t="str">
        <f t="shared" si="459"/>
        <v>OK</v>
      </c>
      <c r="S642" s="13" t="str">
        <f t="shared" si="460"/>
        <v xml:space="preserve">+7 (903) 901-23-45</v>
      </c>
      <c r="T642" s="13" t="str">
        <f t="shared" si="461"/>
        <v>lukoyanov@mail</v>
      </c>
      <c r="U642" s="18" t="str">
        <f t="shared" si="462"/>
        <v xml:space="preserve">Ошибка Email</v>
      </c>
      <c r="V642" s="13" t="str">
        <f>IFERROR(VLOOKUP(K642,Справочники!$K$6:$L$13,2,0),K642)</f>
        <v>Якутск</v>
      </c>
    </row>
    <row r="643" ht="15" customHeight="1">
      <c r="A643" s="10">
        <v>641</v>
      </c>
      <c r="B643" s="11" t="str">
        <f>RAW_Клиенты!A642</f>
        <v>C0641</v>
      </c>
      <c r="C643" s="11" t="str">
        <f>RAW_Клиенты!B642</f>
        <v xml:space="preserve">Толмачева Ольга Павловна</v>
      </c>
      <c r="D643" s="11" t="str">
        <f>RAW_Клиенты!C642</f>
        <v>25.10.1989</v>
      </c>
      <c r="E643" s="11" t="str">
        <f>RAW_Клиенты!D642</f>
        <v>8-903-901-23-45</v>
      </c>
      <c r="F643" s="11" t="str">
        <f>RAW_Клиенты!E642</f>
        <v>tolmacheva@yandex</v>
      </c>
      <c r="G643" s="11" t="str">
        <f>RAW_Клиенты!F642</f>
        <v>Чебоксары</v>
      </c>
      <c r="H643" s="11" t="str">
        <f>RAW_Клиенты!G642</f>
        <v>2039-10-10</v>
      </c>
      <c r="I643" s="12" t="str">
        <f t="shared" si="450"/>
        <v>89039012345</v>
      </c>
      <c r="J643" s="12" t="str">
        <f t="shared" si="451"/>
        <v>tolmacheva@yandex</v>
      </c>
      <c r="K643" s="12" t="str">
        <f t="shared" si="452"/>
        <v>Чебоксары</v>
      </c>
      <c r="L643" s="13" t="str">
        <f t="shared" si="453"/>
        <v>C0641</v>
      </c>
      <c r="M643" s="13" t="str">
        <f t="shared" si="454"/>
        <v xml:space="preserve">Толмачева Ольга Павловна</v>
      </c>
      <c r="N643" s="13" t="str">
        <f t="shared" si="455"/>
        <v>OK</v>
      </c>
      <c r="O643" s="19">
        <f t="shared" si="456"/>
        <v>32806</v>
      </c>
      <c r="P643" s="19">
        <f t="shared" si="457"/>
        <v>51053</v>
      </c>
      <c r="Q643" s="13">
        <f t="shared" ca="1" si="458"/>
        <v>36</v>
      </c>
      <c r="R643" s="13" t="str">
        <f t="shared" si="459"/>
        <v>OK</v>
      </c>
      <c r="S643" s="13" t="str">
        <f t="shared" si="460"/>
        <v xml:space="preserve">+7 (903) 901-23-45</v>
      </c>
      <c r="T643" s="13" t="str">
        <f t="shared" si="461"/>
        <v>tolmacheva@yandex</v>
      </c>
      <c r="U643" s="18" t="str">
        <f t="shared" si="462"/>
        <v xml:space="preserve">Ошибка Email</v>
      </c>
      <c r="V643" s="13" t="str">
        <f>IFERROR(VLOOKUP(K643,Справочники!$K$6:$L$13,2,0),K643)</f>
        <v>Чебоксары</v>
      </c>
    </row>
    <row r="644" ht="15" customHeight="1">
      <c r="A644" s="10">
        <v>642</v>
      </c>
      <c r="B644" s="11" t="str">
        <f>RAW_Клиенты!A643</f>
        <v>C0642</v>
      </c>
      <c r="C644" s="11" t="str">
        <f>RAW_Клиенты!B643</f>
        <v xml:space="preserve">Зайцев Илья Алексеевич</v>
      </c>
      <c r="D644" s="11" t="str">
        <f>RAW_Клиенты!C643</f>
        <v>16.08.1976</v>
      </c>
      <c r="E644" s="11" t="str">
        <f>RAW_Клиенты!D643</f>
        <v xml:space="preserve">8 903 012 34 56</v>
      </c>
      <c r="F644" s="11" t="str">
        <f>RAW_Клиенты!E643</f>
        <v>zaytsev@gmail</v>
      </c>
      <c r="G644" s="11" t="str">
        <f>RAW_Клиенты!F643</f>
        <v>Мурманск</v>
      </c>
      <c r="H644" s="11" t="str">
        <f>RAW_Клиенты!G643</f>
        <v>10.10.2039</v>
      </c>
      <c r="I644" s="12" t="str">
        <f t="shared" si="450"/>
        <v>89030123456</v>
      </c>
      <c r="J644" s="12" t="str">
        <f t="shared" si="451"/>
        <v>zaytsev@gmail</v>
      </c>
      <c r="K644" s="12" t="str">
        <f t="shared" si="452"/>
        <v>Мурманск</v>
      </c>
      <c r="L644" s="13" t="str">
        <f t="shared" si="453"/>
        <v>C0642</v>
      </c>
      <c r="M644" s="13" t="str">
        <f t="shared" si="454"/>
        <v xml:space="preserve">Зайцев Илья Алексеевич</v>
      </c>
      <c r="N644" s="13" t="str">
        <f t="shared" si="455"/>
        <v>OK</v>
      </c>
      <c r="O644" s="19">
        <f t="shared" si="456"/>
        <v>27988</v>
      </c>
      <c r="P644" s="19">
        <f t="shared" si="457"/>
        <v>51053</v>
      </c>
      <c r="Q644" s="13">
        <f t="shared" ca="1" si="458"/>
        <v>50</v>
      </c>
      <c r="R644" s="13" t="str">
        <f t="shared" si="459"/>
        <v>OK</v>
      </c>
      <c r="S644" s="13" t="str">
        <f t="shared" si="460"/>
        <v xml:space="preserve">+7 (903) 012-34-56</v>
      </c>
      <c r="T644" s="13" t="str">
        <f t="shared" si="461"/>
        <v>zaytsev@gmail</v>
      </c>
      <c r="U644" s="18" t="str">
        <f t="shared" si="462"/>
        <v xml:space="preserve">Ошибка Email</v>
      </c>
      <c r="V644" s="13" t="str">
        <f>IFERROR(VLOOKUP(K644,Справочники!$K$6:$L$13,2,0),K644)</f>
        <v>Мурманск</v>
      </c>
    </row>
    <row r="645" ht="15" customHeight="1">
      <c r="A645" s="10">
        <v>643</v>
      </c>
      <c r="B645" s="11" t="str">
        <f>RAW_Клиенты!A644</f>
        <v>C0643</v>
      </c>
      <c r="C645" s="11" t="str">
        <f>RAW_Клиенты!B644</f>
        <v xml:space="preserve">Сидорова Екатерина Сергеевна</v>
      </c>
      <c r="D645" s="11" t="str">
        <f>RAW_Клиенты!C644</f>
        <v>12.05.1986</v>
      </c>
      <c r="E645" s="11" t="str">
        <f>RAW_Клиенты!D644</f>
        <v>+79030123456</v>
      </c>
      <c r="F645" s="11" t="str">
        <f>RAW_Клиенты!E644</f>
        <v>sidorova@mail</v>
      </c>
      <c r="G645" s="11" t="str">
        <f>RAW_Клиенты!F644</f>
        <v>Смоленск</v>
      </c>
      <c r="H645" s="11" t="str">
        <f>RAW_Клиенты!G644</f>
        <v>01.11.2039</v>
      </c>
      <c r="I645" s="12" t="str">
        <f t="shared" si="450"/>
        <v>79030123456</v>
      </c>
      <c r="J645" s="12" t="str">
        <f t="shared" si="451"/>
        <v>sidorova@mail</v>
      </c>
      <c r="K645" s="12" t="str">
        <f t="shared" si="452"/>
        <v>Смоленск</v>
      </c>
      <c r="L645" s="13" t="str">
        <f t="shared" si="453"/>
        <v>C0643</v>
      </c>
      <c r="M645" s="13" t="str">
        <f t="shared" si="454"/>
        <v xml:space="preserve">Сидорова Екатерина Сергеевна</v>
      </c>
      <c r="N645" s="13" t="str">
        <f t="shared" si="455"/>
        <v>OK</v>
      </c>
      <c r="O645" s="19">
        <f t="shared" si="456"/>
        <v>31544</v>
      </c>
      <c r="P645" s="19">
        <f t="shared" si="457"/>
        <v>51075</v>
      </c>
      <c r="Q645" s="13">
        <f t="shared" ca="1" si="458"/>
        <v>40</v>
      </c>
      <c r="R645" s="13" t="str">
        <f t="shared" si="459"/>
        <v>OK</v>
      </c>
      <c r="S645" s="13" t="str">
        <f t="shared" si="460"/>
        <v xml:space="preserve">+7 (903) 012-34-56</v>
      </c>
      <c r="T645" s="13" t="str">
        <f t="shared" si="461"/>
        <v>sidorova@mail</v>
      </c>
      <c r="U645" s="18" t="str">
        <f t="shared" si="462"/>
        <v xml:space="preserve">Ошибка Email</v>
      </c>
      <c r="V645" s="13" t="str">
        <f>IFERROR(VLOOKUP(K645,Справочники!$K$6:$L$13,2,0),K645)</f>
        <v>Смоленск</v>
      </c>
    </row>
    <row r="646" ht="15" customHeight="1">
      <c r="A646" s="10">
        <v>644</v>
      </c>
      <c r="B646" s="11" t="str">
        <f>RAW_Клиенты!A645</f>
        <v>C0644</v>
      </c>
      <c r="C646" s="11" t="str">
        <f>RAW_Клиенты!B645</f>
        <v xml:space="preserve">Соловьев Андрей Олегович</v>
      </c>
      <c r="D646" s="11" t="str">
        <f>RAW_Клиенты!C645</f>
        <v>20.02.1981</v>
      </c>
      <c r="E646" s="11" t="str">
        <f>RAW_Клиенты!D645</f>
        <v>8-903-012-34-56</v>
      </c>
      <c r="F646" s="11" t="str">
        <f>RAW_Клиенты!E645</f>
        <v>soloviev@yandex</v>
      </c>
      <c r="G646" s="11" t="str">
        <f>RAW_Клиенты!F645</f>
        <v>Тула</v>
      </c>
      <c r="H646" s="11" t="str">
        <f>RAW_Клиенты!G645</f>
        <v>2039-11-15</v>
      </c>
      <c r="I646" s="12" t="str">
        <f t="shared" si="450"/>
        <v>89030123456</v>
      </c>
      <c r="J646" s="12" t="str">
        <f t="shared" si="451"/>
        <v>soloviev@yandex</v>
      </c>
      <c r="K646" s="12" t="str">
        <f t="shared" si="452"/>
        <v>Тула</v>
      </c>
      <c r="L646" s="13" t="str">
        <f t="shared" si="453"/>
        <v>C0644</v>
      </c>
      <c r="M646" s="13" t="str">
        <f t="shared" si="454"/>
        <v xml:space="preserve">Соловьев Андрей Олегович</v>
      </c>
      <c r="N646" s="13" t="str">
        <f t="shared" si="455"/>
        <v>OK</v>
      </c>
      <c r="O646" s="19">
        <f t="shared" si="456"/>
        <v>29637</v>
      </c>
      <c r="P646" s="19">
        <f t="shared" si="457"/>
        <v>51089</v>
      </c>
      <c r="Q646" s="13">
        <f t="shared" ca="1" si="458"/>
        <v>45</v>
      </c>
      <c r="R646" s="13" t="str">
        <f t="shared" si="459"/>
        <v>OK</v>
      </c>
      <c r="S646" s="13" t="str">
        <f t="shared" si="460"/>
        <v xml:space="preserve">+7 (903) 012-34-56</v>
      </c>
      <c r="T646" s="13" t="str">
        <f t="shared" si="461"/>
        <v>soloviev@yandex</v>
      </c>
      <c r="U646" s="18" t="str">
        <f t="shared" si="462"/>
        <v xml:space="preserve">Ошибка Email</v>
      </c>
      <c r="V646" s="13" t="str">
        <f>IFERROR(VLOOKUP(K646,Справочники!$K$6:$L$13,2,0),K646)</f>
        <v>Тула</v>
      </c>
    </row>
    <row r="647" ht="15" customHeight="1">
      <c r="A647" s="10">
        <v>645</v>
      </c>
      <c r="B647" s="11" t="str">
        <f>RAW_Клиенты!A646</f>
        <v>C0645</v>
      </c>
      <c r="C647" s="11" t="str">
        <f>RAW_Клиенты!B646</f>
        <v xml:space="preserve">Голубева Мария Владимировна</v>
      </c>
      <c r="D647" s="11" t="str">
        <f>RAW_Клиенты!C646</f>
        <v>31.07.1972</v>
      </c>
      <c r="E647" s="11" t="str">
        <f>RAW_Клиенты!D646</f>
        <v xml:space="preserve">8 903 123 45 67</v>
      </c>
      <c r="F647" s="11" t="str">
        <f>RAW_Клиенты!E646</f>
        <v>golubeva@gmail</v>
      </c>
      <c r="G647" s="11" t="str">
        <f>RAW_Клиенты!F646</f>
        <v>Калуга</v>
      </c>
      <c r="H647" s="11" t="str">
        <f>RAW_Клиенты!G646</f>
        <v>15.11.2039</v>
      </c>
      <c r="I647" s="12" t="str">
        <f t="shared" si="450"/>
        <v>89031234567</v>
      </c>
      <c r="J647" s="12" t="str">
        <f t="shared" si="451"/>
        <v>golubeva@gmail</v>
      </c>
      <c r="K647" s="12" t="str">
        <f t="shared" si="452"/>
        <v>Калуга</v>
      </c>
      <c r="L647" s="13" t="str">
        <f t="shared" si="453"/>
        <v>C0645</v>
      </c>
      <c r="M647" s="13" t="str">
        <f t="shared" si="454"/>
        <v xml:space="preserve">Голубева Мария Владимировна</v>
      </c>
      <c r="N647" s="13" t="str">
        <f t="shared" si="455"/>
        <v>OK</v>
      </c>
      <c r="O647" s="19">
        <f t="shared" si="456"/>
        <v>26511</v>
      </c>
      <c r="P647" s="19">
        <f t="shared" si="457"/>
        <v>51089</v>
      </c>
      <c r="Q647" s="13">
        <f t="shared" ca="1" si="458"/>
        <v>54</v>
      </c>
      <c r="R647" s="13" t="str">
        <f t="shared" si="459"/>
        <v>OK</v>
      </c>
      <c r="S647" s="13" t="str">
        <f t="shared" si="460"/>
        <v xml:space="preserve">+7 (903) 123-45-67</v>
      </c>
      <c r="T647" s="13" t="str">
        <f t="shared" si="461"/>
        <v>golubeva@gmail</v>
      </c>
      <c r="U647" s="18" t="str">
        <f t="shared" si="462"/>
        <v xml:space="preserve">Ошибка Email</v>
      </c>
      <c r="V647" s="13" t="str">
        <f>IFERROR(VLOOKUP(K647,Справочники!$K$6:$L$13,2,0),K647)</f>
        <v>Калуга</v>
      </c>
    </row>
    <row r="648" ht="15" customHeight="1">
      <c r="A648" s="10">
        <v>646</v>
      </c>
      <c r="B648" s="11" t="str">
        <f>RAW_Клиенты!A647</f>
        <v>C0646</v>
      </c>
      <c r="C648" s="11" t="str">
        <f>RAW_Клиенты!B647</f>
        <v xml:space="preserve">Харитонов Денис Павлович</v>
      </c>
      <c r="D648" s="11" t="str">
        <f>RAW_Клиенты!C647</f>
        <v>13.10.1988</v>
      </c>
      <c r="E648" s="11" t="str">
        <f>RAW_Клиенты!D647</f>
        <v>+79031234567</v>
      </c>
      <c r="F648" s="11" t="str">
        <f>RAW_Клиенты!E647</f>
        <v>haritonov@mail</v>
      </c>
      <c r="G648" s="11" t="str">
        <f>RAW_Клиенты!F647</f>
        <v>Владикавказ</v>
      </c>
      <c r="H648" s="11" t="str">
        <f>RAW_Клиенты!G647</f>
        <v>01.12.2039</v>
      </c>
      <c r="I648" s="12" t="str">
        <f t="shared" si="450"/>
        <v>79031234567</v>
      </c>
      <c r="J648" s="12" t="str">
        <f t="shared" si="451"/>
        <v>haritonov@mail</v>
      </c>
      <c r="K648" s="12" t="str">
        <f t="shared" si="452"/>
        <v>Владикавказ</v>
      </c>
      <c r="L648" s="13" t="str">
        <f t="shared" si="453"/>
        <v>C0646</v>
      </c>
      <c r="M648" s="13" t="str">
        <f t="shared" si="454"/>
        <v xml:space="preserve">Харитонов Денис Павлович</v>
      </c>
      <c r="N648" s="13" t="str">
        <f t="shared" si="455"/>
        <v>OK</v>
      </c>
      <c r="O648" s="19">
        <f t="shared" si="456"/>
        <v>32429</v>
      </c>
      <c r="P648" s="19">
        <f t="shared" si="457"/>
        <v>51105</v>
      </c>
      <c r="Q648" s="13">
        <f t="shared" ca="1" si="458"/>
        <v>37</v>
      </c>
      <c r="R648" s="13" t="str">
        <f t="shared" si="459"/>
        <v>OK</v>
      </c>
      <c r="S648" s="13" t="str">
        <f t="shared" si="460"/>
        <v xml:space="preserve">+7 (903) 123-45-67</v>
      </c>
      <c r="T648" s="13" t="str">
        <f t="shared" si="461"/>
        <v>haritonov@mail</v>
      </c>
      <c r="U648" s="18" t="str">
        <f t="shared" si="462"/>
        <v xml:space="preserve">Ошибка Email</v>
      </c>
      <c r="V648" s="13" t="str">
        <f>IFERROR(VLOOKUP(K648,Справочники!$K$6:$L$13,2,0),K648)</f>
        <v>Владикавказ</v>
      </c>
    </row>
    <row r="649" ht="15" customHeight="1">
      <c r="A649" s="10">
        <v>647</v>
      </c>
      <c r="B649" s="11" t="str">
        <f>RAW_Клиенты!A648</f>
        <v>C0647</v>
      </c>
      <c r="C649" s="11" t="str">
        <f>RAW_Клиенты!B648</f>
        <v xml:space="preserve">Чернова Ольга Сергеевна</v>
      </c>
      <c r="D649" s="11" t="str">
        <f>RAW_Клиенты!C648</f>
        <v>28.12.1993</v>
      </c>
      <c r="E649" s="11" t="str">
        <f>RAW_Клиенты!D648</f>
        <v>8-903-123-45-67</v>
      </c>
      <c r="F649" s="11" t="str">
        <f>RAW_Клиенты!E648</f>
        <v>chernova@yandex</v>
      </c>
      <c r="G649" s="11" t="str">
        <f>RAW_Клиенты!F648</f>
        <v>Смоленск</v>
      </c>
      <c r="H649" s="11" t="str">
        <f>RAW_Клиенты!G648</f>
        <v>2039-12-10</v>
      </c>
      <c r="I649" s="12" t="str">
        <f t="shared" si="450"/>
        <v>89031234567</v>
      </c>
      <c r="J649" s="12" t="str">
        <f t="shared" si="451"/>
        <v>chernova@yandex</v>
      </c>
      <c r="K649" s="12" t="str">
        <f t="shared" si="452"/>
        <v>Смоленск</v>
      </c>
      <c r="L649" s="13" t="str">
        <f t="shared" si="453"/>
        <v>C0647</v>
      </c>
      <c r="M649" s="13" t="str">
        <f t="shared" si="454"/>
        <v xml:space="preserve">Чернова Ольга Сергеевна</v>
      </c>
      <c r="N649" s="13" t="str">
        <f t="shared" si="455"/>
        <v>OK</v>
      </c>
      <c r="O649" s="19">
        <f t="shared" si="456"/>
        <v>34331</v>
      </c>
      <c r="P649" s="19">
        <f t="shared" si="457"/>
        <v>51114</v>
      </c>
      <c r="Q649" s="13">
        <f t="shared" ca="1" si="458"/>
        <v>32</v>
      </c>
      <c r="R649" s="13" t="str">
        <f t="shared" si="459"/>
        <v>OK</v>
      </c>
      <c r="S649" s="13" t="str">
        <f t="shared" si="460"/>
        <v xml:space="preserve">+7 (903) 123-45-67</v>
      </c>
      <c r="T649" s="13" t="str">
        <f t="shared" si="461"/>
        <v>chernova@yandex</v>
      </c>
      <c r="U649" s="18" t="str">
        <f t="shared" si="462"/>
        <v xml:space="preserve">Ошибка Email</v>
      </c>
      <c r="V649" s="13" t="str">
        <f>IFERROR(VLOOKUP(K649,Справочники!$K$6:$L$13,2,0),K649)</f>
        <v>Смоленск</v>
      </c>
    </row>
    <row r="650" ht="15" customHeight="1">
      <c r="A650" s="10">
        <v>648</v>
      </c>
      <c r="B650" s="11" t="str">
        <f>RAW_Клиенты!A649</f>
        <v>C0648</v>
      </c>
      <c r="C650" s="11" t="str">
        <f>RAW_Клиенты!B649</f>
        <v xml:space="preserve">Щербаков Илья Александрович</v>
      </c>
      <c r="D650" s="11" t="str">
        <f>RAW_Клиенты!C649</f>
        <v>16.04.1979</v>
      </c>
      <c r="E650" s="11" t="str">
        <f>RAW_Клиенты!D649</f>
        <v xml:space="preserve">8 903 234 56 78</v>
      </c>
      <c r="F650" s="11" t="str">
        <f>RAW_Клиенты!E649</f>
        <v>scherbakov@gmail</v>
      </c>
      <c r="G650" s="11" t="str">
        <f>RAW_Клиенты!F649</f>
        <v>Белгород</v>
      </c>
      <c r="H650" s="11" t="str">
        <f>RAW_Клиенты!G649</f>
        <v>10.12.2039</v>
      </c>
      <c r="I650" s="12" t="str">
        <f t="shared" si="450"/>
        <v>89032345678</v>
      </c>
      <c r="J650" s="12" t="str">
        <f t="shared" si="451"/>
        <v>scherbakov@gmail</v>
      </c>
      <c r="K650" s="12" t="str">
        <f t="shared" si="452"/>
        <v>Белгород</v>
      </c>
      <c r="L650" s="13" t="str">
        <f t="shared" si="453"/>
        <v>C0648</v>
      </c>
      <c r="M650" s="13" t="str">
        <f t="shared" si="454"/>
        <v xml:space="preserve">Щербаков Илья Александрович</v>
      </c>
      <c r="N650" s="13" t="str">
        <f t="shared" si="455"/>
        <v>OK</v>
      </c>
      <c r="O650" s="19">
        <f t="shared" si="456"/>
        <v>28961</v>
      </c>
      <c r="P650" s="19">
        <f t="shared" si="457"/>
        <v>51114</v>
      </c>
      <c r="Q650" s="13">
        <f t="shared" ca="1" si="458"/>
        <v>47</v>
      </c>
      <c r="R650" s="13" t="str">
        <f t="shared" si="459"/>
        <v>OK</v>
      </c>
      <c r="S650" s="13" t="str">
        <f t="shared" si="460"/>
        <v xml:space="preserve">+7 (903) 234-56-78</v>
      </c>
      <c r="T650" s="13" t="str">
        <f t="shared" si="461"/>
        <v>scherbakov@gmail</v>
      </c>
      <c r="U650" s="18" t="str">
        <f t="shared" si="462"/>
        <v xml:space="preserve">Ошибка Email</v>
      </c>
      <c r="V650" s="13" t="str">
        <f>IFERROR(VLOOKUP(K650,Справочники!$K$6:$L$13,2,0),K650)</f>
        <v>Белгород</v>
      </c>
    </row>
    <row r="651" ht="15" customHeight="1">
      <c r="A651" s="10">
        <v>649</v>
      </c>
      <c r="B651" s="11" t="str">
        <f>RAW_Клиенты!A650</f>
        <v>C0649</v>
      </c>
      <c r="C651" s="11" t="str">
        <f>RAW_Клиенты!B650</f>
        <v xml:space="preserve">Колесникова Екатерина Алексеевна</v>
      </c>
      <c r="D651" s="11" t="str">
        <f>RAW_Клиенты!C650</f>
        <v>09.09.1984</v>
      </c>
      <c r="E651" s="11" t="str">
        <f>RAW_Клиенты!D650</f>
        <v>+79032345678</v>
      </c>
      <c r="F651" s="11" t="str">
        <f>RAW_Клиенты!E650</f>
        <v>kolesnikova@mail</v>
      </c>
      <c r="G651" s="11" t="str">
        <f>RAW_Клиенты!F650</f>
        <v>Мурманск</v>
      </c>
      <c r="H651" s="11" t="str">
        <f>RAW_Клиенты!G650</f>
        <v>01.01.2040</v>
      </c>
      <c r="I651" s="12" t="str">
        <f t="shared" si="450"/>
        <v>79032345678</v>
      </c>
      <c r="J651" s="12" t="str">
        <f t="shared" si="451"/>
        <v>kolesnikova@mail</v>
      </c>
      <c r="K651" s="12" t="str">
        <f t="shared" si="452"/>
        <v>Мурманск</v>
      </c>
      <c r="L651" s="13" t="str">
        <f t="shared" si="453"/>
        <v>C0649</v>
      </c>
      <c r="M651" s="13" t="str">
        <f t="shared" si="454"/>
        <v xml:space="preserve">Колесникова Екатерина Алексеевна</v>
      </c>
      <c r="N651" s="13" t="str">
        <f t="shared" si="455"/>
        <v>OK</v>
      </c>
      <c r="O651" s="19">
        <f t="shared" si="456"/>
        <v>30934</v>
      </c>
      <c r="P651" s="19">
        <f t="shared" si="457"/>
        <v>51136</v>
      </c>
      <c r="Q651" s="13">
        <f t="shared" ca="1" si="458"/>
        <v>42</v>
      </c>
      <c r="R651" s="13" t="str">
        <f t="shared" si="459"/>
        <v>OK</v>
      </c>
      <c r="S651" s="13" t="str">
        <f t="shared" si="460"/>
        <v xml:space="preserve">+7 (903) 234-56-78</v>
      </c>
      <c r="T651" s="13" t="str">
        <f t="shared" si="461"/>
        <v>kolesnikova@mail</v>
      </c>
      <c r="U651" s="18" t="str">
        <f t="shared" si="462"/>
        <v xml:space="preserve">Ошибка Email</v>
      </c>
      <c r="V651" s="13" t="str">
        <f>IFERROR(VLOOKUP(K651,Справочники!$K$6:$L$13,2,0),K651)</f>
        <v>Мурманск</v>
      </c>
    </row>
    <row r="652" ht="15" customHeight="1">
      <c r="A652" s="10">
        <v>650</v>
      </c>
      <c r="B652" s="11" t="str">
        <f>RAW_Клиенты!A651</f>
        <v>C0650</v>
      </c>
      <c r="C652" s="11" t="str">
        <f>RAW_Клиенты!B651</f>
        <v xml:space="preserve">Тихонов Андрей Олегович</v>
      </c>
      <c r="D652" s="11" t="str">
        <f>RAW_Клиенты!C651</f>
        <v>21.11.1987</v>
      </c>
      <c r="E652" s="11" t="str">
        <f>RAW_Клиенты!D651</f>
        <v>8-903-234-56-78</v>
      </c>
      <c r="F652" s="11" t="str">
        <f>RAW_Клиенты!E651</f>
        <v>tihonov@yandex</v>
      </c>
      <c r="G652" s="11" t="str">
        <f>RAW_Клиенты!F651</f>
        <v>Ставрополь</v>
      </c>
      <c r="H652" s="11" t="str">
        <f>RAW_Клиенты!G651</f>
        <v>2040-01-15</v>
      </c>
      <c r="I652" s="12" t="str">
        <f t="shared" si="450"/>
        <v>89032345678</v>
      </c>
      <c r="J652" s="12" t="str">
        <f t="shared" si="451"/>
        <v>tihonov@yandex</v>
      </c>
      <c r="K652" s="12" t="str">
        <f t="shared" si="452"/>
        <v>Ставрополь</v>
      </c>
      <c r="L652" s="13" t="str">
        <f t="shared" si="453"/>
        <v>C0650</v>
      </c>
      <c r="M652" s="13" t="str">
        <f t="shared" si="454"/>
        <v xml:space="preserve">Тихонов Андрей Олегович</v>
      </c>
      <c r="N652" s="13" t="str">
        <f t="shared" si="455"/>
        <v>OK</v>
      </c>
      <c r="O652" s="19">
        <f t="shared" si="456"/>
        <v>32102</v>
      </c>
      <c r="P652" s="19">
        <f t="shared" si="457"/>
        <v>51150</v>
      </c>
      <c r="Q652" s="13">
        <f t="shared" ca="1" si="458"/>
        <v>38</v>
      </c>
      <c r="R652" s="13" t="str">
        <f t="shared" si="459"/>
        <v>OK</v>
      </c>
      <c r="S652" s="13" t="str">
        <f t="shared" si="460"/>
        <v xml:space="preserve">+7 (903) 234-56-78</v>
      </c>
      <c r="T652" s="13" t="str">
        <f t="shared" si="461"/>
        <v>tihonov@yandex</v>
      </c>
      <c r="U652" s="18" t="str">
        <f t="shared" si="462"/>
        <v xml:space="preserve">Ошибка Email</v>
      </c>
      <c r="V652" s="13" t="str">
        <f>IFERROR(VLOOKUP(K652,Справочники!$K$6:$L$13,2,0),K652)</f>
        <v>Ставрополь</v>
      </c>
    </row>
    <row r="653" ht="15" customHeight="1">
      <c r="A653" s="10">
        <v>651</v>
      </c>
      <c r="B653" s="11" t="str">
        <f>RAW_Клиенты!A652</f>
        <v>C0651</v>
      </c>
      <c r="C653" s="11" t="str">
        <f>RAW_Клиенты!B652</f>
        <v xml:space="preserve">Дубровина Мария Павловна</v>
      </c>
      <c r="D653" s="11" t="str">
        <f>RAW_Клиенты!C652</f>
        <v>02.07.1975</v>
      </c>
      <c r="E653" s="11" t="str">
        <f>RAW_Клиенты!D652</f>
        <v xml:space="preserve">8 903 345 67 89</v>
      </c>
      <c r="F653" s="11" t="str">
        <f>RAW_Клиенты!E652</f>
        <v>dubrovina@gmail</v>
      </c>
      <c r="G653" s="11" t="str">
        <f>RAW_Клиенты!F652</f>
        <v>Севастополь</v>
      </c>
      <c r="H653" s="11" t="str">
        <f>RAW_Клиенты!G652</f>
        <v>15.01.2040</v>
      </c>
      <c r="I653" s="12" t="str">
        <f t="shared" si="450"/>
        <v>89033456789</v>
      </c>
      <c r="J653" s="12" t="str">
        <f t="shared" si="451"/>
        <v>dubrovina@gmail</v>
      </c>
      <c r="K653" s="12" t="str">
        <f t="shared" si="452"/>
        <v>Севастополь</v>
      </c>
      <c r="L653" s="13" t="str">
        <f t="shared" si="453"/>
        <v>C0651</v>
      </c>
      <c r="M653" s="13" t="str">
        <f t="shared" si="454"/>
        <v xml:space="preserve">Дубровина Мария Павловна</v>
      </c>
      <c r="N653" s="13" t="str">
        <f t="shared" si="455"/>
        <v>OK</v>
      </c>
      <c r="O653" s="19">
        <f t="shared" si="456"/>
        <v>27577</v>
      </c>
      <c r="P653" s="19">
        <f t="shared" si="457"/>
        <v>51150</v>
      </c>
      <c r="Q653" s="13">
        <f t="shared" ca="1" si="458"/>
        <v>51</v>
      </c>
      <c r="R653" s="13" t="str">
        <f t="shared" si="459"/>
        <v>OK</v>
      </c>
      <c r="S653" s="13" t="str">
        <f t="shared" si="460"/>
        <v xml:space="preserve">+7 (903) 345-67-89</v>
      </c>
      <c r="T653" s="13" t="str">
        <f t="shared" si="461"/>
        <v>dubrovina@gmail</v>
      </c>
      <c r="U653" s="18" t="str">
        <f t="shared" si="462"/>
        <v xml:space="preserve">Ошибка Email</v>
      </c>
      <c r="V653" s="13" t="str">
        <f>IFERROR(VLOOKUP(K653,Справочники!$K$6:$L$13,2,0),K653)</f>
        <v>Севастополь</v>
      </c>
    </row>
    <row r="654" ht="15" customHeight="1">
      <c r="A654" s="10">
        <v>652</v>
      </c>
      <c r="B654" s="11" t="str">
        <f>RAW_Клиенты!A653</f>
        <v>C0652</v>
      </c>
      <c r="C654" s="11" t="str">
        <f>RAW_Клиенты!B653</f>
        <v xml:space="preserve">Ткаченко Денис Викторович</v>
      </c>
      <c r="D654" s="11" t="str">
        <f>RAW_Клиенты!C653</f>
        <v>11.03.1982</v>
      </c>
      <c r="E654" s="11" t="str">
        <f>RAW_Клиенты!D653</f>
        <v>+79033456789</v>
      </c>
      <c r="F654" s="11" t="str">
        <f>RAW_Клиенты!E653</f>
        <v>tkachenko@mail</v>
      </c>
      <c r="G654" s="11" t="str">
        <f>RAW_Клиенты!F653</f>
        <v>Сочи</v>
      </c>
      <c r="H654" s="11" t="str">
        <f>RAW_Клиенты!G653</f>
        <v>01.02.2040</v>
      </c>
      <c r="I654" s="12" t="str">
        <f t="shared" si="450"/>
        <v>79033456789</v>
      </c>
      <c r="J654" s="12" t="str">
        <f t="shared" si="451"/>
        <v>tkachenko@mail</v>
      </c>
      <c r="K654" s="12" t="str">
        <f t="shared" si="452"/>
        <v>Сочи</v>
      </c>
      <c r="L654" s="13" t="str">
        <f t="shared" si="453"/>
        <v>C0652</v>
      </c>
      <c r="M654" s="13" t="str">
        <f t="shared" si="454"/>
        <v xml:space="preserve">Ткаченко Денис Викторович</v>
      </c>
      <c r="N654" s="13" t="str">
        <f t="shared" si="455"/>
        <v>OK</v>
      </c>
      <c r="O654" s="19">
        <f t="shared" si="456"/>
        <v>30021</v>
      </c>
      <c r="P654" s="19">
        <f t="shared" si="457"/>
        <v>51167</v>
      </c>
      <c r="Q654" s="13">
        <f t="shared" ca="1" si="458"/>
        <v>44</v>
      </c>
      <c r="R654" s="13" t="str">
        <f t="shared" si="459"/>
        <v>OK</v>
      </c>
      <c r="S654" s="13" t="str">
        <f t="shared" si="460"/>
        <v xml:space="preserve">+7 (903) 345-67-89</v>
      </c>
      <c r="T654" s="13" t="str">
        <f t="shared" si="461"/>
        <v>tkachenko@mail</v>
      </c>
      <c r="U654" s="18" t="str">
        <f t="shared" si="462"/>
        <v xml:space="preserve">Ошибка Email</v>
      </c>
      <c r="V654" s="13" t="str">
        <f>IFERROR(VLOOKUP(K654,Справочники!$K$6:$L$13,2,0),K654)</f>
        <v>Сочи</v>
      </c>
    </row>
    <row r="655" ht="15" customHeight="1">
      <c r="A655" s="10">
        <v>653</v>
      </c>
      <c r="B655" s="11" t="str">
        <f>RAW_Клиенты!A654</f>
        <v>C0653</v>
      </c>
      <c r="C655" s="11" t="str">
        <f>RAW_Клиенты!B654</f>
        <v xml:space="preserve">Калинина Ольга Сергеевна</v>
      </c>
      <c r="D655" s="11" t="str">
        <f>RAW_Клиенты!C654</f>
        <v>24.12.1990</v>
      </c>
      <c r="E655" s="11" t="str">
        <f>RAW_Клиенты!D654</f>
        <v>8-903-345-67-89</v>
      </c>
      <c r="F655" s="11" t="str">
        <f>RAW_Клиенты!E654</f>
        <v>kalinina@yandex</v>
      </c>
      <c r="G655" s="11" t="str">
        <f>RAW_Клиенты!F654</f>
        <v>Симферополь</v>
      </c>
      <c r="H655" s="11" t="str">
        <f>RAW_Клиенты!G654</f>
        <v>2040-02-10</v>
      </c>
      <c r="I655" s="12" t="str">
        <f t="shared" si="450"/>
        <v>89033456789</v>
      </c>
      <c r="J655" s="12" t="str">
        <f t="shared" si="451"/>
        <v>kalinina@yandex</v>
      </c>
      <c r="K655" s="12" t="str">
        <f t="shared" si="452"/>
        <v>Симферополь</v>
      </c>
      <c r="L655" s="13" t="str">
        <f t="shared" si="453"/>
        <v>C0653</v>
      </c>
      <c r="M655" s="13" t="str">
        <f t="shared" si="454"/>
        <v xml:space="preserve">Калинина Ольга Сергеевна</v>
      </c>
      <c r="N655" s="13" t="str">
        <f t="shared" si="455"/>
        <v>OK</v>
      </c>
      <c r="O655" s="19">
        <f t="shared" si="456"/>
        <v>33231</v>
      </c>
      <c r="P655" s="19">
        <f t="shared" si="457"/>
        <v>51176</v>
      </c>
      <c r="Q655" s="13">
        <f t="shared" ca="1" si="458"/>
        <v>35</v>
      </c>
      <c r="R655" s="13" t="str">
        <f t="shared" si="459"/>
        <v>OK</v>
      </c>
      <c r="S655" s="13" t="str">
        <f t="shared" si="460"/>
        <v xml:space="preserve">+7 (903) 345-67-89</v>
      </c>
      <c r="T655" s="13" t="str">
        <f t="shared" si="461"/>
        <v>kalinina@yandex</v>
      </c>
      <c r="U655" s="18" t="str">
        <f t="shared" si="462"/>
        <v xml:space="preserve">Ошибка Email</v>
      </c>
      <c r="V655" s="13" t="str">
        <f>IFERROR(VLOOKUP(K655,Справочники!$K$6:$L$13,2,0),K655)</f>
        <v>Симферополь</v>
      </c>
    </row>
    <row r="656" ht="15" customHeight="1">
      <c r="A656" s="10">
        <v>654</v>
      </c>
      <c r="B656" s="11" t="str">
        <f>RAW_Клиенты!A655</f>
        <v>C0654</v>
      </c>
      <c r="C656" s="11" t="str">
        <f>RAW_Клиенты!B655</f>
        <v xml:space="preserve">Макаров Илья Алексеевич</v>
      </c>
      <c r="D656" s="11" t="str">
        <f>RAW_Клиенты!C655</f>
        <v>05.09.1973</v>
      </c>
      <c r="E656" s="11" t="str">
        <f>RAW_Клиенты!D655</f>
        <v xml:space="preserve">8 903 456 78 90</v>
      </c>
      <c r="F656" s="11" t="str">
        <f>RAW_Клиенты!E655</f>
        <v>makarov@gmail</v>
      </c>
      <c r="G656" s="11" t="str">
        <f>RAW_Клиенты!F655</f>
        <v>Брянск</v>
      </c>
      <c r="H656" s="11" t="str">
        <f>RAW_Клиенты!G655</f>
        <v>10.02.2040</v>
      </c>
      <c r="I656" s="12" t="str">
        <f t="shared" si="450"/>
        <v>89034567890</v>
      </c>
      <c r="J656" s="12" t="str">
        <f t="shared" si="451"/>
        <v>makarov@gmail</v>
      </c>
      <c r="K656" s="12" t="str">
        <f t="shared" si="452"/>
        <v>Брянск</v>
      </c>
      <c r="L656" s="13" t="str">
        <f t="shared" si="453"/>
        <v>C0654</v>
      </c>
      <c r="M656" s="13" t="str">
        <f t="shared" si="454"/>
        <v xml:space="preserve">Макаров Илья Алексеевич</v>
      </c>
      <c r="N656" s="13" t="str">
        <f t="shared" si="455"/>
        <v>OK</v>
      </c>
      <c r="O656" s="19">
        <f t="shared" si="456"/>
        <v>26912</v>
      </c>
      <c r="P656" s="19">
        <f t="shared" si="457"/>
        <v>51176</v>
      </c>
      <c r="Q656" s="13">
        <f t="shared" ca="1" si="458"/>
        <v>53</v>
      </c>
      <c r="R656" s="13" t="str">
        <f t="shared" si="459"/>
        <v>OK</v>
      </c>
      <c r="S656" s="13" t="str">
        <f t="shared" si="460"/>
        <v xml:space="preserve">+7 (903) 456-78-90</v>
      </c>
      <c r="T656" s="13" t="str">
        <f t="shared" si="461"/>
        <v>makarov@gmail</v>
      </c>
      <c r="U656" s="18" t="str">
        <f t="shared" si="462"/>
        <v xml:space="preserve">Ошибка Email</v>
      </c>
      <c r="V656" s="13" t="str">
        <f>IFERROR(VLOOKUP(K656,Справочники!$K$6:$L$13,2,0),K656)</f>
        <v>Брянск</v>
      </c>
    </row>
    <row r="657" ht="15" customHeight="1">
      <c r="A657" s="10">
        <v>655</v>
      </c>
      <c r="B657" s="11" t="str">
        <f>RAW_Клиенты!A656</f>
        <v>C0655</v>
      </c>
      <c r="C657" s="11" t="str">
        <f>RAW_Клиенты!B656</f>
        <v xml:space="preserve">Володина Екатерина Владимировна</v>
      </c>
      <c r="D657" s="11" t="str">
        <f>RAW_Клиенты!C656</f>
        <v>29.05.1986</v>
      </c>
      <c r="E657" s="11" t="str">
        <f>RAW_Клиенты!D656</f>
        <v>+79034567890</v>
      </c>
      <c r="F657" s="11" t="str">
        <f>RAW_Клиенты!E656</f>
        <v>volodina@mail</v>
      </c>
      <c r="G657" s="11" t="str">
        <f>RAW_Клиенты!F656</f>
        <v>Абакан</v>
      </c>
      <c r="H657" s="11" t="str">
        <f>RAW_Клиенты!G656</f>
        <v>01.03.2040</v>
      </c>
      <c r="I657" s="12" t="str">
        <f t="shared" si="450"/>
        <v>79034567890</v>
      </c>
      <c r="J657" s="12" t="str">
        <f t="shared" si="451"/>
        <v>volodina@mail</v>
      </c>
      <c r="K657" s="12" t="str">
        <f t="shared" si="452"/>
        <v>Абакан</v>
      </c>
      <c r="L657" s="13" t="str">
        <f t="shared" si="453"/>
        <v>C0655</v>
      </c>
      <c r="M657" s="13" t="str">
        <f t="shared" si="454"/>
        <v xml:space="preserve">Володина Екатерина Владимировна</v>
      </c>
      <c r="N657" s="13" t="str">
        <f t="shared" si="455"/>
        <v>OK</v>
      </c>
      <c r="O657" s="19">
        <f t="shared" si="456"/>
        <v>31561</v>
      </c>
      <c r="P657" s="19">
        <f t="shared" si="457"/>
        <v>51196</v>
      </c>
      <c r="Q657" s="13">
        <f t="shared" ca="1" si="458"/>
        <v>40</v>
      </c>
      <c r="R657" s="13" t="str">
        <f t="shared" si="459"/>
        <v>OK</v>
      </c>
      <c r="S657" s="13" t="str">
        <f t="shared" si="460"/>
        <v xml:space="preserve">+7 (903) 456-78-90</v>
      </c>
      <c r="T657" s="13" t="str">
        <f t="shared" si="461"/>
        <v>volodina@mail</v>
      </c>
      <c r="U657" s="18" t="str">
        <f t="shared" si="462"/>
        <v xml:space="preserve">Ошибка Email</v>
      </c>
      <c r="V657" s="13" t="str">
        <f>IFERROR(VLOOKUP(K657,Справочники!$K$6:$L$13,2,0),K657)</f>
        <v>Абакан</v>
      </c>
    </row>
    <row r="658" ht="15" customHeight="1">
      <c r="A658" s="10">
        <v>656</v>
      </c>
      <c r="B658" s="11" t="str">
        <f>RAW_Клиенты!A657</f>
        <v>C0656</v>
      </c>
      <c r="C658" s="11" t="str">
        <f>RAW_Клиенты!B657</f>
        <v xml:space="preserve">Понкратов Андрей Павлович</v>
      </c>
      <c r="D658" s="11" t="str">
        <f>RAW_Клиенты!C657</f>
        <v>17.01.1981</v>
      </c>
      <c r="E658" s="11" t="str">
        <f>RAW_Клиенты!D657</f>
        <v>8-903-456-78-90</v>
      </c>
      <c r="F658" s="11" t="str">
        <f>RAW_Клиенты!E657</f>
        <v>ponkratov@yandex</v>
      </c>
      <c r="G658" s="11" t="str">
        <f>RAW_Клиенты!F657</f>
        <v>Грозный</v>
      </c>
      <c r="H658" s="11" t="str">
        <f>RAW_Клиенты!G657</f>
        <v>2040-03-15</v>
      </c>
      <c r="I658" s="12" t="str">
        <f t="shared" si="450"/>
        <v>89034567890</v>
      </c>
      <c r="J658" s="12" t="str">
        <f t="shared" si="451"/>
        <v>ponkratov@yandex</v>
      </c>
      <c r="K658" s="12" t="str">
        <f t="shared" si="452"/>
        <v>Грозный</v>
      </c>
      <c r="L658" s="13" t="str">
        <f t="shared" si="453"/>
        <v>C0656</v>
      </c>
      <c r="M658" s="13" t="str">
        <f t="shared" si="454"/>
        <v xml:space="preserve">Понкратов Андрей Павлович</v>
      </c>
      <c r="N658" s="13" t="str">
        <f t="shared" si="455"/>
        <v>OK</v>
      </c>
      <c r="O658" s="19">
        <f t="shared" si="456"/>
        <v>29603</v>
      </c>
      <c r="P658" s="19">
        <f t="shared" si="457"/>
        <v>51210</v>
      </c>
      <c r="Q658" s="13">
        <f t="shared" ca="1" si="458"/>
        <v>45</v>
      </c>
      <c r="R658" s="13" t="str">
        <f t="shared" si="459"/>
        <v>OK</v>
      </c>
      <c r="S658" s="13" t="str">
        <f t="shared" si="460"/>
        <v xml:space="preserve">+7 (903) 456-78-90</v>
      </c>
      <c r="T658" s="13" t="str">
        <f t="shared" si="461"/>
        <v>ponkratov@yandex</v>
      </c>
      <c r="U658" s="18" t="str">
        <f t="shared" si="462"/>
        <v xml:space="preserve">Ошибка Email</v>
      </c>
      <c r="V658" s="13" t="str">
        <f>IFERROR(VLOOKUP(K658,Справочники!$K$6:$L$13,2,0),K658)</f>
        <v>Грозный</v>
      </c>
    </row>
    <row r="659" ht="15" customHeight="1">
      <c r="A659" s="10">
        <v>657</v>
      </c>
      <c r="B659" s="11" t="str">
        <f>RAW_Клиенты!A658</f>
        <v>C0657</v>
      </c>
      <c r="C659" s="11" t="str">
        <f>RAW_Клиенты!B658</f>
        <v xml:space="preserve">Маркина Мария Олеговна</v>
      </c>
      <c r="D659" s="11" t="str">
        <f>RAW_Клиенты!C658</f>
        <v>15.12.1978</v>
      </c>
      <c r="E659" s="11" t="str">
        <f>RAW_Клиенты!D658</f>
        <v xml:space="preserve">8 903 567 89 01</v>
      </c>
      <c r="F659" s="11" t="str">
        <f>RAW_Клиенты!E658</f>
        <v>markina@gmail</v>
      </c>
      <c r="G659" s="11" t="str">
        <f>RAW_Клиенты!F658</f>
        <v>Бийск</v>
      </c>
      <c r="H659" s="11" t="str">
        <f>RAW_Клиенты!G658</f>
        <v>15.03.2040</v>
      </c>
      <c r="I659" s="12" t="str">
        <f t="shared" si="450"/>
        <v>89035678901</v>
      </c>
      <c r="J659" s="12" t="str">
        <f t="shared" si="451"/>
        <v>markina@gmail</v>
      </c>
      <c r="K659" s="12" t="str">
        <f t="shared" si="452"/>
        <v>Бийск</v>
      </c>
      <c r="L659" s="13" t="str">
        <f t="shared" si="453"/>
        <v>C0657</v>
      </c>
      <c r="M659" s="13" t="str">
        <f t="shared" si="454"/>
        <v xml:space="preserve">Маркина Мария Олеговна</v>
      </c>
      <c r="N659" s="13" t="str">
        <f t="shared" si="455"/>
        <v>OK</v>
      </c>
      <c r="O659" s="19">
        <f t="shared" si="456"/>
        <v>28839</v>
      </c>
      <c r="P659" s="19">
        <f t="shared" si="457"/>
        <v>51210</v>
      </c>
      <c r="Q659" s="13">
        <f t="shared" ca="1" si="458"/>
        <v>47</v>
      </c>
      <c r="R659" s="13" t="str">
        <f t="shared" si="459"/>
        <v>OK</v>
      </c>
      <c r="S659" s="13" t="str">
        <f t="shared" si="460"/>
        <v xml:space="preserve">+7 (903) 567-89-01</v>
      </c>
      <c r="T659" s="13" t="str">
        <f t="shared" si="461"/>
        <v>markina@gmail</v>
      </c>
      <c r="U659" s="18" t="str">
        <f t="shared" si="462"/>
        <v xml:space="preserve">Ошибка Email</v>
      </c>
      <c r="V659" s="13" t="str">
        <f>IFERROR(VLOOKUP(K659,Справочники!$K$6:$L$13,2,0),K659)</f>
        <v>Бийск</v>
      </c>
    </row>
    <row r="660" ht="15" customHeight="1">
      <c r="A660" s="10">
        <v>658</v>
      </c>
      <c r="B660" s="11" t="str">
        <f>RAW_Клиенты!A659</f>
        <v>C0658</v>
      </c>
      <c r="C660" s="11" t="str">
        <f>RAW_Клиенты!B659</f>
        <v xml:space="preserve">Гончаров Денис Сергеевич</v>
      </c>
      <c r="D660" s="11" t="str">
        <f>RAW_Клиенты!C659</f>
        <v>09.10.1985</v>
      </c>
      <c r="E660" s="11" t="str">
        <f>RAW_Клиенты!D659</f>
        <v>+79035678901</v>
      </c>
      <c r="F660" s="11" t="str">
        <f>RAW_Клиенты!E659</f>
        <v>goncharov@mail</v>
      </c>
      <c r="G660" s="11" t="str">
        <f>RAW_Клиенты!F659</f>
        <v>Йошкар-Ола</v>
      </c>
      <c r="H660" s="11" t="str">
        <f>RAW_Клиенты!G659</f>
        <v>01.04.2040</v>
      </c>
      <c r="I660" s="12" t="str">
        <f t="shared" si="450"/>
        <v>79035678901</v>
      </c>
      <c r="J660" s="12" t="str">
        <f t="shared" si="451"/>
        <v>goncharov@mail</v>
      </c>
      <c r="K660" s="12" t="str">
        <f t="shared" si="452"/>
        <v>Йошкар-Ола</v>
      </c>
      <c r="L660" s="13" t="str">
        <f t="shared" si="453"/>
        <v>C0658</v>
      </c>
      <c r="M660" s="13" t="str">
        <f t="shared" si="454"/>
        <v xml:space="preserve">Гончаров Денис Сергеевич</v>
      </c>
      <c r="N660" s="13" t="str">
        <f t="shared" si="455"/>
        <v>OK</v>
      </c>
      <c r="O660" s="19">
        <f t="shared" si="456"/>
        <v>31329</v>
      </c>
      <c r="P660" s="19">
        <f t="shared" si="457"/>
        <v>51227</v>
      </c>
      <c r="Q660" s="13">
        <f t="shared" ca="1" si="458"/>
        <v>40</v>
      </c>
      <c r="R660" s="13" t="str">
        <f t="shared" si="459"/>
        <v>OK</v>
      </c>
      <c r="S660" s="13" t="str">
        <f t="shared" si="460"/>
        <v xml:space="preserve">+7 (903) 567-89-01</v>
      </c>
      <c r="T660" s="13" t="str">
        <f t="shared" si="461"/>
        <v>goncharov@mail</v>
      </c>
      <c r="U660" s="18" t="str">
        <f t="shared" si="462"/>
        <v xml:space="preserve">Ошибка Email</v>
      </c>
      <c r="V660" s="13" t="str">
        <f>IFERROR(VLOOKUP(K660,Справочники!$K$6:$L$13,2,0),K660)</f>
        <v>Йошкар-Ола</v>
      </c>
    </row>
    <row r="661" ht="15" customHeight="1">
      <c r="A661" s="10">
        <v>659</v>
      </c>
      <c r="B661" s="11" t="str">
        <f>RAW_Клиенты!A660</f>
        <v>C0659</v>
      </c>
      <c r="C661" s="11" t="str">
        <f>RAW_Клиенты!B660</f>
        <v xml:space="preserve">Логинова Ольга Павловна</v>
      </c>
      <c r="D661" s="11" t="str">
        <f>RAW_Клиенты!C660</f>
        <v>03.06.1992</v>
      </c>
      <c r="E661" s="11" t="str">
        <f>RAW_Клиенты!D660</f>
        <v>8-903-567-89-01</v>
      </c>
      <c r="F661" s="11" t="str">
        <f>RAW_Клиенты!E660</f>
        <v>loginova@yandex</v>
      </c>
      <c r="G661" s="11" t="str">
        <f>RAW_Клиенты!F660</f>
        <v>Курган</v>
      </c>
      <c r="H661" s="11" t="str">
        <f>RAW_Клиенты!G660</f>
        <v>2040-04-10</v>
      </c>
      <c r="I661" s="12" t="str">
        <f t="shared" si="450"/>
        <v>89035678901</v>
      </c>
      <c r="J661" s="12" t="str">
        <f t="shared" si="451"/>
        <v>loginova@yandex</v>
      </c>
      <c r="K661" s="12" t="str">
        <f t="shared" si="452"/>
        <v>Курган</v>
      </c>
      <c r="L661" s="13" t="str">
        <f t="shared" si="453"/>
        <v>C0659</v>
      </c>
      <c r="M661" s="13" t="str">
        <f t="shared" si="454"/>
        <v xml:space="preserve">Логинова Ольга Павловна</v>
      </c>
      <c r="N661" s="13" t="str">
        <f t="shared" si="455"/>
        <v>OK</v>
      </c>
      <c r="O661" s="19">
        <f t="shared" si="456"/>
        <v>33758</v>
      </c>
      <c r="P661" s="19">
        <f t="shared" si="457"/>
        <v>51236</v>
      </c>
      <c r="Q661" s="13">
        <f t="shared" ca="1" si="458"/>
        <v>34</v>
      </c>
      <c r="R661" s="13" t="str">
        <f t="shared" si="459"/>
        <v>OK</v>
      </c>
      <c r="S661" s="13" t="str">
        <f t="shared" si="460"/>
        <v xml:space="preserve">+7 (903) 567-89-01</v>
      </c>
      <c r="T661" s="13" t="str">
        <f t="shared" si="461"/>
        <v>loginova@yandex</v>
      </c>
      <c r="U661" s="18" t="str">
        <f t="shared" si="462"/>
        <v xml:space="preserve">Ошибка Email</v>
      </c>
      <c r="V661" s="13" t="str">
        <f>IFERROR(VLOOKUP(K661,Справочники!$K$6:$L$13,2,0),K661)</f>
        <v>Курган</v>
      </c>
    </row>
    <row r="662" ht="15" customHeight="1">
      <c r="A662" s="10">
        <v>660</v>
      </c>
      <c r="B662" s="11" t="str">
        <f>RAW_Клиенты!A661</f>
        <v>C0660</v>
      </c>
      <c r="C662" s="11" t="str">
        <f>RAW_Клиенты!B661</f>
        <v xml:space="preserve">Ульянов Илья Викторович</v>
      </c>
      <c r="D662" s="11" t="str">
        <f>RAW_Клиенты!C661</f>
        <v>18.03.1974</v>
      </c>
      <c r="E662" s="11" t="str">
        <f>RAW_Клиенты!D661</f>
        <v xml:space="preserve">8 903 678 90 12</v>
      </c>
      <c r="F662" s="11" t="str">
        <f>RAW_Клиенты!E661</f>
        <v>ulyanov@gmail</v>
      </c>
      <c r="G662" s="11" t="str">
        <f>RAW_Клиенты!F661</f>
        <v>Архангельск</v>
      </c>
      <c r="H662" s="11" t="str">
        <f>RAW_Клиенты!G661</f>
        <v>10.04.2040</v>
      </c>
      <c r="I662" s="12" t="str">
        <f t="shared" si="450"/>
        <v>89036789012</v>
      </c>
      <c r="J662" s="12" t="str">
        <f t="shared" si="451"/>
        <v>ulyanov@gmail</v>
      </c>
      <c r="K662" s="12" t="str">
        <f t="shared" si="452"/>
        <v>Архангельск</v>
      </c>
      <c r="L662" s="13" t="str">
        <f t="shared" si="453"/>
        <v>C0660</v>
      </c>
      <c r="M662" s="13" t="str">
        <f t="shared" si="454"/>
        <v xml:space="preserve">Ульянов Илья Викторович</v>
      </c>
      <c r="N662" s="13" t="str">
        <f t="shared" si="455"/>
        <v>OK</v>
      </c>
      <c r="O662" s="19">
        <f t="shared" si="456"/>
        <v>27106</v>
      </c>
      <c r="P662" s="19">
        <f t="shared" si="457"/>
        <v>51236</v>
      </c>
      <c r="Q662" s="13">
        <f t="shared" ca="1" si="458"/>
        <v>52</v>
      </c>
      <c r="R662" s="13" t="str">
        <f t="shared" si="459"/>
        <v>OK</v>
      </c>
      <c r="S662" s="13" t="str">
        <f t="shared" si="460"/>
        <v xml:space="preserve">+7 (903) 678-90-12</v>
      </c>
      <c r="T662" s="13" t="str">
        <f t="shared" si="461"/>
        <v>ulyanov@gmail</v>
      </c>
      <c r="U662" s="18" t="str">
        <f t="shared" si="462"/>
        <v xml:space="preserve">Ошибка Email</v>
      </c>
      <c r="V662" s="13" t="str">
        <f>IFERROR(VLOOKUP(K662,Справочники!$K$6:$L$13,2,0),K662)</f>
        <v>Архангельск</v>
      </c>
    </row>
    <row r="663" ht="15" customHeight="1">
      <c r="A663" s="10">
        <v>661</v>
      </c>
      <c r="B663" s="11" t="str">
        <f>RAW_Клиенты!A662</f>
        <v>C0661</v>
      </c>
      <c r="C663" s="11" t="str">
        <f>RAW_Клиенты!B662</f>
        <v xml:space="preserve">Пушкарева Екатерина Сергеевна</v>
      </c>
      <c r="D663" s="11" t="str">
        <f>RAW_Клиенты!C662</f>
        <v>23.11.1982</v>
      </c>
      <c r="E663" s="11" t="str">
        <f>RAW_Клиенты!D662</f>
        <v>+79036789012</v>
      </c>
      <c r="F663" s="11" t="str">
        <f>RAW_Клиенты!E662</f>
        <v>pushkareva@mail</v>
      </c>
      <c r="G663" s="11" t="str">
        <f>RAW_Клиенты!F662</f>
        <v>Благовещенск</v>
      </c>
      <c r="H663" s="11" t="str">
        <f>RAW_Клиенты!G662</f>
        <v>01.05.2040</v>
      </c>
      <c r="I663" s="12" t="str">
        <f t="shared" si="450"/>
        <v>79036789012</v>
      </c>
      <c r="J663" s="12" t="str">
        <f t="shared" si="451"/>
        <v>pushkareva@mail</v>
      </c>
      <c r="K663" s="12" t="str">
        <f t="shared" si="452"/>
        <v>Благовещенск</v>
      </c>
      <c r="L663" s="13" t="str">
        <f t="shared" si="453"/>
        <v>C0661</v>
      </c>
      <c r="M663" s="13" t="str">
        <f t="shared" si="454"/>
        <v xml:space="preserve">Пушкарева Екатерина Сергеевна</v>
      </c>
      <c r="N663" s="13" t="str">
        <f t="shared" si="455"/>
        <v>OK</v>
      </c>
      <c r="O663" s="19">
        <f t="shared" si="456"/>
        <v>30278</v>
      </c>
      <c r="P663" s="19">
        <f t="shared" si="457"/>
        <v>51257</v>
      </c>
      <c r="Q663" s="13">
        <f t="shared" ca="1" si="458"/>
        <v>43</v>
      </c>
      <c r="R663" s="13" t="str">
        <f t="shared" si="459"/>
        <v>OK</v>
      </c>
      <c r="S663" s="13" t="str">
        <f t="shared" si="460"/>
        <v xml:space="preserve">+7 (903) 678-90-12</v>
      </c>
      <c r="T663" s="13" t="str">
        <f t="shared" si="461"/>
        <v>pushkareva@mail</v>
      </c>
      <c r="U663" s="18" t="str">
        <f t="shared" si="462"/>
        <v xml:space="preserve">Ошибка Email</v>
      </c>
      <c r="V663" s="13" t="str">
        <f>IFERROR(VLOOKUP(K663,Справочники!$K$6:$L$13,2,0),K663)</f>
        <v>Благовещенск</v>
      </c>
    </row>
    <row r="664" ht="15" customHeight="1">
      <c r="A664" s="10">
        <v>662</v>
      </c>
      <c r="B664" s="11" t="str">
        <f>RAW_Клиенты!A663</f>
        <v>C0662</v>
      </c>
      <c r="C664" s="11" t="str">
        <f>RAW_Клиенты!B663</f>
        <v xml:space="preserve">Никитин Андрей Олегович</v>
      </c>
      <c r="D664" s="11" t="str">
        <f>RAW_Клиенты!C663</f>
        <v>06.07.1989</v>
      </c>
      <c r="E664" s="11" t="str">
        <f>RAW_Клиенты!D663</f>
        <v>8-903-678-90-12</v>
      </c>
      <c r="F664" s="11" t="str">
        <f>RAW_Клиенты!E663</f>
        <v>nikitin@yandex</v>
      </c>
      <c r="G664" s="11" t="str">
        <f>RAW_Клиенты!F663</f>
        <v>Майкоп</v>
      </c>
      <c r="H664" s="11" t="str">
        <f>RAW_Клиенты!G663</f>
        <v>2040-05-15</v>
      </c>
      <c r="I664" s="12" t="str">
        <f t="shared" si="450"/>
        <v>89036789012</v>
      </c>
      <c r="J664" s="12" t="str">
        <f t="shared" si="451"/>
        <v>nikitin@yandex</v>
      </c>
      <c r="K664" s="12" t="str">
        <f t="shared" si="452"/>
        <v>Майкоп</v>
      </c>
      <c r="L664" s="13" t="str">
        <f t="shared" si="453"/>
        <v>C0662</v>
      </c>
      <c r="M664" s="13" t="str">
        <f t="shared" si="454"/>
        <v xml:space="preserve">Никитин Андрей Олегович</v>
      </c>
      <c r="N664" s="13" t="str">
        <f t="shared" si="455"/>
        <v>OK</v>
      </c>
      <c r="O664" s="19">
        <f t="shared" si="456"/>
        <v>32695</v>
      </c>
      <c r="P664" s="19">
        <f t="shared" si="457"/>
        <v>51271</v>
      </c>
      <c r="Q664" s="13">
        <f t="shared" ca="1" si="458"/>
        <v>37</v>
      </c>
      <c r="R664" s="13" t="str">
        <f t="shared" si="459"/>
        <v>OK</v>
      </c>
      <c r="S664" s="13" t="str">
        <f t="shared" si="460"/>
        <v xml:space="preserve">+7 (903) 678-90-12</v>
      </c>
      <c r="T664" s="13" t="str">
        <f t="shared" si="461"/>
        <v>nikitin@yandex</v>
      </c>
      <c r="U664" s="18" t="str">
        <f t="shared" si="462"/>
        <v xml:space="preserve">Ошибка Email</v>
      </c>
      <c r="V664" s="13" t="str">
        <f>IFERROR(VLOOKUP(K664,Справочники!$K$6:$L$13,2,0),K664)</f>
        <v>Майкоп</v>
      </c>
    </row>
    <row r="665" ht="15" customHeight="1">
      <c r="A665" s="10">
        <v>663</v>
      </c>
      <c r="B665" s="11" t="str">
        <f>RAW_Клиенты!A664</f>
        <v>C0663</v>
      </c>
      <c r="C665" s="11" t="str">
        <f>RAW_Клиенты!B664</f>
        <v xml:space="preserve">Старцева Мария Владимировна</v>
      </c>
      <c r="D665" s="11" t="str">
        <f>RAW_Клиенты!C664</f>
        <v>14.01.1976</v>
      </c>
      <c r="E665" s="11" t="str">
        <f>RAW_Клиенты!D664</f>
        <v xml:space="preserve">8 903 789 01 23</v>
      </c>
      <c r="F665" s="11" t="str">
        <f>RAW_Клиенты!E664</f>
        <v>startseva@gmail</v>
      </c>
      <c r="G665" s="11" t="str">
        <f>RAW_Клиенты!F664</f>
        <v>Уссурийск</v>
      </c>
      <c r="H665" s="11" t="str">
        <f>RAW_Клиенты!G664</f>
        <v>15.05.2040</v>
      </c>
      <c r="I665" s="12" t="str">
        <f t="shared" si="450"/>
        <v>89037890123</v>
      </c>
      <c r="J665" s="12" t="str">
        <f t="shared" si="451"/>
        <v>startseva@gmail</v>
      </c>
      <c r="K665" s="12" t="str">
        <f t="shared" si="452"/>
        <v>Уссурийск</v>
      </c>
      <c r="L665" s="13" t="str">
        <f t="shared" si="453"/>
        <v>C0663</v>
      </c>
      <c r="M665" s="13" t="str">
        <f t="shared" si="454"/>
        <v xml:space="preserve">Старцева Мария Владимировна</v>
      </c>
      <c r="N665" s="13" t="str">
        <f t="shared" si="455"/>
        <v>OK</v>
      </c>
      <c r="O665" s="19">
        <f t="shared" si="456"/>
        <v>27773</v>
      </c>
      <c r="P665" s="19">
        <f t="shared" si="457"/>
        <v>51271</v>
      </c>
      <c r="Q665" s="13">
        <f t="shared" ca="1" si="458"/>
        <v>50</v>
      </c>
      <c r="R665" s="13" t="str">
        <f t="shared" si="459"/>
        <v>OK</v>
      </c>
      <c r="S665" s="13" t="str">
        <f t="shared" si="460"/>
        <v xml:space="preserve">+7 (903) 789-01-23</v>
      </c>
      <c r="T665" s="13" t="str">
        <f t="shared" si="461"/>
        <v>startseva@gmail</v>
      </c>
      <c r="U665" s="18" t="str">
        <f t="shared" si="462"/>
        <v xml:space="preserve">Ошибка Email</v>
      </c>
      <c r="V665" s="13" t="str">
        <f>IFERROR(VLOOKUP(K665,Справочники!$K$6:$L$13,2,0),K665)</f>
        <v>Уссурийск</v>
      </c>
    </row>
    <row r="666" ht="15" customHeight="1">
      <c r="A666" s="10">
        <v>664</v>
      </c>
      <c r="B666" s="11" t="str">
        <f>RAW_Клиенты!A665</f>
        <v>C0664</v>
      </c>
      <c r="C666" s="11" t="str">
        <f>RAW_Клиенты!B665</f>
        <v xml:space="preserve">Моргунов Денис Павлович</v>
      </c>
      <c r="D666" s="11" t="str">
        <f>RAW_Клиенты!C665</f>
        <v>27.09.1983</v>
      </c>
      <c r="E666" s="11" t="str">
        <f>RAW_Клиенты!D665</f>
        <v>+79037890123</v>
      </c>
      <c r="F666" s="11" t="str">
        <f>RAW_Клиенты!E665</f>
        <v>morgunov@mail</v>
      </c>
      <c r="G666" s="11" t="str">
        <f>RAW_Клиенты!F665</f>
        <v>Миасс</v>
      </c>
      <c r="H666" s="11" t="str">
        <f>RAW_Клиенты!G665</f>
        <v>01.06.2040</v>
      </c>
      <c r="I666" s="12" t="str">
        <f t="shared" si="450"/>
        <v>79037890123</v>
      </c>
      <c r="J666" s="12" t="str">
        <f t="shared" si="451"/>
        <v>morgunov@mail</v>
      </c>
      <c r="K666" s="12" t="str">
        <f t="shared" si="452"/>
        <v>Миасс</v>
      </c>
      <c r="L666" s="13" t="str">
        <f t="shared" si="453"/>
        <v>C0664</v>
      </c>
      <c r="M666" s="13" t="str">
        <f t="shared" si="454"/>
        <v xml:space="preserve">Моргунов Денис Павлович</v>
      </c>
      <c r="N666" s="13" t="str">
        <f t="shared" si="455"/>
        <v>OK</v>
      </c>
      <c r="O666" s="19">
        <f t="shared" si="456"/>
        <v>30586</v>
      </c>
      <c r="P666" s="19">
        <f t="shared" si="457"/>
        <v>51288</v>
      </c>
      <c r="Q666" s="13">
        <f t="shared" ca="1" si="458"/>
        <v>42</v>
      </c>
      <c r="R666" s="13" t="str">
        <f t="shared" si="459"/>
        <v>OK</v>
      </c>
      <c r="S666" s="13" t="str">
        <f t="shared" si="460"/>
        <v xml:space="preserve">+7 (903) 789-01-23</v>
      </c>
      <c r="T666" s="13" t="str">
        <f t="shared" si="461"/>
        <v>morgunov@mail</v>
      </c>
      <c r="U666" s="18" t="str">
        <f t="shared" si="462"/>
        <v xml:space="preserve">Ошибка Email</v>
      </c>
      <c r="V666" s="13" t="str">
        <f>IFERROR(VLOOKUP(K666,Справочники!$K$6:$L$13,2,0),K666)</f>
        <v>Миасс</v>
      </c>
    </row>
    <row r="667" ht="15" customHeight="1">
      <c r="A667" s="10">
        <v>665</v>
      </c>
      <c r="B667" s="11" t="str">
        <f>RAW_Клиенты!A666</f>
        <v>C0665</v>
      </c>
      <c r="C667" s="11" t="str">
        <f>RAW_Клиенты!B666</f>
        <v xml:space="preserve">Астахова Ольга Сергеевна</v>
      </c>
      <c r="D667" s="11" t="str">
        <f>RAW_Клиенты!C666</f>
        <v>09.04.1988</v>
      </c>
      <c r="E667" s="11" t="str">
        <f>RAW_Клиенты!D666</f>
        <v>8-903-789-01-23</v>
      </c>
      <c r="F667" s="11" t="str">
        <f>RAW_Клиенты!E666</f>
        <v>astahova@yandex</v>
      </c>
      <c r="G667" s="11" t="str">
        <f>RAW_Клиенты!F666</f>
        <v>Кызыл</v>
      </c>
      <c r="H667" s="11" t="str">
        <f>RAW_Клиенты!G666</f>
        <v>2040-06-10</v>
      </c>
      <c r="I667" s="12" t="str">
        <f t="shared" si="450"/>
        <v>89037890123</v>
      </c>
      <c r="J667" s="12" t="str">
        <f t="shared" si="451"/>
        <v>astahova@yandex</v>
      </c>
      <c r="K667" s="12" t="str">
        <f t="shared" si="452"/>
        <v>Кызыл</v>
      </c>
      <c r="L667" s="13" t="str">
        <f t="shared" si="453"/>
        <v>C0665</v>
      </c>
      <c r="M667" s="13" t="str">
        <f t="shared" si="454"/>
        <v xml:space="preserve">Астахова Ольга Сергеевна</v>
      </c>
      <c r="N667" s="13" t="str">
        <f t="shared" si="455"/>
        <v>OK</v>
      </c>
      <c r="O667" s="19">
        <f t="shared" si="456"/>
        <v>32242</v>
      </c>
      <c r="P667" s="19">
        <f t="shared" si="457"/>
        <v>51297</v>
      </c>
      <c r="Q667" s="13">
        <f t="shared" ca="1" si="458"/>
        <v>38</v>
      </c>
      <c r="R667" s="13" t="str">
        <f t="shared" si="459"/>
        <v>OK</v>
      </c>
      <c r="S667" s="13" t="str">
        <f t="shared" si="460"/>
        <v xml:space="preserve">+7 (903) 789-01-23</v>
      </c>
      <c r="T667" s="13" t="str">
        <f t="shared" si="461"/>
        <v>astahova@yandex</v>
      </c>
      <c r="U667" s="18" t="str">
        <f t="shared" si="462"/>
        <v xml:space="preserve">Ошибка Email</v>
      </c>
      <c r="V667" s="13" t="str">
        <f>IFERROR(VLOOKUP(K667,Справочники!$K$6:$L$13,2,0),K667)</f>
        <v>Кызыл</v>
      </c>
    </row>
    <row r="668" ht="15" customHeight="1">
      <c r="A668" s="10">
        <v>666</v>
      </c>
      <c r="B668" s="11" t="str">
        <f>RAW_Клиенты!A667</f>
        <v>C0666</v>
      </c>
      <c r="C668" s="11" t="str">
        <f>RAW_Клиенты!B667</f>
        <v xml:space="preserve">Кириченко Илья Александрович</v>
      </c>
      <c r="D668" s="11" t="str">
        <f>RAW_Клиенты!C667</f>
        <v>19.08.1975</v>
      </c>
      <c r="E668" s="11" t="str">
        <f>RAW_Клиенты!D667</f>
        <v xml:space="preserve">8 903 890 12 34</v>
      </c>
      <c r="F668" s="11" t="str">
        <f>RAW_Клиенты!E667</f>
        <v>kirichenko@gmail</v>
      </c>
      <c r="G668" s="11" t="str">
        <f>RAW_Клиенты!F667</f>
        <v>Калининград</v>
      </c>
      <c r="H668" s="11" t="str">
        <f>RAW_Клиенты!G667</f>
        <v>10.06.2040</v>
      </c>
      <c r="I668" s="12" t="str">
        <f t="shared" si="450"/>
        <v>89038901234</v>
      </c>
      <c r="J668" s="12" t="str">
        <f t="shared" si="451"/>
        <v>kirichenko@gmail</v>
      </c>
      <c r="K668" s="12" t="str">
        <f t="shared" si="452"/>
        <v>Калининград</v>
      </c>
      <c r="L668" s="13" t="str">
        <f t="shared" si="453"/>
        <v>C0666</v>
      </c>
      <c r="M668" s="13" t="str">
        <f t="shared" si="454"/>
        <v xml:space="preserve">Кириченко Илья Александрович</v>
      </c>
      <c r="N668" s="13" t="str">
        <f t="shared" si="455"/>
        <v>OK</v>
      </c>
      <c r="O668" s="19">
        <f t="shared" si="456"/>
        <v>27625</v>
      </c>
      <c r="P668" s="19">
        <f t="shared" si="457"/>
        <v>51297</v>
      </c>
      <c r="Q668" s="13">
        <f t="shared" ca="1" si="458"/>
        <v>51</v>
      </c>
      <c r="R668" s="13" t="str">
        <f t="shared" si="459"/>
        <v>OK</v>
      </c>
      <c r="S668" s="13" t="str">
        <f t="shared" si="460"/>
        <v xml:space="preserve">+7 (903) 890-12-34</v>
      </c>
      <c r="T668" s="13" t="str">
        <f t="shared" si="461"/>
        <v>kirichenko@gmail</v>
      </c>
      <c r="U668" s="18" t="str">
        <f t="shared" si="462"/>
        <v xml:space="preserve">Ошибка Email</v>
      </c>
      <c r="V668" s="13" t="str">
        <f>IFERROR(VLOOKUP(K668,Справочники!$K$6:$L$13,2,0),K668)</f>
        <v>Калининград</v>
      </c>
    </row>
    <row r="669" ht="15" customHeight="1">
      <c r="A669" s="10">
        <v>667</v>
      </c>
      <c r="B669" s="11" t="str">
        <f>RAW_Клиенты!A668</f>
        <v>C0667</v>
      </c>
      <c r="C669" s="11" t="str">
        <f>RAW_Клиенты!B668</f>
        <v xml:space="preserve">Борисова Екатерина Алексеевна</v>
      </c>
      <c r="D669" s="11" t="str">
        <f>RAW_Клиенты!C668</f>
        <v>03.11.1984</v>
      </c>
      <c r="E669" s="11" t="str">
        <f>RAW_Клиенты!D668</f>
        <v>+79038901234</v>
      </c>
      <c r="F669" s="11" t="str">
        <f>RAW_Клиенты!E668</f>
        <v>borisova@mail</v>
      </c>
      <c r="G669" s="11" t="str">
        <f>RAW_Клиенты!F668</f>
        <v>Петрозаводск</v>
      </c>
      <c r="H669" s="11" t="str">
        <f>RAW_Клиенты!G668</f>
        <v>01.07.2040</v>
      </c>
      <c r="I669" s="12" t="str">
        <f t="shared" si="450"/>
        <v>79038901234</v>
      </c>
      <c r="J669" s="12" t="str">
        <f t="shared" si="451"/>
        <v>borisova@mail</v>
      </c>
      <c r="K669" s="12" t="str">
        <f t="shared" si="452"/>
        <v>Петрозаводск</v>
      </c>
      <c r="L669" s="13" t="str">
        <f t="shared" si="453"/>
        <v>C0667</v>
      </c>
      <c r="M669" s="13" t="str">
        <f t="shared" si="454"/>
        <v xml:space="preserve">Борисова Екатерина Алексеевна</v>
      </c>
      <c r="N669" s="13" t="str">
        <f t="shared" si="455"/>
        <v>OK</v>
      </c>
      <c r="O669" s="19">
        <f t="shared" si="456"/>
        <v>30989</v>
      </c>
      <c r="P669" s="19">
        <f t="shared" si="457"/>
        <v>51318</v>
      </c>
      <c r="Q669" s="13">
        <f t="shared" ca="1" si="458"/>
        <v>41</v>
      </c>
      <c r="R669" s="13" t="str">
        <f t="shared" si="459"/>
        <v>OK</v>
      </c>
      <c r="S669" s="13" t="str">
        <f t="shared" si="460"/>
        <v xml:space="preserve">+7 (903) 890-12-34</v>
      </c>
      <c r="T669" s="13" t="str">
        <f t="shared" si="461"/>
        <v>borisova@mail</v>
      </c>
      <c r="U669" s="18" t="str">
        <f t="shared" si="462"/>
        <v xml:space="preserve">Ошибка Email</v>
      </c>
      <c r="V669" s="13" t="str">
        <f>IFERROR(VLOOKUP(K669,Справочники!$K$6:$L$13,2,0),K669)</f>
        <v>Петрозаводск</v>
      </c>
    </row>
    <row r="670" ht="15" customHeight="1">
      <c r="A670" s="10">
        <v>668</v>
      </c>
      <c r="B670" s="11" t="str">
        <f>RAW_Клиенты!A669</f>
        <v>C0668</v>
      </c>
      <c r="C670" s="11" t="str">
        <f>RAW_Клиенты!B669</f>
        <v xml:space="preserve">Гусев Андрей Олегович</v>
      </c>
      <c r="D670" s="11" t="str">
        <f>RAW_Клиенты!C669</f>
        <v>16.02.1991</v>
      </c>
      <c r="E670" s="11" t="str">
        <f>RAW_Клиенты!D669</f>
        <v>8-903-890-12-34</v>
      </c>
      <c r="F670" s="11" t="str">
        <f>RAW_Клиенты!E669</f>
        <v>gusev@yandex</v>
      </c>
      <c r="G670" s="11" t="str">
        <f>RAW_Клиенты!F669</f>
        <v>Рубцовск</v>
      </c>
      <c r="H670" s="11" t="str">
        <f>RAW_Клиенты!G669</f>
        <v>2040-07-15</v>
      </c>
      <c r="I670" s="12" t="str">
        <f t="shared" si="450"/>
        <v>89038901234</v>
      </c>
      <c r="J670" s="12" t="str">
        <f t="shared" si="451"/>
        <v>gusev@yandex</v>
      </c>
      <c r="K670" s="12" t="str">
        <f t="shared" si="452"/>
        <v>Рубцовск</v>
      </c>
      <c r="L670" s="13" t="str">
        <f t="shared" si="453"/>
        <v>C0668</v>
      </c>
      <c r="M670" s="13" t="str">
        <f t="shared" si="454"/>
        <v xml:space="preserve">Гусев Андрей Олегович</v>
      </c>
      <c r="N670" s="13" t="str">
        <f t="shared" si="455"/>
        <v>OK</v>
      </c>
      <c r="O670" s="19">
        <f t="shared" si="456"/>
        <v>33285</v>
      </c>
      <c r="P670" s="19">
        <f t="shared" si="457"/>
        <v>51332</v>
      </c>
      <c r="Q670" s="13">
        <f t="shared" ca="1" si="458"/>
        <v>35</v>
      </c>
      <c r="R670" s="13" t="str">
        <f t="shared" si="459"/>
        <v>OK</v>
      </c>
      <c r="S670" s="13" t="str">
        <f t="shared" si="460"/>
        <v xml:space="preserve">+7 (903) 890-12-34</v>
      </c>
      <c r="T670" s="13" t="str">
        <f t="shared" si="461"/>
        <v>gusev@yandex</v>
      </c>
      <c r="U670" s="18" t="str">
        <f t="shared" si="462"/>
        <v xml:space="preserve">Ошибка Email</v>
      </c>
      <c r="V670" s="13" t="str">
        <f>IFERROR(VLOOKUP(K670,Справочники!$K$6:$L$13,2,0),K670)</f>
        <v>Рубцовск</v>
      </c>
    </row>
    <row r="671" ht="15" customHeight="1">
      <c r="A671" s="10">
        <v>669</v>
      </c>
      <c r="B671" s="11" t="str">
        <f>RAW_Клиенты!A670</f>
        <v>C0669</v>
      </c>
      <c r="C671" s="11" t="str">
        <f>RAW_Клиенты!B670</f>
        <v xml:space="preserve">Серова Мария Павловна</v>
      </c>
      <c r="D671" s="11" t="str">
        <f>RAW_Клиенты!C670</f>
        <v>24.05.1977</v>
      </c>
      <c r="E671" s="11" t="str">
        <f>RAW_Клиенты!D670</f>
        <v xml:space="preserve">8 903 901 23 45</v>
      </c>
      <c r="F671" s="11" t="str">
        <f>RAW_Клиенты!E670</f>
        <v>serova@gmail</v>
      </c>
      <c r="G671" s="11" t="str">
        <f>RAW_Клиенты!F670</f>
        <v>Элиста</v>
      </c>
      <c r="H671" s="11" t="str">
        <f>RAW_Клиенты!G670</f>
        <v>15.07.2040</v>
      </c>
      <c r="I671" s="12" t="str">
        <f t="shared" si="450"/>
        <v>89039012345</v>
      </c>
      <c r="J671" s="12" t="str">
        <f t="shared" si="451"/>
        <v>serova@gmail</v>
      </c>
      <c r="K671" s="12" t="str">
        <f t="shared" si="452"/>
        <v>Элиста</v>
      </c>
      <c r="L671" s="13" t="str">
        <f t="shared" si="453"/>
        <v>C0669</v>
      </c>
      <c r="M671" s="13" t="str">
        <f t="shared" si="454"/>
        <v xml:space="preserve">Серова Мария Павловна</v>
      </c>
      <c r="N671" s="13" t="str">
        <f t="shared" si="455"/>
        <v>OK</v>
      </c>
      <c r="O671" s="19">
        <f t="shared" si="456"/>
        <v>28269</v>
      </c>
      <c r="P671" s="19">
        <f t="shared" si="457"/>
        <v>51332</v>
      </c>
      <c r="Q671" s="13">
        <f t="shared" ca="1" si="458"/>
        <v>49</v>
      </c>
      <c r="R671" s="13" t="str">
        <f t="shared" si="459"/>
        <v>OK</v>
      </c>
      <c r="S671" s="13" t="str">
        <f t="shared" si="460"/>
        <v xml:space="preserve">+7 (903) 901-23-45</v>
      </c>
      <c r="T671" s="13" t="str">
        <f t="shared" si="461"/>
        <v>serova@gmail</v>
      </c>
      <c r="U671" s="18" t="str">
        <f t="shared" si="462"/>
        <v xml:space="preserve">Ошибка Email</v>
      </c>
      <c r="V671" s="13" t="str">
        <f>IFERROR(VLOOKUP(K671,Справочники!$K$6:$L$13,2,0),K671)</f>
        <v>Элиста</v>
      </c>
    </row>
    <row r="672" ht="15" customHeight="1">
      <c r="A672" s="10">
        <v>670</v>
      </c>
      <c r="B672" s="11" t="str">
        <f>RAW_Клиенты!A671</f>
        <v>C0670</v>
      </c>
      <c r="C672" s="11" t="str">
        <f>RAW_Клиенты!B671</f>
        <v xml:space="preserve">Чернов Денис Викторович</v>
      </c>
      <c r="D672" s="11" t="str">
        <f>RAW_Клиенты!C671</f>
        <v>10.08.1986</v>
      </c>
      <c r="E672" s="11" t="str">
        <f>RAW_Клиенты!D671</f>
        <v>+79039012345</v>
      </c>
      <c r="F672" s="11" t="str">
        <f>RAW_Клиенты!E671</f>
        <v>chernov@mail</v>
      </c>
      <c r="G672" s="11" t="str">
        <f>RAW_Клиенты!F671</f>
        <v>Орск</v>
      </c>
      <c r="H672" s="11" t="str">
        <f>RAW_Клиенты!G671</f>
        <v>01.08.2040</v>
      </c>
      <c r="I672" s="12" t="str">
        <f t="shared" si="450"/>
        <v>79039012345</v>
      </c>
      <c r="J672" s="12" t="str">
        <f t="shared" si="451"/>
        <v>chernov@mail</v>
      </c>
      <c r="K672" s="12" t="str">
        <f t="shared" si="452"/>
        <v>Орск</v>
      </c>
      <c r="L672" s="13" t="str">
        <f t="shared" si="453"/>
        <v>C0670</v>
      </c>
      <c r="M672" s="13" t="str">
        <f t="shared" si="454"/>
        <v xml:space="preserve">Чернов Денис Викторович</v>
      </c>
      <c r="N672" s="13" t="str">
        <f t="shared" si="455"/>
        <v>OK</v>
      </c>
      <c r="O672" s="19">
        <f t="shared" si="456"/>
        <v>31634</v>
      </c>
      <c r="P672" s="19">
        <f t="shared" si="457"/>
        <v>51349</v>
      </c>
      <c r="Q672" s="13">
        <f t="shared" ca="1" si="458"/>
        <v>40</v>
      </c>
      <c r="R672" s="13" t="str">
        <f t="shared" si="459"/>
        <v>OK</v>
      </c>
      <c r="S672" s="13" t="str">
        <f t="shared" si="460"/>
        <v xml:space="preserve">+7 (903) 901-23-45</v>
      </c>
      <c r="T672" s="13" t="str">
        <f t="shared" si="461"/>
        <v>chernov@mail</v>
      </c>
      <c r="U672" s="18" t="str">
        <f t="shared" si="462"/>
        <v xml:space="preserve">Ошибка Email</v>
      </c>
      <c r="V672" s="13" t="str">
        <f>IFERROR(VLOOKUP(K672,Справочники!$K$6:$L$13,2,0),K672)</f>
        <v>Орск</v>
      </c>
    </row>
    <row r="673" ht="15" customHeight="1">
      <c r="A673" s="10">
        <v>671</v>
      </c>
      <c r="B673" s="11" t="str">
        <f>RAW_Клиенты!A672</f>
        <v>C0671</v>
      </c>
      <c r="C673" s="11" t="str">
        <f>RAW_Клиенты!B672</f>
        <v xml:space="preserve">Козлова Ольга Владимировна</v>
      </c>
      <c r="D673" s="11" t="str">
        <f>RAW_Клиенты!C672</f>
        <v>29.03.1980</v>
      </c>
      <c r="E673" s="11" t="str">
        <f>RAW_Клиенты!D672</f>
        <v>8-903-901-23-45</v>
      </c>
      <c r="F673" s="11" t="str">
        <f>RAW_Клиенты!E672</f>
        <v>kozlova@yandex</v>
      </c>
      <c r="G673" s="11" t="str">
        <f>RAW_Клиенты!F672</f>
        <v>Нижневартовск</v>
      </c>
      <c r="H673" s="11" t="str">
        <f>RAW_Клиенты!G672</f>
        <v>2040-08-10</v>
      </c>
      <c r="I673" s="12" t="str">
        <f t="shared" si="450"/>
        <v>89039012345</v>
      </c>
      <c r="J673" s="12" t="str">
        <f t="shared" si="451"/>
        <v>kozlova@yandex</v>
      </c>
      <c r="K673" s="12" t="str">
        <f t="shared" si="452"/>
        <v>Нижневартовск</v>
      </c>
      <c r="L673" s="13" t="str">
        <f t="shared" si="453"/>
        <v>C0671</v>
      </c>
      <c r="M673" s="13" t="str">
        <f t="shared" si="454"/>
        <v xml:space="preserve">Козлова Ольга Владимировна</v>
      </c>
      <c r="N673" s="13" t="str">
        <f t="shared" si="455"/>
        <v>OK</v>
      </c>
      <c r="O673" s="19">
        <f t="shared" si="456"/>
        <v>29309</v>
      </c>
      <c r="P673" s="19">
        <f t="shared" si="457"/>
        <v>51358</v>
      </c>
      <c r="Q673" s="13">
        <f t="shared" ca="1" si="458"/>
        <v>46</v>
      </c>
      <c r="R673" s="13" t="str">
        <f t="shared" si="459"/>
        <v>OK</v>
      </c>
      <c r="S673" s="13" t="str">
        <f t="shared" si="460"/>
        <v xml:space="preserve">+7 (903) 901-23-45</v>
      </c>
      <c r="T673" s="13" t="str">
        <f t="shared" si="461"/>
        <v>kozlova@yandex</v>
      </c>
      <c r="U673" s="18" t="str">
        <f t="shared" si="462"/>
        <v xml:space="preserve">Ошибка Email</v>
      </c>
      <c r="V673" s="13" t="str">
        <f>IFERROR(VLOOKUP(K673,Справочники!$K$6:$L$13,2,0),K673)</f>
        <v>Нижневартовск</v>
      </c>
    </row>
    <row r="674" ht="15" customHeight="1">
      <c r="A674" s="10">
        <v>672</v>
      </c>
      <c r="B674" s="11" t="str">
        <f>RAW_Клиенты!A673</f>
        <v>C0672</v>
      </c>
      <c r="C674" s="11" t="str">
        <f>RAW_Клиенты!B673</f>
        <v xml:space="preserve">Орлов Илья Алексеевич</v>
      </c>
      <c r="D674" s="11" t="str">
        <f>RAW_Клиенты!C673</f>
        <v>16.12.1972</v>
      </c>
      <c r="E674" s="11" t="str">
        <f>RAW_Клиенты!D673</f>
        <v xml:space="preserve">8 903 012 34 56</v>
      </c>
      <c r="F674" s="11" t="str">
        <f>RAW_Клиенты!E673</f>
        <v>orlov@gmail</v>
      </c>
      <c r="G674" s="11" t="str">
        <f>RAW_Клиенты!F673</f>
        <v>Новороссийск</v>
      </c>
      <c r="H674" s="11" t="str">
        <f>RAW_Клиенты!G673</f>
        <v>10.08.2040</v>
      </c>
      <c r="I674" s="12" t="str">
        <f t="shared" si="450"/>
        <v>89030123456</v>
      </c>
      <c r="J674" s="12" t="str">
        <f t="shared" si="451"/>
        <v>orlov@gmail</v>
      </c>
      <c r="K674" s="12" t="str">
        <f t="shared" si="452"/>
        <v>Новороссийск</v>
      </c>
      <c r="L674" s="13" t="str">
        <f t="shared" si="453"/>
        <v>C0672</v>
      </c>
      <c r="M674" s="13" t="str">
        <f t="shared" si="454"/>
        <v xml:space="preserve">Орлов Илья Алексеевич</v>
      </c>
      <c r="N674" s="13" t="str">
        <f t="shared" si="455"/>
        <v>OK</v>
      </c>
      <c r="O674" s="19">
        <f t="shared" si="456"/>
        <v>26649</v>
      </c>
      <c r="P674" s="19">
        <f t="shared" si="457"/>
        <v>51358</v>
      </c>
      <c r="Q674" s="13">
        <f t="shared" ca="1" si="458"/>
        <v>53</v>
      </c>
      <c r="R674" s="13" t="str">
        <f t="shared" si="459"/>
        <v>OK</v>
      </c>
      <c r="S674" s="13" t="str">
        <f t="shared" si="460"/>
        <v xml:space="preserve">+7 (903) 012-34-56</v>
      </c>
      <c r="T674" s="13" t="str">
        <f t="shared" si="461"/>
        <v>orlov@gmail</v>
      </c>
      <c r="U674" s="18" t="str">
        <f t="shared" si="462"/>
        <v xml:space="preserve">Ошибка Email</v>
      </c>
      <c r="V674" s="13" t="str">
        <f>IFERROR(VLOOKUP(K674,Справочники!$K$6:$L$13,2,0),K674)</f>
        <v>Новороссийск</v>
      </c>
    </row>
    <row r="675" ht="15" customHeight="1">
      <c r="A675" s="10">
        <v>673</v>
      </c>
      <c r="B675" s="11" t="str">
        <f>RAW_Клиенты!A674</f>
        <v>C0673</v>
      </c>
      <c r="C675" s="11" t="str">
        <f>RAW_Клиенты!B674</f>
        <v xml:space="preserve">Панфилова Екатерина Сергеевна</v>
      </c>
      <c r="D675" s="11" t="str">
        <f>RAW_Клиенты!C674</f>
        <v>12.07.1985</v>
      </c>
      <c r="E675" s="11" t="str">
        <f>RAW_Клиенты!D674</f>
        <v>+79030123456</v>
      </c>
      <c r="F675" s="11" t="str">
        <f>RAW_Клиенты!E674</f>
        <v>panfilova@mail</v>
      </c>
      <c r="G675" s="11" t="str">
        <f>RAW_Клиенты!F674</f>
        <v>Химки</v>
      </c>
      <c r="H675" s="11" t="str">
        <f>RAW_Клиенты!G674</f>
        <v>01.09.2040</v>
      </c>
      <c r="I675" s="12" t="str">
        <f t="shared" si="450"/>
        <v>79030123456</v>
      </c>
      <c r="J675" s="12" t="str">
        <f t="shared" si="451"/>
        <v>panfilova@mail</v>
      </c>
      <c r="K675" s="12" t="str">
        <f t="shared" si="452"/>
        <v>Химки</v>
      </c>
      <c r="L675" s="13" t="str">
        <f t="shared" si="453"/>
        <v>C0673</v>
      </c>
      <c r="M675" s="13" t="str">
        <f t="shared" si="454"/>
        <v xml:space="preserve">Панфилова Екатерина Сергеевна</v>
      </c>
      <c r="N675" s="13" t="str">
        <f t="shared" si="455"/>
        <v>OK</v>
      </c>
      <c r="O675" s="19">
        <f t="shared" si="456"/>
        <v>31240</v>
      </c>
      <c r="P675" s="19">
        <f t="shared" si="457"/>
        <v>51380</v>
      </c>
      <c r="Q675" s="13">
        <f t="shared" ca="1" si="458"/>
        <v>41</v>
      </c>
      <c r="R675" s="13" t="str">
        <f t="shared" si="459"/>
        <v>OK</v>
      </c>
      <c r="S675" s="13" t="str">
        <f t="shared" si="460"/>
        <v xml:space="preserve">+7 (903) 012-34-56</v>
      </c>
      <c r="T675" s="13" t="str">
        <f t="shared" si="461"/>
        <v>panfilova@mail</v>
      </c>
      <c r="U675" s="18" t="str">
        <f t="shared" si="462"/>
        <v xml:space="preserve">Ошибка Email</v>
      </c>
      <c r="V675" s="13" t="str">
        <f>IFERROR(VLOOKUP(K675,Справочники!$K$6:$L$13,2,0),K675)</f>
        <v>Химки</v>
      </c>
    </row>
    <row r="676" ht="15" customHeight="1">
      <c r="A676" s="10">
        <v>674</v>
      </c>
      <c r="B676" s="11" t="str">
        <f>RAW_Клиенты!A675</f>
        <v>C0674</v>
      </c>
      <c r="C676" s="11" t="str">
        <f>RAW_Клиенты!B675</f>
        <v xml:space="preserve">Крутов Андрей Павлович</v>
      </c>
      <c r="D676" s="11" t="str">
        <f>RAW_Клиенты!C675</f>
        <v>21.10.1990</v>
      </c>
      <c r="E676" s="11" t="str">
        <f>RAW_Клиенты!D675</f>
        <v>8-903-012-34-56</v>
      </c>
      <c r="F676" s="11" t="str">
        <f>RAW_Клиенты!E675</f>
        <v>krutov@yandex</v>
      </c>
      <c r="G676" s="11" t="str">
        <f>RAW_Клиенты!F675</f>
        <v>Подольск</v>
      </c>
      <c r="H676" s="11" t="str">
        <f>RAW_Клиенты!G675</f>
        <v>2040-09-15</v>
      </c>
      <c r="I676" s="12" t="str">
        <f t="shared" ref="I676:I739" si="463">SUBSTITUTE(SUBSTITUTE(SUBSTITUTE(SUBSTITUTE(SUBSTITUTE(SUBSTITUTE(E676," ",""),"-",""),"+",""),"(",""),")",""),CHAR(160),"")</f>
        <v>89030123456</v>
      </c>
      <c r="J676" s="12" t="str">
        <f t="shared" ref="J676:J739" si="464">SUBSTITUTE(SUBSTITUTE(TRIM(F676)," ",""),CHAR(160),"")</f>
        <v>krutov@yandex</v>
      </c>
      <c r="K676" s="12" t="str">
        <f t="shared" ref="K676:K739" si="465">TRIM(SUBSTITUTE(SUBSTITUTE(TRIM(G676),"г.",""),"г ",""))</f>
        <v>Подольск</v>
      </c>
      <c r="L676" s="13" t="str">
        <f t="shared" ref="L676:L739" si="466">B676</f>
        <v>C0674</v>
      </c>
      <c r="M676" s="13" t="str">
        <f t="shared" ref="M676:M739" si="467">PROPER(TRIM(C676))</f>
        <v xml:space="preserve">Крутов Андрей Павлович</v>
      </c>
      <c r="N676" s="13" t="str">
        <f t="shared" ref="N676:N739" si="468">IF(ISNUMBER(FIND(".",C676)),"инициалы: проверить",IF(SUMPRODUCT(--ISNUMBER(FIND(MID("abcdefghijklmnopqrstuvwxyz",ROW(INDIRECT("1:26")),1),LOWER(C676))))&gt;0,"латиница: транслит","OK"))</f>
        <v>OK</v>
      </c>
      <c r="O676" s="19">
        <f t="shared" ref="O676:O739" si="469">IF(ISNUMBER(FIND("-",D676)),DATE(VALUE(LEFT(D676,4)),VALUE(MID(D676,6,2)),VALUE(MID(D676,9,2))),DATE(VALUE(MID(D676,7,4)),VALUE(MID(D676,4,2)),VALUE(LEFT(D676,2))))</f>
        <v>33167</v>
      </c>
      <c r="P676" s="19">
        <f t="shared" ref="P676:P739" si="470">IF(ISNUMBER(FIND("-",H676)),DATE(VALUE(LEFT(H676,4)),VALUE(MID(H676,6,2)),VALUE(MID(H676,9,2))),DATE(VALUE(MID(H676,7,4)),VALUE(MID(H676,4,2)),VALUE(LEFT(H676,2))))</f>
        <v>51394</v>
      </c>
      <c r="Q676" s="13">
        <f t="shared" ref="Q676:Q739" ca="1" si="471">DATEDIF(O676,TODAY(),"Y")</f>
        <v>35</v>
      </c>
      <c r="R676" s="13" t="str">
        <f t="shared" ref="R676:R739" si="472">IF(OR(Q676&lt;18,Q676&gt;120),"Ошибка даты рождения","OK")</f>
        <v>OK</v>
      </c>
      <c r="S676" s="13" t="str">
        <f t="shared" ref="S676:S739" si="473">IF(LEN(I676)&gt;=10,"+7 ("&amp;MID(I676,LEN(I676)-9,3)&amp;") "&amp;MID(I676,LEN(I676)-6,3)&amp;"-"&amp;MID(I676,LEN(I676)-3,2)&amp;"-"&amp;RIGHT(I676,2),"Ошибка телефона")</f>
        <v xml:space="preserve">+7 (903) 012-34-56</v>
      </c>
      <c r="T676" s="13" t="str">
        <f t="shared" ref="T676:T739" si="474">J676</f>
        <v>krutov@yandex</v>
      </c>
      <c r="U676" s="18" t="str">
        <f t="shared" ref="U676:U739" si="475">IF(AND(ISNUMBER(FIND("@",J676)),ISNUMBER(FIND(".",MID(J676,FIND("@",J676),100)))),"OK","Ошибка Email")</f>
        <v xml:space="preserve">Ошибка Email</v>
      </c>
      <c r="V676" s="13" t="str">
        <f>IFERROR(VLOOKUP(K676,Справочники!$K$6:$L$13,2,0),K676)</f>
        <v>Подольск</v>
      </c>
    </row>
    <row r="677" ht="15" customHeight="1">
      <c r="A677" s="10">
        <v>675</v>
      </c>
      <c r="B677" s="11" t="str">
        <f>RAW_Клиенты!A676</f>
        <v>C0675</v>
      </c>
      <c r="C677" s="11" t="str">
        <f>RAW_Клиенты!B676</f>
        <v xml:space="preserve">Силина Мария Олеговна</v>
      </c>
      <c r="D677" s="11" t="str">
        <f>RAW_Клиенты!C676</f>
        <v>08.06.1978</v>
      </c>
      <c r="E677" s="11" t="str">
        <f>RAW_Клиенты!D676</f>
        <v xml:space="preserve">8 903 123 45 67</v>
      </c>
      <c r="F677" s="11" t="str">
        <f>RAW_Клиенты!E676</f>
        <v>silina@gmail</v>
      </c>
      <c r="G677" s="11" t="str">
        <f>RAW_Клиенты!F676</f>
        <v>Балашиха</v>
      </c>
      <c r="H677" s="11" t="str">
        <f>RAW_Клиенты!G676</f>
        <v>15.09.2040</v>
      </c>
      <c r="I677" s="12" t="str">
        <f t="shared" si="463"/>
        <v>89031234567</v>
      </c>
      <c r="J677" s="12" t="str">
        <f t="shared" si="464"/>
        <v>silina@gmail</v>
      </c>
      <c r="K677" s="12" t="str">
        <f t="shared" si="465"/>
        <v>Балашиха</v>
      </c>
      <c r="L677" s="13" t="str">
        <f t="shared" si="466"/>
        <v>C0675</v>
      </c>
      <c r="M677" s="13" t="str">
        <f t="shared" si="467"/>
        <v xml:space="preserve">Силина Мария Олеговна</v>
      </c>
      <c r="N677" s="13" t="str">
        <f t="shared" si="468"/>
        <v>OK</v>
      </c>
      <c r="O677" s="19">
        <f t="shared" si="469"/>
        <v>28649</v>
      </c>
      <c r="P677" s="19">
        <f t="shared" si="470"/>
        <v>51394</v>
      </c>
      <c r="Q677" s="13">
        <f t="shared" ca="1" si="471"/>
        <v>48</v>
      </c>
      <c r="R677" s="13" t="str">
        <f t="shared" si="472"/>
        <v>OK</v>
      </c>
      <c r="S677" s="13" t="str">
        <f t="shared" si="473"/>
        <v xml:space="preserve">+7 (903) 123-45-67</v>
      </c>
      <c r="T677" s="13" t="str">
        <f t="shared" si="474"/>
        <v>silina@gmail</v>
      </c>
      <c r="U677" s="18" t="str">
        <f t="shared" si="475"/>
        <v xml:space="preserve">Ошибка Email</v>
      </c>
      <c r="V677" s="13" t="str">
        <f>IFERROR(VLOOKUP(K677,Справочники!$K$6:$L$13,2,0),K677)</f>
        <v>Балашиха</v>
      </c>
    </row>
    <row r="678" ht="15" customHeight="1">
      <c r="A678" s="10">
        <v>676</v>
      </c>
      <c r="B678" s="11" t="str">
        <f>RAW_Клиенты!A677</f>
        <v>C0676</v>
      </c>
      <c r="C678" s="11" t="str">
        <f>RAW_Клиенты!B677</f>
        <v xml:space="preserve">Дорохов Денис Сергеевич</v>
      </c>
      <c r="D678" s="11" t="str">
        <f>RAW_Клиенты!C677</f>
        <v>17.01.1983</v>
      </c>
      <c r="E678" s="11" t="str">
        <f>RAW_Клиенты!D677</f>
        <v>+79031234567</v>
      </c>
      <c r="F678" s="11" t="str">
        <f>RAW_Клиенты!E677</f>
        <v>dorohov@mail</v>
      </c>
      <c r="G678" s="11" t="str">
        <f>RAW_Клиенты!F677</f>
        <v>Сургут</v>
      </c>
      <c r="H678" s="11" t="str">
        <f>RAW_Клиенты!G677</f>
        <v>01.10.2040</v>
      </c>
      <c r="I678" s="12" t="str">
        <f t="shared" si="463"/>
        <v>79031234567</v>
      </c>
      <c r="J678" s="12" t="str">
        <f t="shared" si="464"/>
        <v>dorohov@mail</v>
      </c>
      <c r="K678" s="12" t="str">
        <f t="shared" si="465"/>
        <v>Сургут</v>
      </c>
      <c r="L678" s="13" t="str">
        <f t="shared" si="466"/>
        <v>C0676</v>
      </c>
      <c r="M678" s="13" t="str">
        <f t="shared" si="467"/>
        <v xml:space="preserve">Дорохов Денис Сергеевич</v>
      </c>
      <c r="N678" s="13" t="str">
        <f t="shared" si="468"/>
        <v>OK</v>
      </c>
      <c r="O678" s="19">
        <f t="shared" si="469"/>
        <v>30333</v>
      </c>
      <c r="P678" s="19">
        <f t="shared" si="470"/>
        <v>51410</v>
      </c>
      <c r="Q678" s="13">
        <f t="shared" ca="1" si="471"/>
        <v>43</v>
      </c>
      <c r="R678" s="13" t="str">
        <f t="shared" si="472"/>
        <v>OK</v>
      </c>
      <c r="S678" s="13" t="str">
        <f t="shared" si="473"/>
        <v xml:space="preserve">+7 (903) 123-45-67</v>
      </c>
      <c r="T678" s="13" t="str">
        <f t="shared" si="474"/>
        <v>dorohov@mail</v>
      </c>
      <c r="U678" s="18" t="str">
        <f t="shared" si="475"/>
        <v xml:space="preserve">Ошибка Email</v>
      </c>
      <c r="V678" s="13" t="str">
        <f>IFERROR(VLOOKUP(K678,Справочники!$K$6:$L$13,2,0),K678)</f>
        <v>Сургут</v>
      </c>
    </row>
    <row r="679" ht="15" customHeight="1">
      <c r="A679" s="10">
        <v>677</v>
      </c>
      <c r="B679" s="11" t="str">
        <f>RAW_Клиенты!A678</f>
        <v>C0677</v>
      </c>
      <c r="C679" s="11" t="str">
        <f>RAW_Клиенты!B678</f>
        <v xml:space="preserve">Семенова Ольга Павловна</v>
      </c>
      <c r="D679" s="11" t="str">
        <f>RAW_Клиенты!C678</f>
        <v>05.04.1987</v>
      </c>
      <c r="E679" s="11" t="str">
        <f>RAW_Клиенты!D678</f>
        <v>8-903-123-45-67</v>
      </c>
      <c r="F679" s="11" t="str">
        <f>RAW_Клиенты!E678</f>
        <v>semenova@yandex</v>
      </c>
      <c r="G679" s="11" t="str">
        <f>RAW_Клиенты!F678</f>
        <v>Армавир</v>
      </c>
      <c r="H679" s="11" t="str">
        <f>RAW_Клиенты!G678</f>
        <v>2040-10-10</v>
      </c>
      <c r="I679" s="12" t="str">
        <f t="shared" si="463"/>
        <v>89031234567</v>
      </c>
      <c r="J679" s="12" t="str">
        <f t="shared" si="464"/>
        <v>semenova@yandex</v>
      </c>
      <c r="K679" s="12" t="str">
        <f t="shared" si="465"/>
        <v>Армавир</v>
      </c>
      <c r="L679" s="13" t="str">
        <f t="shared" si="466"/>
        <v>C0677</v>
      </c>
      <c r="M679" s="13" t="str">
        <f t="shared" si="467"/>
        <v xml:space="preserve">Семенова Ольга Павловна</v>
      </c>
      <c r="N679" s="13" t="str">
        <f t="shared" si="468"/>
        <v>OK</v>
      </c>
      <c r="O679" s="19">
        <f t="shared" si="469"/>
        <v>31872</v>
      </c>
      <c r="P679" s="19">
        <f t="shared" si="470"/>
        <v>51419</v>
      </c>
      <c r="Q679" s="13">
        <f t="shared" ca="1" si="471"/>
        <v>39</v>
      </c>
      <c r="R679" s="13" t="str">
        <f t="shared" si="472"/>
        <v>OK</v>
      </c>
      <c r="S679" s="13" t="str">
        <f t="shared" si="473"/>
        <v xml:space="preserve">+7 (903) 123-45-67</v>
      </c>
      <c r="T679" s="13" t="str">
        <f t="shared" si="474"/>
        <v>semenova@yandex</v>
      </c>
      <c r="U679" s="18" t="str">
        <f t="shared" si="475"/>
        <v xml:space="preserve">Ошибка Email</v>
      </c>
      <c r="V679" s="13" t="str">
        <f>IFERROR(VLOOKUP(K679,Справочники!$K$6:$L$13,2,0),K679)</f>
        <v>Армавир</v>
      </c>
    </row>
    <row r="680" ht="15" customHeight="1">
      <c r="A680" s="10">
        <v>678</v>
      </c>
      <c r="B680" s="11" t="str">
        <f>RAW_Клиенты!A679</f>
        <v>C0678</v>
      </c>
      <c r="C680" s="11" t="str">
        <f>RAW_Клиенты!B679</f>
        <v xml:space="preserve">Потапов Илья Викторович</v>
      </c>
      <c r="D680" s="11" t="str">
        <f>RAW_Клиенты!C679</f>
        <v>22.07.1974</v>
      </c>
      <c r="E680" s="11" t="str">
        <f>RAW_Клиенты!D679</f>
        <v xml:space="preserve">8 903 234 56 78</v>
      </c>
      <c r="F680" s="11" t="str">
        <f>RAW_Клиенты!E679</f>
        <v>potapov@gmail</v>
      </c>
      <c r="G680" s="11" t="str">
        <f>RAW_Клиенты!F679</f>
        <v>Волжский</v>
      </c>
      <c r="H680" s="11" t="str">
        <f>RAW_Клиенты!G679</f>
        <v>10.10.2040</v>
      </c>
      <c r="I680" s="12" t="str">
        <f t="shared" si="463"/>
        <v>89032345678</v>
      </c>
      <c r="J680" s="12" t="str">
        <f t="shared" si="464"/>
        <v>potapov@gmail</v>
      </c>
      <c r="K680" s="12" t="str">
        <f t="shared" si="465"/>
        <v>Волжский</v>
      </c>
      <c r="L680" s="13" t="str">
        <f t="shared" si="466"/>
        <v>C0678</v>
      </c>
      <c r="M680" s="13" t="str">
        <f t="shared" si="467"/>
        <v xml:space="preserve">Потапов Илья Викторович</v>
      </c>
      <c r="N680" s="13" t="str">
        <f t="shared" si="468"/>
        <v>OK</v>
      </c>
      <c r="O680" s="19">
        <f t="shared" si="469"/>
        <v>27232</v>
      </c>
      <c r="P680" s="19">
        <f t="shared" si="470"/>
        <v>51419</v>
      </c>
      <c r="Q680" s="13">
        <f t="shared" ca="1" si="471"/>
        <v>52</v>
      </c>
      <c r="R680" s="13" t="str">
        <f t="shared" si="472"/>
        <v>OK</v>
      </c>
      <c r="S680" s="13" t="str">
        <f t="shared" si="473"/>
        <v xml:space="preserve">+7 (903) 234-56-78</v>
      </c>
      <c r="T680" s="13" t="str">
        <f t="shared" si="474"/>
        <v>potapov@gmail</v>
      </c>
      <c r="U680" s="18" t="str">
        <f t="shared" si="475"/>
        <v xml:space="preserve">Ошибка Email</v>
      </c>
      <c r="V680" s="13" t="str">
        <f>IFERROR(VLOOKUP(K680,Справочники!$K$6:$L$13,2,0),K680)</f>
        <v>Волжский</v>
      </c>
    </row>
    <row r="681" ht="15" customHeight="1">
      <c r="A681" s="10">
        <v>679</v>
      </c>
      <c r="B681" s="11" t="str">
        <f>RAW_Клиенты!A680</f>
        <v>C0679</v>
      </c>
      <c r="C681" s="11" t="str">
        <f>RAW_Клиенты!B680</f>
        <v xml:space="preserve">Кудряшова Екатерина Алексеевна</v>
      </c>
      <c r="D681" s="11" t="str">
        <f>RAW_Клиенты!C680</f>
        <v>14.10.1982</v>
      </c>
      <c r="E681" s="11" t="str">
        <f>RAW_Клиенты!D680</f>
        <v>+79032345678</v>
      </c>
      <c r="F681" s="11" t="str">
        <f>RAW_Клиенты!E680</f>
        <v>kudryashova@mail</v>
      </c>
      <c r="G681" s="11" t="str">
        <f>RAW_Клиенты!F680</f>
        <v>Шахты</v>
      </c>
      <c r="H681" s="11" t="str">
        <f>RAW_Клиенты!G680</f>
        <v>01.11.2040</v>
      </c>
      <c r="I681" s="12" t="str">
        <f t="shared" si="463"/>
        <v>79032345678</v>
      </c>
      <c r="J681" s="12" t="str">
        <f t="shared" si="464"/>
        <v>kudryashova@mail</v>
      </c>
      <c r="K681" s="12" t="str">
        <f t="shared" si="465"/>
        <v>Шахты</v>
      </c>
      <c r="L681" s="13" t="str">
        <f t="shared" si="466"/>
        <v>C0679</v>
      </c>
      <c r="M681" s="13" t="str">
        <f t="shared" si="467"/>
        <v xml:space="preserve">Кудряшова Екатерина Алексеевна</v>
      </c>
      <c r="N681" s="13" t="str">
        <f t="shared" si="468"/>
        <v>OK</v>
      </c>
      <c r="O681" s="19">
        <f t="shared" si="469"/>
        <v>30238</v>
      </c>
      <c r="P681" s="19">
        <f t="shared" si="470"/>
        <v>51441</v>
      </c>
      <c r="Q681" s="13">
        <f t="shared" ca="1" si="471"/>
        <v>43</v>
      </c>
      <c r="R681" s="13" t="str">
        <f t="shared" si="472"/>
        <v>OK</v>
      </c>
      <c r="S681" s="13" t="str">
        <f t="shared" si="473"/>
        <v xml:space="preserve">+7 (903) 234-56-78</v>
      </c>
      <c r="T681" s="13" t="str">
        <f t="shared" si="474"/>
        <v>kudryashova@mail</v>
      </c>
      <c r="U681" s="18" t="str">
        <f t="shared" si="475"/>
        <v xml:space="preserve">Ошибка Email</v>
      </c>
      <c r="V681" s="13" t="str">
        <f>IFERROR(VLOOKUP(K681,Справочники!$K$6:$L$13,2,0),K681)</f>
        <v>Шахты</v>
      </c>
    </row>
    <row r="682" ht="15" customHeight="1">
      <c r="A682" s="10">
        <v>680</v>
      </c>
      <c r="B682" s="11" t="str">
        <f>RAW_Клиенты!A681</f>
        <v>C0680</v>
      </c>
      <c r="C682" s="11" t="str">
        <f>RAW_Клиенты!B681</f>
        <v xml:space="preserve">Семенюк Андрей Олегович</v>
      </c>
      <c r="D682" s="11" t="str">
        <f>RAW_Клиенты!C681</f>
        <v>08.02.1989</v>
      </c>
      <c r="E682" s="11" t="str">
        <f>RAW_Клиенты!D681</f>
        <v>8-903-234-56-78</v>
      </c>
      <c r="F682" s="11" t="str">
        <f>RAW_Клиенты!E681</f>
        <v>semenyuk@yandex</v>
      </c>
      <c r="G682" s="11" t="str">
        <f>RAW_Клиенты!F681</f>
        <v>Златоуст</v>
      </c>
      <c r="H682" s="11" t="str">
        <f>RAW_Клиенты!G681</f>
        <v>2040-11-15</v>
      </c>
      <c r="I682" s="12" t="str">
        <f t="shared" si="463"/>
        <v>89032345678</v>
      </c>
      <c r="J682" s="12" t="str">
        <f t="shared" si="464"/>
        <v>semenyuk@yandex</v>
      </c>
      <c r="K682" s="12" t="str">
        <f t="shared" si="465"/>
        <v>Златоуст</v>
      </c>
      <c r="L682" s="13" t="str">
        <f t="shared" si="466"/>
        <v>C0680</v>
      </c>
      <c r="M682" s="13" t="str">
        <f t="shared" si="467"/>
        <v xml:space="preserve">Семенюк Андрей Олегович</v>
      </c>
      <c r="N682" s="13" t="str">
        <f t="shared" si="468"/>
        <v>OK</v>
      </c>
      <c r="O682" s="19">
        <f t="shared" si="469"/>
        <v>32547</v>
      </c>
      <c r="P682" s="19">
        <f t="shared" si="470"/>
        <v>51455</v>
      </c>
      <c r="Q682" s="13">
        <f t="shared" ca="1" si="471"/>
        <v>37</v>
      </c>
      <c r="R682" s="13" t="str">
        <f t="shared" si="472"/>
        <v>OK</v>
      </c>
      <c r="S682" s="13" t="str">
        <f t="shared" si="473"/>
        <v xml:space="preserve">+7 (903) 234-56-78</v>
      </c>
      <c r="T682" s="13" t="str">
        <f t="shared" si="474"/>
        <v>semenyuk@yandex</v>
      </c>
      <c r="U682" s="18" t="str">
        <f t="shared" si="475"/>
        <v xml:space="preserve">Ошибка Email</v>
      </c>
      <c r="V682" s="13" t="str">
        <f>IFERROR(VLOOKUP(K682,Справочники!$K$6:$L$13,2,0),K682)</f>
        <v>Златоуст</v>
      </c>
    </row>
    <row r="683" ht="15" customHeight="1">
      <c r="A683" s="10">
        <v>681</v>
      </c>
      <c r="B683" s="11" t="str">
        <f>RAW_Клиенты!A682</f>
        <v>C0681</v>
      </c>
      <c r="C683" s="11" t="str">
        <f>RAW_Клиенты!B682</f>
        <v xml:space="preserve">Устинова Мария Владимировна</v>
      </c>
      <c r="D683" s="11" t="str">
        <f>RAW_Клиенты!C682</f>
        <v>27.05.1979</v>
      </c>
      <c r="E683" s="11" t="str">
        <f>RAW_Клиенты!D682</f>
        <v xml:space="preserve">8 903 345 67 89</v>
      </c>
      <c r="F683" s="11" t="str">
        <f>RAW_Клиенты!E682</f>
        <v>ustinova@gmail</v>
      </c>
      <c r="G683" s="11" t="str">
        <f>RAW_Клиенты!F682</f>
        <v>Ангарск</v>
      </c>
      <c r="H683" s="11" t="str">
        <f>RAW_Клиенты!G682</f>
        <v>15.11.2040</v>
      </c>
      <c r="I683" s="12" t="str">
        <f t="shared" si="463"/>
        <v>89033456789</v>
      </c>
      <c r="J683" s="12" t="str">
        <f t="shared" si="464"/>
        <v>ustinova@gmail</v>
      </c>
      <c r="K683" s="12" t="str">
        <f t="shared" si="465"/>
        <v>Ангарск</v>
      </c>
      <c r="L683" s="13" t="str">
        <f t="shared" si="466"/>
        <v>C0681</v>
      </c>
      <c r="M683" s="13" t="str">
        <f t="shared" si="467"/>
        <v xml:space="preserve">Устинова Мария Владимировна</v>
      </c>
      <c r="N683" s="13" t="str">
        <f t="shared" si="468"/>
        <v>OK</v>
      </c>
      <c r="O683" s="19">
        <f t="shared" si="469"/>
        <v>29002</v>
      </c>
      <c r="P683" s="19">
        <f t="shared" si="470"/>
        <v>51455</v>
      </c>
      <c r="Q683" s="13">
        <f t="shared" ca="1" si="471"/>
        <v>47</v>
      </c>
      <c r="R683" s="13" t="str">
        <f t="shared" si="472"/>
        <v>OK</v>
      </c>
      <c r="S683" s="13" t="str">
        <f t="shared" si="473"/>
        <v xml:space="preserve">+7 (903) 345-67-89</v>
      </c>
      <c r="T683" s="13" t="str">
        <f t="shared" si="474"/>
        <v>ustinova@gmail</v>
      </c>
      <c r="U683" s="18" t="str">
        <f t="shared" si="475"/>
        <v xml:space="preserve">Ошибка Email</v>
      </c>
      <c r="V683" s="13" t="str">
        <f>IFERROR(VLOOKUP(K683,Справочники!$K$6:$L$13,2,0),K683)</f>
        <v>Ангарск</v>
      </c>
    </row>
    <row r="684" ht="15" customHeight="1">
      <c r="A684" s="10">
        <v>682</v>
      </c>
      <c r="B684" s="11" t="str">
        <f>RAW_Клиенты!A683</f>
        <v>C0682</v>
      </c>
      <c r="C684" s="11" t="str">
        <f>RAW_Клиенты!B683</f>
        <v xml:space="preserve">Баев Денис Павлович</v>
      </c>
      <c r="D684" s="11" t="str">
        <f>RAW_Клиенты!C683</f>
        <v>18.12.1985</v>
      </c>
      <c r="E684" s="11" t="str">
        <f>RAW_Клиенты!D683</f>
        <v>+79033456789</v>
      </c>
      <c r="F684" s="11" t="str">
        <f>RAW_Клиенты!E683</f>
        <v>baev@mail</v>
      </c>
      <c r="G684" s="11" t="str">
        <f>RAW_Клиенты!F683</f>
        <v>Озёрск</v>
      </c>
      <c r="H684" s="11" t="str">
        <f>RAW_Клиенты!G683</f>
        <v>01.12.2040</v>
      </c>
      <c r="I684" s="12" t="str">
        <f t="shared" si="463"/>
        <v>79033456789</v>
      </c>
      <c r="J684" s="12" t="str">
        <f t="shared" si="464"/>
        <v>baev@mail</v>
      </c>
      <c r="K684" s="12" t="str">
        <f t="shared" si="465"/>
        <v>Озёрск</v>
      </c>
      <c r="L684" s="13" t="str">
        <f t="shared" si="466"/>
        <v>C0682</v>
      </c>
      <c r="M684" s="13" t="str">
        <f t="shared" si="467"/>
        <v xml:space="preserve">Баев Денис Павлович</v>
      </c>
      <c r="N684" s="13" t="str">
        <f t="shared" si="468"/>
        <v>OK</v>
      </c>
      <c r="O684" s="19">
        <f t="shared" si="469"/>
        <v>31399</v>
      </c>
      <c r="P684" s="19">
        <f t="shared" si="470"/>
        <v>51471</v>
      </c>
      <c r="Q684" s="13">
        <f t="shared" ca="1" si="471"/>
        <v>40</v>
      </c>
      <c r="R684" s="13" t="str">
        <f t="shared" si="472"/>
        <v>OK</v>
      </c>
      <c r="S684" s="13" t="str">
        <f t="shared" si="473"/>
        <v xml:space="preserve">+7 (903) 345-67-89</v>
      </c>
      <c r="T684" s="13" t="str">
        <f t="shared" si="474"/>
        <v>baev@mail</v>
      </c>
      <c r="U684" s="18" t="str">
        <f t="shared" si="475"/>
        <v xml:space="preserve">Ошибка Email</v>
      </c>
      <c r="V684" s="13" t="str">
        <f>IFERROR(VLOOKUP(K684,Справочники!$K$6:$L$13,2,0),K684)</f>
        <v>Озёрск</v>
      </c>
    </row>
    <row r="685" ht="15" customHeight="1">
      <c r="A685" s="10">
        <v>683</v>
      </c>
      <c r="B685" s="11" t="str">
        <f>RAW_Клиенты!A684</f>
        <v>C0683</v>
      </c>
      <c r="C685" s="11" t="str">
        <f>RAW_Клиенты!B684</f>
        <v xml:space="preserve">Хрусталева Ольга Сергеевна</v>
      </c>
      <c r="D685" s="11" t="str">
        <f>RAW_Клиенты!C684</f>
        <v>01.08.1992</v>
      </c>
      <c r="E685" s="11" t="str">
        <f>RAW_Клиенты!D684</f>
        <v>8-903-345-67-89</v>
      </c>
      <c r="F685" s="11" t="str">
        <f>RAW_Клиенты!E684</f>
        <v>hrustaleva@yandex</v>
      </c>
      <c r="G685" s="11" t="str">
        <f>RAW_Клиенты!F684</f>
        <v>Орел</v>
      </c>
      <c r="H685" s="11" t="str">
        <f>RAW_Клиенты!G684</f>
        <v>2040-12-10</v>
      </c>
      <c r="I685" s="12" t="str">
        <f t="shared" si="463"/>
        <v>89033456789</v>
      </c>
      <c r="J685" s="12" t="str">
        <f t="shared" si="464"/>
        <v>hrustaleva@yandex</v>
      </c>
      <c r="K685" s="12" t="str">
        <f t="shared" si="465"/>
        <v>Орел</v>
      </c>
      <c r="L685" s="13" t="str">
        <f t="shared" si="466"/>
        <v>C0683</v>
      </c>
      <c r="M685" s="13" t="str">
        <f t="shared" si="467"/>
        <v xml:space="preserve">Хрусталева Ольга Сергеевна</v>
      </c>
      <c r="N685" s="13" t="str">
        <f t="shared" si="468"/>
        <v>OK</v>
      </c>
      <c r="O685" s="19">
        <f t="shared" si="469"/>
        <v>33817</v>
      </c>
      <c r="P685" s="19">
        <f t="shared" si="470"/>
        <v>51480</v>
      </c>
      <c r="Q685" s="13">
        <f t="shared" ca="1" si="471"/>
        <v>34</v>
      </c>
      <c r="R685" s="13" t="str">
        <f t="shared" si="472"/>
        <v>OK</v>
      </c>
      <c r="S685" s="13" t="str">
        <f t="shared" si="473"/>
        <v xml:space="preserve">+7 (903) 345-67-89</v>
      </c>
      <c r="T685" s="13" t="str">
        <f t="shared" si="474"/>
        <v>hrustaleva@yandex</v>
      </c>
      <c r="U685" s="18" t="str">
        <f t="shared" si="475"/>
        <v xml:space="preserve">Ошибка Email</v>
      </c>
      <c r="V685" s="13" t="str">
        <f>IFERROR(VLOOKUP(K685,Справочники!$K$6:$L$13,2,0),K685)</f>
        <v>Орел</v>
      </c>
    </row>
    <row r="686" ht="15" customHeight="1">
      <c r="A686" s="10">
        <v>684</v>
      </c>
      <c r="B686" s="11" t="str">
        <f>RAW_Клиенты!A685</f>
        <v>C0684</v>
      </c>
      <c r="C686" s="11" t="str">
        <f>RAW_Клиенты!B685</f>
        <v xml:space="preserve">Романов Илья Александрович</v>
      </c>
      <c r="D686" s="11" t="str">
        <f>RAW_Клиенты!C685</f>
        <v>23.03.1976</v>
      </c>
      <c r="E686" s="11" t="str">
        <f>RAW_Клиенты!D685</f>
        <v xml:space="preserve">8 903 456 78 90</v>
      </c>
      <c r="F686" s="11" t="str">
        <f>RAW_Клиенты!E685</f>
        <v>romanov@gmail</v>
      </c>
      <c r="G686" s="11" t="str">
        <f>RAW_Клиенты!F685</f>
        <v>Магнитогорск</v>
      </c>
      <c r="H686" s="11" t="str">
        <f>RAW_Клиенты!G685</f>
        <v>10.12.2040</v>
      </c>
      <c r="I686" s="12" t="str">
        <f t="shared" si="463"/>
        <v>89034567890</v>
      </c>
      <c r="J686" s="12" t="str">
        <f t="shared" si="464"/>
        <v>romanov@gmail</v>
      </c>
      <c r="K686" s="12" t="str">
        <f t="shared" si="465"/>
        <v>Магнитогорск</v>
      </c>
      <c r="L686" s="13" t="str">
        <f t="shared" si="466"/>
        <v>C0684</v>
      </c>
      <c r="M686" s="13" t="str">
        <f t="shared" si="467"/>
        <v xml:space="preserve">Романов Илья Александрович</v>
      </c>
      <c r="N686" s="13" t="str">
        <f t="shared" si="468"/>
        <v>OK</v>
      </c>
      <c r="O686" s="19">
        <f t="shared" si="469"/>
        <v>27842</v>
      </c>
      <c r="P686" s="19">
        <f t="shared" si="470"/>
        <v>51480</v>
      </c>
      <c r="Q686" s="13">
        <f t="shared" ca="1" si="471"/>
        <v>50</v>
      </c>
      <c r="R686" s="13" t="str">
        <f t="shared" si="472"/>
        <v>OK</v>
      </c>
      <c r="S686" s="13" t="str">
        <f t="shared" si="473"/>
        <v xml:space="preserve">+7 (903) 456-78-90</v>
      </c>
      <c r="T686" s="13" t="str">
        <f t="shared" si="474"/>
        <v>romanov@gmail</v>
      </c>
      <c r="U686" s="18" t="str">
        <f t="shared" si="475"/>
        <v xml:space="preserve">Ошибка Email</v>
      </c>
      <c r="V686" s="13" t="str">
        <f>IFERROR(VLOOKUP(K686,Справочники!$K$6:$L$13,2,0),K686)</f>
        <v>Магнитогорск</v>
      </c>
    </row>
    <row r="687" ht="15" customHeight="1">
      <c r="A687" s="10">
        <v>685</v>
      </c>
      <c r="B687" s="11" t="str">
        <f>RAW_Клиенты!A686</f>
        <v>C0685</v>
      </c>
      <c r="C687" s="11" t="str">
        <f>RAW_Клиенты!B686</f>
        <v xml:space="preserve">Добрынина Екатерина Владимировна</v>
      </c>
      <c r="D687" s="11" t="str">
        <f>RAW_Клиенты!C686</f>
        <v>07.11.1981</v>
      </c>
      <c r="E687" s="11" t="str">
        <f>RAW_Клиенты!D686</f>
        <v>+79034567890</v>
      </c>
      <c r="F687" s="11" t="str">
        <f>RAW_Клиенты!E686</f>
        <v>dobrynina@mail</v>
      </c>
      <c r="G687" s="11" t="str">
        <f>RAW_Клиенты!F686</f>
        <v>Якутск</v>
      </c>
      <c r="H687" s="11" t="str">
        <f>RAW_Клиенты!G686</f>
        <v>01.01.2041</v>
      </c>
      <c r="I687" s="12" t="str">
        <f t="shared" si="463"/>
        <v>79034567890</v>
      </c>
      <c r="J687" s="12" t="str">
        <f t="shared" si="464"/>
        <v>dobrynina@mail</v>
      </c>
      <c r="K687" s="12" t="str">
        <f t="shared" si="465"/>
        <v>Якутск</v>
      </c>
      <c r="L687" s="13" t="str">
        <f t="shared" si="466"/>
        <v>C0685</v>
      </c>
      <c r="M687" s="13" t="str">
        <f t="shared" si="467"/>
        <v xml:space="preserve">Добрынина Екатерина Владимировна</v>
      </c>
      <c r="N687" s="13" t="str">
        <f t="shared" si="468"/>
        <v>OK</v>
      </c>
      <c r="O687" s="19">
        <f t="shared" si="469"/>
        <v>29897</v>
      </c>
      <c r="P687" s="19">
        <f t="shared" si="470"/>
        <v>51502</v>
      </c>
      <c r="Q687" s="13">
        <f t="shared" ca="1" si="471"/>
        <v>44</v>
      </c>
      <c r="R687" s="13" t="str">
        <f t="shared" si="472"/>
        <v>OK</v>
      </c>
      <c r="S687" s="13" t="str">
        <f t="shared" si="473"/>
        <v xml:space="preserve">+7 (903) 456-78-90</v>
      </c>
      <c r="T687" s="13" t="str">
        <f t="shared" si="474"/>
        <v>dobrynina@mail</v>
      </c>
      <c r="U687" s="18" t="str">
        <f t="shared" si="475"/>
        <v xml:space="preserve">Ошибка Email</v>
      </c>
      <c r="V687" s="13" t="str">
        <f>IFERROR(VLOOKUP(K687,Справочники!$K$6:$L$13,2,0),K687)</f>
        <v>Якутск</v>
      </c>
    </row>
    <row r="688" ht="15" customHeight="1">
      <c r="A688" s="10">
        <v>686</v>
      </c>
      <c r="B688" s="11" t="str">
        <f>RAW_Клиенты!A687</f>
        <v>C0686</v>
      </c>
      <c r="C688" s="11" t="str">
        <f>RAW_Клиенты!B687</f>
        <v xml:space="preserve">Некрасов Андрей Олегович</v>
      </c>
      <c r="D688" s="11" t="str">
        <f>RAW_Клиенты!C687</f>
        <v>15.09.1988</v>
      </c>
      <c r="E688" s="11" t="str">
        <f>RAW_Клиенты!D687</f>
        <v>8-903-456-78-90</v>
      </c>
      <c r="F688" s="11" t="str">
        <f>RAW_Клиенты!E687</f>
        <v>nekrasov@yandex</v>
      </c>
      <c r="G688" s="11" t="str">
        <f>RAW_Клиенты!F687</f>
        <v>Чебоксары</v>
      </c>
      <c r="H688" s="11" t="str">
        <f>RAW_Клиенты!G687</f>
        <v>2041-01-15</v>
      </c>
      <c r="I688" s="12" t="str">
        <f t="shared" si="463"/>
        <v>89034567890</v>
      </c>
      <c r="J688" s="12" t="str">
        <f t="shared" si="464"/>
        <v>nekrasov@yandex</v>
      </c>
      <c r="K688" s="12" t="str">
        <f t="shared" si="465"/>
        <v>Чебоксары</v>
      </c>
      <c r="L688" s="13" t="str">
        <f t="shared" si="466"/>
        <v>C0686</v>
      </c>
      <c r="M688" s="13" t="str">
        <f t="shared" si="467"/>
        <v xml:space="preserve">Некрасов Андрей Олегович</v>
      </c>
      <c r="N688" s="13" t="str">
        <f t="shared" si="468"/>
        <v>OK</v>
      </c>
      <c r="O688" s="19">
        <f t="shared" si="469"/>
        <v>32401</v>
      </c>
      <c r="P688" s="19">
        <f t="shared" si="470"/>
        <v>51516</v>
      </c>
      <c r="Q688" s="13">
        <f t="shared" ca="1" si="471"/>
        <v>38</v>
      </c>
      <c r="R688" s="13" t="str">
        <f t="shared" si="472"/>
        <v>OK</v>
      </c>
      <c r="S688" s="13" t="str">
        <f t="shared" si="473"/>
        <v xml:space="preserve">+7 (903) 456-78-90</v>
      </c>
      <c r="T688" s="13" t="str">
        <f t="shared" si="474"/>
        <v>nekrasov@yandex</v>
      </c>
      <c r="U688" s="18" t="str">
        <f t="shared" si="475"/>
        <v xml:space="preserve">Ошибка Email</v>
      </c>
      <c r="V688" s="13" t="str">
        <f>IFERROR(VLOOKUP(K688,Справочники!$K$6:$L$13,2,0),K688)</f>
        <v>Чебоксары</v>
      </c>
    </row>
    <row r="689" ht="15" customHeight="1">
      <c r="A689" s="10">
        <v>687</v>
      </c>
      <c r="B689" s="11" t="str">
        <f>RAW_Клиенты!A688</f>
        <v>C0687</v>
      </c>
      <c r="C689" s="11" t="str">
        <f>RAW_Клиенты!B688</f>
        <v xml:space="preserve">Круглова Мария Павловна</v>
      </c>
      <c r="D689" s="11" t="str">
        <f>RAW_Клиенты!C688</f>
        <v>28.02.1973</v>
      </c>
      <c r="E689" s="11" t="str">
        <f>RAW_Клиенты!D688</f>
        <v xml:space="preserve">8 903 567 89 01</v>
      </c>
      <c r="F689" s="11" t="str">
        <f>RAW_Клиенты!E688</f>
        <v>kruglova@gmail</v>
      </c>
      <c r="G689" s="11" t="str">
        <f>RAW_Клиенты!F688</f>
        <v>Мурманск</v>
      </c>
      <c r="H689" s="11" t="str">
        <f>RAW_Клиенты!G688</f>
        <v>15.01.2041</v>
      </c>
      <c r="I689" s="12" t="str">
        <f t="shared" si="463"/>
        <v>89035678901</v>
      </c>
      <c r="J689" s="12" t="str">
        <f t="shared" si="464"/>
        <v>kruglova@gmail</v>
      </c>
      <c r="K689" s="12" t="str">
        <f t="shared" si="465"/>
        <v>Мурманск</v>
      </c>
      <c r="L689" s="13" t="str">
        <f t="shared" si="466"/>
        <v>C0687</v>
      </c>
      <c r="M689" s="13" t="str">
        <f t="shared" si="467"/>
        <v xml:space="preserve">Круглова Мария Павловна</v>
      </c>
      <c r="N689" s="13" t="str">
        <f t="shared" si="468"/>
        <v>OK</v>
      </c>
      <c r="O689" s="19">
        <f t="shared" si="469"/>
        <v>26723</v>
      </c>
      <c r="P689" s="19">
        <f t="shared" si="470"/>
        <v>51516</v>
      </c>
      <c r="Q689" s="13">
        <f t="shared" ca="1" si="471"/>
        <v>53</v>
      </c>
      <c r="R689" s="13" t="str">
        <f t="shared" si="472"/>
        <v>OK</v>
      </c>
      <c r="S689" s="13" t="str">
        <f t="shared" si="473"/>
        <v xml:space="preserve">+7 (903) 567-89-01</v>
      </c>
      <c r="T689" s="13" t="str">
        <f t="shared" si="474"/>
        <v>kruglova@gmail</v>
      </c>
      <c r="U689" s="18" t="str">
        <f t="shared" si="475"/>
        <v xml:space="preserve">Ошибка Email</v>
      </c>
      <c r="V689" s="13" t="str">
        <f>IFERROR(VLOOKUP(K689,Справочники!$K$6:$L$13,2,0),K689)</f>
        <v>Мурманск</v>
      </c>
    </row>
    <row r="690" ht="15" customHeight="1">
      <c r="A690" s="10">
        <v>688</v>
      </c>
      <c r="B690" s="11" t="str">
        <f>RAW_Клиенты!A689</f>
        <v>C0688</v>
      </c>
      <c r="C690" s="11" t="str">
        <f>RAW_Клиенты!B689</f>
        <v xml:space="preserve">Артамонов Денис Викторович</v>
      </c>
      <c r="D690" s="11" t="str">
        <f>RAW_Клиенты!C689</f>
        <v>20.06.1985</v>
      </c>
      <c r="E690" s="11" t="str">
        <f>RAW_Клиенты!D689</f>
        <v>+79035678901</v>
      </c>
      <c r="F690" s="11" t="str">
        <f>RAW_Клиенты!E689</f>
        <v>artamonov@mail</v>
      </c>
      <c r="G690" s="11" t="str">
        <f>RAW_Клиенты!F689</f>
        <v>Смоленск</v>
      </c>
      <c r="H690" s="11" t="str">
        <f>RAW_Клиенты!G689</f>
        <v>01.02.2041</v>
      </c>
      <c r="I690" s="12" t="str">
        <f t="shared" si="463"/>
        <v>79035678901</v>
      </c>
      <c r="J690" s="12" t="str">
        <f t="shared" si="464"/>
        <v>artamonov@mail</v>
      </c>
      <c r="K690" s="12" t="str">
        <f t="shared" si="465"/>
        <v>Смоленск</v>
      </c>
      <c r="L690" s="13" t="str">
        <f t="shared" si="466"/>
        <v>C0688</v>
      </c>
      <c r="M690" s="13" t="str">
        <f t="shared" si="467"/>
        <v xml:space="preserve">Артамонов Денис Викторович</v>
      </c>
      <c r="N690" s="13" t="str">
        <f t="shared" si="468"/>
        <v>OK</v>
      </c>
      <c r="O690" s="19">
        <f t="shared" si="469"/>
        <v>31218</v>
      </c>
      <c r="P690" s="19">
        <f t="shared" si="470"/>
        <v>51533</v>
      </c>
      <c r="Q690" s="13">
        <f t="shared" ca="1" si="471"/>
        <v>41</v>
      </c>
      <c r="R690" s="13" t="str">
        <f t="shared" si="472"/>
        <v>OK</v>
      </c>
      <c r="S690" s="13" t="str">
        <f t="shared" si="473"/>
        <v xml:space="preserve">+7 (903) 567-89-01</v>
      </c>
      <c r="T690" s="13" t="str">
        <f t="shared" si="474"/>
        <v>artamonov@mail</v>
      </c>
      <c r="U690" s="18" t="str">
        <f t="shared" si="475"/>
        <v xml:space="preserve">Ошибка Email</v>
      </c>
      <c r="V690" s="13" t="str">
        <f>IFERROR(VLOOKUP(K690,Справочники!$K$6:$L$13,2,0),K690)</f>
        <v>Смоленск</v>
      </c>
    </row>
    <row r="691" ht="15" customHeight="1">
      <c r="A691" s="10">
        <v>689</v>
      </c>
      <c r="B691" s="11" t="str">
        <f>RAW_Клиенты!A690</f>
        <v>C0689</v>
      </c>
      <c r="C691" s="11" t="str">
        <f>RAW_Клиенты!B690</f>
        <v xml:space="preserve">Горюнова Ольга Сергеевна</v>
      </c>
      <c r="D691" s="11" t="str">
        <f>RAW_Клиенты!C690</f>
        <v>09.12.1990</v>
      </c>
      <c r="E691" s="11" t="str">
        <f>RAW_Клиенты!D690</f>
        <v>8-903-567-89-01</v>
      </c>
      <c r="F691" s="11" t="str">
        <f>RAW_Клиенты!E690</f>
        <v>goryunova@yandex</v>
      </c>
      <c r="G691" s="11" t="str">
        <f>RAW_Клиенты!F690</f>
        <v>Тула</v>
      </c>
      <c r="H691" s="11" t="str">
        <f>RAW_Клиенты!G690</f>
        <v>2041-02-10</v>
      </c>
      <c r="I691" s="12" t="str">
        <f t="shared" si="463"/>
        <v>89035678901</v>
      </c>
      <c r="J691" s="12" t="str">
        <f t="shared" si="464"/>
        <v>goryunova@yandex</v>
      </c>
      <c r="K691" s="12" t="str">
        <f t="shared" si="465"/>
        <v>Тула</v>
      </c>
      <c r="L691" s="13" t="str">
        <f t="shared" si="466"/>
        <v>C0689</v>
      </c>
      <c r="M691" s="13" t="str">
        <f t="shared" si="467"/>
        <v xml:space="preserve">Горюнова Ольга Сергеевна</v>
      </c>
      <c r="N691" s="13" t="str">
        <f t="shared" si="468"/>
        <v>OK</v>
      </c>
      <c r="O691" s="19">
        <f t="shared" si="469"/>
        <v>33216</v>
      </c>
      <c r="P691" s="19">
        <f t="shared" si="470"/>
        <v>51542</v>
      </c>
      <c r="Q691" s="13">
        <f t="shared" ca="1" si="471"/>
        <v>35</v>
      </c>
      <c r="R691" s="13" t="str">
        <f t="shared" si="472"/>
        <v>OK</v>
      </c>
      <c r="S691" s="13" t="str">
        <f t="shared" si="473"/>
        <v xml:space="preserve">+7 (903) 567-89-01</v>
      </c>
      <c r="T691" s="13" t="str">
        <f t="shared" si="474"/>
        <v>goryunova@yandex</v>
      </c>
      <c r="U691" s="18" t="str">
        <f t="shared" si="475"/>
        <v xml:space="preserve">Ошибка Email</v>
      </c>
      <c r="V691" s="13" t="str">
        <f>IFERROR(VLOOKUP(K691,Справочники!$K$6:$L$13,2,0),K691)</f>
        <v>Тула</v>
      </c>
    </row>
    <row r="692" ht="15" customHeight="1">
      <c r="A692" s="10">
        <v>690</v>
      </c>
      <c r="B692" s="11" t="str">
        <f>RAW_Клиенты!A691</f>
        <v>C0690</v>
      </c>
      <c r="C692" s="11" t="str">
        <f>RAW_Клиенты!B691</f>
        <v xml:space="preserve">Мерзляков Илья Алексеевич</v>
      </c>
      <c r="D692" s="11" t="str">
        <f>RAW_Клиенты!C691</f>
        <v>25.04.1974</v>
      </c>
      <c r="E692" s="11" t="str">
        <f>RAW_Клиенты!D691</f>
        <v xml:space="preserve">8 903 678 90 12</v>
      </c>
      <c r="F692" s="11" t="str">
        <f>RAW_Клиенты!E691</f>
        <v>merzlyakov@gmail</v>
      </c>
      <c r="G692" s="11" t="str">
        <f>RAW_Клиенты!F691</f>
        <v>Калуга</v>
      </c>
      <c r="H692" s="11" t="str">
        <f>RAW_Клиенты!G691</f>
        <v>10.02.2041</v>
      </c>
      <c r="I692" s="12" t="str">
        <f t="shared" si="463"/>
        <v>89036789012</v>
      </c>
      <c r="J692" s="12" t="str">
        <f t="shared" si="464"/>
        <v>merzlyakov@gmail</v>
      </c>
      <c r="K692" s="12" t="str">
        <f t="shared" si="465"/>
        <v>Калуга</v>
      </c>
      <c r="L692" s="13" t="str">
        <f t="shared" si="466"/>
        <v>C0690</v>
      </c>
      <c r="M692" s="13" t="str">
        <f t="shared" si="467"/>
        <v xml:space="preserve">Мерзляков Илья Алексеевич</v>
      </c>
      <c r="N692" s="13" t="str">
        <f t="shared" si="468"/>
        <v>OK</v>
      </c>
      <c r="O692" s="19">
        <f t="shared" si="469"/>
        <v>27144</v>
      </c>
      <c r="P692" s="19">
        <f t="shared" si="470"/>
        <v>51542</v>
      </c>
      <c r="Q692" s="13">
        <f t="shared" ca="1" si="471"/>
        <v>52</v>
      </c>
      <c r="R692" s="13" t="str">
        <f t="shared" si="472"/>
        <v>OK</v>
      </c>
      <c r="S692" s="13" t="str">
        <f t="shared" si="473"/>
        <v xml:space="preserve">+7 (903) 678-90-12</v>
      </c>
      <c r="T692" s="13" t="str">
        <f t="shared" si="474"/>
        <v>merzlyakov@gmail</v>
      </c>
      <c r="U692" s="18" t="str">
        <f t="shared" si="475"/>
        <v xml:space="preserve">Ошибка Email</v>
      </c>
      <c r="V692" s="13" t="str">
        <f>IFERROR(VLOOKUP(K692,Справочники!$K$6:$L$13,2,0),K692)</f>
        <v>Калуга</v>
      </c>
    </row>
    <row r="693" ht="15" customHeight="1">
      <c r="A693" s="10">
        <v>691</v>
      </c>
      <c r="B693" s="11" t="str">
        <f>RAW_Клиенты!A692</f>
        <v>C0691</v>
      </c>
      <c r="C693" s="11" t="str">
        <f>RAW_Клиенты!B692</f>
        <v xml:space="preserve">Андрианова Екатерина Сергеевна</v>
      </c>
      <c r="D693" s="11" t="str">
        <f>RAW_Клиенты!C692</f>
        <v>16.07.1982</v>
      </c>
      <c r="E693" s="11" t="str">
        <f>RAW_Клиенты!D692</f>
        <v>+79036789012</v>
      </c>
      <c r="F693" s="11" t="str">
        <f>RAW_Клиенты!E692</f>
        <v>andrianova@mail</v>
      </c>
      <c r="G693" s="11" t="str">
        <f>RAW_Клиенты!F692</f>
        <v>Владикавказ</v>
      </c>
      <c r="H693" s="11" t="str">
        <f>RAW_Клиенты!G692</f>
        <v>01.03.2041</v>
      </c>
      <c r="I693" s="12" t="str">
        <f t="shared" si="463"/>
        <v>79036789012</v>
      </c>
      <c r="J693" s="12" t="str">
        <f t="shared" si="464"/>
        <v>andrianova@mail</v>
      </c>
      <c r="K693" s="12" t="str">
        <f t="shared" si="465"/>
        <v>Владикавказ</v>
      </c>
      <c r="L693" s="13" t="str">
        <f t="shared" si="466"/>
        <v>C0691</v>
      </c>
      <c r="M693" s="13" t="str">
        <f t="shared" si="467"/>
        <v xml:space="preserve">Андрианова Екатерина Сергеевна</v>
      </c>
      <c r="N693" s="13" t="str">
        <f t="shared" si="468"/>
        <v>OK</v>
      </c>
      <c r="O693" s="19">
        <f t="shared" si="469"/>
        <v>30148</v>
      </c>
      <c r="P693" s="19">
        <f t="shared" si="470"/>
        <v>51561</v>
      </c>
      <c r="Q693" s="13">
        <f t="shared" ca="1" si="471"/>
        <v>44</v>
      </c>
      <c r="R693" s="13" t="str">
        <f t="shared" si="472"/>
        <v>OK</v>
      </c>
      <c r="S693" s="13" t="str">
        <f t="shared" si="473"/>
        <v xml:space="preserve">+7 (903) 678-90-12</v>
      </c>
      <c r="T693" s="13" t="str">
        <f t="shared" si="474"/>
        <v>andrianova@mail</v>
      </c>
      <c r="U693" s="18" t="str">
        <f t="shared" si="475"/>
        <v xml:space="preserve">Ошибка Email</v>
      </c>
      <c r="V693" s="13" t="str">
        <f>IFERROR(VLOOKUP(K693,Справочники!$K$6:$L$13,2,0),K693)</f>
        <v>Владикавказ</v>
      </c>
    </row>
    <row r="694" ht="15" customHeight="1">
      <c r="A694" s="10">
        <v>692</v>
      </c>
      <c r="B694" s="11" t="str">
        <f>RAW_Клиенты!A693</f>
        <v>C0692</v>
      </c>
      <c r="C694" s="11" t="str">
        <f>RAW_Клиенты!B693</f>
        <v xml:space="preserve">Рябов Андрей Павлович</v>
      </c>
      <c r="D694" s="11" t="str">
        <f>RAW_Клиенты!C693</f>
        <v>11.10.1989</v>
      </c>
      <c r="E694" s="11" t="str">
        <f>RAW_Клиенты!D693</f>
        <v>8-903-678-90-12</v>
      </c>
      <c r="F694" s="11" t="str">
        <f>RAW_Клиенты!E693</f>
        <v>ryabov@yandex</v>
      </c>
      <c r="G694" s="11" t="str">
        <f>RAW_Клиенты!F693</f>
        <v>Смоленск</v>
      </c>
      <c r="H694" s="11" t="str">
        <f>RAW_Клиенты!G693</f>
        <v>2041-03-15</v>
      </c>
      <c r="I694" s="12" t="str">
        <f t="shared" si="463"/>
        <v>89036789012</v>
      </c>
      <c r="J694" s="12" t="str">
        <f t="shared" si="464"/>
        <v>ryabov@yandex</v>
      </c>
      <c r="K694" s="12" t="str">
        <f t="shared" si="465"/>
        <v>Смоленск</v>
      </c>
      <c r="L694" s="13" t="str">
        <f t="shared" si="466"/>
        <v>C0692</v>
      </c>
      <c r="M694" s="13" t="str">
        <f t="shared" si="467"/>
        <v xml:space="preserve">Рябов Андрей Павлович</v>
      </c>
      <c r="N694" s="13" t="str">
        <f t="shared" si="468"/>
        <v>OK</v>
      </c>
      <c r="O694" s="19">
        <f t="shared" si="469"/>
        <v>32792</v>
      </c>
      <c r="P694" s="19">
        <f t="shared" si="470"/>
        <v>51575</v>
      </c>
      <c r="Q694" s="13">
        <f t="shared" ca="1" si="471"/>
        <v>36</v>
      </c>
      <c r="R694" s="13" t="str">
        <f t="shared" si="472"/>
        <v>OK</v>
      </c>
      <c r="S694" s="13" t="str">
        <f t="shared" si="473"/>
        <v xml:space="preserve">+7 (903) 678-90-12</v>
      </c>
      <c r="T694" s="13" t="str">
        <f t="shared" si="474"/>
        <v>ryabov@yandex</v>
      </c>
      <c r="U694" s="18" t="str">
        <f t="shared" si="475"/>
        <v xml:space="preserve">Ошибка Email</v>
      </c>
      <c r="V694" s="13" t="str">
        <f>IFERROR(VLOOKUP(K694,Справочники!$K$6:$L$13,2,0),K694)</f>
        <v>Смоленск</v>
      </c>
    </row>
    <row r="695" ht="15" customHeight="1">
      <c r="A695" s="10">
        <v>693</v>
      </c>
      <c r="B695" s="11" t="str">
        <f>RAW_Клиенты!A694</f>
        <v>C0693</v>
      </c>
      <c r="C695" s="11" t="str">
        <f>RAW_Клиенты!B694</f>
        <v xml:space="preserve">Саввина Мария Олеговна</v>
      </c>
      <c r="D695" s="11" t="str">
        <f>RAW_Клиенты!C694</f>
        <v>03.05.1975</v>
      </c>
      <c r="E695" s="11" t="str">
        <f>RAW_Клиенты!D694</f>
        <v xml:space="preserve">8 903 789 01 23</v>
      </c>
      <c r="F695" s="11" t="str">
        <f>RAW_Клиенты!E694</f>
        <v>savvina@gmail</v>
      </c>
      <c r="G695" s="11" t="str">
        <f>RAW_Клиенты!F694</f>
        <v>Белгород</v>
      </c>
      <c r="H695" s="11" t="str">
        <f>RAW_Клиенты!G694</f>
        <v>15.03.2041</v>
      </c>
      <c r="I695" s="12" t="str">
        <f t="shared" si="463"/>
        <v>89037890123</v>
      </c>
      <c r="J695" s="12" t="str">
        <f t="shared" si="464"/>
        <v>savvina@gmail</v>
      </c>
      <c r="K695" s="12" t="str">
        <f t="shared" si="465"/>
        <v>Белгород</v>
      </c>
      <c r="L695" s="13" t="str">
        <f t="shared" si="466"/>
        <v>C0693</v>
      </c>
      <c r="M695" s="13" t="str">
        <f t="shared" si="467"/>
        <v xml:space="preserve">Саввина Мария Олеговна</v>
      </c>
      <c r="N695" s="13" t="str">
        <f t="shared" si="468"/>
        <v>OK</v>
      </c>
      <c r="O695" s="19">
        <f t="shared" si="469"/>
        <v>27517</v>
      </c>
      <c r="P695" s="19">
        <f t="shared" si="470"/>
        <v>51575</v>
      </c>
      <c r="Q695" s="13">
        <f t="shared" ca="1" si="471"/>
        <v>51</v>
      </c>
      <c r="R695" s="13" t="str">
        <f t="shared" si="472"/>
        <v>OK</v>
      </c>
      <c r="S695" s="13" t="str">
        <f t="shared" si="473"/>
        <v xml:space="preserve">+7 (903) 789-01-23</v>
      </c>
      <c r="T695" s="13" t="str">
        <f t="shared" si="474"/>
        <v>savvina@gmail</v>
      </c>
      <c r="U695" s="18" t="str">
        <f t="shared" si="475"/>
        <v xml:space="preserve">Ошибка Email</v>
      </c>
      <c r="V695" s="13" t="str">
        <f>IFERROR(VLOOKUP(K695,Справочники!$K$6:$L$13,2,0),K695)</f>
        <v>Белгород</v>
      </c>
    </row>
    <row r="696" ht="15" customHeight="1">
      <c r="A696" s="10">
        <v>694</v>
      </c>
      <c r="B696" s="11" t="str">
        <f>RAW_Клиенты!A695</f>
        <v>C0694</v>
      </c>
      <c r="C696" s="11" t="str">
        <f>RAW_Клиенты!B695</f>
        <v xml:space="preserve">Степанов Денис Викторович</v>
      </c>
      <c r="D696" s="11" t="str">
        <f>RAW_Клиенты!C695</f>
        <v>26.08.1984</v>
      </c>
      <c r="E696" s="11" t="str">
        <f>RAW_Клиенты!D695</f>
        <v>+79037890123</v>
      </c>
      <c r="F696" s="11" t="str">
        <f>RAW_Клиенты!E695</f>
        <v>stepanov@mail</v>
      </c>
      <c r="G696" s="11" t="str">
        <f>RAW_Клиенты!F695</f>
        <v>Мурманск</v>
      </c>
      <c r="H696" s="11" t="str">
        <f>RAW_Клиенты!G695</f>
        <v>01.04.2041</v>
      </c>
      <c r="I696" s="12" t="str">
        <f t="shared" si="463"/>
        <v>79037890123</v>
      </c>
      <c r="J696" s="12" t="str">
        <f t="shared" si="464"/>
        <v>stepanov@mail</v>
      </c>
      <c r="K696" s="12" t="str">
        <f t="shared" si="465"/>
        <v>Мурманск</v>
      </c>
      <c r="L696" s="13" t="str">
        <f t="shared" si="466"/>
        <v>C0694</v>
      </c>
      <c r="M696" s="13" t="str">
        <f t="shared" si="467"/>
        <v xml:space="preserve">Степанов Денис Викторович</v>
      </c>
      <c r="N696" s="13" t="str">
        <f t="shared" si="468"/>
        <v>OK</v>
      </c>
      <c r="O696" s="19">
        <f t="shared" si="469"/>
        <v>30920</v>
      </c>
      <c r="P696" s="19">
        <f t="shared" si="470"/>
        <v>51592</v>
      </c>
      <c r="Q696" s="13">
        <f t="shared" ca="1" si="471"/>
        <v>42</v>
      </c>
      <c r="R696" s="13" t="str">
        <f t="shared" si="472"/>
        <v>OK</v>
      </c>
      <c r="S696" s="13" t="str">
        <f t="shared" si="473"/>
        <v xml:space="preserve">+7 (903) 789-01-23</v>
      </c>
      <c r="T696" s="13" t="str">
        <f t="shared" si="474"/>
        <v>stepanov@mail</v>
      </c>
      <c r="U696" s="18" t="str">
        <f t="shared" si="475"/>
        <v xml:space="preserve">Ошибка Email</v>
      </c>
      <c r="V696" s="13" t="str">
        <f>IFERROR(VLOOKUP(K696,Справочники!$K$6:$L$13,2,0),K696)</f>
        <v>Мурманск</v>
      </c>
    </row>
    <row r="697" ht="15" customHeight="1">
      <c r="A697" s="10">
        <v>695</v>
      </c>
      <c r="B697" s="11" t="str">
        <f>RAW_Клиенты!A696</f>
        <v>C0695</v>
      </c>
      <c r="C697" s="11" t="str">
        <f>RAW_Клиенты!B696</f>
        <v xml:space="preserve">Гаврилова Ольга Павловна</v>
      </c>
      <c r="D697" s="11" t="str">
        <f>RAW_Клиенты!C696</f>
        <v>19.01.1991</v>
      </c>
      <c r="E697" s="11" t="str">
        <f>RAW_Клиенты!D696</f>
        <v>8-903-789-01-23</v>
      </c>
      <c r="F697" s="11" t="str">
        <f>RAW_Клиенты!E696</f>
        <v>gavrilova@yandex</v>
      </c>
      <c r="G697" s="11" t="str">
        <f>RAW_Клиенты!F696</f>
        <v>Ставрополь</v>
      </c>
      <c r="H697" s="11" t="str">
        <f>RAW_Клиенты!G696</f>
        <v>2041-04-10</v>
      </c>
      <c r="I697" s="12" t="str">
        <f t="shared" si="463"/>
        <v>89037890123</v>
      </c>
      <c r="J697" s="12" t="str">
        <f t="shared" si="464"/>
        <v>gavrilova@yandex</v>
      </c>
      <c r="K697" s="12" t="str">
        <f t="shared" si="465"/>
        <v>Ставрополь</v>
      </c>
      <c r="L697" s="13" t="str">
        <f t="shared" si="466"/>
        <v>C0695</v>
      </c>
      <c r="M697" s="13" t="str">
        <f t="shared" si="467"/>
        <v xml:space="preserve">Гаврилова Ольга Павловна</v>
      </c>
      <c r="N697" s="13" t="str">
        <f t="shared" si="468"/>
        <v>OK</v>
      </c>
      <c r="O697" s="19">
        <f t="shared" si="469"/>
        <v>33257</v>
      </c>
      <c r="P697" s="19">
        <f t="shared" si="470"/>
        <v>51601</v>
      </c>
      <c r="Q697" s="13">
        <f t="shared" ca="1" si="471"/>
        <v>35</v>
      </c>
      <c r="R697" s="13" t="str">
        <f t="shared" si="472"/>
        <v>OK</v>
      </c>
      <c r="S697" s="13" t="str">
        <f t="shared" si="473"/>
        <v xml:space="preserve">+7 (903) 789-01-23</v>
      </c>
      <c r="T697" s="13" t="str">
        <f t="shared" si="474"/>
        <v>gavrilova@yandex</v>
      </c>
      <c r="U697" s="18" t="str">
        <f t="shared" si="475"/>
        <v xml:space="preserve">Ошибка Email</v>
      </c>
      <c r="V697" s="13" t="str">
        <f>IFERROR(VLOOKUP(K697,Справочники!$K$6:$L$13,2,0),K697)</f>
        <v>Ставрополь</v>
      </c>
    </row>
    <row r="698" ht="15" customHeight="1">
      <c r="A698" s="10">
        <v>696</v>
      </c>
      <c r="B698" s="11" t="str">
        <f>RAW_Клиенты!A697</f>
        <v>C0696</v>
      </c>
      <c r="C698" s="11" t="str">
        <f>RAW_Клиенты!B697</f>
        <v xml:space="preserve">Кулешова Екатерина Алексеевна</v>
      </c>
      <c r="D698" s="11" t="str">
        <f>RAW_Клиенты!C697</f>
        <v>22.11.1978</v>
      </c>
      <c r="E698" s="11" t="str">
        <f>RAW_Клиенты!D697</f>
        <v xml:space="preserve">8 903 890 12 34</v>
      </c>
      <c r="F698" s="11" t="str">
        <f>RAW_Клиенты!E697</f>
        <v>kuleshova@gmail</v>
      </c>
      <c r="G698" s="11" t="str">
        <f>RAW_Клиенты!F697</f>
        <v>Севастополь</v>
      </c>
      <c r="H698" s="11" t="str">
        <f>RAW_Клиенты!G697</f>
        <v>10.04.2041</v>
      </c>
      <c r="I698" s="12" t="str">
        <f t="shared" si="463"/>
        <v>89038901234</v>
      </c>
      <c r="J698" s="12" t="str">
        <f t="shared" si="464"/>
        <v>kuleshova@gmail</v>
      </c>
      <c r="K698" s="12" t="str">
        <f t="shared" si="465"/>
        <v>Севастополь</v>
      </c>
      <c r="L698" s="13" t="str">
        <f t="shared" si="466"/>
        <v>C0696</v>
      </c>
      <c r="M698" s="13" t="str">
        <f t="shared" si="467"/>
        <v xml:space="preserve">Кулешова Екатерина Алексеевна</v>
      </c>
      <c r="N698" s="13" t="str">
        <f t="shared" si="468"/>
        <v>OK</v>
      </c>
      <c r="O698" s="19">
        <f t="shared" si="469"/>
        <v>28816</v>
      </c>
      <c r="P698" s="19">
        <f t="shared" si="470"/>
        <v>51601</v>
      </c>
      <c r="Q698" s="13">
        <f t="shared" ca="1" si="471"/>
        <v>47</v>
      </c>
      <c r="R698" s="13" t="str">
        <f t="shared" si="472"/>
        <v>OK</v>
      </c>
      <c r="S698" s="13" t="str">
        <f t="shared" si="473"/>
        <v xml:space="preserve">+7 (903) 890-12-34</v>
      </c>
      <c r="T698" s="13" t="str">
        <f t="shared" si="474"/>
        <v>kuleshova@gmail</v>
      </c>
      <c r="U698" s="18" t="str">
        <f t="shared" si="475"/>
        <v xml:space="preserve">Ошибка Email</v>
      </c>
      <c r="V698" s="13" t="str">
        <f>IFERROR(VLOOKUP(K698,Справочники!$K$6:$L$13,2,0),K698)</f>
        <v>Севастополь</v>
      </c>
    </row>
    <row r="699" ht="15" customHeight="1">
      <c r="A699" s="10">
        <v>697</v>
      </c>
      <c r="B699" s="11" t="str">
        <f>RAW_Клиенты!A698</f>
        <v>C0697</v>
      </c>
      <c r="C699" s="11" t="str">
        <f>RAW_Клиенты!B698</f>
        <v xml:space="preserve">Молчанов Илья Александрович</v>
      </c>
      <c r="D699" s="11" t="str">
        <f>RAW_Клиенты!C698</f>
        <v>14.09.1986</v>
      </c>
      <c r="E699" s="11" t="str">
        <f>RAW_Клиенты!D698</f>
        <v>+79038901234</v>
      </c>
      <c r="F699" s="11" t="str">
        <f>RAW_Клиенты!E698</f>
        <v>molchanov@mail</v>
      </c>
      <c r="G699" s="11" t="str">
        <f>RAW_Клиенты!F698</f>
        <v>Сочи</v>
      </c>
      <c r="H699" s="11" t="str">
        <f>RAW_Клиенты!G698</f>
        <v>01.05.2041</v>
      </c>
      <c r="I699" s="12" t="str">
        <f t="shared" si="463"/>
        <v>79038901234</v>
      </c>
      <c r="J699" s="12" t="str">
        <f t="shared" si="464"/>
        <v>molchanov@mail</v>
      </c>
      <c r="K699" s="12" t="str">
        <f t="shared" si="465"/>
        <v>Сочи</v>
      </c>
      <c r="L699" s="13" t="str">
        <f t="shared" si="466"/>
        <v>C0697</v>
      </c>
      <c r="M699" s="13" t="str">
        <f t="shared" si="467"/>
        <v xml:space="preserve">Молчанов Илья Александрович</v>
      </c>
      <c r="N699" s="13" t="str">
        <f t="shared" si="468"/>
        <v>OK</v>
      </c>
      <c r="O699" s="19">
        <f t="shared" si="469"/>
        <v>31669</v>
      </c>
      <c r="P699" s="19">
        <f t="shared" si="470"/>
        <v>51622</v>
      </c>
      <c r="Q699" s="13">
        <f t="shared" ca="1" si="471"/>
        <v>40</v>
      </c>
      <c r="R699" s="13" t="str">
        <f t="shared" si="472"/>
        <v>OK</v>
      </c>
      <c r="S699" s="13" t="str">
        <f t="shared" si="473"/>
        <v xml:space="preserve">+7 (903) 890-12-34</v>
      </c>
      <c r="T699" s="13" t="str">
        <f t="shared" si="474"/>
        <v>molchanov@mail</v>
      </c>
      <c r="U699" s="18" t="str">
        <f t="shared" si="475"/>
        <v xml:space="preserve">Ошибка Email</v>
      </c>
      <c r="V699" s="13" t="str">
        <f>IFERROR(VLOOKUP(K699,Справочники!$K$6:$L$13,2,0),K699)</f>
        <v>Сочи</v>
      </c>
    </row>
    <row r="700" ht="15" customHeight="1">
      <c r="A700" s="10">
        <v>698</v>
      </c>
      <c r="B700" s="11" t="str">
        <f>RAW_Клиенты!A699</f>
        <v>C0698</v>
      </c>
      <c r="C700" s="11" t="str">
        <f>RAW_Клиенты!B699</f>
        <v xml:space="preserve">Пестова Мария Владимировна</v>
      </c>
      <c r="D700" s="11" t="str">
        <f>RAW_Клиенты!C699</f>
        <v>08.06.1983</v>
      </c>
      <c r="E700" s="11" t="str">
        <f>RAW_Клиенты!D699</f>
        <v>8-903-890-12-34</v>
      </c>
      <c r="F700" s="11" t="str">
        <f>RAW_Клиенты!E699</f>
        <v>pestova@yandex</v>
      </c>
      <c r="G700" s="11" t="str">
        <f>RAW_Клиенты!F699</f>
        <v>Симферополь</v>
      </c>
      <c r="H700" s="11" t="str">
        <f>RAW_Клиенты!G699</f>
        <v>2041-05-15</v>
      </c>
      <c r="I700" s="12" t="str">
        <f t="shared" si="463"/>
        <v>89038901234</v>
      </c>
      <c r="J700" s="12" t="str">
        <f t="shared" si="464"/>
        <v>pestova@yandex</v>
      </c>
      <c r="K700" s="12" t="str">
        <f t="shared" si="465"/>
        <v>Симферополь</v>
      </c>
      <c r="L700" s="13" t="str">
        <f t="shared" si="466"/>
        <v>C0698</v>
      </c>
      <c r="M700" s="13" t="str">
        <f t="shared" si="467"/>
        <v xml:space="preserve">Пестова Мария Владимировна</v>
      </c>
      <c r="N700" s="13" t="str">
        <f t="shared" si="468"/>
        <v>OK</v>
      </c>
      <c r="O700" s="19">
        <f t="shared" si="469"/>
        <v>30475</v>
      </c>
      <c r="P700" s="19">
        <f t="shared" si="470"/>
        <v>51636</v>
      </c>
      <c r="Q700" s="13">
        <f t="shared" ca="1" si="471"/>
        <v>43</v>
      </c>
      <c r="R700" s="13" t="str">
        <f t="shared" si="472"/>
        <v>OK</v>
      </c>
      <c r="S700" s="13" t="str">
        <f t="shared" si="473"/>
        <v xml:space="preserve">+7 (903) 890-12-34</v>
      </c>
      <c r="T700" s="13" t="str">
        <f t="shared" si="474"/>
        <v>pestova@yandex</v>
      </c>
      <c r="U700" s="18" t="str">
        <f t="shared" si="475"/>
        <v xml:space="preserve">Ошибка Email</v>
      </c>
      <c r="V700" s="13" t="str">
        <f>IFERROR(VLOOKUP(K700,Справочники!$K$6:$L$13,2,0),K700)</f>
        <v>Симферополь</v>
      </c>
    </row>
    <row r="701" ht="15" customHeight="1">
      <c r="A701" s="10">
        <v>699</v>
      </c>
      <c r="B701" s="11" t="str">
        <f>RAW_Клиенты!A700</f>
        <v>C0699</v>
      </c>
      <c r="C701" s="11" t="str">
        <f>RAW_Клиенты!B700</f>
        <v xml:space="preserve">Дроздов Андрей Олегович</v>
      </c>
      <c r="D701" s="11" t="str">
        <f>RAW_Клиенты!C700</f>
        <v>30.12.1977</v>
      </c>
      <c r="E701" s="11" t="str">
        <f>RAW_Клиенты!D700</f>
        <v xml:space="preserve">8 903 901 23 45</v>
      </c>
      <c r="F701" s="11" t="str">
        <f>RAW_Клиенты!E700</f>
        <v>drozdov@gmail</v>
      </c>
      <c r="G701" s="11" t="str">
        <f>RAW_Клиенты!F700</f>
        <v>Брянск</v>
      </c>
      <c r="H701" s="11" t="str">
        <f>RAW_Клиенты!G700</f>
        <v>15.05.2041</v>
      </c>
      <c r="I701" s="12" t="str">
        <f t="shared" si="463"/>
        <v>89039012345</v>
      </c>
      <c r="J701" s="12" t="str">
        <f t="shared" si="464"/>
        <v>drozdov@gmail</v>
      </c>
      <c r="K701" s="12" t="str">
        <f t="shared" si="465"/>
        <v>Брянск</v>
      </c>
      <c r="L701" s="13" t="str">
        <f t="shared" si="466"/>
        <v>C0699</v>
      </c>
      <c r="M701" s="13" t="str">
        <f t="shared" si="467"/>
        <v xml:space="preserve">Дроздов Андрей Олегович</v>
      </c>
      <c r="N701" s="13" t="str">
        <f t="shared" si="468"/>
        <v>OK</v>
      </c>
      <c r="O701" s="19">
        <f t="shared" si="469"/>
        <v>28489</v>
      </c>
      <c r="P701" s="19">
        <f t="shared" si="470"/>
        <v>51636</v>
      </c>
      <c r="Q701" s="13">
        <f t="shared" ca="1" si="471"/>
        <v>48</v>
      </c>
      <c r="R701" s="13" t="str">
        <f t="shared" si="472"/>
        <v>OK</v>
      </c>
      <c r="S701" s="13" t="str">
        <f t="shared" si="473"/>
        <v xml:space="preserve">+7 (903) 901-23-45</v>
      </c>
      <c r="T701" s="13" t="str">
        <f t="shared" si="474"/>
        <v>drozdov@gmail</v>
      </c>
      <c r="U701" s="18" t="str">
        <f t="shared" si="475"/>
        <v xml:space="preserve">Ошибка Email</v>
      </c>
      <c r="V701" s="13" t="str">
        <f>IFERROR(VLOOKUP(K701,Справочники!$K$6:$L$13,2,0),K701)</f>
        <v>Брянск</v>
      </c>
    </row>
    <row r="702" ht="15" customHeight="1">
      <c r="A702" s="10">
        <v>700</v>
      </c>
      <c r="B702" s="11" t="str">
        <f>RAW_Клиенты!A701</f>
        <v>C0700</v>
      </c>
      <c r="C702" s="11" t="str">
        <f>RAW_Клиенты!B701</f>
        <v xml:space="preserve">Дубинина Ольга Сергеевна</v>
      </c>
      <c r="D702" s="11" t="str">
        <f>RAW_Клиенты!C701</f>
        <v>23.03.1988</v>
      </c>
      <c r="E702" s="11" t="str">
        <f>RAW_Клиенты!D701</f>
        <v>+79039012345</v>
      </c>
      <c r="F702" s="11" t="str">
        <f>RAW_Клиенты!E701</f>
        <v>dubinina@mail</v>
      </c>
      <c r="G702" s="11" t="str">
        <f>RAW_Клиенты!F701</f>
        <v>Абакан</v>
      </c>
      <c r="H702" s="11" t="str">
        <f>RAW_Клиенты!G701</f>
        <v>01.06.2041</v>
      </c>
      <c r="I702" s="12" t="str">
        <f t="shared" si="463"/>
        <v>79039012345</v>
      </c>
      <c r="J702" s="12" t="str">
        <f t="shared" si="464"/>
        <v>dubinina@mail</v>
      </c>
      <c r="K702" s="12" t="str">
        <f t="shared" si="465"/>
        <v>Абакан</v>
      </c>
      <c r="L702" s="13" t="str">
        <f t="shared" si="466"/>
        <v>C0700</v>
      </c>
      <c r="M702" s="13" t="str">
        <f t="shared" si="467"/>
        <v xml:space="preserve">Дубинина Ольга Сергеевна</v>
      </c>
      <c r="N702" s="13" t="str">
        <f t="shared" si="468"/>
        <v>OK</v>
      </c>
      <c r="O702" s="19">
        <f t="shared" si="469"/>
        <v>32225</v>
      </c>
      <c r="P702" s="19">
        <f t="shared" si="470"/>
        <v>51653</v>
      </c>
      <c r="Q702" s="13">
        <f t="shared" ca="1" si="471"/>
        <v>38</v>
      </c>
      <c r="R702" s="13" t="str">
        <f t="shared" si="472"/>
        <v>OK</v>
      </c>
      <c r="S702" s="13" t="str">
        <f t="shared" si="473"/>
        <v xml:space="preserve">+7 (903) 901-23-45</v>
      </c>
      <c r="T702" s="13" t="str">
        <f t="shared" si="474"/>
        <v>dubinina@mail</v>
      </c>
      <c r="U702" s="18" t="str">
        <f t="shared" si="475"/>
        <v xml:space="preserve">Ошибка Email</v>
      </c>
      <c r="V702" s="13" t="str">
        <f>IFERROR(VLOOKUP(K702,Справочники!$K$6:$L$13,2,0),K702)</f>
        <v>Абакан</v>
      </c>
    </row>
    <row r="703" ht="15" customHeight="1">
      <c r="A703" s="10">
        <v>701</v>
      </c>
      <c r="B703" s="11" t="str">
        <f>RAW_Клиенты!A702</f>
        <v>C0701</v>
      </c>
      <c r="C703" s="11" t="str">
        <f>RAW_Клиенты!B702</f>
        <v xml:space="preserve">Корнилов Денис Павлович</v>
      </c>
      <c r="D703" s="11" t="str">
        <f>RAW_Клиенты!C702</f>
        <v>17.07.1981</v>
      </c>
      <c r="E703" s="11" t="str">
        <f>RAW_Клиенты!D702</f>
        <v>8-903-901-23-45</v>
      </c>
      <c r="F703" s="11" t="str">
        <f>RAW_Клиенты!E702</f>
        <v>kornilov@yandex</v>
      </c>
      <c r="G703" s="11" t="str">
        <f>RAW_Клиенты!F702</f>
        <v>Грозный</v>
      </c>
      <c r="H703" s="11" t="str">
        <f>RAW_Клиенты!G702</f>
        <v>2041-06-10</v>
      </c>
      <c r="I703" s="12" t="str">
        <f t="shared" si="463"/>
        <v>89039012345</v>
      </c>
      <c r="J703" s="12" t="str">
        <f t="shared" si="464"/>
        <v>kornilov@yandex</v>
      </c>
      <c r="K703" s="12" t="str">
        <f t="shared" si="465"/>
        <v>Грозный</v>
      </c>
      <c r="L703" s="13" t="str">
        <f t="shared" si="466"/>
        <v>C0701</v>
      </c>
      <c r="M703" s="13" t="str">
        <f t="shared" si="467"/>
        <v xml:space="preserve">Корнилов Денис Павлович</v>
      </c>
      <c r="N703" s="13" t="str">
        <f t="shared" si="468"/>
        <v>OK</v>
      </c>
      <c r="O703" s="19">
        <f t="shared" si="469"/>
        <v>29784</v>
      </c>
      <c r="P703" s="19">
        <f t="shared" si="470"/>
        <v>51662</v>
      </c>
      <c r="Q703" s="13">
        <f t="shared" ca="1" si="471"/>
        <v>45</v>
      </c>
      <c r="R703" s="13" t="str">
        <f t="shared" si="472"/>
        <v>OK</v>
      </c>
      <c r="S703" s="13" t="str">
        <f t="shared" si="473"/>
        <v xml:space="preserve">+7 (903) 901-23-45</v>
      </c>
      <c r="T703" s="13" t="str">
        <f t="shared" si="474"/>
        <v>kornilov@yandex</v>
      </c>
      <c r="U703" s="18" t="str">
        <f t="shared" si="475"/>
        <v xml:space="preserve">Ошибка Email</v>
      </c>
      <c r="V703" s="13" t="str">
        <f>IFERROR(VLOOKUP(K703,Справочники!$K$6:$L$13,2,0),K703)</f>
        <v>Грозный</v>
      </c>
    </row>
    <row r="704" ht="15" customHeight="1">
      <c r="A704" s="10">
        <v>702</v>
      </c>
      <c r="B704" s="11" t="str">
        <f>RAW_Клиенты!A703</f>
        <v>C0702</v>
      </c>
      <c r="C704" s="11" t="str">
        <f>RAW_Клиенты!B703</f>
        <v xml:space="preserve">Соколова Екатерина Владимировна</v>
      </c>
      <c r="D704" s="11" t="str">
        <f>RAW_Клиенты!C703</f>
        <v>06.10.1976</v>
      </c>
      <c r="E704" s="11" t="str">
        <f>RAW_Клиенты!D703</f>
        <v xml:space="preserve">8 903 012 34 56</v>
      </c>
      <c r="F704" s="11" t="str">
        <f>RAW_Клиенты!E703</f>
        <v>sokolova@gmail</v>
      </c>
      <c r="G704" s="11" t="str">
        <f>RAW_Клиенты!F703</f>
        <v>Бийск</v>
      </c>
      <c r="H704" s="11" t="str">
        <f>RAW_Клиенты!G703</f>
        <v>10.06.2041</v>
      </c>
      <c r="I704" s="12" t="str">
        <f t="shared" si="463"/>
        <v>89030123456</v>
      </c>
      <c r="J704" s="12" t="str">
        <f t="shared" si="464"/>
        <v>sokolova@gmail</v>
      </c>
      <c r="K704" s="12" t="str">
        <f t="shared" si="465"/>
        <v>Бийск</v>
      </c>
      <c r="L704" s="13" t="str">
        <f t="shared" si="466"/>
        <v>C0702</v>
      </c>
      <c r="M704" s="13" t="str">
        <f t="shared" si="467"/>
        <v xml:space="preserve">Соколова Екатерина Владимировна</v>
      </c>
      <c r="N704" s="13" t="str">
        <f t="shared" si="468"/>
        <v>OK</v>
      </c>
      <c r="O704" s="19">
        <f t="shared" si="469"/>
        <v>28039</v>
      </c>
      <c r="P704" s="19">
        <f t="shared" si="470"/>
        <v>51662</v>
      </c>
      <c r="Q704" s="13">
        <f t="shared" ca="1" si="471"/>
        <v>49</v>
      </c>
      <c r="R704" s="13" t="str">
        <f t="shared" si="472"/>
        <v>OK</v>
      </c>
      <c r="S704" s="13" t="str">
        <f t="shared" si="473"/>
        <v xml:space="preserve">+7 (903) 012-34-56</v>
      </c>
      <c r="T704" s="13" t="str">
        <f t="shared" si="474"/>
        <v>sokolova@gmail</v>
      </c>
      <c r="U704" s="18" t="str">
        <f t="shared" si="475"/>
        <v xml:space="preserve">Ошибка Email</v>
      </c>
      <c r="V704" s="13" t="str">
        <f>IFERROR(VLOOKUP(K704,Справочники!$K$6:$L$13,2,0),K704)</f>
        <v>Бийск</v>
      </c>
    </row>
    <row r="705" ht="15" customHeight="1">
      <c r="A705" s="10">
        <v>703</v>
      </c>
      <c r="B705" s="11" t="str">
        <f>RAW_Клиенты!A704</f>
        <v>C0703</v>
      </c>
      <c r="C705" s="11" t="str">
        <f>RAW_Клиенты!B704</f>
        <v xml:space="preserve">Ушаков Илья Александрович</v>
      </c>
      <c r="D705" s="11" t="str">
        <f>RAW_Клиенты!C704</f>
        <v>02.12.1984</v>
      </c>
      <c r="E705" s="11" t="str">
        <f>RAW_Клиенты!D704</f>
        <v>+79030123456</v>
      </c>
      <c r="F705" s="11" t="str">
        <f>RAW_Клиенты!E704</f>
        <v>ushakov@mail</v>
      </c>
      <c r="G705" s="11" t="str">
        <f>RAW_Клиенты!F704</f>
        <v>Йошкар-Ола</v>
      </c>
      <c r="H705" s="11" t="str">
        <f>RAW_Клиенты!G704</f>
        <v>01.07.2041</v>
      </c>
      <c r="I705" s="12" t="str">
        <f t="shared" si="463"/>
        <v>79030123456</v>
      </c>
      <c r="J705" s="12" t="str">
        <f t="shared" si="464"/>
        <v>ushakov@mail</v>
      </c>
      <c r="K705" s="12" t="str">
        <f t="shared" si="465"/>
        <v>Йошкар-Ола</v>
      </c>
      <c r="L705" s="13" t="str">
        <f t="shared" si="466"/>
        <v>C0703</v>
      </c>
      <c r="M705" s="13" t="str">
        <f t="shared" si="467"/>
        <v xml:space="preserve">Ушаков Илья Александрович</v>
      </c>
      <c r="N705" s="13" t="str">
        <f t="shared" si="468"/>
        <v>OK</v>
      </c>
      <c r="O705" s="19">
        <f t="shared" si="469"/>
        <v>31018</v>
      </c>
      <c r="P705" s="19">
        <f t="shared" si="470"/>
        <v>51683</v>
      </c>
      <c r="Q705" s="13">
        <f t="shared" ca="1" si="471"/>
        <v>41</v>
      </c>
      <c r="R705" s="13" t="str">
        <f t="shared" si="472"/>
        <v>OK</v>
      </c>
      <c r="S705" s="13" t="str">
        <f t="shared" si="473"/>
        <v xml:space="preserve">+7 (903) 012-34-56</v>
      </c>
      <c r="T705" s="13" t="str">
        <f t="shared" si="474"/>
        <v>ushakov@mail</v>
      </c>
      <c r="U705" s="18" t="str">
        <f t="shared" si="475"/>
        <v xml:space="preserve">Ошибка Email</v>
      </c>
      <c r="V705" s="13" t="str">
        <f>IFERROR(VLOOKUP(K705,Справочники!$K$6:$L$13,2,0),K705)</f>
        <v>Йошкар-Ола</v>
      </c>
    </row>
    <row r="706" ht="15" customHeight="1">
      <c r="A706" s="10">
        <v>704</v>
      </c>
      <c r="B706" s="11" t="str">
        <f>RAW_Клиенты!A705</f>
        <v>C0704</v>
      </c>
      <c r="C706" s="11" t="str">
        <f>RAW_Клиенты!B705</f>
        <v xml:space="preserve">Минаева Мария Павловна</v>
      </c>
      <c r="D706" s="11" t="str">
        <f>RAW_Клиенты!C705</f>
        <v>21.08.1992</v>
      </c>
      <c r="E706" s="11" t="str">
        <f>RAW_Клиенты!D705</f>
        <v>8-903-012-34-56</v>
      </c>
      <c r="F706" s="11" t="str">
        <f>RAW_Клиенты!E705</f>
        <v>minaeva@yandex</v>
      </c>
      <c r="G706" s="11" t="str">
        <f>RAW_Клиенты!F705</f>
        <v>Курган</v>
      </c>
      <c r="H706" s="11" t="str">
        <f>RAW_Клиенты!G705</f>
        <v>2041-07-15</v>
      </c>
      <c r="I706" s="12" t="str">
        <f t="shared" si="463"/>
        <v>89030123456</v>
      </c>
      <c r="J706" s="12" t="str">
        <f t="shared" si="464"/>
        <v>minaeva@yandex</v>
      </c>
      <c r="K706" s="12" t="str">
        <f t="shared" si="465"/>
        <v>Курган</v>
      </c>
      <c r="L706" s="13" t="str">
        <f t="shared" si="466"/>
        <v>C0704</v>
      </c>
      <c r="M706" s="13" t="str">
        <f t="shared" si="467"/>
        <v xml:space="preserve">Минаева Мария Павловна</v>
      </c>
      <c r="N706" s="13" t="str">
        <f t="shared" si="468"/>
        <v>OK</v>
      </c>
      <c r="O706" s="19">
        <f t="shared" si="469"/>
        <v>33837</v>
      </c>
      <c r="P706" s="19">
        <f t="shared" si="470"/>
        <v>51697</v>
      </c>
      <c r="Q706" s="13">
        <f t="shared" ca="1" si="471"/>
        <v>34</v>
      </c>
      <c r="R706" s="13" t="str">
        <f t="shared" si="472"/>
        <v>OK</v>
      </c>
      <c r="S706" s="13" t="str">
        <f t="shared" si="473"/>
        <v xml:space="preserve">+7 (903) 012-34-56</v>
      </c>
      <c r="T706" s="13" t="str">
        <f t="shared" si="474"/>
        <v>minaeva@yandex</v>
      </c>
      <c r="U706" s="18" t="str">
        <f t="shared" si="475"/>
        <v xml:space="preserve">Ошибка Email</v>
      </c>
      <c r="V706" s="13" t="str">
        <f>IFERROR(VLOOKUP(K706,Справочники!$K$6:$L$13,2,0),K706)</f>
        <v>Курган</v>
      </c>
    </row>
    <row r="707" ht="15" customHeight="1">
      <c r="A707" s="10">
        <v>705</v>
      </c>
      <c r="B707" s="11" t="str">
        <f>RAW_Клиенты!A706</f>
        <v>C0705</v>
      </c>
      <c r="C707" s="11" t="str">
        <f>RAW_Клиенты!B706</f>
        <v xml:space="preserve">Герасимова Ольга Сергеевна</v>
      </c>
      <c r="D707" s="11" t="str">
        <f>RAW_Клиенты!C706</f>
        <v>14.04.1979</v>
      </c>
      <c r="E707" s="11" t="str">
        <f>RAW_Клиенты!D706</f>
        <v xml:space="preserve">8 903 123 45 67</v>
      </c>
      <c r="F707" s="11" t="str">
        <f>RAW_Клиенты!E706</f>
        <v>gerasimova@gmail</v>
      </c>
      <c r="G707" s="11" t="str">
        <f>RAW_Клиенты!F706</f>
        <v>Архангельск</v>
      </c>
      <c r="H707" s="11" t="str">
        <f>RAW_Клиенты!G706</f>
        <v>15.07.2041</v>
      </c>
      <c r="I707" s="12" t="str">
        <f t="shared" si="463"/>
        <v>89031234567</v>
      </c>
      <c r="J707" s="12" t="str">
        <f t="shared" si="464"/>
        <v>gerasimova@gmail</v>
      </c>
      <c r="K707" s="12" t="str">
        <f t="shared" si="465"/>
        <v>Архангельск</v>
      </c>
      <c r="L707" s="13" t="str">
        <f t="shared" si="466"/>
        <v>C0705</v>
      </c>
      <c r="M707" s="13" t="str">
        <f t="shared" si="467"/>
        <v xml:space="preserve">Герасимова Ольга Сергеевна</v>
      </c>
      <c r="N707" s="13" t="str">
        <f t="shared" si="468"/>
        <v>OK</v>
      </c>
      <c r="O707" s="19">
        <f t="shared" si="469"/>
        <v>28959</v>
      </c>
      <c r="P707" s="19">
        <f t="shared" si="470"/>
        <v>51697</v>
      </c>
      <c r="Q707" s="13">
        <f t="shared" ca="1" si="471"/>
        <v>47</v>
      </c>
      <c r="R707" s="13" t="str">
        <f t="shared" si="472"/>
        <v>OK</v>
      </c>
      <c r="S707" s="13" t="str">
        <f t="shared" si="473"/>
        <v xml:space="preserve">+7 (903) 123-45-67</v>
      </c>
      <c r="T707" s="13" t="str">
        <f t="shared" si="474"/>
        <v>gerasimova@gmail</v>
      </c>
      <c r="U707" s="18" t="str">
        <f t="shared" si="475"/>
        <v xml:space="preserve">Ошибка Email</v>
      </c>
      <c r="V707" s="13" t="str">
        <f>IFERROR(VLOOKUP(K707,Справочники!$K$6:$L$13,2,0),K707)</f>
        <v>Архангельск</v>
      </c>
    </row>
    <row r="708" ht="15" customHeight="1">
      <c r="A708" s="10">
        <v>706</v>
      </c>
      <c r="B708" s="11" t="str">
        <f>RAW_Клиенты!A707</f>
        <v>C0706</v>
      </c>
      <c r="C708" s="11" t="str">
        <f>RAW_Клиенты!B707</f>
        <v xml:space="preserve">Печерский Денис Викторович</v>
      </c>
      <c r="D708" s="11" t="str">
        <f>RAW_Клиенты!C707</f>
        <v>28.06.1985</v>
      </c>
      <c r="E708" s="11" t="str">
        <f>RAW_Клиенты!D707</f>
        <v>+79031234567</v>
      </c>
      <c r="F708" s="11" t="str">
        <f>RAW_Клиенты!E707</f>
        <v>pechersky@mail</v>
      </c>
      <c r="G708" s="11" t="str">
        <f>RAW_Клиенты!F707</f>
        <v>Благовещенск</v>
      </c>
      <c r="H708" s="11" t="str">
        <f>RAW_Клиенты!G707</f>
        <v>01.08.2041</v>
      </c>
      <c r="I708" s="12" t="str">
        <f t="shared" si="463"/>
        <v>79031234567</v>
      </c>
      <c r="J708" s="12" t="str">
        <f t="shared" si="464"/>
        <v>pechersky@mail</v>
      </c>
      <c r="K708" s="12" t="str">
        <f t="shared" si="465"/>
        <v>Благовещенск</v>
      </c>
      <c r="L708" s="13" t="str">
        <f t="shared" si="466"/>
        <v>C0706</v>
      </c>
      <c r="M708" s="13" t="str">
        <f t="shared" si="467"/>
        <v xml:space="preserve">Печерский Денис Викторович</v>
      </c>
      <c r="N708" s="13" t="str">
        <f t="shared" si="468"/>
        <v>OK</v>
      </c>
      <c r="O708" s="19">
        <f t="shared" si="469"/>
        <v>31226</v>
      </c>
      <c r="P708" s="19">
        <f t="shared" si="470"/>
        <v>51714</v>
      </c>
      <c r="Q708" s="13">
        <f t="shared" ca="1" si="471"/>
        <v>41</v>
      </c>
      <c r="R708" s="13" t="str">
        <f t="shared" si="472"/>
        <v>OK</v>
      </c>
      <c r="S708" s="13" t="str">
        <f t="shared" si="473"/>
        <v xml:space="preserve">+7 (903) 123-45-67</v>
      </c>
      <c r="T708" s="13" t="str">
        <f t="shared" si="474"/>
        <v>pechersky@mail</v>
      </c>
      <c r="U708" s="18" t="str">
        <f t="shared" si="475"/>
        <v xml:space="preserve">Ошибка Email</v>
      </c>
      <c r="V708" s="13" t="str">
        <f>IFERROR(VLOOKUP(K708,Справочники!$K$6:$L$13,2,0),K708)</f>
        <v>Благовещенск</v>
      </c>
    </row>
    <row r="709" ht="15" customHeight="1">
      <c r="A709" s="10">
        <v>707</v>
      </c>
      <c r="B709" s="11" t="str">
        <f>RAW_Клиенты!A708</f>
        <v>C0707</v>
      </c>
      <c r="C709" s="11" t="str">
        <f>RAW_Клиенты!B708</f>
        <v xml:space="preserve">Карасева Екатерина Алексеевна</v>
      </c>
      <c r="D709" s="11" t="str">
        <f>RAW_Клиенты!C708</f>
        <v>17.12.1990</v>
      </c>
      <c r="E709" s="11" t="str">
        <f>RAW_Клиенты!D708</f>
        <v>8-903-123-45-67</v>
      </c>
      <c r="F709" s="11" t="str">
        <f>RAW_Клиенты!E708</f>
        <v>karaseva@yandex</v>
      </c>
      <c r="G709" s="11" t="str">
        <f>RAW_Клиенты!F708</f>
        <v>Майкоп</v>
      </c>
      <c r="H709" s="11" t="str">
        <f>RAW_Клиенты!G708</f>
        <v>2041-08-10</v>
      </c>
      <c r="I709" s="12" t="str">
        <f t="shared" si="463"/>
        <v>89031234567</v>
      </c>
      <c r="J709" s="12" t="str">
        <f t="shared" si="464"/>
        <v>karaseva@yandex</v>
      </c>
      <c r="K709" s="12" t="str">
        <f t="shared" si="465"/>
        <v>Майкоп</v>
      </c>
      <c r="L709" s="13" t="str">
        <f t="shared" si="466"/>
        <v>C0707</v>
      </c>
      <c r="M709" s="13" t="str">
        <f t="shared" si="467"/>
        <v xml:space="preserve">Карасева Екатерина Алексеевна</v>
      </c>
      <c r="N709" s="13" t="str">
        <f t="shared" si="468"/>
        <v>OK</v>
      </c>
      <c r="O709" s="19">
        <f t="shared" si="469"/>
        <v>33224</v>
      </c>
      <c r="P709" s="19">
        <f t="shared" si="470"/>
        <v>51723</v>
      </c>
      <c r="Q709" s="13">
        <f t="shared" ca="1" si="471"/>
        <v>35</v>
      </c>
      <c r="R709" s="13" t="str">
        <f t="shared" si="472"/>
        <v>OK</v>
      </c>
      <c r="S709" s="13" t="str">
        <f t="shared" si="473"/>
        <v xml:space="preserve">+7 (903) 123-45-67</v>
      </c>
      <c r="T709" s="13" t="str">
        <f t="shared" si="474"/>
        <v>karaseva@yandex</v>
      </c>
      <c r="U709" s="18" t="str">
        <f t="shared" si="475"/>
        <v xml:space="preserve">Ошибка Email</v>
      </c>
      <c r="V709" s="13" t="str">
        <f>IFERROR(VLOOKUP(K709,Справочники!$K$6:$L$13,2,0),K709)</f>
        <v>Майкоп</v>
      </c>
    </row>
    <row r="710" ht="15" customHeight="1">
      <c r="A710" s="10">
        <v>708</v>
      </c>
      <c r="B710" s="11" t="str">
        <f>RAW_Клиенты!A709</f>
        <v>C0708</v>
      </c>
      <c r="C710" s="11" t="str">
        <f>RAW_Клиенты!B709</f>
        <v xml:space="preserve">Лукин Андрей Олегович</v>
      </c>
      <c r="D710" s="11" t="str">
        <f>RAW_Клиенты!C709</f>
        <v>09.02.1977</v>
      </c>
      <c r="E710" s="11" t="str">
        <f>RAW_Клиенты!D709</f>
        <v xml:space="preserve">8 903 234 56 78</v>
      </c>
      <c r="F710" s="11" t="str">
        <f>RAW_Клиенты!E709</f>
        <v>lukin@gmail</v>
      </c>
      <c r="G710" s="11" t="str">
        <f>RAW_Клиенты!F709</f>
        <v>Уссурийск</v>
      </c>
      <c r="H710" s="11" t="str">
        <f>RAW_Клиенты!G709</f>
        <v>10.08.2041</v>
      </c>
      <c r="I710" s="12" t="str">
        <f t="shared" si="463"/>
        <v>89032345678</v>
      </c>
      <c r="J710" s="12" t="str">
        <f t="shared" si="464"/>
        <v>lukin@gmail</v>
      </c>
      <c r="K710" s="12" t="str">
        <f t="shared" si="465"/>
        <v>Уссурийск</v>
      </c>
      <c r="L710" s="13" t="str">
        <f t="shared" si="466"/>
        <v>C0708</v>
      </c>
      <c r="M710" s="13" t="str">
        <f t="shared" si="467"/>
        <v xml:space="preserve">Лукин Андрей Олегович</v>
      </c>
      <c r="N710" s="13" t="str">
        <f t="shared" si="468"/>
        <v>OK</v>
      </c>
      <c r="O710" s="19">
        <f t="shared" si="469"/>
        <v>28165</v>
      </c>
      <c r="P710" s="19">
        <f t="shared" si="470"/>
        <v>51723</v>
      </c>
      <c r="Q710" s="13">
        <f t="shared" ca="1" si="471"/>
        <v>49</v>
      </c>
      <c r="R710" s="13" t="str">
        <f t="shared" si="472"/>
        <v>OK</v>
      </c>
      <c r="S710" s="13" t="str">
        <f t="shared" si="473"/>
        <v xml:space="preserve">+7 (903) 234-56-78</v>
      </c>
      <c r="T710" s="13" t="str">
        <f t="shared" si="474"/>
        <v>lukin@gmail</v>
      </c>
      <c r="U710" s="18" t="str">
        <f t="shared" si="475"/>
        <v xml:space="preserve">Ошибка Email</v>
      </c>
      <c r="V710" s="13" t="str">
        <f>IFERROR(VLOOKUP(K710,Справочники!$K$6:$L$13,2,0),K710)</f>
        <v>Уссурийск</v>
      </c>
    </row>
    <row r="711" ht="15" customHeight="1">
      <c r="A711" s="10">
        <v>709</v>
      </c>
      <c r="B711" s="11" t="str">
        <f>RAW_Клиенты!A710</f>
        <v>C0709</v>
      </c>
      <c r="C711" s="11" t="str">
        <f>RAW_Клиенты!B710</f>
        <v xml:space="preserve">Седова Мария Владимировна</v>
      </c>
      <c r="D711" s="11" t="str">
        <f>RAW_Клиенты!C710</f>
        <v>24.07.1983</v>
      </c>
      <c r="E711" s="11" t="str">
        <f>RAW_Клиенты!D710</f>
        <v>+79032345678</v>
      </c>
      <c r="F711" s="11" t="str">
        <f>RAW_Клиенты!E710</f>
        <v>sedova@mail</v>
      </c>
      <c r="G711" s="11" t="str">
        <f>RAW_Клиенты!F710</f>
        <v>Миасс</v>
      </c>
      <c r="H711" s="11" t="str">
        <f>RAW_Клиенты!G710</f>
        <v>01.09.2041</v>
      </c>
      <c r="I711" s="12" t="str">
        <f t="shared" si="463"/>
        <v>79032345678</v>
      </c>
      <c r="J711" s="12" t="str">
        <f t="shared" si="464"/>
        <v>sedova@mail</v>
      </c>
      <c r="K711" s="12" t="str">
        <f t="shared" si="465"/>
        <v>Миасс</v>
      </c>
      <c r="L711" s="13" t="str">
        <f t="shared" si="466"/>
        <v>C0709</v>
      </c>
      <c r="M711" s="13" t="str">
        <f t="shared" si="467"/>
        <v xml:space="preserve">Седова Мария Владимировна</v>
      </c>
      <c r="N711" s="13" t="str">
        <f t="shared" si="468"/>
        <v>OK</v>
      </c>
      <c r="O711" s="19">
        <f t="shared" si="469"/>
        <v>30521</v>
      </c>
      <c r="P711" s="19">
        <f t="shared" si="470"/>
        <v>51745</v>
      </c>
      <c r="Q711" s="13">
        <f t="shared" ca="1" si="471"/>
        <v>43</v>
      </c>
      <c r="R711" s="13" t="str">
        <f t="shared" si="472"/>
        <v>OK</v>
      </c>
      <c r="S711" s="13" t="str">
        <f t="shared" si="473"/>
        <v xml:space="preserve">+7 (903) 234-56-78</v>
      </c>
      <c r="T711" s="13" t="str">
        <f t="shared" si="474"/>
        <v>sedova@mail</v>
      </c>
      <c r="U711" s="18" t="str">
        <f t="shared" si="475"/>
        <v xml:space="preserve">Ошибка Email</v>
      </c>
      <c r="V711" s="13" t="str">
        <f>IFERROR(VLOOKUP(K711,Справочники!$K$6:$L$13,2,0),K711)</f>
        <v>Миасс</v>
      </c>
    </row>
    <row r="712" ht="15" customHeight="1">
      <c r="A712" s="10">
        <v>710</v>
      </c>
      <c r="B712" s="11" t="str">
        <f>RAW_Клиенты!A711</f>
        <v>C0710</v>
      </c>
      <c r="C712" s="11" t="str">
        <f>RAW_Клиенты!B711</f>
        <v xml:space="preserve">Новожилов Илья Алексеевич</v>
      </c>
      <c r="D712" s="11" t="str">
        <f>RAW_Клиенты!C711</f>
        <v>15.03.1988</v>
      </c>
      <c r="E712" s="11" t="str">
        <f>RAW_Клиенты!D711</f>
        <v>8-903-234-56-78</v>
      </c>
      <c r="F712" s="11" t="str">
        <f>RAW_Клиенты!E711</f>
        <v>novozhilov@yandex</v>
      </c>
      <c r="G712" s="11" t="str">
        <f>RAW_Клиенты!F711</f>
        <v>Кызыл</v>
      </c>
      <c r="H712" s="11" t="str">
        <f>RAW_Клиенты!G711</f>
        <v>2041-09-15</v>
      </c>
      <c r="I712" s="12" t="str">
        <f t="shared" si="463"/>
        <v>89032345678</v>
      </c>
      <c r="J712" s="12" t="str">
        <f t="shared" si="464"/>
        <v>novozhilov@yandex</v>
      </c>
      <c r="K712" s="12" t="str">
        <f t="shared" si="465"/>
        <v>Кызыл</v>
      </c>
      <c r="L712" s="13" t="str">
        <f t="shared" si="466"/>
        <v>C0710</v>
      </c>
      <c r="M712" s="13" t="str">
        <f t="shared" si="467"/>
        <v xml:space="preserve">Новожилов Илья Алексеевич</v>
      </c>
      <c r="N712" s="13" t="str">
        <f t="shared" si="468"/>
        <v>OK</v>
      </c>
      <c r="O712" s="19">
        <f t="shared" si="469"/>
        <v>32217</v>
      </c>
      <c r="P712" s="19">
        <f t="shared" si="470"/>
        <v>51759</v>
      </c>
      <c r="Q712" s="13">
        <f t="shared" ca="1" si="471"/>
        <v>38</v>
      </c>
      <c r="R712" s="13" t="str">
        <f t="shared" si="472"/>
        <v>OK</v>
      </c>
      <c r="S712" s="13" t="str">
        <f t="shared" si="473"/>
        <v xml:space="preserve">+7 (903) 234-56-78</v>
      </c>
      <c r="T712" s="13" t="str">
        <f t="shared" si="474"/>
        <v>novozhilov@yandex</v>
      </c>
      <c r="U712" s="18" t="str">
        <f t="shared" si="475"/>
        <v xml:space="preserve">Ошибка Email</v>
      </c>
      <c r="V712" s="13" t="str">
        <f>IFERROR(VLOOKUP(K712,Справочники!$K$6:$L$13,2,0),K712)</f>
        <v>Кызыл</v>
      </c>
    </row>
    <row r="713" ht="15" customHeight="1">
      <c r="A713" s="10">
        <v>711</v>
      </c>
      <c r="B713" s="11" t="str">
        <f>RAW_Клиенты!A712</f>
        <v>C0711</v>
      </c>
      <c r="C713" s="11" t="str">
        <f>RAW_Клиенты!B712</f>
        <v xml:space="preserve">Терентьева Ольга Павловна</v>
      </c>
      <c r="D713" s="11" t="str">
        <f>RAW_Клиенты!C712</f>
        <v>01.11.1974</v>
      </c>
      <c r="E713" s="11" t="str">
        <f>RAW_Клиенты!D712</f>
        <v xml:space="preserve">8 903 345 67 89</v>
      </c>
      <c r="F713" s="11" t="str">
        <f>RAW_Клиенты!E712</f>
        <v>terenteva@gmail</v>
      </c>
      <c r="G713" s="11" t="str">
        <f>RAW_Клиенты!F712</f>
        <v>Калининград</v>
      </c>
      <c r="H713" s="11" t="str">
        <f>RAW_Клиенты!G712</f>
        <v>15.09.2041</v>
      </c>
      <c r="I713" s="12" t="str">
        <f t="shared" si="463"/>
        <v>89033456789</v>
      </c>
      <c r="J713" s="12" t="str">
        <f t="shared" si="464"/>
        <v>terenteva@gmail</v>
      </c>
      <c r="K713" s="12" t="str">
        <f t="shared" si="465"/>
        <v>Калининград</v>
      </c>
      <c r="L713" s="13" t="str">
        <f t="shared" si="466"/>
        <v>C0711</v>
      </c>
      <c r="M713" s="13" t="str">
        <f t="shared" si="467"/>
        <v xml:space="preserve">Терентьева Ольга Павловна</v>
      </c>
      <c r="N713" s="13" t="str">
        <f t="shared" si="468"/>
        <v>OK</v>
      </c>
      <c r="O713" s="19">
        <f t="shared" si="469"/>
        <v>27334</v>
      </c>
      <c r="P713" s="19">
        <f t="shared" si="470"/>
        <v>51759</v>
      </c>
      <c r="Q713" s="13">
        <f t="shared" ca="1" si="471"/>
        <v>51</v>
      </c>
      <c r="R713" s="13" t="str">
        <f t="shared" si="472"/>
        <v>OK</v>
      </c>
      <c r="S713" s="13" t="str">
        <f t="shared" si="473"/>
        <v xml:space="preserve">+7 (903) 345-67-89</v>
      </c>
      <c r="T713" s="13" t="str">
        <f t="shared" si="474"/>
        <v>terenteva@gmail</v>
      </c>
      <c r="U713" s="18" t="str">
        <f t="shared" si="475"/>
        <v xml:space="preserve">Ошибка Email</v>
      </c>
      <c r="V713" s="13" t="str">
        <f>IFERROR(VLOOKUP(K713,Справочники!$K$6:$L$13,2,0),K713)</f>
        <v>Калининград</v>
      </c>
    </row>
    <row r="714" ht="15" customHeight="1">
      <c r="A714" s="10">
        <v>712</v>
      </c>
      <c r="B714" s="11" t="str">
        <f>RAW_Клиенты!A713</f>
        <v>C0712</v>
      </c>
      <c r="C714" s="11" t="str">
        <f>RAW_Клиенты!B713</f>
        <v xml:space="preserve">Горбатов Денис Сергеевич</v>
      </c>
      <c r="D714" s="11" t="str">
        <f>RAW_Клиенты!C713</f>
        <v>22.10.1982</v>
      </c>
      <c r="E714" s="11" t="str">
        <f>RAW_Клиенты!D713</f>
        <v>+79033456789</v>
      </c>
      <c r="F714" s="11" t="str">
        <f>RAW_Клиенты!E713</f>
        <v>gorbatov@mail</v>
      </c>
      <c r="G714" s="11" t="str">
        <f>RAW_Клиенты!F713</f>
        <v>Петрозаводск</v>
      </c>
      <c r="H714" s="11" t="str">
        <f>RAW_Клиенты!G713</f>
        <v>01.10.2041</v>
      </c>
      <c r="I714" s="12" t="str">
        <f t="shared" si="463"/>
        <v>79033456789</v>
      </c>
      <c r="J714" s="12" t="str">
        <f t="shared" si="464"/>
        <v>gorbatov@mail</v>
      </c>
      <c r="K714" s="12" t="str">
        <f t="shared" si="465"/>
        <v>Петрозаводск</v>
      </c>
      <c r="L714" s="13" t="str">
        <f t="shared" si="466"/>
        <v>C0712</v>
      </c>
      <c r="M714" s="13" t="str">
        <f t="shared" si="467"/>
        <v xml:space="preserve">Горбатов Денис Сергеевич</v>
      </c>
      <c r="N714" s="13" t="str">
        <f t="shared" si="468"/>
        <v>OK</v>
      </c>
      <c r="O714" s="19">
        <f t="shared" si="469"/>
        <v>30246</v>
      </c>
      <c r="P714" s="19">
        <f t="shared" si="470"/>
        <v>51775</v>
      </c>
      <c r="Q714" s="13">
        <f t="shared" ca="1" si="471"/>
        <v>43</v>
      </c>
      <c r="R714" s="13" t="str">
        <f t="shared" si="472"/>
        <v>OK</v>
      </c>
      <c r="S714" s="13" t="str">
        <f t="shared" si="473"/>
        <v xml:space="preserve">+7 (903) 345-67-89</v>
      </c>
      <c r="T714" s="13" t="str">
        <f t="shared" si="474"/>
        <v>gorbatov@mail</v>
      </c>
      <c r="U714" s="18" t="str">
        <f t="shared" si="475"/>
        <v xml:space="preserve">Ошибка Email</v>
      </c>
      <c r="V714" s="13" t="str">
        <f>IFERROR(VLOOKUP(K714,Справочники!$K$6:$L$13,2,0),K714)</f>
        <v>Петрозаводск</v>
      </c>
    </row>
    <row r="715" ht="15" customHeight="1">
      <c r="A715" s="10">
        <v>713</v>
      </c>
      <c r="B715" s="11" t="str">
        <f>RAW_Клиенты!A714</f>
        <v>C0713</v>
      </c>
      <c r="C715" s="11" t="str">
        <f>RAW_Клиенты!B714</f>
        <v xml:space="preserve">Шелестова Екатерина Сергеевна</v>
      </c>
      <c r="D715" s="11" t="str">
        <f>RAW_Клиенты!C714</f>
        <v>12.05.1989</v>
      </c>
      <c r="E715" s="11" t="str">
        <f>RAW_Клиенты!D714</f>
        <v>8-903-345-67-89</v>
      </c>
      <c r="F715" s="11" t="str">
        <f>RAW_Клиенты!E714</f>
        <v>shelyostova@yandex</v>
      </c>
      <c r="G715" s="11" t="str">
        <f>RAW_Клиенты!F714</f>
        <v>Рубцовск</v>
      </c>
      <c r="H715" s="11" t="str">
        <f>RAW_Клиенты!G714</f>
        <v>2041-10-10</v>
      </c>
      <c r="I715" s="12" t="str">
        <f t="shared" si="463"/>
        <v>89033456789</v>
      </c>
      <c r="J715" s="12" t="str">
        <f t="shared" si="464"/>
        <v>shelyostova@yandex</v>
      </c>
      <c r="K715" s="12" t="str">
        <f t="shared" si="465"/>
        <v>Рубцовск</v>
      </c>
      <c r="L715" s="13" t="str">
        <f t="shared" si="466"/>
        <v>C0713</v>
      </c>
      <c r="M715" s="13" t="str">
        <f t="shared" si="467"/>
        <v xml:space="preserve">Шелестова Екатерина Сергеевна</v>
      </c>
      <c r="N715" s="13" t="str">
        <f t="shared" si="468"/>
        <v>OK</v>
      </c>
      <c r="O715" s="19">
        <f t="shared" si="469"/>
        <v>32640</v>
      </c>
      <c r="P715" s="19">
        <f t="shared" si="470"/>
        <v>51784</v>
      </c>
      <c r="Q715" s="13">
        <f t="shared" ca="1" si="471"/>
        <v>37</v>
      </c>
      <c r="R715" s="13" t="str">
        <f t="shared" si="472"/>
        <v>OK</v>
      </c>
      <c r="S715" s="13" t="str">
        <f t="shared" si="473"/>
        <v xml:space="preserve">+7 (903) 345-67-89</v>
      </c>
      <c r="T715" s="13" t="str">
        <f t="shared" si="474"/>
        <v>shelyostova@yandex</v>
      </c>
      <c r="U715" s="18" t="str">
        <f t="shared" si="475"/>
        <v xml:space="preserve">Ошибка Email</v>
      </c>
      <c r="V715" s="13" t="str">
        <f>IFERROR(VLOOKUP(K715,Справочники!$K$6:$L$13,2,0),K715)</f>
        <v>Рубцовск</v>
      </c>
    </row>
    <row r="716" ht="15" customHeight="1">
      <c r="A716" s="10">
        <v>714</v>
      </c>
      <c r="B716" s="11" t="str">
        <f>RAW_Клиенты!A715</f>
        <v>C0714</v>
      </c>
      <c r="C716" s="11" t="str">
        <f>RAW_Клиенты!B715</f>
        <v xml:space="preserve">Костин Андрей Павлович</v>
      </c>
      <c r="D716" s="11" t="str">
        <f>RAW_Клиенты!C715</f>
        <v>27.01.1976</v>
      </c>
      <c r="E716" s="11" t="str">
        <f>RAW_Клиенты!D715</f>
        <v xml:space="preserve">8 903 456 78 90</v>
      </c>
      <c r="F716" s="11" t="str">
        <f>RAW_Клиенты!E715</f>
        <v>kostin@gmail</v>
      </c>
      <c r="G716" s="11" t="str">
        <f>RAW_Клиенты!F715</f>
        <v>Элиста</v>
      </c>
      <c r="H716" s="11" t="str">
        <f>RAW_Клиенты!G715</f>
        <v>10.10.2041</v>
      </c>
      <c r="I716" s="12" t="str">
        <f t="shared" si="463"/>
        <v>89034567890</v>
      </c>
      <c r="J716" s="12" t="str">
        <f t="shared" si="464"/>
        <v>kostin@gmail</v>
      </c>
      <c r="K716" s="12" t="str">
        <f t="shared" si="465"/>
        <v>Элиста</v>
      </c>
      <c r="L716" s="13" t="str">
        <f t="shared" si="466"/>
        <v>C0714</v>
      </c>
      <c r="M716" s="13" t="str">
        <f t="shared" si="467"/>
        <v xml:space="preserve">Костин Андрей Павлович</v>
      </c>
      <c r="N716" s="13" t="str">
        <f t="shared" si="468"/>
        <v>OK</v>
      </c>
      <c r="O716" s="19">
        <f t="shared" si="469"/>
        <v>27786</v>
      </c>
      <c r="P716" s="19">
        <f t="shared" si="470"/>
        <v>51784</v>
      </c>
      <c r="Q716" s="13">
        <f t="shared" ca="1" si="471"/>
        <v>50</v>
      </c>
      <c r="R716" s="13" t="str">
        <f t="shared" si="472"/>
        <v>OK</v>
      </c>
      <c r="S716" s="13" t="str">
        <f t="shared" si="473"/>
        <v xml:space="preserve">+7 (903) 456-78-90</v>
      </c>
      <c r="T716" s="13" t="str">
        <f t="shared" si="474"/>
        <v>kostin@gmail</v>
      </c>
      <c r="U716" s="18" t="str">
        <f t="shared" si="475"/>
        <v xml:space="preserve">Ошибка Email</v>
      </c>
      <c r="V716" s="13" t="str">
        <f>IFERROR(VLOOKUP(K716,Справочники!$K$6:$L$13,2,0),K716)</f>
        <v>Элиста</v>
      </c>
    </row>
    <row r="717" ht="15" customHeight="1">
      <c r="A717" s="10">
        <v>715</v>
      </c>
      <c r="B717" s="11" t="str">
        <f>RAW_Клиенты!A716</f>
        <v>C0715</v>
      </c>
      <c r="C717" s="11" t="str">
        <f>RAW_Клиенты!B716</f>
        <v xml:space="preserve">Маслова Мария Олеговна</v>
      </c>
      <c r="D717" s="11" t="str">
        <f>RAW_Клиенты!C716</f>
        <v>05.09.1984</v>
      </c>
      <c r="E717" s="11" t="str">
        <f>RAW_Клиенты!D716</f>
        <v>+79034567890</v>
      </c>
      <c r="F717" s="11" t="str">
        <f>RAW_Клиенты!E716</f>
        <v>maslova@mail</v>
      </c>
      <c r="G717" s="11" t="str">
        <f>RAW_Клиенты!F716</f>
        <v>Орск</v>
      </c>
      <c r="H717" s="11" t="str">
        <f>RAW_Клиенты!G716</f>
        <v>01.11.2041</v>
      </c>
      <c r="I717" s="12" t="str">
        <f t="shared" si="463"/>
        <v>79034567890</v>
      </c>
      <c r="J717" s="12" t="str">
        <f t="shared" si="464"/>
        <v>maslova@mail</v>
      </c>
      <c r="K717" s="12" t="str">
        <f t="shared" si="465"/>
        <v>Орск</v>
      </c>
      <c r="L717" s="13" t="str">
        <f t="shared" si="466"/>
        <v>C0715</v>
      </c>
      <c r="M717" s="13" t="str">
        <f t="shared" si="467"/>
        <v xml:space="preserve">Маслова Мария Олеговна</v>
      </c>
      <c r="N717" s="13" t="str">
        <f t="shared" si="468"/>
        <v>OK</v>
      </c>
      <c r="O717" s="19">
        <f t="shared" si="469"/>
        <v>30930</v>
      </c>
      <c r="P717" s="19">
        <f t="shared" si="470"/>
        <v>51806</v>
      </c>
      <c r="Q717" s="13">
        <f t="shared" ca="1" si="471"/>
        <v>42</v>
      </c>
      <c r="R717" s="13" t="str">
        <f t="shared" si="472"/>
        <v>OK</v>
      </c>
      <c r="S717" s="13" t="str">
        <f t="shared" si="473"/>
        <v xml:space="preserve">+7 (903) 456-78-90</v>
      </c>
      <c r="T717" s="13" t="str">
        <f t="shared" si="474"/>
        <v>maslova@mail</v>
      </c>
      <c r="U717" s="18" t="str">
        <f t="shared" si="475"/>
        <v xml:space="preserve">Ошибка Email</v>
      </c>
      <c r="V717" s="13" t="str">
        <f>IFERROR(VLOOKUP(K717,Справочники!$K$6:$L$13,2,0),K717)</f>
        <v>Орск</v>
      </c>
    </row>
    <row r="718" ht="15" customHeight="1">
      <c r="A718" s="10">
        <v>716</v>
      </c>
      <c r="B718" s="11" t="str">
        <f>RAW_Клиенты!A717</f>
        <v>C0716</v>
      </c>
      <c r="C718" s="11" t="str">
        <f>RAW_Клиенты!B717</f>
        <v xml:space="preserve">Стекольщиков Денис Викторович</v>
      </c>
      <c r="D718" s="11" t="str">
        <f>RAW_Клиенты!C717</f>
        <v>14.12.1991</v>
      </c>
      <c r="E718" s="11" t="str">
        <f>RAW_Клиенты!D717</f>
        <v>8-903-456-78-90</v>
      </c>
      <c r="F718" s="11" t="str">
        <f>RAW_Клиенты!E717</f>
        <v>stekolschikov@yandex</v>
      </c>
      <c r="G718" s="11" t="str">
        <f>RAW_Клиенты!F717</f>
        <v>Нижневартовск</v>
      </c>
      <c r="H718" s="11" t="str">
        <f>RAW_Клиенты!G717</f>
        <v>2041-11-15</v>
      </c>
      <c r="I718" s="12" t="str">
        <f t="shared" si="463"/>
        <v>89034567890</v>
      </c>
      <c r="J718" s="12" t="str">
        <f t="shared" si="464"/>
        <v>stekolschikov@yandex</v>
      </c>
      <c r="K718" s="12" t="str">
        <f t="shared" si="465"/>
        <v>Нижневартовск</v>
      </c>
      <c r="L718" s="13" t="str">
        <f t="shared" si="466"/>
        <v>C0716</v>
      </c>
      <c r="M718" s="13" t="str">
        <f t="shared" si="467"/>
        <v xml:space="preserve">Стекольщиков Денис Викторович</v>
      </c>
      <c r="N718" s="13" t="str">
        <f t="shared" si="468"/>
        <v>OK</v>
      </c>
      <c r="O718" s="19">
        <f t="shared" si="469"/>
        <v>33586</v>
      </c>
      <c r="P718" s="19">
        <f t="shared" si="470"/>
        <v>51820</v>
      </c>
      <c r="Q718" s="13">
        <f t="shared" ca="1" si="471"/>
        <v>34</v>
      </c>
      <c r="R718" s="13" t="str">
        <f t="shared" si="472"/>
        <v>OK</v>
      </c>
      <c r="S718" s="13" t="str">
        <f t="shared" si="473"/>
        <v xml:space="preserve">+7 (903) 456-78-90</v>
      </c>
      <c r="T718" s="13" t="str">
        <f t="shared" si="474"/>
        <v>stekolschikov@yandex</v>
      </c>
      <c r="U718" s="18" t="str">
        <f t="shared" si="475"/>
        <v xml:space="preserve">Ошибка Email</v>
      </c>
      <c r="V718" s="13" t="str">
        <f>IFERROR(VLOOKUP(K718,Справочники!$K$6:$L$13,2,0),K718)</f>
        <v>Нижневартовск</v>
      </c>
    </row>
    <row r="719" ht="15" customHeight="1">
      <c r="A719" s="10">
        <v>717</v>
      </c>
      <c r="B719" s="11" t="str">
        <f>RAW_Клиенты!A718</f>
        <v>C0717</v>
      </c>
      <c r="C719" s="11" t="str">
        <f>RAW_Клиенты!B718</f>
        <v xml:space="preserve">Орехова Ольга Владимировна</v>
      </c>
      <c r="D719" s="11" t="str">
        <f>RAW_Клиенты!C718</f>
        <v>08.04.1977</v>
      </c>
      <c r="E719" s="11" t="str">
        <f>RAW_Клиенты!D718</f>
        <v xml:space="preserve">8 903 567 89 01</v>
      </c>
      <c r="F719" s="11" t="str">
        <f>RAW_Клиенты!E718</f>
        <v>orehova@gmail</v>
      </c>
      <c r="G719" s="11" t="str">
        <f>RAW_Клиенты!F718</f>
        <v>Новороссийск</v>
      </c>
      <c r="H719" s="11" t="str">
        <f>RAW_Клиенты!G718</f>
        <v>15.11.2041</v>
      </c>
      <c r="I719" s="12" t="str">
        <f t="shared" si="463"/>
        <v>89035678901</v>
      </c>
      <c r="J719" s="12" t="str">
        <f t="shared" si="464"/>
        <v>orehova@gmail</v>
      </c>
      <c r="K719" s="12" t="str">
        <f t="shared" si="465"/>
        <v>Новороссийск</v>
      </c>
      <c r="L719" s="13" t="str">
        <f t="shared" si="466"/>
        <v>C0717</v>
      </c>
      <c r="M719" s="13" t="str">
        <f t="shared" si="467"/>
        <v xml:space="preserve">Орехова Ольга Владимировна</v>
      </c>
      <c r="N719" s="13" t="str">
        <f t="shared" si="468"/>
        <v>OK</v>
      </c>
      <c r="O719" s="19">
        <f t="shared" si="469"/>
        <v>28223</v>
      </c>
      <c r="P719" s="19">
        <f t="shared" si="470"/>
        <v>51820</v>
      </c>
      <c r="Q719" s="13">
        <f t="shared" ca="1" si="471"/>
        <v>49</v>
      </c>
      <c r="R719" s="13" t="str">
        <f t="shared" si="472"/>
        <v>OK</v>
      </c>
      <c r="S719" s="13" t="str">
        <f t="shared" si="473"/>
        <v xml:space="preserve">+7 (903) 567-89-01</v>
      </c>
      <c r="T719" s="13" t="str">
        <f t="shared" si="474"/>
        <v>orehova@gmail</v>
      </c>
      <c r="U719" s="18" t="str">
        <f t="shared" si="475"/>
        <v xml:space="preserve">Ошибка Email</v>
      </c>
      <c r="V719" s="13" t="str">
        <f>IFERROR(VLOOKUP(K719,Справочники!$K$6:$L$13,2,0),K719)</f>
        <v>Новороссийск</v>
      </c>
    </row>
    <row r="720" ht="15" customHeight="1">
      <c r="A720" s="10">
        <v>718</v>
      </c>
      <c r="B720" s="11" t="str">
        <f>RAW_Клиенты!A719</f>
        <v>C0718</v>
      </c>
      <c r="C720" s="11" t="str">
        <f>RAW_Клиенты!B719</f>
        <v xml:space="preserve">Рябцев Илья Александрович</v>
      </c>
      <c r="D720" s="11" t="str">
        <f>RAW_Клиенты!C719</f>
        <v>29.08.1983</v>
      </c>
      <c r="E720" s="11" t="str">
        <f>RAW_Клиенты!D719</f>
        <v>+79035678901</v>
      </c>
      <c r="F720" s="11" t="str">
        <f>RAW_Клиенты!E719</f>
        <v>ryabtsev@mail</v>
      </c>
      <c r="G720" s="11" t="str">
        <f>RAW_Клиенты!F719</f>
        <v>Химки</v>
      </c>
      <c r="H720" s="11" t="str">
        <f>RAW_Клиенты!G719</f>
        <v>01.12.2041</v>
      </c>
      <c r="I720" s="12" t="str">
        <f t="shared" si="463"/>
        <v>79035678901</v>
      </c>
      <c r="J720" s="12" t="str">
        <f t="shared" si="464"/>
        <v>ryabtsev@mail</v>
      </c>
      <c r="K720" s="12" t="str">
        <f t="shared" si="465"/>
        <v>Химки</v>
      </c>
      <c r="L720" s="13" t="str">
        <f t="shared" si="466"/>
        <v>C0718</v>
      </c>
      <c r="M720" s="13" t="str">
        <f t="shared" si="467"/>
        <v xml:space="preserve">Рябцев Илья Александрович</v>
      </c>
      <c r="N720" s="13" t="str">
        <f t="shared" si="468"/>
        <v>OK</v>
      </c>
      <c r="O720" s="19">
        <f t="shared" si="469"/>
        <v>30557</v>
      </c>
      <c r="P720" s="19">
        <f t="shared" si="470"/>
        <v>51836</v>
      </c>
      <c r="Q720" s="13">
        <f t="shared" ca="1" si="471"/>
        <v>43</v>
      </c>
      <c r="R720" s="13" t="str">
        <f t="shared" si="472"/>
        <v>OK</v>
      </c>
      <c r="S720" s="13" t="str">
        <f t="shared" si="473"/>
        <v xml:space="preserve">+7 (903) 567-89-01</v>
      </c>
      <c r="T720" s="13" t="str">
        <f t="shared" si="474"/>
        <v>ryabtsev@mail</v>
      </c>
      <c r="U720" s="18" t="str">
        <f t="shared" si="475"/>
        <v xml:space="preserve">Ошибка Email</v>
      </c>
      <c r="V720" s="13" t="str">
        <f>IFERROR(VLOOKUP(K720,Справочники!$K$6:$L$13,2,0),K720)</f>
        <v>Химки</v>
      </c>
    </row>
    <row r="721" ht="15" customHeight="1">
      <c r="A721" s="10">
        <v>719</v>
      </c>
      <c r="B721" s="11" t="str">
        <f>RAW_Клиенты!A720</f>
        <v>C0719</v>
      </c>
      <c r="C721" s="11" t="str">
        <f>RAW_Клиенты!B720</f>
        <v xml:space="preserve">Клокова Екатерина Сергеевна</v>
      </c>
      <c r="D721" s="11" t="str">
        <f>RAW_Клиенты!C720</f>
        <v>19.12.1990</v>
      </c>
      <c r="E721" s="11" t="str">
        <f>RAW_Клиенты!D720</f>
        <v>8-903-567-89-01</v>
      </c>
      <c r="F721" s="11" t="str">
        <f>RAW_Клиенты!E720</f>
        <v>klokova@yandex</v>
      </c>
      <c r="G721" s="11" t="str">
        <f>RAW_Клиенты!F720</f>
        <v>Подольск</v>
      </c>
      <c r="H721" s="11" t="str">
        <f>RAW_Клиенты!G720</f>
        <v>2041-12-10</v>
      </c>
      <c r="I721" s="12" t="str">
        <f t="shared" si="463"/>
        <v>89035678901</v>
      </c>
      <c r="J721" s="12" t="str">
        <f t="shared" si="464"/>
        <v>klokova@yandex</v>
      </c>
      <c r="K721" s="12" t="str">
        <f t="shared" si="465"/>
        <v>Подольск</v>
      </c>
      <c r="L721" s="13" t="str">
        <f t="shared" si="466"/>
        <v>C0719</v>
      </c>
      <c r="M721" s="13" t="str">
        <f t="shared" si="467"/>
        <v xml:space="preserve">Клокова Екатерина Сергеевна</v>
      </c>
      <c r="N721" s="13" t="str">
        <f t="shared" si="468"/>
        <v>OK</v>
      </c>
      <c r="O721" s="19">
        <f t="shared" si="469"/>
        <v>33226</v>
      </c>
      <c r="P721" s="19">
        <f t="shared" si="470"/>
        <v>51845</v>
      </c>
      <c r="Q721" s="13">
        <f t="shared" ca="1" si="471"/>
        <v>35</v>
      </c>
      <c r="R721" s="13" t="str">
        <f t="shared" si="472"/>
        <v>OK</v>
      </c>
      <c r="S721" s="13" t="str">
        <f t="shared" si="473"/>
        <v xml:space="preserve">+7 (903) 567-89-01</v>
      </c>
      <c r="T721" s="13" t="str">
        <f t="shared" si="474"/>
        <v>klokova@yandex</v>
      </c>
      <c r="U721" s="18" t="str">
        <f t="shared" si="475"/>
        <v xml:space="preserve">Ошибка Email</v>
      </c>
      <c r="V721" s="13" t="str">
        <f>IFERROR(VLOOKUP(K721,Справочники!$K$6:$L$13,2,0),K721)</f>
        <v>Подольск</v>
      </c>
    </row>
    <row r="722" ht="15" customHeight="1">
      <c r="A722" s="10">
        <v>720</v>
      </c>
      <c r="B722" s="11" t="str">
        <f>RAW_Клиенты!A721</f>
        <v>C0720</v>
      </c>
      <c r="C722" s="11" t="str">
        <f>RAW_Клиенты!B721</f>
        <v xml:space="preserve">Шульгин Андрей Олегович</v>
      </c>
      <c r="D722" s="11" t="str">
        <f>RAW_Клиенты!C721</f>
        <v>02.06.1978</v>
      </c>
      <c r="E722" s="11" t="str">
        <f>RAW_Клиенты!D721</f>
        <v xml:space="preserve">8 903 678 90 12</v>
      </c>
      <c r="F722" s="11" t="str">
        <f>RAW_Клиенты!E721</f>
        <v>shulgin@gmail</v>
      </c>
      <c r="G722" s="11" t="str">
        <f>RAW_Клиенты!F721</f>
        <v>Балашиха</v>
      </c>
      <c r="H722" s="11" t="str">
        <f>RAW_Клиенты!G721</f>
        <v>10.12.2041</v>
      </c>
      <c r="I722" s="12" t="str">
        <f t="shared" si="463"/>
        <v>89036789012</v>
      </c>
      <c r="J722" s="12" t="str">
        <f t="shared" si="464"/>
        <v>shulgin@gmail</v>
      </c>
      <c r="K722" s="12" t="str">
        <f t="shared" si="465"/>
        <v>Балашиха</v>
      </c>
      <c r="L722" s="13" t="str">
        <f t="shared" si="466"/>
        <v>C0720</v>
      </c>
      <c r="M722" s="13" t="str">
        <f t="shared" si="467"/>
        <v xml:space="preserve">Шульгин Андрей Олегович</v>
      </c>
      <c r="N722" s="13" t="str">
        <f t="shared" si="468"/>
        <v>OK</v>
      </c>
      <c r="O722" s="19">
        <f t="shared" si="469"/>
        <v>28643</v>
      </c>
      <c r="P722" s="19">
        <f t="shared" si="470"/>
        <v>51845</v>
      </c>
      <c r="Q722" s="13">
        <f t="shared" ca="1" si="471"/>
        <v>48</v>
      </c>
      <c r="R722" s="13" t="str">
        <f t="shared" si="472"/>
        <v>OK</v>
      </c>
      <c r="S722" s="13" t="str">
        <f t="shared" si="473"/>
        <v xml:space="preserve">+7 (903) 678-90-12</v>
      </c>
      <c r="T722" s="13" t="str">
        <f t="shared" si="474"/>
        <v>shulgin@gmail</v>
      </c>
      <c r="U722" s="18" t="str">
        <f t="shared" si="475"/>
        <v xml:space="preserve">Ошибка Email</v>
      </c>
      <c r="V722" s="13" t="str">
        <f>IFERROR(VLOOKUP(K722,Справочники!$K$6:$L$13,2,0),K722)</f>
        <v>Балашиха</v>
      </c>
    </row>
    <row r="723" ht="15" customHeight="1">
      <c r="A723" s="10">
        <v>721</v>
      </c>
      <c r="B723" s="11" t="str">
        <f>RAW_Клиенты!A722</f>
        <v>C0721</v>
      </c>
      <c r="C723" s="11" t="str">
        <f>RAW_Клиенты!B722</f>
        <v xml:space="preserve">Короткова Мария Павловна</v>
      </c>
      <c r="D723" s="11" t="str">
        <f>RAW_Клиенты!C722</f>
        <v>16.11.1985</v>
      </c>
      <c r="E723" s="11" t="str">
        <f>RAW_Клиенты!D722</f>
        <v>+79036789012</v>
      </c>
      <c r="F723" s="11" t="str">
        <f>RAW_Клиенты!E722</f>
        <v>korotkova@mail</v>
      </c>
      <c r="G723" s="11" t="str">
        <f>RAW_Клиенты!F722</f>
        <v>Сургут</v>
      </c>
      <c r="H723" s="11" t="str">
        <f>RAW_Клиенты!G722</f>
        <v>01.01.2042</v>
      </c>
      <c r="I723" s="12" t="str">
        <f t="shared" si="463"/>
        <v>79036789012</v>
      </c>
      <c r="J723" s="12" t="str">
        <f t="shared" si="464"/>
        <v>korotkova@mail</v>
      </c>
      <c r="K723" s="12" t="str">
        <f t="shared" si="465"/>
        <v>Сургут</v>
      </c>
      <c r="L723" s="13" t="str">
        <f t="shared" si="466"/>
        <v>C0721</v>
      </c>
      <c r="M723" s="13" t="str">
        <f t="shared" si="467"/>
        <v xml:space="preserve">Короткова Мария Павловна</v>
      </c>
      <c r="N723" s="13" t="str">
        <f t="shared" si="468"/>
        <v>OK</v>
      </c>
      <c r="O723" s="19">
        <f t="shared" si="469"/>
        <v>31367</v>
      </c>
      <c r="P723" s="19">
        <f t="shared" si="470"/>
        <v>51867</v>
      </c>
      <c r="Q723" s="13">
        <f t="shared" ca="1" si="471"/>
        <v>40</v>
      </c>
      <c r="R723" s="13" t="str">
        <f t="shared" si="472"/>
        <v>OK</v>
      </c>
      <c r="S723" s="13" t="str">
        <f t="shared" si="473"/>
        <v xml:space="preserve">+7 (903) 678-90-12</v>
      </c>
      <c r="T723" s="13" t="str">
        <f t="shared" si="474"/>
        <v>korotkova@mail</v>
      </c>
      <c r="U723" s="18" t="str">
        <f t="shared" si="475"/>
        <v xml:space="preserve">Ошибка Email</v>
      </c>
      <c r="V723" s="13" t="str">
        <f>IFERROR(VLOOKUP(K723,Справочники!$K$6:$L$13,2,0),K723)</f>
        <v>Сургут</v>
      </c>
    </row>
    <row r="724" ht="15" customHeight="1">
      <c r="A724" s="10">
        <v>722</v>
      </c>
      <c r="B724" s="11" t="str">
        <f>RAW_Клиенты!A723</f>
        <v>C0722</v>
      </c>
      <c r="C724" s="11" t="str">
        <f>RAW_Клиенты!B723</f>
        <v xml:space="preserve">Литвиненко Денис Викторович</v>
      </c>
      <c r="D724" s="11" t="str">
        <f>RAW_Клиенты!C723</f>
        <v>25.10.1982</v>
      </c>
      <c r="E724" s="11" t="str">
        <f>RAW_Клиенты!D723</f>
        <v>8-903-678-90-12</v>
      </c>
      <c r="F724" s="11" t="str">
        <f>RAW_Клиенты!E723</f>
        <v>litvinenko@yandex</v>
      </c>
      <c r="G724" s="11" t="str">
        <f>RAW_Клиенты!F723</f>
        <v>Армавир</v>
      </c>
      <c r="H724" s="11" t="str">
        <f>RAW_Клиенты!G723</f>
        <v>2042-01-15</v>
      </c>
      <c r="I724" s="12" t="str">
        <f t="shared" si="463"/>
        <v>89036789012</v>
      </c>
      <c r="J724" s="12" t="str">
        <f t="shared" si="464"/>
        <v>litvinenko@yandex</v>
      </c>
      <c r="K724" s="12" t="str">
        <f t="shared" si="465"/>
        <v>Армавир</v>
      </c>
      <c r="L724" s="13" t="str">
        <f t="shared" si="466"/>
        <v>C0722</v>
      </c>
      <c r="M724" s="13" t="str">
        <f t="shared" si="467"/>
        <v xml:space="preserve">Литвиненко Денис Викторович</v>
      </c>
      <c r="N724" s="13" t="str">
        <f t="shared" si="468"/>
        <v>OK</v>
      </c>
      <c r="O724" s="19">
        <f t="shared" si="469"/>
        <v>30249</v>
      </c>
      <c r="P724" s="19">
        <f t="shared" si="470"/>
        <v>51881</v>
      </c>
      <c r="Q724" s="13">
        <f t="shared" ca="1" si="471"/>
        <v>43</v>
      </c>
      <c r="R724" s="13" t="str">
        <f t="shared" si="472"/>
        <v>OK</v>
      </c>
      <c r="S724" s="13" t="str">
        <f t="shared" si="473"/>
        <v xml:space="preserve">+7 (903) 678-90-12</v>
      </c>
      <c r="T724" s="13" t="str">
        <f t="shared" si="474"/>
        <v>litvinenko@yandex</v>
      </c>
      <c r="U724" s="18" t="str">
        <f t="shared" si="475"/>
        <v xml:space="preserve">Ошибка Email</v>
      </c>
      <c r="V724" s="13" t="str">
        <f>IFERROR(VLOOKUP(K724,Справочники!$K$6:$L$13,2,0),K724)</f>
        <v>Армавир</v>
      </c>
    </row>
    <row r="725" ht="15" customHeight="1">
      <c r="A725" s="10">
        <v>723</v>
      </c>
      <c r="B725" s="11" t="str">
        <f>RAW_Клиенты!A724</f>
        <v>C0723</v>
      </c>
      <c r="C725" s="11" t="str">
        <f>RAW_Клиенты!B724</f>
        <v xml:space="preserve">Старкова Ольга Сергеевна</v>
      </c>
      <c r="D725" s="11" t="str">
        <f>RAW_Клиенты!C724</f>
        <v>23.07.1989</v>
      </c>
      <c r="E725" s="11" t="str">
        <f>RAW_Клиенты!D724</f>
        <v xml:space="preserve">8 903 789 01 23</v>
      </c>
      <c r="F725" s="11" t="str">
        <f>RAW_Клиенты!E724</f>
        <v>starkova@gmail</v>
      </c>
      <c r="G725" s="11" t="str">
        <f>RAW_Клиенты!F724</f>
        <v>Волжский</v>
      </c>
      <c r="H725" s="11" t="str">
        <f>RAW_Клиенты!G724</f>
        <v>15.01.2042</v>
      </c>
      <c r="I725" s="12" t="str">
        <f t="shared" si="463"/>
        <v>89037890123</v>
      </c>
      <c r="J725" s="12" t="str">
        <f t="shared" si="464"/>
        <v>starkova@gmail</v>
      </c>
      <c r="K725" s="12" t="str">
        <f t="shared" si="465"/>
        <v>Волжский</v>
      </c>
      <c r="L725" s="13" t="str">
        <f t="shared" si="466"/>
        <v>C0723</v>
      </c>
      <c r="M725" s="13" t="str">
        <f t="shared" si="467"/>
        <v xml:space="preserve">Старкова Ольга Сергеевна</v>
      </c>
      <c r="N725" s="13" t="str">
        <f t="shared" si="468"/>
        <v>OK</v>
      </c>
      <c r="O725" s="19">
        <f t="shared" si="469"/>
        <v>32712</v>
      </c>
      <c r="P725" s="19">
        <f t="shared" si="470"/>
        <v>51881</v>
      </c>
      <c r="Q725" s="13">
        <f t="shared" ca="1" si="471"/>
        <v>37</v>
      </c>
      <c r="R725" s="13" t="str">
        <f t="shared" si="472"/>
        <v>OK</v>
      </c>
      <c r="S725" s="13" t="str">
        <f t="shared" si="473"/>
        <v xml:space="preserve">+7 (903) 789-01-23</v>
      </c>
      <c r="T725" s="13" t="str">
        <f t="shared" si="474"/>
        <v>starkova@gmail</v>
      </c>
      <c r="U725" s="18" t="str">
        <f t="shared" si="475"/>
        <v xml:space="preserve">Ошибка Email</v>
      </c>
      <c r="V725" s="13" t="str">
        <f>IFERROR(VLOOKUP(K725,Справочники!$K$6:$L$13,2,0),K725)</f>
        <v>Волжский</v>
      </c>
    </row>
    <row r="726" ht="15" customHeight="1">
      <c r="A726" s="10">
        <v>724</v>
      </c>
      <c r="B726" s="11" t="str">
        <f>RAW_Клиенты!A725</f>
        <v>C0724</v>
      </c>
      <c r="C726" s="11" t="str">
        <f>RAW_Клиенты!B725</f>
        <v xml:space="preserve">Паршин Илья Александрович</v>
      </c>
      <c r="D726" s="11" t="str">
        <f>RAW_Клиенты!C725</f>
        <v>12.02.1975</v>
      </c>
      <c r="E726" s="11" t="str">
        <f>RAW_Клиенты!D725</f>
        <v>+79037890123</v>
      </c>
      <c r="F726" s="11" t="str">
        <f>RAW_Клиенты!E725</f>
        <v>parshin@mail</v>
      </c>
      <c r="G726" s="11" t="str">
        <f>RAW_Клиенты!F725</f>
        <v>Шахты</v>
      </c>
      <c r="H726" s="11" t="str">
        <f>RAW_Клиенты!G725</f>
        <v>01.02.2042</v>
      </c>
      <c r="I726" s="12" t="str">
        <f t="shared" si="463"/>
        <v>79037890123</v>
      </c>
      <c r="J726" s="12" t="str">
        <f t="shared" si="464"/>
        <v>parshin@mail</v>
      </c>
      <c r="K726" s="12" t="str">
        <f t="shared" si="465"/>
        <v>Шахты</v>
      </c>
      <c r="L726" s="13" t="str">
        <f t="shared" si="466"/>
        <v>C0724</v>
      </c>
      <c r="M726" s="13" t="str">
        <f t="shared" si="467"/>
        <v xml:space="preserve">Паршин Илья Александрович</v>
      </c>
      <c r="N726" s="13" t="str">
        <f t="shared" si="468"/>
        <v>OK</v>
      </c>
      <c r="O726" s="19">
        <f t="shared" si="469"/>
        <v>27437</v>
      </c>
      <c r="P726" s="19">
        <f t="shared" si="470"/>
        <v>51898</v>
      </c>
      <c r="Q726" s="13">
        <f t="shared" ca="1" si="471"/>
        <v>51</v>
      </c>
      <c r="R726" s="13" t="str">
        <f t="shared" si="472"/>
        <v>OK</v>
      </c>
      <c r="S726" s="13" t="str">
        <f t="shared" si="473"/>
        <v xml:space="preserve">+7 (903) 789-01-23</v>
      </c>
      <c r="T726" s="13" t="str">
        <f t="shared" si="474"/>
        <v>parshin@mail</v>
      </c>
      <c r="U726" s="18" t="str">
        <f t="shared" si="475"/>
        <v xml:space="preserve">Ошибка Email</v>
      </c>
      <c r="V726" s="13" t="str">
        <f>IFERROR(VLOOKUP(K726,Справочники!$K$6:$L$13,2,0),K726)</f>
        <v>Шахты</v>
      </c>
    </row>
    <row r="727" ht="15" customHeight="1">
      <c r="A727" s="10">
        <v>725</v>
      </c>
      <c r="B727" s="11" t="str">
        <f>RAW_Клиенты!A726</f>
        <v>C0725</v>
      </c>
      <c r="C727" s="11" t="str">
        <f>RAW_Клиенты!B726</f>
        <v xml:space="preserve">Яковлева Екатерина Владимировна</v>
      </c>
      <c r="D727" s="11" t="str">
        <f>RAW_Клиенты!C726</f>
        <v>04.09.1983</v>
      </c>
      <c r="E727" s="11" t="str">
        <f>RAW_Клиенты!D726</f>
        <v>8-903-789-01-23</v>
      </c>
      <c r="F727" s="11" t="str">
        <f>RAW_Клиенты!E726</f>
        <v>yakovleva@yandex</v>
      </c>
      <c r="G727" s="11" t="str">
        <f>RAW_Клиенты!F726</f>
        <v>Златоуст</v>
      </c>
      <c r="H727" s="11" t="str">
        <f>RAW_Клиенты!G726</f>
        <v>2042-02-10</v>
      </c>
      <c r="I727" s="12" t="str">
        <f t="shared" si="463"/>
        <v>89037890123</v>
      </c>
      <c r="J727" s="12" t="str">
        <f t="shared" si="464"/>
        <v>yakovleva@yandex</v>
      </c>
      <c r="K727" s="12" t="str">
        <f t="shared" si="465"/>
        <v>Златоуст</v>
      </c>
      <c r="L727" s="13" t="str">
        <f t="shared" si="466"/>
        <v>C0725</v>
      </c>
      <c r="M727" s="13" t="str">
        <f t="shared" si="467"/>
        <v xml:space="preserve">Яковлева Екатерина Владимировна</v>
      </c>
      <c r="N727" s="13" t="str">
        <f t="shared" si="468"/>
        <v>OK</v>
      </c>
      <c r="O727" s="19">
        <f t="shared" si="469"/>
        <v>30563</v>
      </c>
      <c r="P727" s="19">
        <f t="shared" si="470"/>
        <v>51907</v>
      </c>
      <c r="Q727" s="13">
        <f t="shared" ca="1" si="471"/>
        <v>43</v>
      </c>
      <c r="R727" s="13" t="str">
        <f t="shared" si="472"/>
        <v>OK</v>
      </c>
      <c r="S727" s="13" t="str">
        <f t="shared" si="473"/>
        <v xml:space="preserve">+7 (903) 789-01-23</v>
      </c>
      <c r="T727" s="13" t="str">
        <f t="shared" si="474"/>
        <v>yakovleva@yandex</v>
      </c>
      <c r="U727" s="18" t="str">
        <f t="shared" si="475"/>
        <v xml:space="preserve">Ошибка Email</v>
      </c>
      <c r="V727" s="13" t="str">
        <f>IFERROR(VLOOKUP(K727,Справочники!$K$6:$L$13,2,0),K727)</f>
        <v>Златоуст</v>
      </c>
    </row>
    <row r="728" ht="15" customHeight="1">
      <c r="A728" s="10">
        <v>726</v>
      </c>
      <c r="B728" s="11" t="str">
        <f>RAW_Клиенты!A727</f>
        <v>C0726</v>
      </c>
      <c r="C728" s="11" t="str">
        <f>RAW_Клиенты!B727</f>
        <v xml:space="preserve">Козырев Андрей Олегович</v>
      </c>
      <c r="D728" s="11" t="str">
        <f>RAW_Клиенты!C727</f>
        <v>17.05.1992</v>
      </c>
      <c r="E728" s="11" t="str">
        <f>RAW_Клиенты!D727</f>
        <v xml:space="preserve">8 903 890 12 34</v>
      </c>
      <c r="F728" s="11" t="str">
        <f>RAW_Клиенты!E727</f>
        <v>kozyrev@gmail</v>
      </c>
      <c r="G728" s="11" t="str">
        <f>RAW_Клиенты!F727</f>
        <v>Ангарск</v>
      </c>
      <c r="H728" s="11" t="str">
        <f>RAW_Клиенты!G727</f>
        <v>10.02.2042</v>
      </c>
      <c r="I728" s="12" t="str">
        <f t="shared" si="463"/>
        <v>89038901234</v>
      </c>
      <c r="J728" s="12" t="str">
        <f t="shared" si="464"/>
        <v>kozyrev@gmail</v>
      </c>
      <c r="K728" s="12" t="str">
        <f t="shared" si="465"/>
        <v>Ангарск</v>
      </c>
      <c r="L728" s="13" t="str">
        <f t="shared" si="466"/>
        <v>C0726</v>
      </c>
      <c r="M728" s="13" t="str">
        <f t="shared" si="467"/>
        <v xml:space="preserve">Козырев Андрей Олегович</v>
      </c>
      <c r="N728" s="13" t="str">
        <f t="shared" si="468"/>
        <v>OK</v>
      </c>
      <c r="O728" s="19">
        <f t="shared" si="469"/>
        <v>33741</v>
      </c>
      <c r="P728" s="19">
        <f t="shared" si="470"/>
        <v>51907</v>
      </c>
      <c r="Q728" s="13">
        <f t="shared" ca="1" si="471"/>
        <v>34</v>
      </c>
      <c r="R728" s="13" t="str">
        <f t="shared" si="472"/>
        <v>OK</v>
      </c>
      <c r="S728" s="13" t="str">
        <f t="shared" si="473"/>
        <v xml:space="preserve">+7 (903) 890-12-34</v>
      </c>
      <c r="T728" s="13" t="str">
        <f t="shared" si="474"/>
        <v>kozyrev@gmail</v>
      </c>
      <c r="U728" s="18" t="str">
        <f t="shared" si="475"/>
        <v xml:space="preserve">Ошибка Email</v>
      </c>
      <c r="V728" s="13" t="str">
        <f>IFERROR(VLOOKUP(K728,Справочники!$K$6:$L$13,2,0),K728)</f>
        <v>Ангарск</v>
      </c>
    </row>
    <row r="729" ht="15" customHeight="1">
      <c r="A729" s="10">
        <v>727</v>
      </c>
      <c r="B729" s="11" t="str">
        <f>RAW_Клиенты!A728</f>
        <v>C0727</v>
      </c>
      <c r="C729" s="11" t="str">
        <f>RAW_Клиенты!B728</f>
        <v xml:space="preserve">Батина Мария Павловна</v>
      </c>
      <c r="D729" s="11" t="str">
        <f>RAW_Клиенты!C728</f>
        <v>06.12.1977</v>
      </c>
      <c r="E729" s="11" t="str">
        <f>RAW_Клиенты!D728</f>
        <v>+79038901234</v>
      </c>
      <c r="F729" s="11" t="str">
        <f>RAW_Клиенты!E728</f>
        <v>batina@mail</v>
      </c>
      <c r="G729" s="11" t="str">
        <f>RAW_Клиенты!F728</f>
        <v>Озёрск</v>
      </c>
      <c r="H729" s="11" t="str">
        <f>RAW_Клиенты!G728</f>
        <v>01.03.2042</v>
      </c>
      <c r="I729" s="12" t="str">
        <f t="shared" si="463"/>
        <v>79038901234</v>
      </c>
      <c r="J729" s="12" t="str">
        <f t="shared" si="464"/>
        <v>batina@mail</v>
      </c>
      <c r="K729" s="12" t="str">
        <f t="shared" si="465"/>
        <v>Озёрск</v>
      </c>
      <c r="L729" s="13" t="str">
        <f t="shared" si="466"/>
        <v>C0727</v>
      </c>
      <c r="M729" s="13" t="str">
        <f t="shared" si="467"/>
        <v xml:space="preserve">Батина Мария Павловна</v>
      </c>
      <c r="N729" s="13" t="str">
        <f t="shared" si="468"/>
        <v>OK</v>
      </c>
      <c r="O729" s="19">
        <f t="shared" si="469"/>
        <v>28465</v>
      </c>
      <c r="P729" s="19">
        <f t="shared" si="470"/>
        <v>51926</v>
      </c>
      <c r="Q729" s="13">
        <f t="shared" ca="1" si="471"/>
        <v>48</v>
      </c>
      <c r="R729" s="13" t="str">
        <f t="shared" si="472"/>
        <v>OK</v>
      </c>
      <c r="S729" s="13" t="str">
        <f t="shared" si="473"/>
        <v xml:space="preserve">+7 (903) 890-12-34</v>
      </c>
      <c r="T729" s="13" t="str">
        <f t="shared" si="474"/>
        <v>batina@mail</v>
      </c>
      <c r="U729" s="18" t="str">
        <f t="shared" si="475"/>
        <v xml:space="preserve">Ошибка Email</v>
      </c>
      <c r="V729" s="13" t="str">
        <f>IFERROR(VLOOKUP(K729,Справочники!$K$6:$L$13,2,0),K729)</f>
        <v>Озёрск</v>
      </c>
    </row>
    <row r="730" ht="15" customHeight="1">
      <c r="A730" s="10">
        <v>728</v>
      </c>
      <c r="B730" s="11" t="str">
        <f>RAW_Клиенты!A729</f>
        <v>C0728</v>
      </c>
      <c r="C730" s="11" t="str">
        <f>RAW_Клиенты!B729</f>
        <v xml:space="preserve">Коротков Денис Сергеевич</v>
      </c>
      <c r="D730" s="11" t="str">
        <f>RAW_Клиенты!C729</f>
        <v>28.04.1986</v>
      </c>
      <c r="E730" s="11" t="str">
        <f>RAW_Клиенты!D729</f>
        <v>8-903-890-12-34</v>
      </c>
      <c r="F730" s="11" t="str">
        <f>RAW_Клиенты!E729</f>
        <v>korotkov@yandex</v>
      </c>
      <c r="G730" s="11" t="str">
        <f>RAW_Клиенты!F729</f>
        <v>Орел</v>
      </c>
      <c r="H730" s="11" t="str">
        <f>RAW_Клиенты!G729</f>
        <v>2042-03-15</v>
      </c>
      <c r="I730" s="12" t="str">
        <f t="shared" si="463"/>
        <v>89038901234</v>
      </c>
      <c r="J730" s="12" t="str">
        <f t="shared" si="464"/>
        <v>korotkov@yandex</v>
      </c>
      <c r="K730" s="12" t="str">
        <f t="shared" si="465"/>
        <v>Орел</v>
      </c>
      <c r="L730" s="13" t="str">
        <f t="shared" si="466"/>
        <v>C0728</v>
      </c>
      <c r="M730" s="13" t="str">
        <f t="shared" si="467"/>
        <v xml:space="preserve">Коротков Денис Сергеевич</v>
      </c>
      <c r="N730" s="13" t="str">
        <f t="shared" si="468"/>
        <v>OK</v>
      </c>
      <c r="O730" s="19">
        <f t="shared" si="469"/>
        <v>31530</v>
      </c>
      <c r="P730" s="19">
        <f t="shared" si="470"/>
        <v>51940</v>
      </c>
      <c r="Q730" s="13">
        <f t="shared" ca="1" si="471"/>
        <v>40</v>
      </c>
      <c r="R730" s="13" t="str">
        <f t="shared" si="472"/>
        <v>OK</v>
      </c>
      <c r="S730" s="13" t="str">
        <f t="shared" si="473"/>
        <v xml:space="preserve">+7 (903) 890-12-34</v>
      </c>
      <c r="T730" s="13" t="str">
        <f t="shared" si="474"/>
        <v>korotkov@yandex</v>
      </c>
      <c r="U730" s="18" t="str">
        <f t="shared" si="475"/>
        <v xml:space="preserve">Ошибка Email</v>
      </c>
      <c r="V730" s="13" t="str">
        <f>IFERROR(VLOOKUP(K730,Справочники!$K$6:$L$13,2,0),K730)</f>
        <v>Орел</v>
      </c>
    </row>
    <row r="731" ht="15" customHeight="1">
      <c r="A731" s="10">
        <v>729</v>
      </c>
      <c r="B731" s="11" t="str">
        <f>RAW_Клиенты!A730</f>
        <v>C0729</v>
      </c>
      <c r="C731" s="11" t="str">
        <f>RAW_Клиенты!B730</f>
        <v xml:space="preserve">Соловьева Ольга Сергеевна</v>
      </c>
      <c r="D731" s="11" t="str">
        <f>RAW_Клиенты!C730</f>
        <v>02.08.1991</v>
      </c>
      <c r="E731" s="11" t="str">
        <f>RAW_Клиенты!D730</f>
        <v xml:space="preserve">8 903 901 23 45</v>
      </c>
      <c r="F731" s="11" t="str">
        <f>RAW_Клиенты!E730</f>
        <v>solovieva@gmail</v>
      </c>
      <c r="G731" s="11" t="str">
        <f>RAW_Клиенты!F730</f>
        <v>Магнитогорск</v>
      </c>
      <c r="H731" s="11" t="str">
        <f>RAW_Клиенты!G730</f>
        <v>15.03.2042</v>
      </c>
      <c r="I731" s="12" t="str">
        <f t="shared" si="463"/>
        <v>89039012345</v>
      </c>
      <c r="J731" s="12" t="str">
        <f t="shared" si="464"/>
        <v>solovieva@gmail</v>
      </c>
      <c r="K731" s="12" t="str">
        <f t="shared" si="465"/>
        <v>Магнитогорск</v>
      </c>
      <c r="L731" s="13" t="str">
        <f t="shared" si="466"/>
        <v>C0729</v>
      </c>
      <c r="M731" s="13" t="str">
        <f t="shared" si="467"/>
        <v xml:space="preserve">Соловьева Ольга Сергеевна</v>
      </c>
      <c r="N731" s="13" t="str">
        <f t="shared" si="468"/>
        <v>OK</v>
      </c>
      <c r="O731" s="19">
        <f t="shared" si="469"/>
        <v>33452</v>
      </c>
      <c r="P731" s="19">
        <f t="shared" si="470"/>
        <v>51940</v>
      </c>
      <c r="Q731" s="13">
        <f t="shared" ca="1" si="471"/>
        <v>35</v>
      </c>
      <c r="R731" s="13" t="str">
        <f t="shared" si="472"/>
        <v>OK</v>
      </c>
      <c r="S731" s="13" t="str">
        <f t="shared" si="473"/>
        <v xml:space="preserve">+7 (903) 901-23-45</v>
      </c>
      <c r="T731" s="13" t="str">
        <f t="shared" si="474"/>
        <v>solovieva@gmail</v>
      </c>
      <c r="U731" s="18" t="str">
        <f t="shared" si="475"/>
        <v xml:space="preserve">Ошибка Email</v>
      </c>
      <c r="V731" s="13" t="str">
        <f>IFERROR(VLOOKUP(K731,Справочники!$K$6:$L$13,2,0),K731)</f>
        <v>Магнитогорск</v>
      </c>
    </row>
    <row r="732" ht="15" customHeight="1">
      <c r="A732" s="10">
        <v>730</v>
      </c>
      <c r="B732" s="11" t="str">
        <f>RAW_Клиенты!A731</f>
        <v>C0730</v>
      </c>
      <c r="C732" s="11" t="str">
        <f>RAW_Клиенты!B731</f>
        <v xml:space="preserve">Лаврентьев Илья Алексеевич</v>
      </c>
      <c r="D732" s="11" t="str">
        <f>RAW_Клиенты!C731</f>
        <v>19.06.1974</v>
      </c>
      <c r="E732" s="11" t="str">
        <f>RAW_Клиенты!D731</f>
        <v>+79039012345</v>
      </c>
      <c r="F732" s="11" t="str">
        <f>RAW_Клиенты!E731</f>
        <v>lavrentiev@mail</v>
      </c>
      <c r="G732" s="11" t="str">
        <f>RAW_Клиенты!F731</f>
        <v>Якутск</v>
      </c>
      <c r="H732" s="11" t="str">
        <f>RAW_Клиенты!G731</f>
        <v>01.04.2042</v>
      </c>
      <c r="I732" s="12" t="str">
        <f t="shared" si="463"/>
        <v>79039012345</v>
      </c>
      <c r="J732" s="12" t="str">
        <f t="shared" si="464"/>
        <v>lavrentiev@mail</v>
      </c>
      <c r="K732" s="12" t="str">
        <f t="shared" si="465"/>
        <v>Якутск</v>
      </c>
      <c r="L732" s="13" t="str">
        <f t="shared" si="466"/>
        <v>C0730</v>
      </c>
      <c r="M732" s="13" t="str">
        <f t="shared" si="467"/>
        <v xml:space="preserve">Лаврентьев Илья Алексеевич</v>
      </c>
      <c r="N732" s="13" t="str">
        <f t="shared" si="468"/>
        <v>OK</v>
      </c>
      <c r="O732" s="19">
        <f t="shared" si="469"/>
        <v>27199</v>
      </c>
      <c r="P732" s="19">
        <f t="shared" si="470"/>
        <v>51957</v>
      </c>
      <c r="Q732" s="13">
        <f t="shared" ca="1" si="471"/>
        <v>52</v>
      </c>
      <c r="R732" s="13" t="str">
        <f t="shared" si="472"/>
        <v>OK</v>
      </c>
      <c r="S732" s="13" t="str">
        <f t="shared" si="473"/>
        <v xml:space="preserve">+7 (903) 901-23-45</v>
      </c>
      <c r="T732" s="13" t="str">
        <f t="shared" si="474"/>
        <v>lavrentiev@mail</v>
      </c>
      <c r="U732" s="18" t="str">
        <f t="shared" si="475"/>
        <v xml:space="preserve">Ошибка Email</v>
      </c>
      <c r="V732" s="13" t="str">
        <f>IFERROR(VLOOKUP(K732,Справочники!$K$6:$L$13,2,0),K732)</f>
        <v>Якутск</v>
      </c>
    </row>
    <row r="733" ht="15" customHeight="1">
      <c r="A733" s="10">
        <v>731</v>
      </c>
      <c r="B733" s="11" t="str">
        <f>RAW_Клиенты!A732</f>
        <v>C0731</v>
      </c>
      <c r="C733" s="11" t="str">
        <f>RAW_Клиенты!B732</f>
        <v xml:space="preserve">Алексахина Екатерина Сергеевна</v>
      </c>
      <c r="D733" s="11" t="str">
        <f>RAW_Клиенты!C732</f>
        <v>11.10.1980</v>
      </c>
      <c r="E733" s="11" t="str">
        <f>RAW_Клиенты!D732</f>
        <v>8-903-901-23-45</v>
      </c>
      <c r="F733" s="11" t="str">
        <f>RAW_Клиенты!E732</f>
        <v>aleksahina@yandex</v>
      </c>
      <c r="G733" s="11" t="str">
        <f>RAW_Клиенты!F732</f>
        <v>Чебоксары</v>
      </c>
      <c r="H733" s="11" t="str">
        <f>RAW_Клиенты!G732</f>
        <v>2042-04-10</v>
      </c>
      <c r="I733" s="12" t="str">
        <f t="shared" si="463"/>
        <v>89039012345</v>
      </c>
      <c r="J733" s="12" t="str">
        <f t="shared" si="464"/>
        <v>aleksahina@yandex</v>
      </c>
      <c r="K733" s="12" t="str">
        <f t="shared" si="465"/>
        <v>Чебоксары</v>
      </c>
      <c r="L733" s="13" t="str">
        <f t="shared" si="466"/>
        <v>C0731</v>
      </c>
      <c r="M733" s="13" t="str">
        <f t="shared" si="467"/>
        <v xml:space="preserve">Алексахина Екатерина Сергеевна</v>
      </c>
      <c r="N733" s="13" t="str">
        <f t="shared" si="468"/>
        <v>OK</v>
      </c>
      <c r="O733" s="19">
        <f t="shared" si="469"/>
        <v>29505</v>
      </c>
      <c r="P733" s="19">
        <f t="shared" si="470"/>
        <v>51966</v>
      </c>
      <c r="Q733" s="13">
        <f t="shared" ca="1" si="471"/>
        <v>45</v>
      </c>
      <c r="R733" s="13" t="str">
        <f t="shared" si="472"/>
        <v>OK</v>
      </c>
      <c r="S733" s="13" t="str">
        <f t="shared" si="473"/>
        <v xml:space="preserve">+7 (903) 901-23-45</v>
      </c>
      <c r="T733" s="13" t="str">
        <f t="shared" si="474"/>
        <v>aleksahina@yandex</v>
      </c>
      <c r="U733" s="18" t="str">
        <f t="shared" si="475"/>
        <v xml:space="preserve">Ошибка Email</v>
      </c>
      <c r="V733" s="13" t="str">
        <f>IFERROR(VLOOKUP(K733,Справочники!$K$6:$L$13,2,0),K733)</f>
        <v>Чебоксары</v>
      </c>
    </row>
    <row r="734" ht="15" customHeight="1">
      <c r="A734" s="10">
        <v>732</v>
      </c>
      <c r="B734" s="11" t="str">
        <f>RAW_Клиенты!A733</f>
        <v>C0732</v>
      </c>
      <c r="C734" s="11" t="str">
        <f>RAW_Клиенты!B733</f>
        <v xml:space="preserve">Каменев Андрей Павлович</v>
      </c>
      <c r="D734" s="11" t="str">
        <f>RAW_Клиенты!C733</f>
        <v>30.01.1987</v>
      </c>
      <c r="E734" s="11" t="str">
        <f>RAW_Клиенты!D733</f>
        <v xml:space="preserve">8 903 012 34 56</v>
      </c>
      <c r="F734" s="11" t="str">
        <f>RAW_Клиенты!E733</f>
        <v>kamenev@gmail</v>
      </c>
      <c r="G734" s="11" t="str">
        <f>RAW_Клиенты!F733</f>
        <v>Мурманск</v>
      </c>
      <c r="H734" s="11" t="str">
        <f>RAW_Клиенты!G733</f>
        <v>10.04.2042</v>
      </c>
      <c r="I734" s="12" t="str">
        <f t="shared" si="463"/>
        <v>89030123456</v>
      </c>
      <c r="J734" s="12" t="str">
        <f t="shared" si="464"/>
        <v>kamenev@gmail</v>
      </c>
      <c r="K734" s="12" t="str">
        <f t="shared" si="465"/>
        <v>Мурманск</v>
      </c>
      <c r="L734" s="13" t="str">
        <f t="shared" si="466"/>
        <v>C0732</v>
      </c>
      <c r="M734" s="13" t="str">
        <f t="shared" si="467"/>
        <v xml:space="preserve">Каменев Андрей Павлович</v>
      </c>
      <c r="N734" s="13" t="str">
        <f t="shared" si="468"/>
        <v>OK</v>
      </c>
      <c r="O734" s="19">
        <f t="shared" si="469"/>
        <v>31807</v>
      </c>
      <c r="P734" s="19">
        <f t="shared" si="470"/>
        <v>51966</v>
      </c>
      <c r="Q734" s="13">
        <f t="shared" ca="1" si="471"/>
        <v>39</v>
      </c>
      <c r="R734" s="13" t="str">
        <f t="shared" si="472"/>
        <v>OK</v>
      </c>
      <c r="S734" s="13" t="str">
        <f t="shared" si="473"/>
        <v xml:space="preserve">+7 (903) 012-34-56</v>
      </c>
      <c r="T734" s="13" t="str">
        <f t="shared" si="474"/>
        <v>kamenev@gmail</v>
      </c>
      <c r="U734" s="18" t="str">
        <f t="shared" si="475"/>
        <v xml:space="preserve">Ошибка Email</v>
      </c>
      <c r="V734" s="13" t="str">
        <f>IFERROR(VLOOKUP(K734,Справочники!$K$6:$L$13,2,0),K734)</f>
        <v>Мурманск</v>
      </c>
    </row>
    <row r="735" ht="15" customHeight="1">
      <c r="A735" s="10">
        <v>733</v>
      </c>
      <c r="B735" s="11" t="str">
        <f>RAW_Клиенты!A734</f>
        <v>C0733</v>
      </c>
      <c r="C735" s="11" t="str">
        <f>RAW_Клиенты!B734</f>
        <v xml:space="preserve">Захарова Мария Олеговна</v>
      </c>
      <c r="D735" s="11" t="str">
        <f>RAW_Клиенты!C734</f>
        <v>22.07.1975</v>
      </c>
      <c r="E735" s="11" t="str">
        <f>RAW_Клиенты!D734</f>
        <v>+79030123456</v>
      </c>
      <c r="F735" s="11" t="str">
        <f>RAW_Клиенты!E734</f>
        <v>zaharova@mail</v>
      </c>
      <c r="G735" s="11" t="str">
        <f>RAW_Клиенты!F734</f>
        <v>Смоленск</v>
      </c>
      <c r="H735" s="11" t="str">
        <f>RAW_Клиенты!G734</f>
        <v>01.05.2042</v>
      </c>
      <c r="I735" s="12" t="str">
        <f t="shared" si="463"/>
        <v>79030123456</v>
      </c>
      <c r="J735" s="12" t="str">
        <f t="shared" si="464"/>
        <v>zaharova@mail</v>
      </c>
      <c r="K735" s="12" t="str">
        <f t="shared" si="465"/>
        <v>Смоленск</v>
      </c>
      <c r="L735" s="13" t="str">
        <f t="shared" si="466"/>
        <v>C0733</v>
      </c>
      <c r="M735" s="13" t="str">
        <f t="shared" si="467"/>
        <v xml:space="preserve">Захарова Мария Олеговна</v>
      </c>
      <c r="N735" s="13" t="str">
        <f t="shared" si="468"/>
        <v>OK</v>
      </c>
      <c r="O735" s="19">
        <f t="shared" si="469"/>
        <v>27597</v>
      </c>
      <c r="P735" s="19">
        <f t="shared" si="470"/>
        <v>51987</v>
      </c>
      <c r="Q735" s="13">
        <f t="shared" ca="1" si="471"/>
        <v>51</v>
      </c>
      <c r="R735" s="13" t="str">
        <f t="shared" si="472"/>
        <v>OK</v>
      </c>
      <c r="S735" s="13" t="str">
        <f t="shared" si="473"/>
        <v xml:space="preserve">+7 (903) 012-34-56</v>
      </c>
      <c r="T735" s="13" t="str">
        <f t="shared" si="474"/>
        <v>zaharova@mail</v>
      </c>
      <c r="U735" s="18" t="str">
        <f t="shared" si="475"/>
        <v xml:space="preserve">Ошибка Email</v>
      </c>
      <c r="V735" s="13" t="str">
        <f>IFERROR(VLOOKUP(K735,Справочники!$K$6:$L$13,2,0),K735)</f>
        <v>Смоленск</v>
      </c>
    </row>
    <row r="736" ht="15" customHeight="1">
      <c r="A736" s="10">
        <v>734</v>
      </c>
      <c r="B736" s="11" t="str">
        <f>RAW_Клиенты!A735</f>
        <v>C0734</v>
      </c>
      <c r="C736" s="11" t="str">
        <f>RAW_Клиенты!B735</f>
        <v xml:space="preserve">Стеклов Денис Викторович</v>
      </c>
      <c r="D736" s="11" t="str">
        <f>RAW_Клиенты!C735</f>
        <v>17.12.1984</v>
      </c>
      <c r="E736" s="11" t="str">
        <f>RAW_Клиенты!D735</f>
        <v>8-903-012-34-56</v>
      </c>
      <c r="F736" s="11" t="str">
        <f>RAW_Клиенты!E735</f>
        <v>steklov@yandex</v>
      </c>
      <c r="G736" s="11" t="str">
        <f>RAW_Клиенты!F735</f>
        <v>Тула</v>
      </c>
      <c r="H736" s="11" t="str">
        <f>RAW_Клиенты!G735</f>
        <v>2042-05-15</v>
      </c>
      <c r="I736" s="12" t="str">
        <f t="shared" si="463"/>
        <v>89030123456</v>
      </c>
      <c r="J736" s="12" t="str">
        <f t="shared" si="464"/>
        <v>steklov@yandex</v>
      </c>
      <c r="K736" s="12" t="str">
        <f t="shared" si="465"/>
        <v>Тула</v>
      </c>
      <c r="L736" s="13" t="str">
        <f t="shared" si="466"/>
        <v>C0734</v>
      </c>
      <c r="M736" s="13" t="str">
        <f t="shared" si="467"/>
        <v xml:space="preserve">Стеклов Денис Викторович</v>
      </c>
      <c r="N736" s="13" t="str">
        <f t="shared" si="468"/>
        <v>OK</v>
      </c>
      <c r="O736" s="19">
        <f t="shared" si="469"/>
        <v>31033</v>
      </c>
      <c r="P736" s="19">
        <f t="shared" si="470"/>
        <v>52001</v>
      </c>
      <c r="Q736" s="13">
        <f t="shared" ca="1" si="471"/>
        <v>41</v>
      </c>
      <c r="R736" s="13" t="str">
        <f t="shared" si="472"/>
        <v>OK</v>
      </c>
      <c r="S736" s="13" t="str">
        <f t="shared" si="473"/>
        <v xml:space="preserve">+7 (903) 012-34-56</v>
      </c>
      <c r="T736" s="13" t="str">
        <f t="shared" si="474"/>
        <v>steklov@yandex</v>
      </c>
      <c r="U736" s="18" t="str">
        <f t="shared" si="475"/>
        <v xml:space="preserve">Ошибка Email</v>
      </c>
      <c r="V736" s="13" t="str">
        <f>IFERROR(VLOOKUP(K736,Справочники!$K$6:$L$13,2,0),K736)</f>
        <v>Тула</v>
      </c>
    </row>
    <row r="737" ht="15" customHeight="1">
      <c r="A737" s="10">
        <v>735</v>
      </c>
      <c r="B737" s="11" t="str">
        <f>RAW_Клиенты!A736</f>
        <v>C0735</v>
      </c>
      <c r="C737" s="11" t="str">
        <f>RAW_Клиенты!B736</f>
        <v xml:space="preserve">Мишина Ольга Павловна</v>
      </c>
      <c r="D737" s="11" t="str">
        <f>RAW_Клиенты!C736</f>
        <v>08.05.1988</v>
      </c>
      <c r="E737" s="11" t="str">
        <f>RAW_Клиенты!D736</f>
        <v xml:space="preserve">8 903 123 45 67</v>
      </c>
      <c r="F737" s="11" t="str">
        <f>RAW_Клиенты!E736</f>
        <v>mishina@gmail</v>
      </c>
      <c r="G737" s="11" t="str">
        <f>RAW_Клиенты!F736</f>
        <v>Калуга</v>
      </c>
      <c r="H737" s="11" t="str">
        <f>RAW_Клиенты!G736</f>
        <v>15.05.2042</v>
      </c>
      <c r="I737" s="12" t="str">
        <f t="shared" si="463"/>
        <v>89031234567</v>
      </c>
      <c r="J737" s="12" t="str">
        <f t="shared" si="464"/>
        <v>mishina@gmail</v>
      </c>
      <c r="K737" s="12" t="str">
        <f t="shared" si="465"/>
        <v>Калуга</v>
      </c>
      <c r="L737" s="13" t="str">
        <f t="shared" si="466"/>
        <v>C0735</v>
      </c>
      <c r="M737" s="13" t="str">
        <f t="shared" si="467"/>
        <v xml:space="preserve">Мишина Ольга Павловна</v>
      </c>
      <c r="N737" s="13" t="str">
        <f t="shared" si="468"/>
        <v>OK</v>
      </c>
      <c r="O737" s="19">
        <f t="shared" si="469"/>
        <v>32271</v>
      </c>
      <c r="P737" s="19">
        <f t="shared" si="470"/>
        <v>52001</v>
      </c>
      <c r="Q737" s="13">
        <f t="shared" ca="1" si="471"/>
        <v>38</v>
      </c>
      <c r="R737" s="13" t="str">
        <f t="shared" si="472"/>
        <v>OK</v>
      </c>
      <c r="S737" s="13" t="str">
        <f t="shared" si="473"/>
        <v xml:space="preserve">+7 (903) 123-45-67</v>
      </c>
      <c r="T737" s="13" t="str">
        <f t="shared" si="474"/>
        <v>mishina@gmail</v>
      </c>
      <c r="U737" s="18" t="str">
        <f t="shared" si="475"/>
        <v xml:space="preserve">Ошибка Email</v>
      </c>
      <c r="V737" s="13" t="str">
        <f>IFERROR(VLOOKUP(K737,Справочники!$K$6:$L$13,2,0),K737)</f>
        <v>Калуга</v>
      </c>
    </row>
    <row r="738" ht="15" customHeight="1">
      <c r="A738" s="10">
        <v>736</v>
      </c>
      <c r="B738" s="11" t="str">
        <f>RAW_Клиенты!A737</f>
        <v>C0736</v>
      </c>
      <c r="C738" s="11" t="str">
        <f>RAW_Клиенты!B737</f>
        <v xml:space="preserve">Шатохин Илья Александрович</v>
      </c>
      <c r="D738" s="11" t="str">
        <f>RAW_Клиенты!C737</f>
        <v>26.09.1973</v>
      </c>
      <c r="E738" s="11" t="str">
        <f>RAW_Клиенты!D737</f>
        <v>+79031234567</v>
      </c>
      <c r="F738" s="11" t="str">
        <f>RAW_Клиенты!E737</f>
        <v>shatohin@mail</v>
      </c>
      <c r="G738" s="11" t="str">
        <f>RAW_Клиенты!F737</f>
        <v>Владикавказ</v>
      </c>
      <c r="H738" s="11" t="str">
        <f>RAW_Клиенты!G737</f>
        <v>01.06.2042</v>
      </c>
      <c r="I738" s="12" t="str">
        <f t="shared" si="463"/>
        <v>79031234567</v>
      </c>
      <c r="J738" s="12" t="str">
        <f t="shared" si="464"/>
        <v>shatohin@mail</v>
      </c>
      <c r="K738" s="12" t="str">
        <f t="shared" si="465"/>
        <v>Владикавказ</v>
      </c>
      <c r="L738" s="13" t="str">
        <f t="shared" si="466"/>
        <v>C0736</v>
      </c>
      <c r="M738" s="13" t="str">
        <f t="shared" si="467"/>
        <v xml:space="preserve">Шатохин Илья Александрович</v>
      </c>
      <c r="N738" s="13" t="str">
        <f t="shared" si="468"/>
        <v>OK</v>
      </c>
      <c r="O738" s="19">
        <f t="shared" si="469"/>
        <v>26933</v>
      </c>
      <c r="P738" s="19">
        <f t="shared" si="470"/>
        <v>52018</v>
      </c>
      <c r="Q738" s="13">
        <f t="shared" ca="1" si="471"/>
        <v>52</v>
      </c>
      <c r="R738" s="13" t="str">
        <f t="shared" si="472"/>
        <v>OK</v>
      </c>
      <c r="S738" s="13" t="str">
        <f t="shared" si="473"/>
        <v xml:space="preserve">+7 (903) 123-45-67</v>
      </c>
      <c r="T738" s="13" t="str">
        <f t="shared" si="474"/>
        <v>shatohin@mail</v>
      </c>
      <c r="U738" s="18" t="str">
        <f t="shared" si="475"/>
        <v xml:space="preserve">Ошибка Email</v>
      </c>
      <c r="V738" s="13" t="str">
        <f>IFERROR(VLOOKUP(K738,Справочники!$K$6:$L$13,2,0),K738)</f>
        <v>Владикавказ</v>
      </c>
    </row>
    <row r="739" ht="15" customHeight="1">
      <c r="A739" s="10">
        <v>737</v>
      </c>
      <c r="B739" s="11" t="str">
        <f>RAW_Клиенты!A738</f>
        <v>C0737</v>
      </c>
      <c r="C739" s="11" t="str">
        <f>RAW_Клиенты!B738</f>
        <v xml:space="preserve">Черепанова Екатерина Сергеевна</v>
      </c>
      <c r="D739" s="11" t="str">
        <f>RAW_Клиенты!C738</f>
        <v>14.03.1982</v>
      </c>
      <c r="E739" s="11" t="str">
        <f>RAW_Клиенты!D738</f>
        <v>8-903-123-45-67</v>
      </c>
      <c r="F739" s="11" t="str">
        <f>RAW_Клиенты!E738</f>
        <v>cherepanova@yandex</v>
      </c>
      <c r="G739" s="11" t="str">
        <f>RAW_Клиенты!F738</f>
        <v>Смоленск</v>
      </c>
      <c r="H739" s="11" t="str">
        <f>RAW_Клиенты!G738</f>
        <v>2042-06-10</v>
      </c>
      <c r="I739" s="12" t="str">
        <f t="shared" si="463"/>
        <v>89031234567</v>
      </c>
      <c r="J739" s="12" t="str">
        <f t="shared" si="464"/>
        <v>cherepanova@yandex</v>
      </c>
      <c r="K739" s="12" t="str">
        <f t="shared" si="465"/>
        <v>Смоленск</v>
      </c>
      <c r="L739" s="13" t="str">
        <f t="shared" si="466"/>
        <v>C0737</v>
      </c>
      <c r="M739" s="13" t="str">
        <f t="shared" si="467"/>
        <v xml:space="preserve">Черепанова Екатерина Сергеевна</v>
      </c>
      <c r="N739" s="13" t="str">
        <f t="shared" si="468"/>
        <v>OK</v>
      </c>
      <c r="O739" s="19">
        <f t="shared" si="469"/>
        <v>30024</v>
      </c>
      <c r="P739" s="19">
        <f t="shared" si="470"/>
        <v>52027</v>
      </c>
      <c r="Q739" s="13">
        <f t="shared" ca="1" si="471"/>
        <v>44</v>
      </c>
      <c r="R739" s="13" t="str">
        <f t="shared" si="472"/>
        <v>OK</v>
      </c>
      <c r="S739" s="13" t="str">
        <f t="shared" si="473"/>
        <v xml:space="preserve">+7 (903) 123-45-67</v>
      </c>
      <c r="T739" s="13" t="str">
        <f t="shared" si="474"/>
        <v>cherepanova@yandex</v>
      </c>
      <c r="U739" s="18" t="str">
        <f t="shared" si="475"/>
        <v xml:space="preserve">Ошибка Email</v>
      </c>
      <c r="V739" s="13" t="str">
        <f>IFERROR(VLOOKUP(K739,Справочники!$K$6:$L$13,2,0),K739)</f>
        <v>Смоленск</v>
      </c>
    </row>
    <row r="740" ht="15" customHeight="1">
      <c r="A740" s="10">
        <v>738</v>
      </c>
      <c r="B740" s="11" t="str">
        <f>RAW_Клиенты!A739</f>
        <v>C0738</v>
      </c>
      <c r="C740" s="11" t="str">
        <f>RAW_Клиенты!B739</f>
        <v xml:space="preserve">Пантелеев Андрей Олегович</v>
      </c>
      <c r="D740" s="11" t="str">
        <f>RAW_Клиенты!C739</f>
        <v>05.11.1990</v>
      </c>
      <c r="E740" s="11" t="str">
        <f>RAW_Клиенты!D739</f>
        <v xml:space="preserve">8 903 234 56 78</v>
      </c>
      <c r="F740" s="11" t="str">
        <f>RAW_Клиенты!E739</f>
        <v>panteleev@gmail</v>
      </c>
      <c r="G740" s="11" t="str">
        <f>RAW_Клиенты!F739</f>
        <v>Белгород</v>
      </c>
      <c r="H740" s="11" t="str">
        <f>RAW_Клиенты!G739</f>
        <v>10.06.2042</v>
      </c>
      <c r="I740" s="12" t="str">
        <f t="shared" ref="I740:I803" si="476">SUBSTITUTE(SUBSTITUTE(SUBSTITUTE(SUBSTITUTE(SUBSTITUTE(SUBSTITUTE(E740," ",""),"-",""),"+",""),"(",""),")",""),CHAR(160),"")</f>
        <v>89032345678</v>
      </c>
      <c r="J740" s="12" t="str">
        <f t="shared" ref="J740:J803" si="477">SUBSTITUTE(SUBSTITUTE(TRIM(F740)," ",""),CHAR(160),"")</f>
        <v>panteleev@gmail</v>
      </c>
      <c r="K740" s="12" t="str">
        <f t="shared" ref="K740:K803" si="478">TRIM(SUBSTITUTE(SUBSTITUTE(TRIM(G740),"г.",""),"г ",""))</f>
        <v>Белгород</v>
      </c>
      <c r="L740" s="13" t="str">
        <f t="shared" ref="L740:L803" si="479">B740</f>
        <v>C0738</v>
      </c>
      <c r="M740" s="13" t="str">
        <f t="shared" ref="M740:M803" si="480">PROPER(TRIM(C740))</f>
        <v xml:space="preserve">Пантелеев Андрей Олегович</v>
      </c>
      <c r="N740" s="13" t="str">
        <f t="shared" ref="N740:N803" si="481">IF(ISNUMBER(FIND(".",C740)),"инициалы: проверить",IF(SUMPRODUCT(--ISNUMBER(FIND(MID("abcdefghijklmnopqrstuvwxyz",ROW(INDIRECT("1:26")),1),LOWER(C740))))&gt;0,"латиница: транслит","OK"))</f>
        <v>OK</v>
      </c>
      <c r="O740" s="19">
        <f t="shared" ref="O740:O803" si="482">IF(ISNUMBER(FIND("-",D740)),DATE(VALUE(LEFT(D740,4)),VALUE(MID(D740,6,2)),VALUE(MID(D740,9,2))),DATE(VALUE(MID(D740,7,4)),VALUE(MID(D740,4,2)),VALUE(LEFT(D740,2))))</f>
        <v>33182</v>
      </c>
      <c r="P740" s="19">
        <f t="shared" ref="P740:P803" si="483">IF(ISNUMBER(FIND("-",H740)),DATE(VALUE(LEFT(H740,4)),VALUE(MID(H740,6,2)),VALUE(MID(H740,9,2))),DATE(VALUE(MID(H740,7,4)),VALUE(MID(H740,4,2)),VALUE(LEFT(H740,2))))</f>
        <v>52027</v>
      </c>
      <c r="Q740" s="13">
        <f t="shared" ref="Q740:Q803" ca="1" si="484">DATEDIF(O740,TODAY(),"Y")</f>
        <v>35</v>
      </c>
      <c r="R740" s="13" t="str">
        <f t="shared" ref="R740:R803" si="485">IF(OR(Q740&lt;18,Q740&gt;120),"Ошибка даты рождения","OK")</f>
        <v>OK</v>
      </c>
      <c r="S740" s="13" t="str">
        <f t="shared" ref="S740:S803" si="486">IF(LEN(I740)&gt;=10,"+7 ("&amp;MID(I740,LEN(I740)-9,3)&amp;") "&amp;MID(I740,LEN(I740)-6,3)&amp;"-"&amp;MID(I740,LEN(I740)-3,2)&amp;"-"&amp;RIGHT(I740,2),"Ошибка телефона")</f>
        <v xml:space="preserve">+7 (903) 234-56-78</v>
      </c>
      <c r="T740" s="13" t="str">
        <f t="shared" ref="T740:T803" si="487">J740</f>
        <v>panteleev@gmail</v>
      </c>
      <c r="U740" s="18" t="str">
        <f t="shared" ref="U740:U803" si="488">IF(AND(ISNUMBER(FIND("@",J740)),ISNUMBER(FIND(".",MID(J740,FIND("@",J740),100)))),"OK","Ошибка Email")</f>
        <v xml:space="preserve">Ошибка Email</v>
      </c>
      <c r="V740" s="13" t="str">
        <f>IFERROR(VLOOKUP(K740,Справочники!$K$6:$L$13,2,0),K740)</f>
        <v>Белгород</v>
      </c>
    </row>
    <row r="741" ht="15" customHeight="1">
      <c r="A741" s="10">
        <v>739</v>
      </c>
      <c r="B741" s="11" t="str">
        <f>RAW_Клиенты!A740</f>
        <v>C0739</v>
      </c>
      <c r="C741" s="11" t="str">
        <f>RAW_Клиенты!B740</f>
        <v xml:space="preserve">Букина Мария Владимировна</v>
      </c>
      <c r="D741" s="11" t="str">
        <f>RAW_Клиенты!C740</f>
        <v>18.06.1977</v>
      </c>
      <c r="E741" s="11" t="str">
        <f>RAW_Клиенты!D740</f>
        <v>+79032345678</v>
      </c>
      <c r="F741" s="11" t="str">
        <f>RAW_Клиенты!E740</f>
        <v>bukina@mail</v>
      </c>
      <c r="G741" s="11" t="str">
        <f>RAW_Клиенты!F740</f>
        <v>Мурманск</v>
      </c>
      <c r="H741" s="11" t="str">
        <f>RAW_Клиенты!G740</f>
        <v>01.07.2042</v>
      </c>
      <c r="I741" s="12" t="str">
        <f t="shared" si="476"/>
        <v>79032345678</v>
      </c>
      <c r="J741" s="12" t="str">
        <f t="shared" si="477"/>
        <v>bukina@mail</v>
      </c>
      <c r="K741" s="12" t="str">
        <f t="shared" si="478"/>
        <v>Мурманск</v>
      </c>
      <c r="L741" s="13" t="str">
        <f t="shared" si="479"/>
        <v>C0739</v>
      </c>
      <c r="M741" s="13" t="str">
        <f t="shared" si="480"/>
        <v xml:space="preserve">Букина Мария Владимировна</v>
      </c>
      <c r="N741" s="13" t="str">
        <f t="shared" si="481"/>
        <v>OK</v>
      </c>
      <c r="O741" s="19">
        <f t="shared" si="482"/>
        <v>28294</v>
      </c>
      <c r="P741" s="19">
        <f t="shared" si="483"/>
        <v>52048</v>
      </c>
      <c r="Q741" s="13">
        <f t="shared" ca="1" si="484"/>
        <v>49</v>
      </c>
      <c r="R741" s="13" t="str">
        <f t="shared" si="485"/>
        <v>OK</v>
      </c>
      <c r="S741" s="13" t="str">
        <f t="shared" si="486"/>
        <v xml:space="preserve">+7 (903) 234-56-78</v>
      </c>
      <c r="T741" s="13" t="str">
        <f t="shared" si="487"/>
        <v>bukina@mail</v>
      </c>
      <c r="U741" s="18" t="str">
        <f t="shared" si="488"/>
        <v xml:space="preserve">Ошибка Email</v>
      </c>
      <c r="V741" s="13" t="str">
        <f>IFERROR(VLOOKUP(K741,Справочники!$K$6:$L$13,2,0),K741)</f>
        <v>Мурманск</v>
      </c>
    </row>
    <row r="742" ht="15" customHeight="1">
      <c r="A742" s="10">
        <v>740</v>
      </c>
      <c r="B742" s="11" t="str">
        <f>RAW_Клиенты!A741</f>
        <v>C0740</v>
      </c>
      <c r="C742" s="11" t="str">
        <f>RAW_Клиенты!B741</f>
        <v xml:space="preserve">Суворов Денис Павлович</v>
      </c>
      <c r="D742" s="11" t="str">
        <f>RAW_Клиенты!C741</f>
        <v>07.01.1985</v>
      </c>
      <c r="E742" s="11" t="str">
        <f>RAW_Клиенты!D741</f>
        <v>8-903-234-56-78</v>
      </c>
      <c r="F742" s="11" t="str">
        <f>RAW_Клиенты!E741</f>
        <v>suvorov@yandex</v>
      </c>
      <c r="G742" s="11" t="str">
        <f>RAW_Клиенты!F741</f>
        <v>Ставрополь</v>
      </c>
      <c r="H742" s="11" t="str">
        <f>RAW_Клиенты!G741</f>
        <v>2042-07-15</v>
      </c>
      <c r="I742" s="12" t="str">
        <f t="shared" si="476"/>
        <v>89032345678</v>
      </c>
      <c r="J742" s="12" t="str">
        <f t="shared" si="477"/>
        <v>suvorov@yandex</v>
      </c>
      <c r="K742" s="12" t="str">
        <f t="shared" si="478"/>
        <v>Ставрополь</v>
      </c>
      <c r="L742" s="13" t="str">
        <f t="shared" si="479"/>
        <v>C0740</v>
      </c>
      <c r="M742" s="13" t="str">
        <f t="shared" si="480"/>
        <v xml:space="preserve">Суворов Денис Павлович</v>
      </c>
      <c r="N742" s="13" t="str">
        <f t="shared" si="481"/>
        <v>OK</v>
      </c>
      <c r="O742" s="19">
        <f t="shared" si="482"/>
        <v>31054</v>
      </c>
      <c r="P742" s="19">
        <f t="shared" si="483"/>
        <v>52062</v>
      </c>
      <c r="Q742" s="13">
        <f t="shared" ca="1" si="484"/>
        <v>41</v>
      </c>
      <c r="R742" s="13" t="str">
        <f t="shared" si="485"/>
        <v>OK</v>
      </c>
      <c r="S742" s="13" t="str">
        <f t="shared" si="486"/>
        <v xml:space="preserve">+7 (903) 234-56-78</v>
      </c>
      <c r="T742" s="13" t="str">
        <f t="shared" si="487"/>
        <v>suvorov@yandex</v>
      </c>
      <c r="U742" s="18" t="str">
        <f t="shared" si="488"/>
        <v xml:space="preserve">Ошибка Email</v>
      </c>
      <c r="V742" s="13" t="str">
        <f>IFERROR(VLOOKUP(K742,Справочники!$K$6:$L$13,2,0),K742)</f>
        <v>Ставрополь</v>
      </c>
    </row>
    <row r="743" ht="15" customHeight="1">
      <c r="A743" s="10">
        <v>741</v>
      </c>
      <c r="B743" s="11" t="str">
        <f>RAW_Клиенты!A742</f>
        <v>C0741</v>
      </c>
      <c r="C743" s="11" t="str">
        <f>RAW_Клиенты!B742</f>
        <v xml:space="preserve">Погодина Ольга Сергеевна</v>
      </c>
      <c r="D743" s="11" t="str">
        <f>RAW_Клиенты!C742</f>
        <v>24.08.1992</v>
      </c>
      <c r="E743" s="11" t="str">
        <f>RAW_Клиенты!D742</f>
        <v xml:space="preserve">8 903 345 67 89</v>
      </c>
      <c r="F743" s="11" t="str">
        <f>RAW_Клиенты!E742</f>
        <v>pogodina@gmail</v>
      </c>
      <c r="G743" s="11" t="str">
        <f>RAW_Клиенты!F742</f>
        <v>Севастополь</v>
      </c>
      <c r="H743" s="11" t="str">
        <f>RAW_Клиенты!G742</f>
        <v>15.07.2042</v>
      </c>
      <c r="I743" s="12" t="str">
        <f t="shared" si="476"/>
        <v>89033456789</v>
      </c>
      <c r="J743" s="12" t="str">
        <f t="shared" si="477"/>
        <v>pogodina@gmail</v>
      </c>
      <c r="K743" s="12" t="str">
        <f t="shared" si="478"/>
        <v>Севастополь</v>
      </c>
      <c r="L743" s="13" t="str">
        <f t="shared" si="479"/>
        <v>C0741</v>
      </c>
      <c r="M743" s="13" t="str">
        <f t="shared" si="480"/>
        <v xml:space="preserve">Погодина Ольга Сергеевна</v>
      </c>
      <c r="N743" s="13" t="str">
        <f t="shared" si="481"/>
        <v>OK</v>
      </c>
      <c r="O743" s="19">
        <f t="shared" si="482"/>
        <v>33840</v>
      </c>
      <c r="P743" s="19">
        <f t="shared" si="483"/>
        <v>52062</v>
      </c>
      <c r="Q743" s="13">
        <f t="shared" ca="1" si="484"/>
        <v>34</v>
      </c>
      <c r="R743" s="13" t="str">
        <f t="shared" si="485"/>
        <v>OK</v>
      </c>
      <c r="S743" s="13" t="str">
        <f t="shared" si="486"/>
        <v xml:space="preserve">+7 (903) 345-67-89</v>
      </c>
      <c r="T743" s="13" t="str">
        <f t="shared" si="487"/>
        <v>pogodina@gmail</v>
      </c>
      <c r="U743" s="18" t="str">
        <f t="shared" si="488"/>
        <v xml:space="preserve">Ошибка Email</v>
      </c>
      <c r="V743" s="13" t="str">
        <f>IFERROR(VLOOKUP(K743,Справочники!$K$6:$L$13,2,0),K743)</f>
        <v>Севастополь</v>
      </c>
    </row>
    <row r="744" ht="15" customHeight="1">
      <c r="A744" s="10">
        <v>742</v>
      </c>
      <c r="B744" s="11" t="str">
        <f>RAW_Клиенты!A743</f>
        <v>C0742</v>
      </c>
      <c r="C744" s="11" t="str">
        <f>RAW_Клиенты!B743</f>
        <v xml:space="preserve">Карпов Илья Александрович</v>
      </c>
      <c r="D744" s="11" t="str">
        <f>RAW_Клиенты!C743</f>
        <v>16.04.1979</v>
      </c>
      <c r="E744" s="11" t="str">
        <f>RAW_Клиенты!D743</f>
        <v>+79033456789</v>
      </c>
      <c r="F744" s="11" t="str">
        <f>RAW_Клиенты!E743</f>
        <v>karpov@mail</v>
      </c>
      <c r="G744" s="11" t="str">
        <f>RAW_Клиенты!F743</f>
        <v>Сочи</v>
      </c>
      <c r="H744" s="11" t="str">
        <f>RAW_Клиенты!G743</f>
        <v>01.08.2042</v>
      </c>
      <c r="I744" s="12" t="str">
        <f t="shared" si="476"/>
        <v>79033456789</v>
      </c>
      <c r="J744" s="12" t="str">
        <f t="shared" si="477"/>
        <v>karpov@mail</v>
      </c>
      <c r="K744" s="12" t="str">
        <f t="shared" si="478"/>
        <v>Сочи</v>
      </c>
      <c r="L744" s="13" t="str">
        <f t="shared" si="479"/>
        <v>C0742</v>
      </c>
      <c r="M744" s="13" t="str">
        <f t="shared" si="480"/>
        <v xml:space="preserve">Карпов Илья Александрович</v>
      </c>
      <c r="N744" s="13" t="str">
        <f t="shared" si="481"/>
        <v>OK</v>
      </c>
      <c r="O744" s="19">
        <f t="shared" si="482"/>
        <v>28961</v>
      </c>
      <c r="P744" s="19">
        <f t="shared" si="483"/>
        <v>52079</v>
      </c>
      <c r="Q744" s="13">
        <f t="shared" ca="1" si="484"/>
        <v>47</v>
      </c>
      <c r="R744" s="13" t="str">
        <f t="shared" si="485"/>
        <v>OK</v>
      </c>
      <c r="S744" s="13" t="str">
        <f t="shared" si="486"/>
        <v xml:space="preserve">+7 (903) 345-67-89</v>
      </c>
      <c r="T744" s="13" t="str">
        <f t="shared" si="487"/>
        <v>karpov@mail</v>
      </c>
      <c r="U744" s="18" t="str">
        <f t="shared" si="488"/>
        <v xml:space="preserve">Ошибка Email</v>
      </c>
      <c r="V744" s="13" t="str">
        <f>IFERROR(VLOOKUP(K744,Справочники!$K$6:$L$13,2,0),K744)</f>
        <v>Сочи</v>
      </c>
    </row>
    <row r="745" ht="15" customHeight="1">
      <c r="A745" s="10">
        <v>743</v>
      </c>
      <c r="B745" s="11" t="str">
        <f>RAW_Клиенты!A744</f>
        <v>C0743</v>
      </c>
      <c r="C745" s="11" t="str">
        <f>RAW_Клиенты!B744</f>
        <v xml:space="preserve">Бычкова Екатерина Алексеевна</v>
      </c>
      <c r="D745" s="11" t="str">
        <f>RAW_Клиенты!C744</f>
        <v>03.10.1986</v>
      </c>
      <c r="E745" s="11" t="str">
        <f>RAW_Клиенты!D744</f>
        <v>8-903-345-67-89</v>
      </c>
      <c r="F745" s="11" t="str">
        <f>RAW_Клиенты!E744</f>
        <v>bychkova@yandex</v>
      </c>
      <c r="G745" s="11" t="str">
        <f>RAW_Клиенты!F744</f>
        <v>Симферополь</v>
      </c>
      <c r="H745" s="11" t="str">
        <f>RAW_Клиенты!G744</f>
        <v>2042-08-10</v>
      </c>
      <c r="I745" s="12" t="str">
        <f t="shared" si="476"/>
        <v>89033456789</v>
      </c>
      <c r="J745" s="12" t="str">
        <f t="shared" si="477"/>
        <v>bychkova@yandex</v>
      </c>
      <c r="K745" s="12" t="str">
        <f t="shared" si="478"/>
        <v>Симферополь</v>
      </c>
      <c r="L745" s="13" t="str">
        <f t="shared" si="479"/>
        <v>C0743</v>
      </c>
      <c r="M745" s="13" t="str">
        <f t="shared" si="480"/>
        <v xml:space="preserve">Бычкова Екатерина Алексеевна</v>
      </c>
      <c r="N745" s="13" t="str">
        <f t="shared" si="481"/>
        <v>OK</v>
      </c>
      <c r="O745" s="19">
        <f t="shared" si="482"/>
        <v>31688</v>
      </c>
      <c r="P745" s="19">
        <f t="shared" si="483"/>
        <v>52088</v>
      </c>
      <c r="Q745" s="13">
        <f t="shared" ca="1" si="484"/>
        <v>39</v>
      </c>
      <c r="R745" s="13" t="str">
        <f t="shared" si="485"/>
        <v>OK</v>
      </c>
      <c r="S745" s="13" t="str">
        <f t="shared" si="486"/>
        <v xml:space="preserve">+7 (903) 345-67-89</v>
      </c>
      <c r="T745" s="13" t="str">
        <f t="shared" si="487"/>
        <v>bychkova@yandex</v>
      </c>
      <c r="U745" s="18" t="str">
        <f t="shared" si="488"/>
        <v xml:space="preserve">Ошибка Email</v>
      </c>
      <c r="V745" s="13" t="str">
        <f>IFERROR(VLOOKUP(K745,Справочники!$K$6:$L$13,2,0),K745)</f>
        <v>Симферополь</v>
      </c>
    </row>
    <row r="746" ht="15" customHeight="1">
      <c r="A746" s="10">
        <v>744</v>
      </c>
      <c r="B746" s="11" t="str">
        <f>RAW_Клиенты!A745</f>
        <v>C0744</v>
      </c>
      <c r="C746" s="11" t="str">
        <f>RAW_Клиенты!B745</f>
        <v xml:space="preserve">Кукушкин Андрей Олегович</v>
      </c>
      <c r="D746" s="11" t="str">
        <f>RAW_Клиенты!C745</f>
        <v>29.12.1981</v>
      </c>
      <c r="E746" s="11" t="str">
        <f>RAW_Клиенты!D745</f>
        <v xml:space="preserve">8 903 456 78 90</v>
      </c>
      <c r="F746" s="11" t="str">
        <f>RAW_Клиенты!E745</f>
        <v>kukushkin@gmail</v>
      </c>
      <c r="G746" s="11" t="str">
        <f>RAW_Клиенты!F745</f>
        <v>Брянск</v>
      </c>
      <c r="H746" s="11" t="str">
        <f>RAW_Клиенты!G745</f>
        <v>10.08.2042</v>
      </c>
      <c r="I746" s="12" t="str">
        <f t="shared" si="476"/>
        <v>89034567890</v>
      </c>
      <c r="J746" s="12" t="str">
        <f t="shared" si="477"/>
        <v>kukushkin@gmail</v>
      </c>
      <c r="K746" s="12" t="str">
        <f t="shared" si="478"/>
        <v>Брянск</v>
      </c>
      <c r="L746" s="13" t="str">
        <f t="shared" si="479"/>
        <v>C0744</v>
      </c>
      <c r="M746" s="13" t="str">
        <f t="shared" si="480"/>
        <v xml:space="preserve">Кукушкин Андрей Олегович</v>
      </c>
      <c r="N746" s="13" t="str">
        <f t="shared" si="481"/>
        <v>OK</v>
      </c>
      <c r="O746" s="19">
        <f t="shared" si="482"/>
        <v>29949</v>
      </c>
      <c r="P746" s="19">
        <f t="shared" si="483"/>
        <v>52088</v>
      </c>
      <c r="Q746" s="13">
        <f t="shared" ca="1" si="484"/>
        <v>44</v>
      </c>
      <c r="R746" s="13" t="str">
        <f t="shared" si="485"/>
        <v>OK</v>
      </c>
      <c r="S746" s="13" t="str">
        <f t="shared" si="486"/>
        <v xml:space="preserve">+7 (903) 456-78-90</v>
      </c>
      <c r="T746" s="13" t="str">
        <f t="shared" si="487"/>
        <v>kukushkin@gmail</v>
      </c>
      <c r="U746" s="18" t="str">
        <f t="shared" si="488"/>
        <v xml:space="preserve">Ошибка Email</v>
      </c>
      <c r="V746" s="13" t="str">
        <f>IFERROR(VLOOKUP(K746,Справочники!$K$6:$L$13,2,0),K746)</f>
        <v>Брянск</v>
      </c>
    </row>
    <row r="747" ht="15" customHeight="1">
      <c r="A747" s="10">
        <v>745</v>
      </c>
      <c r="B747" s="11" t="str">
        <f>RAW_Клиенты!A746</f>
        <v>C0745</v>
      </c>
      <c r="C747" s="11" t="str">
        <f>RAW_Клиенты!B746</f>
        <v xml:space="preserve">Старшинова Мария Павловна</v>
      </c>
      <c r="D747" s="11" t="str">
        <f>RAW_Клиенты!C746</f>
        <v>12.07.1976</v>
      </c>
      <c r="E747" s="11" t="str">
        <f>RAW_Клиенты!D746</f>
        <v>+79034567890</v>
      </c>
      <c r="F747" s="11" t="str">
        <f>RAW_Клиенты!E746</f>
        <v>starshinova@mail</v>
      </c>
      <c r="G747" s="11" t="str">
        <f>RAW_Клиенты!F746</f>
        <v>Абакан</v>
      </c>
      <c r="H747" s="11" t="str">
        <f>RAW_Клиенты!G746</f>
        <v>01.09.2042</v>
      </c>
      <c r="I747" s="12" t="str">
        <f t="shared" si="476"/>
        <v>79034567890</v>
      </c>
      <c r="J747" s="12" t="str">
        <f t="shared" si="477"/>
        <v>starshinova@mail</v>
      </c>
      <c r="K747" s="12" t="str">
        <f t="shared" si="478"/>
        <v>Абакан</v>
      </c>
      <c r="L747" s="13" t="str">
        <f t="shared" si="479"/>
        <v>C0745</v>
      </c>
      <c r="M747" s="13" t="str">
        <f t="shared" si="480"/>
        <v xml:space="preserve">Старшинова Мария Павловна</v>
      </c>
      <c r="N747" s="13" t="str">
        <f t="shared" si="481"/>
        <v>OK</v>
      </c>
      <c r="O747" s="19">
        <f t="shared" si="482"/>
        <v>27953</v>
      </c>
      <c r="P747" s="19">
        <f t="shared" si="483"/>
        <v>52110</v>
      </c>
      <c r="Q747" s="13">
        <f t="shared" ca="1" si="484"/>
        <v>50</v>
      </c>
      <c r="R747" s="13" t="str">
        <f t="shared" si="485"/>
        <v>OK</v>
      </c>
      <c r="S747" s="13" t="str">
        <f t="shared" si="486"/>
        <v xml:space="preserve">+7 (903) 456-78-90</v>
      </c>
      <c r="T747" s="13" t="str">
        <f t="shared" si="487"/>
        <v>starshinova@mail</v>
      </c>
      <c r="U747" s="18" t="str">
        <f t="shared" si="488"/>
        <v xml:space="preserve">Ошибка Email</v>
      </c>
      <c r="V747" s="13" t="str">
        <f>IFERROR(VLOOKUP(K747,Справочники!$K$6:$L$13,2,0),K747)</f>
        <v>Абакан</v>
      </c>
    </row>
    <row r="748" ht="15" customHeight="1">
      <c r="A748" s="10">
        <v>746</v>
      </c>
      <c r="B748" s="11" t="str">
        <f>RAW_Клиенты!A747</f>
        <v>C0746</v>
      </c>
      <c r="C748" s="11" t="str">
        <f>RAW_Клиенты!B747</f>
        <v xml:space="preserve">Стрельников Денис Викторович</v>
      </c>
      <c r="D748" s="11" t="str">
        <f>RAW_Клиенты!C747</f>
        <v>23.09.1988</v>
      </c>
      <c r="E748" s="11" t="str">
        <f>RAW_Клиенты!D747</f>
        <v>8-903-456-78-90</v>
      </c>
      <c r="F748" s="11" t="str">
        <f>RAW_Клиенты!E747</f>
        <v>strelnikov@yandex</v>
      </c>
      <c r="G748" s="11" t="str">
        <f>RAW_Клиенты!F747</f>
        <v>Грозный</v>
      </c>
      <c r="H748" s="11" t="str">
        <f>RAW_Клиенты!G747</f>
        <v>2042-09-15</v>
      </c>
      <c r="I748" s="12" t="str">
        <f t="shared" si="476"/>
        <v>89034567890</v>
      </c>
      <c r="J748" s="12" t="str">
        <f t="shared" si="477"/>
        <v>strelnikov@yandex</v>
      </c>
      <c r="K748" s="12" t="str">
        <f t="shared" si="478"/>
        <v>Грозный</v>
      </c>
      <c r="L748" s="13" t="str">
        <f t="shared" si="479"/>
        <v>C0746</v>
      </c>
      <c r="M748" s="13" t="str">
        <f t="shared" si="480"/>
        <v xml:space="preserve">Стрельников Денис Викторович</v>
      </c>
      <c r="N748" s="13" t="str">
        <f t="shared" si="481"/>
        <v>OK</v>
      </c>
      <c r="O748" s="19">
        <f t="shared" si="482"/>
        <v>32409</v>
      </c>
      <c r="P748" s="19">
        <f t="shared" si="483"/>
        <v>52124</v>
      </c>
      <c r="Q748" s="13">
        <f t="shared" ca="1" si="484"/>
        <v>38</v>
      </c>
      <c r="R748" s="13" t="str">
        <f t="shared" si="485"/>
        <v>OK</v>
      </c>
      <c r="S748" s="13" t="str">
        <f t="shared" si="486"/>
        <v xml:space="preserve">+7 (903) 456-78-90</v>
      </c>
      <c r="T748" s="13" t="str">
        <f t="shared" si="487"/>
        <v>strelnikov@yandex</v>
      </c>
      <c r="U748" s="18" t="str">
        <f t="shared" si="488"/>
        <v xml:space="preserve">Ошибка Email</v>
      </c>
      <c r="V748" s="13" t="str">
        <f>IFERROR(VLOOKUP(K748,Справочники!$K$6:$L$13,2,0),K748)</f>
        <v>Грозный</v>
      </c>
    </row>
    <row r="749" ht="15" customHeight="1">
      <c r="A749" s="10">
        <v>747</v>
      </c>
      <c r="B749" s="11" t="str">
        <f>RAW_Клиенты!A748</f>
        <v>C0747</v>
      </c>
      <c r="C749" s="11" t="str">
        <f>RAW_Клиенты!B748</f>
        <v xml:space="preserve">Березина Ольга Сергеевна</v>
      </c>
      <c r="D749" s="11" t="str">
        <f>RAW_Клиенты!C748</f>
        <v>14.02.1984</v>
      </c>
      <c r="E749" s="11" t="str">
        <f>RAW_Клиенты!D748</f>
        <v xml:space="preserve">8 903 567 89 01</v>
      </c>
      <c r="F749" s="11" t="str">
        <f>RAW_Клиенты!E748</f>
        <v>berezina@gmail</v>
      </c>
      <c r="G749" s="11" t="str">
        <f>RAW_Клиенты!F748</f>
        <v>Бийск</v>
      </c>
      <c r="H749" s="11" t="str">
        <f>RAW_Клиенты!G748</f>
        <v>15.09.2042</v>
      </c>
      <c r="I749" s="12" t="str">
        <f t="shared" si="476"/>
        <v>89035678901</v>
      </c>
      <c r="J749" s="12" t="str">
        <f t="shared" si="477"/>
        <v>berezina@gmail</v>
      </c>
      <c r="K749" s="12" t="str">
        <f t="shared" si="478"/>
        <v>Бийск</v>
      </c>
      <c r="L749" s="13" t="str">
        <f t="shared" si="479"/>
        <v>C0747</v>
      </c>
      <c r="M749" s="13" t="str">
        <f t="shared" si="480"/>
        <v xml:space="preserve">Березина Ольга Сергеевна</v>
      </c>
      <c r="N749" s="13" t="str">
        <f t="shared" si="481"/>
        <v>OK</v>
      </c>
      <c r="O749" s="19">
        <f t="shared" si="482"/>
        <v>30726</v>
      </c>
      <c r="P749" s="19">
        <f t="shared" si="483"/>
        <v>52124</v>
      </c>
      <c r="Q749" s="13">
        <f t="shared" ca="1" si="484"/>
        <v>42</v>
      </c>
      <c r="R749" s="13" t="str">
        <f t="shared" si="485"/>
        <v>OK</v>
      </c>
      <c r="S749" s="13" t="str">
        <f t="shared" si="486"/>
        <v xml:space="preserve">+7 (903) 567-89-01</v>
      </c>
      <c r="T749" s="13" t="str">
        <f t="shared" si="487"/>
        <v>berezina@gmail</v>
      </c>
      <c r="U749" s="18" t="str">
        <f t="shared" si="488"/>
        <v xml:space="preserve">Ошибка Email</v>
      </c>
      <c r="V749" s="13" t="str">
        <f>IFERROR(VLOOKUP(K749,Справочники!$K$6:$L$13,2,0),K749)</f>
        <v>Бийск</v>
      </c>
    </row>
    <row r="750" ht="15" customHeight="1">
      <c r="A750" s="10">
        <v>748</v>
      </c>
      <c r="B750" s="11" t="str">
        <f>RAW_Клиенты!A749</f>
        <v>C0748</v>
      </c>
      <c r="C750" s="11" t="str">
        <f>RAW_Клиенты!B749</f>
        <v xml:space="preserve">Сысоев Илья Алексеевич</v>
      </c>
      <c r="D750" s="11" t="str">
        <f>RAW_Клиенты!C749</f>
        <v>01.05.1973</v>
      </c>
      <c r="E750" s="11" t="str">
        <f>RAW_Клиенты!D749</f>
        <v>+79035678901</v>
      </c>
      <c r="F750" s="11" t="str">
        <f>RAW_Клиенты!E749</f>
        <v>sysoev@mail</v>
      </c>
      <c r="G750" s="11" t="str">
        <f>RAW_Клиенты!F749</f>
        <v>Йошкар-Ола</v>
      </c>
      <c r="H750" s="11" t="str">
        <f>RAW_Клиенты!G749</f>
        <v>01.10.2042</v>
      </c>
      <c r="I750" s="12" t="str">
        <f t="shared" si="476"/>
        <v>79035678901</v>
      </c>
      <c r="J750" s="12" t="str">
        <f t="shared" si="477"/>
        <v>sysoev@mail</v>
      </c>
      <c r="K750" s="12" t="str">
        <f t="shared" si="478"/>
        <v>Йошкар-Ола</v>
      </c>
      <c r="L750" s="13" t="str">
        <f t="shared" si="479"/>
        <v>C0748</v>
      </c>
      <c r="M750" s="13" t="str">
        <f t="shared" si="480"/>
        <v xml:space="preserve">Сысоев Илья Алексеевич</v>
      </c>
      <c r="N750" s="13" t="str">
        <f t="shared" si="481"/>
        <v>OK</v>
      </c>
      <c r="O750" s="19">
        <f t="shared" si="482"/>
        <v>26785</v>
      </c>
      <c r="P750" s="19">
        <f t="shared" si="483"/>
        <v>52140</v>
      </c>
      <c r="Q750" s="13">
        <f t="shared" ca="1" si="484"/>
        <v>53</v>
      </c>
      <c r="R750" s="13" t="str">
        <f t="shared" si="485"/>
        <v>OK</v>
      </c>
      <c r="S750" s="13" t="str">
        <f t="shared" si="486"/>
        <v xml:space="preserve">+7 (903) 567-89-01</v>
      </c>
      <c r="T750" s="13" t="str">
        <f t="shared" si="487"/>
        <v>sysoev@mail</v>
      </c>
      <c r="U750" s="18" t="str">
        <f t="shared" si="488"/>
        <v xml:space="preserve">Ошибка Email</v>
      </c>
      <c r="V750" s="13" t="str">
        <f>IFERROR(VLOOKUP(K750,Справочники!$K$6:$L$13,2,0),K750)</f>
        <v>Йошкар-Ола</v>
      </c>
    </row>
    <row r="751" ht="15" customHeight="1">
      <c r="A751" s="10">
        <v>749</v>
      </c>
      <c r="B751" s="11" t="str">
        <f>RAW_Клиенты!A750</f>
        <v>C0749</v>
      </c>
      <c r="C751" s="11" t="str">
        <f>RAW_Клиенты!B750</f>
        <v xml:space="preserve">Жижина Екатерина Владимировна</v>
      </c>
      <c r="D751" s="11" t="str">
        <f>RAW_Клиенты!C750</f>
        <v>20.08.1980</v>
      </c>
      <c r="E751" s="11" t="str">
        <f>RAW_Клиенты!D750</f>
        <v>8-903-567-89-01</v>
      </c>
      <c r="F751" s="11" t="str">
        <f>RAW_Клиенты!E750</f>
        <v>zhizhina@yandex</v>
      </c>
      <c r="G751" s="11" t="str">
        <f>RAW_Клиенты!F750</f>
        <v>Курган</v>
      </c>
      <c r="H751" s="11" t="str">
        <f>RAW_Клиенты!G750</f>
        <v>2042-10-10</v>
      </c>
      <c r="I751" s="12" t="str">
        <f t="shared" si="476"/>
        <v>89035678901</v>
      </c>
      <c r="J751" s="12" t="str">
        <f t="shared" si="477"/>
        <v>zhizhina@yandex</v>
      </c>
      <c r="K751" s="12" t="str">
        <f t="shared" si="478"/>
        <v>Курган</v>
      </c>
      <c r="L751" s="13" t="str">
        <f t="shared" si="479"/>
        <v>C0749</v>
      </c>
      <c r="M751" s="13" t="str">
        <f t="shared" si="480"/>
        <v xml:space="preserve">Жижина Екатерина Владимировна</v>
      </c>
      <c r="N751" s="13" t="str">
        <f t="shared" si="481"/>
        <v>OK</v>
      </c>
      <c r="O751" s="19">
        <f t="shared" si="482"/>
        <v>29453</v>
      </c>
      <c r="P751" s="19">
        <f t="shared" si="483"/>
        <v>52149</v>
      </c>
      <c r="Q751" s="13">
        <f t="shared" ca="1" si="484"/>
        <v>46</v>
      </c>
      <c r="R751" s="13" t="str">
        <f t="shared" si="485"/>
        <v>OK</v>
      </c>
      <c r="S751" s="13" t="str">
        <f t="shared" si="486"/>
        <v xml:space="preserve">+7 (903) 567-89-01</v>
      </c>
      <c r="T751" s="13" t="str">
        <f t="shared" si="487"/>
        <v>zhizhina@yandex</v>
      </c>
      <c r="U751" s="18" t="str">
        <f t="shared" si="488"/>
        <v xml:space="preserve">Ошибка Email</v>
      </c>
      <c r="V751" s="13" t="str">
        <f>IFERROR(VLOOKUP(K751,Справочники!$K$6:$L$13,2,0),K751)</f>
        <v>Курган</v>
      </c>
    </row>
    <row r="752" ht="15" customHeight="1">
      <c r="A752" s="10">
        <v>750</v>
      </c>
      <c r="B752" s="11" t="str">
        <f>RAW_Клиенты!A751</f>
        <v>C0750</v>
      </c>
      <c r="C752" s="11" t="str">
        <f>RAW_Клиенты!B751</f>
        <v xml:space="preserve">Кривошеев Андрей Павлович</v>
      </c>
      <c r="D752" s="11" t="str">
        <f>RAW_Клиенты!C751</f>
        <v>11.12.1986</v>
      </c>
      <c r="E752" s="11" t="str">
        <f>RAW_Клиенты!D751</f>
        <v xml:space="preserve">8 903 678 90 12</v>
      </c>
      <c r="F752" s="11" t="str">
        <f>RAW_Клиенты!E751</f>
        <v>krivosheev@gmail</v>
      </c>
      <c r="G752" s="11" t="str">
        <f>RAW_Клиенты!F751</f>
        <v>Архангельск</v>
      </c>
      <c r="H752" s="11" t="str">
        <f>RAW_Клиенты!G751</f>
        <v>10.10.2042</v>
      </c>
      <c r="I752" s="12" t="str">
        <f t="shared" si="476"/>
        <v>89036789012</v>
      </c>
      <c r="J752" s="12" t="str">
        <f t="shared" si="477"/>
        <v>krivosheev@gmail</v>
      </c>
      <c r="K752" s="12" t="str">
        <f t="shared" si="478"/>
        <v>Архангельск</v>
      </c>
      <c r="L752" s="13" t="str">
        <f t="shared" si="479"/>
        <v>C0750</v>
      </c>
      <c r="M752" s="13" t="str">
        <f t="shared" si="480"/>
        <v xml:space="preserve">Кривошеев Андрей Павлович</v>
      </c>
      <c r="N752" s="13" t="str">
        <f t="shared" si="481"/>
        <v>OK</v>
      </c>
      <c r="O752" s="19">
        <f t="shared" si="482"/>
        <v>31757</v>
      </c>
      <c r="P752" s="19">
        <f t="shared" si="483"/>
        <v>52149</v>
      </c>
      <c r="Q752" s="13">
        <f t="shared" ca="1" si="484"/>
        <v>39</v>
      </c>
      <c r="R752" s="13" t="str">
        <f t="shared" si="485"/>
        <v>OK</v>
      </c>
      <c r="S752" s="13" t="str">
        <f t="shared" si="486"/>
        <v xml:space="preserve">+7 (903) 678-90-12</v>
      </c>
      <c r="T752" s="13" t="str">
        <f t="shared" si="487"/>
        <v>krivosheev@gmail</v>
      </c>
      <c r="U752" s="18" t="str">
        <f t="shared" si="488"/>
        <v xml:space="preserve">Ошибка Email</v>
      </c>
      <c r="V752" s="13" t="str">
        <f>IFERROR(VLOOKUP(K752,Справочники!$K$6:$L$13,2,0),K752)</f>
        <v>Архангельск</v>
      </c>
    </row>
    <row r="753" ht="15" customHeight="1">
      <c r="A753" s="10">
        <v>751</v>
      </c>
      <c r="B753" s="11" t="str">
        <f>RAW_Клиенты!A752</f>
        <v>C0751</v>
      </c>
      <c r="C753" s="11" t="str">
        <f>RAW_Клиенты!B752</f>
        <v xml:space="preserve">Вьюнова Мария Олеговна</v>
      </c>
      <c r="D753" s="11" t="str">
        <f>RAW_Клиенты!C752</f>
        <v>07.04.1977</v>
      </c>
      <c r="E753" s="11" t="str">
        <f>RAW_Клиенты!D752</f>
        <v>+79036789012</v>
      </c>
      <c r="F753" s="11" t="str">
        <f>RAW_Клиенты!E752</f>
        <v>vyunova@mail</v>
      </c>
      <c r="G753" s="11" t="str">
        <f>RAW_Клиенты!F752</f>
        <v>Благовещенск</v>
      </c>
      <c r="H753" s="11" t="str">
        <f>RAW_Клиенты!G752</f>
        <v>01.11.2042</v>
      </c>
      <c r="I753" s="12" t="str">
        <f t="shared" si="476"/>
        <v>79036789012</v>
      </c>
      <c r="J753" s="12" t="str">
        <f t="shared" si="477"/>
        <v>vyunova@mail</v>
      </c>
      <c r="K753" s="12" t="str">
        <f t="shared" si="478"/>
        <v>Благовещенск</v>
      </c>
      <c r="L753" s="13" t="str">
        <f t="shared" si="479"/>
        <v>C0751</v>
      </c>
      <c r="M753" s="13" t="str">
        <f t="shared" si="480"/>
        <v xml:space="preserve">Вьюнова Мария Олеговна</v>
      </c>
      <c r="N753" s="13" t="str">
        <f t="shared" si="481"/>
        <v>OK</v>
      </c>
      <c r="O753" s="19">
        <f t="shared" si="482"/>
        <v>28222</v>
      </c>
      <c r="P753" s="19">
        <f t="shared" si="483"/>
        <v>52171</v>
      </c>
      <c r="Q753" s="13">
        <f t="shared" ca="1" si="484"/>
        <v>49</v>
      </c>
      <c r="R753" s="13" t="str">
        <f t="shared" si="485"/>
        <v>OK</v>
      </c>
      <c r="S753" s="13" t="str">
        <f t="shared" si="486"/>
        <v xml:space="preserve">+7 (903) 678-90-12</v>
      </c>
      <c r="T753" s="13" t="str">
        <f t="shared" si="487"/>
        <v>vyunova@mail</v>
      </c>
      <c r="U753" s="18" t="str">
        <f t="shared" si="488"/>
        <v xml:space="preserve">Ошибка Email</v>
      </c>
      <c r="V753" s="13" t="str">
        <f>IFERROR(VLOOKUP(K753,Справочники!$K$6:$L$13,2,0),K753)</f>
        <v>Благовещенск</v>
      </c>
    </row>
    <row r="754" ht="15" customHeight="1">
      <c r="A754" s="10">
        <v>752</v>
      </c>
      <c r="B754" s="11" t="str">
        <f>RAW_Клиенты!A753</f>
        <v>C0752</v>
      </c>
      <c r="C754" s="11" t="str">
        <f>RAW_Клиенты!B753</f>
        <v xml:space="preserve">Гладких Денис Сергеевич</v>
      </c>
      <c r="D754" s="11" t="str">
        <f>RAW_Клиенты!C753</f>
        <v>26.11.1991</v>
      </c>
      <c r="E754" s="11" t="str">
        <f>RAW_Клиенты!D753</f>
        <v>8-903-678-90-12</v>
      </c>
      <c r="F754" s="11" t="str">
        <f>RAW_Клиенты!E753</f>
        <v>gladkih@yandex</v>
      </c>
      <c r="G754" s="11" t="str">
        <f>RAW_Клиенты!F753</f>
        <v>Майкоп</v>
      </c>
      <c r="H754" s="11" t="str">
        <f>RAW_Клиенты!G753</f>
        <v>2042-11-15</v>
      </c>
      <c r="I754" s="12" t="str">
        <f t="shared" si="476"/>
        <v>89036789012</v>
      </c>
      <c r="J754" s="12" t="str">
        <f t="shared" si="477"/>
        <v>gladkih@yandex</v>
      </c>
      <c r="K754" s="12" t="str">
        <f t="shared" si="478"/>
        <v>Майкоп</v>
      </c>
      <c r="L754" s="13" t="str">
        <f t="shared" si="479"/>
        <v>C0752</v>
      </c>
      <c r="M754" s="13" t="str">
        <f t="shared" si="480"/>
        <v xml:space="preserve">Гладких Денис Сергеевич</v>
      </c>
      <c r="N754" s="13" t="str">
        <f t="shared" si="481"/>
        <v>OK</v>
      </c>
      <c r="O754" s="19">
        <f t="shared" si="482"/>
        <v>33568</v>
      </c>
      <c r="P754" s="19">
        <f t="shared" si="483"/>
        <v>52185</v>
      </c>
      <c r="Q754" s="13">
        <f t="shared" ca="1" si="484"/>
        <v>34</v>
      </c>
      <c r="R754" s="13" t="str">
        <f t="shared" si="485"/>
        <v>OK</v>
      </c>
      <c r="S754" s="13" t="str">
        <f t="shared" si="486"/>
        <v xml:space="preserve">+7 (903) 678-90-12</v>
      </c>
      <c r="T754" s="13" t="str">
        <f t="shared" si="487"/>
        <v>gladkih@yandex</v>
      </c>
      <c r="U754" s="18" t="str">
        <f t="shared" si="488"/>
        <v xml:space="preserve">Ошибка Email</v>
      </c>
      <c r="V754" s="13" t="str">
        <f>IFERROR(VLOOKUP(K754,Справочники!$K$6:$L$13,2,0),K754)</f>
        <v>Майкоп</v>
      </c>
    </row>
    <row r="755" ht="15" customHeight="1">
      <c r="A755" s="10">
        <v>753</v>
      </c>
      <c r="B755" s="11" t="str">
        <f>RAW_Клиенты!A754</f>
        <v>C0753</v>
      </c>
      <c r="C755" s="11" t="str">
        <f>RAW_Клиенты!B754</f>
        <v xml:space="preserve">Емельянова Ольга Павловна</v>
      </c>
      <c r="D755" s="11" t="str">
        <f>RAW_Клиенты!C754</f>
        <v>09.10.1982</v>
      </c>
      <c r="E755" s="11" t="str">
        <f>RAW_Клиенты!D754</f>
        <v xml:space="preserve">8 903 789 01 23</v>
      </c>
      <c r="F755" s="11" t="str">
        <f>RAW_Клиенты!E754</f>
        <v>emelyanova@gmail</v>
      </c>
      <c r="G755" s="11" t="str">
        <f>RAW_Клиенты!F754</f>
        <v>Уссурийск</v>
      </c>
      <c r="H755" s="11" t="str">
        <f>RAW_Клиенты!G754</f>
        <v>15.11.2042</v>
      </c>
      <c r="I755" s="12" t="str">
        <f t="shared" si="476"/>
        <v>89037890123</v>
      </c>
      <c r="J755" s="12" t="str">
        <f t="shared" si="477"/>
        <v>emelyanova@gmail</v>
      </c>
      <c r="K755" s="12" t="str">
        <f t="shared" si="478"/>
        <v>Уссурийск</v>
      </c>
      <c r="L755" s="13" t="str">
        <f t="shared" si="479"/>
        <v>C0753</v>
      </c>
      <c r="M755" s="13" t="str">
        <f t="shared" si="480"/>
        <v xml:space="preserve">Емельянова Ольга Павловна</v>
      </c>
      <c r="N755" s="13" t="str">
        <f t="shared" si="481"/>
        <v>OK</v>
      </c>
      <c r="O755" s="19">
        <f t="shared" si="482"/>
        <v>30233</v>
      </c>
      <c r="P755" s="19">
        <f t="shared" si="483"/>
        <v>52185</v>
      </c>
      <c r="Q755" s="13">
        <f t="shared" ca="1" si="484"/>
        <v>43</v>
      </c>
      <c r="R755" s="13" t="str">
        <f t="shared" si="485"/>
        <v>OK</v>
      </c>
      <c r="S755" s="13" t="str">
        <f t="shared" si="486"/>
        <v xml:space="preserve">+7 (903) 789-01-23</v>
      </c>
      <c r="T755" s="13" t="str">
        <f t="shared" si="487"/>
        <v>emelyanova@gmail</v>
      </c>
      <c r="U755" s="18" t="str">
        <f t="shared" si="488"/>
        <v xml:space="preserve">Ошибка Email</v>
      </c>
      <c r="V755" s="13" t="str">
        <f>IFERROR(VLOOKUP(K755,Справочники!$K$6:$L$13,2,0),K755)</f>
        <v>Уссурийск</v>
      </c>
    </row>
    <row r="756" ht="15" customHeight="1">
      <c r="A756" s="10">
        <v>754</v>
      </c>
      <c r="B756" s="11" t="str">
        <f>RAW_Клиенты!A755</f>
        <v>C0754</v>
      </c>
      <c r="C756" s="11" t="str">
        <f>RAW_Клиенты!B755</f>
        <v xml:space="preserve">Семенчук Илья Александрович</v>
      </c>
      <c r="D756" s="11" t="str">
        <f>RAW_Клиенты!C755</f>
        <v>22.03.1974</v>
      </c>
      <c r="E756" s="11" t="str">
        <f>RAW_Клиенты!D755</f>
        <v>+79037890123</v>
      </c>
      <c r="F756" s="11" t="str">
        <f>RAW_Клиенты!E755</f>
        <v>semenchuk@mail</v>
      </c>
      <c r="G756" s="11" t="str">
        <f>RAW_Клиенты!F755</f>
        <v>Миасс</v>
      </c>
      <c r="H756" s="11" t="str">
        <f>RAW_Клиенты!G755</f>
        <v>01.12.2042</v>
      </c>
      <c r="I756" s="12" t="str">
        <f t="shared" si="476"/>
        <v>79037890123</v>
      </c>
      <c r="J756" s="12" t="str">
        <f t="shared" si="477"/>
        <v>semenchuk@mail</v>
      </c>
      <c r="K756" s="12" t="str">
        <f t="shared" si="478"/>
        <v>Миасс</v>
      </c>
      <c r="L756" s="13" t="str">
        <f t="shared" si="479"/>
        <v>C0754</v>
      </c>
      <c r="M756" s="13" t="str">
        <f t="shared" si="480"/>
        <v xml:space="preserve">Семенчук Илья Александрович</v>
      </c>
      <c r="N756" s="13" t="str">
        <f t="shared" si="481"/>
        <v>OK</v>
      </c>
      <c r="O756" s="19">
        <f t="shared" si="482"/>
        <v>27110</v>
      </c>
      <c r="P756" s="19">
        <f t="shared" si="483"/>
        <v>52201</v>
      </c>
      <c r="Q756" s="13">
        <f t="shared" ca="1" si="484"/>
        <v>52</v>
      </c>
      <c r="R756" s="13" t="str">
        <f t="shared" si="485"/>
        <v>OK</v>
      </c>
      <c r="S756" s="13" t="str">
        <f t="shared" si="486"/>
        <v xml:space="preserve">+7 (903) 789-01-23</v>
      </c>
      <c r="T756" s="13" t="str">
        <f t="shared" si="487"/>
        <v>semenchuk@mail</v>
      </c>
      <c r="U756" s="18" t="str">
        <f t="shared" si="488"/>
        <v xml:space="preserve">Ошибка Email</v>
      </c>
      <c r="V756" s="13" t="str">
        <f>IFERROR(VLOOKUP(K756,Справочники!$K$6:$L$13,2,0),K756)</f>
        <v>Миасс</v>
      </c>
    </row>
    <row r="757" ht="15" customHeight="1">
      <c r="A757" s="10">
        <v>755</v>
      </c>
      <c r="B757" s="11" t="str">
        <f>RAW_Клиенты!A756</f>
        <v>C0755</v>
      </c>
      <c r="C757" s="11" t="str">
        <f>RAW_Клиенты!B756</f>
        <v xml:space="preserve">Огородникова Екатерина Сергеевна</v>
      </c>
      <c r="D757" s="11" t="str">
        <f>RAW_Клиенты!C756</f>
        <v>15.07.1989</v>
      </c>
      <c r="E757" s="11" t="str">
        <f>RAW_Клиенты!D756</f>
        <v>8-903-789-01-23</v>
      </c>
      <c r="F757" s="11" t="str">
        <f>RAW_Клиенты!E756</f>
        <v>ogorodnikova@yandex</v>
      </c>
      <c r="G757" s="11" t="str">
        <f>RAW_Клиенты!F756</f>
        <v>Кызыл</v>
      </c>
      <c r="H757" s="11" t="str">
        <f>RAW_Клиенты!G756</f>
        <v>2042-12-10</v>
      </c>
      <c r="I757" s="12" t="str">
        <f t="shared" si="476"/>
        <v>89037890123</v>
      </c>
      <c r="J757" s="12" t="str">
        <f t="shared" si="477"/>
        <v>ogorodnikova@yandex</v>
      </c>
      <c r="K757" s="12" t="str">
        <f t="shared" si="478"/>
        <v>Кызыл</v>
      </c>
      <c r="L757" s="13" t="str">
        <f t="shared" si="479"/>
        <v>C0755</v>
      </c>
      <c r="M757" s="13" t="str">
        <f t="shared" si="480"/>
        <v xml:space="preserve">Огородникова Екатерина Сергеевна</v>
      </c>
      <c r="N757" s="13" t="str">
        <f t="shared" si="481"/>
        <v>OK</v>
      </c>
      <c r="O757" s="19">
        <f t="shared" si="482"/>
        <v>32704</v>
      </c>
      <c r="P757" s="19">
        <f t="shared" si="483"/>
        <v>52210</v>
      </c>
      <c r="Q757" s="13">
        <f t="shared" ca="1" si="484"/>
        <v>37</v>
      </c>
      <c r="R757" s="13" t="str">
        <f t="shared" si="485"/>
        <v>OK</v>
      </c>
      <c r="S757" s="13" t="str">
        <f t="shared" si="486"/>
        <v xml:space="preserve">+7 (903) 789-01-23</v>
      </c>
      <c r="T757" s="13" t="str">
        <f t="shared" si="487"/>
        <v>ogorodnikova@yandex</v>
      </c>
      <c r="U757" s="18" t="str">
        <f t="shared" si="488"/>
        <v xml:space="preserve">Ошибка Email</v>
      </c>
      <c r="V757" s="13" t="str">
        <f>IFERROR(VLOOKUP(K757,Справочники!$K$6:$L$13,2,0),K757)</f>
        <v>Кызыл</v>
      </c>
    </row>
    <row r="758" ht="15" customHeight="1">
      <c r="A758" s="10">
        <v>756</v>
      </c>
      <c r="B758" s="11" t="str">
        <f>RAW_Клиенты!A757</f>
        <v>C0756</v>
      </c>
      <c r="C758" s="11" t="str">
        <f>RAW_Клиенты!B757</f>
        <v xml:space="preserve">Бессонов Андрей Олегович</v>
      </c>
      <c r="D758" s="11" t="str">
        <f>RAW_Клиенты!C757</f>
        <v>13.08.1985</v>
      </c>
      <c r="E758" s="11" t="str">
        <f>RAW_Клиенты!D757</f>
        <v xml:space="preserve">8 903 890 12 34</v>
      </c>
      <c r="F758" s="11" t="str">
        <f>RAW_Клиенты!E757</f>
        <v>bessonov@gmail</v>
      </c>
      <c r="G758" s="11" t="str">
        <f>RAW_Клиенты!F757</f>
        <v>Калининград</v>
      </c>
      <c r="H758" s="11" t="str">
        <f>RAW_Клиенты!G757</f>
        <v>10.12.2042</v>
      </c>
      <c r="I758" s="12" t="str">
        <f t="shared" si="476"/>
        <v>89038901234</v>
      </c>
      <c r="J758" s="12" t="str">
        <f t="shared" si="477"/>
        <v>bessonov@gmail</v>
      </c>
      <c r="K758" s="12" t="str">
        <f t="shared" si="478"/>
        <v>Калининград</v>
      </c>
      <c r="L758" s="13" t="str">
        <f t="shared" si="479"/>
        <v>C0756</v>
      </c>
      <c r="M758" s="13" t="str">
        <f t="shared" si="480"/>
        <v xml:space="preserve">Бессонов Андрей Олегович</v>
      </c>
      <c r="N758" s="13" t="str">
        <f t="shared" si="481"/>
        <v>OK</v>
      </c>
      <c r="O758" s="19">
        <f t="shared" si="482"/>
        <v>31272</v>
      </c>
      <c r="P758" s="19">
        <f t="shared" si="483"/>
        <v>52210</v>
      </c>
      <c r="Q758" s="13">
        <f t="shared" ca="1" si="484"/>
        <v>41</v>
      </c>
      <c r="R758" s="13" t="str">
        <f t="shared" si="485"/>
        <v>OK</v>
      </c>
      <c r="S758" s="13" t="str">
        <f t="shared" si="486"/>
        <v xml:space="preserve">+7 (903) 890-12-34</v>
      </c>
      <c r="T758" s="13" t="str">
        <f t="shared" si="487"/>
        <v>bessonov@gmail</v>
      </c>
      <c r="U758" s="18" t="str">
        <f t="shared" si="488"/>
        <v xml:space="preserve">Ошибка Email</v>
      </c>
      <c r="V758" s="13" t="str">
        <f>IFERROR(VLOOKUP(K758,Справочники!$K$6:$L$13,2,0),K758)</f>
        <v>Калининград</v>
      </c>
    </row>
    <row r="759" ht="15" customHeight="1">
      <c r="A759" s="10">
        <v>757</v>
      </c>
      <c r="B759" s="11" t="str">
        <f>RAW_Клиенты!A758</f>
        <v>C0757</v>
      </c>
      <c r="C759" s="11" t="str">
        <f>RAW_Клиенты!B758</f>
        <v xml:space="preserve">Верещагина Мария Владимировна</v>
      </c>
      <c r="D759" s="11" t="str">
        <f>RAW_Клиенты!C758</f>
        <v>18.06.1972</v>
      </c>
      <c r="E759" s="11" t="str">
        <f>RAW_Клиенты!D758</f>
        <v>+79038901234</v>
      </c>
      <c r="F759" s="11" t="str">
        <f>RAW_Клиенты!E758</f>
        <v>vereschagina@mail</v>
      </c>
      <c r="G759" s="11" t="str">
        <f>RAW_Клиенты!F758</f>
        <v>Петрозаводск</v>
      </c>
      <c r="H759" s="11" t="str">
        <f>RAW_Клиенты!G758</f>
        <v>01.01.2043</v>
      </c>
      <c r="I759" s="12" t="str">
        <f t="shared" si="476"/>
        <v>79038901234</v>
      </c>
      <c r="J759" s="12" t="str">
        <f t="shared" si="477"/>
        <v>vereschagina@mail</v>
      </c>
      <c r="K759" s="12" t="str">
        <f t="shared" si="478"/>
        <v>Петрозаводск</v>
      </c>
      <c r="L759" s="13" t="str">
        <f t="shared" si="479"/>
        <v>C0757</v>
      </c>
      <c r="M759" s="13" t="str">
        <f t="shared" si="480"/>
        <v xml:space="preserve">Верещагина Мария Владимировна</v>
      </c>
      <c r="N759" s="13" t="str">
        <f t="shared" si="481"/>
        <v>OK</v>
      </c>
      <c r="O759" s="19">
        <f t="shared" si="482"/>
        <v>26468</v>
      </c>
      <c r="P759" s="19">
        <f t="shared" si="483"/>
        <v>52232</v>
      </c>
      <c r="Q759" s="13">
        <f t="shared" ca="1" si="484"/>
        <v>54</v>
      </c>
      <c r="R759" s="13" t="str">
        <f t="shared" si="485"/>
        <v>OK</v>
      </c>
      <c r="S759" s="13" t="str">
        <f t="shared" si="486"/>
        <v xml:space="preserve">+7 (903) 890-12-34</v>
      </c>
      <c r="T759" s="13" t="str">
        <f t="shared" si="487"/>
        <v>vereschagina@mail</v>
      </c>
      <c r="U759" s="18" t="str">
        <f t="shared" si="488"/>
        <v xml:space="preserve">Ошибка Email</v>
      </c>
      <c r="V759" s="13" t="str">
        <f>IFERROR(VLOOKUP(K759,Справочники!$K$6:$L$13,2,0),K759)</f>
        <v>Петрозаводск</v>
      </c>
    </row>
    <row r="760" ht="15" customHeight="1">
      <c r="A760" s="10">
        <v>758</v>
      </c>
      <c r="B760" s="11" t="str">
        <f>RAW_Клиенты!A759</f>
        <v>C0758</v>
      </c>
      <c r="C760" s="11" t="str">
        <f>RAW_Клиенты!B759</f>
        <v xml:space="preserve">Малинин Денис Павлович</v>
      </c>
      <c r="D760" s="11" t="str">
        <f>RAW_Клиенты!C759</f>
        <v>28.09.1983</v>
      </c>
      <c r="E760" s="11" t="str">
        <f>RAW_Клиенты!D759</f>
        <v>8-903-890-12-34</v>
      </c>
      <c r="F760" s="11" t="str">
        <f>RAW_Клиенты!E759</f>
        <v>malinin@yandex</v>
      </c>
      <c r="G760" s="11" t="str">
        <f>RAW_Клиенты!F759</f>
        <v>Рубцовск</v>
      </c>
      <c r="H760" s="11" t="str">
        <f>RAW_Клиенты!G759</f>
        <v>2043-01-15</v>
      </c>
      <c r="I760" s="12" t="str">
        <f t="shared" si="476"/>
        <v>89038901234</v>
      </c>
      <c r="J760" s="12" t="str">
        <f t="shared" si="477"/>
        <v>malinin@yandex</v>
      </c>
      <c r="K760" s="12" t="str">
        <f t="shared" si="478"/>
        <v>Рубцовск</v>
      </c>
      <c r="L760" s="13" t="str">
        <f t="shared" si="479"/>
        <v>C0758</v>
      </c>
      <c r="M760" s="13" t="str">
        <f t="shared" si="480"/>
        <v xml:space="preserve">Малинин Денис Павлович</v>
      </c>
      <c r="N760" s="13" t="str">
        <f t="shared" si="481"/>
        <v>OK</v>
      </c>
      <c r="O760" s="19">
        <f t="shared" si="482"/>
        <v>30587</v>
      </c>
      <c r="P760" s="19">
        <f t="shared" si="483"/>
        <v>52246</v>
      </c>
      <c r="Q760" s="13">
        <f t="shared" ca="1" si="484"/>
        <v>42</v>
      </c>
      <c r="R760" s="13" t="str">
        <f t="shared" si="485"/>
        <v>OK</v>
      </c>
      <c r="S760" s="13" t="str">
        <f t="shared" si="486"/>
        <v xml:space="preserve">+7 (903) 890-12-34</v>
      </c>
      <c r="T760" s="13" t="str">
        <f t="shared" si="487"/>
        <v>malinin@yandex</v>
      </c>
      <c r="U760" s="18" t="str">
        <f t="shared" si="488"/>
        <v xml:space="preserve">Ошибка Email</v>
      </c>
      <c r="V760" s="13" t="str">
        <f>IFERROR(VLOOKUP(K760,Справочники!$K$6:$L$13,2,0),K760)</f>
        <v>Рубцовск</v>
      </c>
    </row>
    <row r="761" ht="15" customHeight="1">
      <c r="A761" s="10">
        <v>759</v>
      </c>
      <c r="B761" s="11" t="str">
        <f>RAW_Клиенты!A760</f>
        <v>C0759</v>
      </c>
      <c r="C761" s="11" t="str">
        <f>RAW_Клиенты!B760</f>
        <v xml:space="preserve">Дубова Ольга Сергеевна</v>
      </c>
      <c r="D761" s="11" t="str">
        <f>RAW_Клиенты!C760</f>
        <v>04.12.1990</v>
      </c>
      <c r="E761" s="11" t="str">
        <f>RAW_Клиенты!D760</f>
        <v xml:space="preserve">8 903 901 23 45</v>
      </c>
      <c r="F761" s="11" t="str">
        <f>RAW_Клиенты!E760</f>
        <v>dubova@gmail</v>
      </c>
      <c r="G761" s="11" t="str">
        <f>RAW_Клиенты!F760</f>
        <v>Элиста</v>
      </c>
      <c r="H761" s="11" t="str">
        <f>RAW_Клиенты!G760</f>
        <v>15.01.2043</v>
      </c>
      <c r="I761" s="12" t="str">
        <f t="shared" si="476"/>
        <v>89039012345</v>
      </c>
      <c r="J761" s="12" t="str">
        <f t="shared" si="477"/>
        <v>dubova@gmail</v>
      </c>
      <c r="K761" s="12" t="str">
        <f t="shared" si="478"/>
        <v>Элиста</v>
      </c>
      <c r="L761" s="13" t="str">
        <f t="shared" si="479"/>
        <v>C0759</v>
      </c>
      <c r="M761" s="13" t="str">
        <f t="shared" si="480"/>
        <v xml:space="preserve">Дубова Ольга Сергеевна</v>
      </c>
      <c r="N761" s="13" t="str">
        <f t="shared" si="481"/>
        <v>OK</v>
      </c>
      <c r="O761" s="19">
        <f t="shared" si="482"/>
        <v>33211</v>
      </c>
      <c r="P761" s="19">
        <f t="shared" si="483"/>
        <v>52246</v>
      </c>
      <c r="Q761" s="13">
        <f t="shared" ca="1" si="484"/>
        <v>35</v>
      </c>
      <c r="R761" s="13" t="str">
        <f t="shared" si="485"/>
        <v>OK</v>
      </c>
      <c r="S761" s="13" t="str">
        <f t="shared" si="486"/>
        <v xml:space="preserve">+7 (903) 901-23-45</v>
      </c>
      <c r="T761" s="13" t="str">
        <f t="shared" si="487"/>
        <v>dubova@gmail</v>
      </c>
      <c r="U761" s="18" t="str">
        <f t="shared" si="488"/>
        <v xml:space="preserve">Ошибка Email</v>
      </c>
      <c r="V761" s="13" t="str">
        <f>IFERROR(VLOOKUP(K761,Справочники!$K$6:$L$13,2,0),K761)</f>
        <v>Элиста</v>
      </c>
    </row>
    <row r="762" ht="15" customHeight="1">
      <c r="A762" s="10">
        <v>760</v>
      </c>
      <c r="B762" s="11" t="str">
        <f>RAW_Клиенты!A761</f>
        <v>C0760</v>
      </c>
      <c r="C762" s="11" t="str">
        <f>RAW_Клиенты!B761</f>
        <v xml:space="preserve">Старцев Илья Алексеевич</v>
      </c>
      <c r="D762" s="11" t="str">
        <f>RAW_Клиенты!C761</f>
        <v>25.05.1976</v>
      </c>
      <c r="E762" s="11" t="str">
        <f>RAW_Клиенты!D761</f>
        <v>+79039012345</v>
      </c>
      <c r="F762" s="11" t="str">
        <f>RAW_Клиенты!E761</f>
        <v>startsev@mail</v>
      </c>
      <c r="G762" s="11" t="str">
        <f>RAW_Клиенты!F761</f>
        <v>Орск</v>
      </c>
      <c r="H762" s="11" t="str">
        <f>RAW_Клиенты!G761</f>
        <v>01.02.2043</v>
      </c>
      <c r="I762" s="12" t="str">
        <f t="shared" si="476"/>
        <v>79039012345</v>
      </c>
      <c r="J762" s="12" t="str">
        <f t="shared" si="477"/>
        <v>startsev@mail</v>
      </c>
      <c r="K762" s="12" t="str">
        <f t="shared" si="478"/>
        <v>Орск</v>
      </c>
      <c r="L762" s="13" t="str">
        <f t="shared" si="479"/>
        <v>C0760</v>
      </c>
      <c r="M762" s="13" t="str">
        <f t="shared" si="480"/>
        <v xml:space="preserve">Старцев Илья Алексеевич</v>
      </c>
      <c r="N762" s="13" t="str">
        <f t="shared" si="481"/>
        <v>OK</v>
      </c>
      <c r="O762" s="19">
        <f t="shared" si="482"/>
        <v>27905</v>
      </c>
      <c r="P762" s="19">
        <f t="shared" si="483"/>
        <v>52263</v>
      </c>
      <c r="Q762" s="13">
        <f t="shared" ca="1" si="484"/>
        <v>50</v>
      </c>
      <c r="R762" s="13" t="str">
        <f t="shared" si="485"/>
        <v>OK</v>
      </c>
      <c r="S762" s="13" t="str">
        <f t="shared" si="486"/>
        <v xml:space="preserve">+7 (903) 901-23-45</v>
      </c>
      <c r="T762" s="13" t="str">
        <f t="shared" si="487"/>
        <v>startsev@mail</v>
      </c>
      <c r="U762" s="18" t="str">
        <f t="shared" si="488"/>
        <v xml:space="preserve">Ошибка Email</v>
      </c>
      <c r="V762" s="13" t="str">
        <f>IFERROR(VLOOKUP(K762,Справочники!$K$6:$L$13,2,0),K762)</f>
        <v>Орск</v>
      </c>
    </row>
    <row r="763" ht="15" customHeight="1">
      <c r="A763" s="10">
        <v>761</v>
      </c>
      <c r="B763" s="11" t="str">
        <f>RAW_Клиенты!A762</f>
        <v>C0761</v>
      </c>
      <c r="C763" s="11" t="str">
        <f>RAW_Клиенты!B762</f>
        <v xml:space="preserve">Антипова Екатерина Владимировна</v>
      </c>
      <c r="D763" s="11" t="str">
        <f>RAW_Клиенты!C762</f>
        <v>30.10.1988</v>
      </c>
      <c r="E763" s="11" t="str">
        <f>RAW_Клиенты!D762</f>
        <v>8-903-901-23-45</v>
      </c>
      <c r="F763" s="11" t="str">
        <f>RAW_Клиенты!E762</f>
        <v>antipova@yandex</v>
      </c>
      <c r="G763" s="11" t="str">
        <f>RAW_Клиенты!F762</f>
        <v>Нижневартовск</v>
      </c>
      <c r="H763" s="11" t="str">
        <f>RAW_Клиенты!G762</f>
        <v>2043-02-10</v>
      </c>
      <c r="I763" s="12" t="str">
        <f t="shared" si="476"/>
        <v>89039012345</v>
      </c>
      <c r="J763" s="12" t="str">
        <f t="shared" si="477"/>
        <v>antipova@yandex</v>
      </c>
      <c r="K763" s="12" t="str">
        <f t="shared" si="478"/>
        <v>Нижневартовск</v>
      </c>
      <c r="L763" s="13" t="str">
        <f t="shared" si="479"/>
        <v>C0761</v>
      </c>
      <c r="M763" s="13" t="str">
        <f t="shared" si="480"/>
        <v xml:space="preserve">Антипова Екатерина Владимировна</v>
      </c>
      <c r="N763" s="13" t="str">
        <f t="shared" si="481"/>
        <v>OK</v>
      </c>
      <c r="O763" s="19">
        <f t="shared" si="482"/>
        <v>32446</v>
      </c>
      <c r="P763" s="19">
        <f t="shared" si="483"/>
        <v>52272</v>
      </c>
      <c r="Q763" s="13">
        <f t="shared" ca="1" si="484"/>
        <v>37</v>
      </c>
      <c r="R763" s="13" t="str">
        <f t="shared" si="485"/>
        <v>OK</v>
      </c>
      <c r="S763" s="13" t="str">
        <f t="shared" si="486"/>
        <v xml:space="preserve">+7 (903) 901-23-45</v>
      </c>
      <c r="T763" s="13" t="str">
        <f t="shared" si="487"/>
        <v>antipova@yandex</v>
      </c>
      <c r="U763" s="18" t="str">
        <f t="shared" si="488"/>
        <v xml:space="preserve">Ошибка Email</v>
      </c>
      <c r="V763" s="13" t="str">
        <f>IFERROR(VLOOKUP(K763,Справочники!$K$6:$L$13,2,0),K763)</f>
        <v>Нижневартовск</v>
      </c>
    </row>
    <row r="764" ht="15" customHeight="1">
      <c r="A764" s="10">
        <v>762</v>
      </c>
      <c r="B764" s="11" t="str">
        <f>RAW_Клиенты!A763</f>
        <v>C0762</v>
      </c>
      <c r="C764" s="11" t="str">
        <f>RAW_Клиенты!B763</f>
        <v xml:space="preserve">Марчук Андрей Олегович</v>
      </c>
      <c r="D764" s="11" t="str">
        <f>RAW_Клиенты!C763</f>
        <v>08.02.1981</v>
      </c>
      <c r="E764" s="11" t="str">
        <f>RAW_Клиенты!D763</f>
        <v xml:space="preserve">8 903 012 34 56</v>
      </c>
      <c r="F764" s="11" t="str">
        <f>RAW_Клиенты!E763</f>
        <v>marchuk@gmail</v>
      </c>
      <c r="G764" s="11" t="str">
        <f>RAW_Клиенты!F763</f>
        <v>Новороссийск</v>
      </c>
      <c r="H764" s="11" t="str">
        <f>RAW_Клиенты!G763</f>
        <v>10.02.2043</v>
      </c>
      <c r="I764" s="12" t="str">
        <f t="shared" si="476"/>
        <v>89030123456</v>
      </c>
      <c r="J764" s="12" t="str">
        <f t="shared" si="477"/>
        <v>marchuk@gmail</v>
      </c>
      <c r="K764" s="12" t="str">
        <f t="shared" si="478"/>
        <v>Новороссийск</v>
      </c>
      <c r="L764" s="13" t="str">
        <f t="shared" si="479"/>
        <v>C0762</v>
      </c>
      <c r="M764" s="13" t="str">
        <f t="shared" si="480"/>
        <v xml:space="preserve">Марчук Андрей Олегович</v>
      </c>
      <c r="N764" s="13" t="str">
        <f t="shared" si="481"/>
        <v>OK</v>
      </c>
      <c r="O764" s="19">
        <f t="shared" si="482"/>
        <v>29625</v>
      </c>
      <c r="P764" s="19">
        <f t="shared" si="483"/>
        <v>52272</v>
      </c>
      <c r="Q764" s="13">
        <f t="shared" ca="1" si="484"/>
        <v>45</v>
      </c>
      <c r="R764" s="13" t="str">
        <f t="shared" si="485"/>
        <v>OK</v>
      </c>
      <c r="S764" s="13" t="str">
        <f t="shared" si="486"/>
        <v xml:space="preserve">+7 (903) 012-34-56</v>
      </c>
      <c r="T764" s="13" t="str">
        <f t="shared" si="487"/>
        <v>marchuk@gmail</v>
      </c>
      <c r="U764" s="18" t="str">
        <f t="shared" si="488"/>
        <v xml:space="preserve">Ошибка Email</v>
      </c>
      <c r="V764" s="13" t="str">
        <f>IFERROR(VLOOKUP(K764,Справочники!$K$6:$L$13,2,0),K764)</f>
        <v>Новороссийск</v>
      </c>
    </row>
    <row r="765" ht="15" customHeight="1">
      <c r="A765" s="10">
        <v>763</v>
      </c>
      <c r="B765" s="11" t="str">
        <f>RAW_Клиенты!A764</f>
        <v>C0763</v>
      </c>
      <c r="C765" s="11" t="str">
        <f>RAW_Клиенты!B764</f>
        <v xml:space="preserve">Завьялова Мария Павловна</v>
      </c>
      <c r="D765" s="11" t="str">
        <f>RAW_Клиенты!C764</f>
        <v>16.07.1979</v>
      </c>
      <c r="E765" s="11" t="str">
        <f>RAW_Клиенты!D764</f>
        <v>+79030123456</v>
      </c>
      <c r="F765" s="11" t="str">
        <f>RAW_Клиенты!E764</f>
        <v>zavyalova@mail</v>
      </c>
      <c r="G765" s="11" t="str">
        <f>RAW_Клиенты!F764</f>
        <v>Химки</v>
      </c>
      <c r="H765" s="11" t="str">
        <f>RAW_Клиенты!G764</f>
        <v>01.03.2043</v>
      </c>
      <c r="I765" s="12" t="str">
        <f t="shared" si="476"/>
        <v>79030123456</v>
      </c>
      <c r="J765" s="12" t="str">
        <f t="shared" si="477"/>
        <v>zavyalova@mail</v>
      </c>
      <c r="K765" s="12" t="str">
        <f t="shared" si="478"/>
        <v>Химки</v>
      </c>
      <c r="L765" s="13" t="str">
        <f t="shared" si="479"/>
        <v>C0763</v>
      </c>
      <c r="M765" s="13" t="str">
        <f t="shared" si="480"/>
        <v xml:space="preserve">Завьялова Мария Павловна</v>
      </c>
      <c r="N765" s="13" t="str">
        <f t="shared" si="481"/>
        <v>OK</v>
      </c>
      <c r="O765" s="19">
        <f t="shared" si="482"/>
        <v>29052</v>
      </c>
      <c r="P765" s="19">
        <f t="shared" si="483"/>
        <v>52291</v>
      </c>
      <c r="Q765" s="13">
        <f t="shared" ca="1" si="484"/>
        <v>47</v>
      </c>
      <c r="R765" s="13" t="str">
        <f t="shared" si="485"/>
        <v>OK</v>
      </c>
      <c r="S765" s="13" t="str">
        <f t="shared" si="486"/>
        <v xml:space="preserve">+7 (903) 012-34-56</v>
      </c>
      <c r="T765" s="13" t="str">
        <f t="shared" si="487"/>
        <v>zavyalova@mail</v>
      </c>
      <c r="U765" s="18" t="str">
        <f t="shared" si="488"/>
        <v xml:space="preserve">Ошибка Email</v>
      </c>
      <c r="V765" s="13" t="str">
        <f>IFERROR(VLOOKUP(K765,Справочники!$K$6:$L$13,2,0),K765)</f>
        <v>Химки</v>
      </c>
    </row>
    <row r="766" ht="15" customHeight="1">
      <c r="A766" s="10">
        <v>764</v>
      </c>
      <c r="B766" s="11" t="str">
        <f>RAW_Клиенты!A765</f>
        <v>C0764</v>
      </c>
      <c r="C766" s="11" t="str">
        <f>RAW_Клиенты!B765</f>
        <v xml:space="preserve">Балашов Денис Викторович</v>
      </c>
      <c r="D766" s="11" t="str">
        <f>RAW_Клиенты!C765</f>
        <v>19.09.1986</v>
      </c>
      <c r="E766" s="11" t="str">
        <f>RAW_Клиенты!D765</f>
        <v>8-903-012-34-56</v>
      </c>
      <c r="F766" s="11" t="str">
        <f>RAW_Клиенты!E765</f>
        <v>balashov@yandex</v>
      </c>
      <c r="G766" s="11" t="str">
        <f>RAW_Клиенты!F765</f>
        <v>Подольск</v>
      </c>
      <c r="H766" s="11" t="str">
        <f>RAW_Клиенты!G765</f>
        <v>2043-03-15</v>
      </c>
      <c r="I766" s="12" t="str">
        <f t="shared" si="476"/>
        <v>89030123456</v>
      </c>
      <c r="J766" s="12" t="str">
        <f t="shared" si="477"/>
        <v>balashov@yandex</v>
      </c>
      <c r="K766" s="12" t="str">
        <f t="shared" si="478"/>
        <v>Подольск</v>
      </c>
      <c r="L766" s="13" t="str">
        <f t="shared" si="479"/>
        <v>C0764</v>
      </c>
      <c r="M766" s="13" t="str">
        <f t="shared" si="480"/>
        <v xml:space="preserve">Балашов Денис Викторович</v>
      </c>
      <c r="N766" s="13" t="str">
        <f t="shared" si="481"/>
        <v>OK</v>
      </c>
      <c r="O766" s="19">
        <f t="shared" si="482"/>
        <v>31674</v>
      </c>
      <c r="P766" s="19">
        <f t="shared" si="483"/>
        <v>52305</v>
      </c>
      <c r="Q766" s="13">
        <f t="shared" ca="1" si="484"/>
        <v>40</v>
      </c>
      <c r="R766" s="13" t="str">
        <f t="shared" si="485"/>
        <v>OK</v>
      </c>
      <c r="S766" s="13" t="str">
        <f t="shared" si="486"/>
        <v xml:space="preserve">+7 (903) 012-34-56</v>
      </c>
      <c r="T766" s="13" t="str">
        <f t="shared" si="487"/>
        <v>balashov@yandex</v>
      </c>
      <c r="U766" s="18" t="str">
        <f t="shared" si="488"/>
        <v xml:space="preserve">Ошибка Email</v>
      </c>
      <c r="V766" s="13" t="str">
        <f>IFERROR(VLOOKUP(K766,Справочники!$K$6:$L$13,2,0),K766)</f>
        <v>Подольск</v>
      </c>
    </row>
    <row r="767" ht="15" customHeight="1">
      <c r="A767" s="10">
        <v>765</v>
      </c>
      <c r="B767" s="11" t="str">
        <f>RAW_Клиенты!A766</f>
        <v>C0765</v>
      </c>
      <c r="C767" s="11" t="str">
        <f>RAW_Клиенты!B766</f>
        <v xml:space="preserve">Борисенко Ольга Сергеевна</v>
      </c>
      <c r="D767" s="11" t="str">
        <f>RAW_Клиенты!C766</f>
        <v>01.01.1984</v>
      </c>
      <c r="E767" s="11" t="str">
        <f>RAW_Клиенты!D766</f>
        <v xml:space="preserve">8 903 123 45 67</v>
      </c>
      <c r="F767" s="11" t="str">
        <f>RAW_Клиенты!E766</f>
        <v>borisenko@gmail</v>
      </c>
      <c r="G767" s="11" t="str">
        <f>RAW_Клиенты!F766</f>
        <v>Балашиха</v>
      </c>
      <c r="H767" s="11" t="str">
        <f>RAW_Клиенты!G766</f>
        <v>15.03.2043</v>
      </c>
      <c r="I767" s="12" t="str">
        <f t="shared" si="476"/>
        <v>89031234567</v>
      </c>
      <c r="J767" s="12" t="str">
        <f t="shared" si="477"/>
        <v>borisenko@gmail</v>
      </c>
      <c r="K767" s="12" t="str">
        <f t="shared" si="478"/>
        <v>Балашиха</v>
      </c>
      <c r="L767" s="13" t="str">
        <f t="shared" si="479"/>
        <v>C0765</v>
      </c>
      <c r="M767" s="13" t="str">
        <f t="shared" si="480"/>
        <v xml:space="preserve">Борисенко Ольга Сергеевна</v>
      </c>
      <c r="N767" s="13" t="str">
        <f t="shared" si="481"/>
        <v>OK</v>
      </c>
      <c r="O767" s="19">
        <f t="shared" si="482"/>
        <v>30682</v>
      </c>
      <c r="P767" s="19">
        <f t="shared" si="483"/>
        <v>52305</v>
      </c>
      <c r="Q767" s="13">
        <f t="shared" ca="1" si="484"/>
        <v>42</v>
      </c>
      <c r="R767" s="13" t="str">
        <f t="shared" si="485"/>
        <v>OK</v>
      </c>
      <c r="S767" s="13" t="str">
        <f t="shared" si="486"/>
        <v xml:space="preserve">+7 (903) 123-45-67</v>
      </c>
      <c r="T767" s="13" t="str">
        <f t="shared" si="487"/>
        <v>borisenko@gmail</v>
      </c>
      <c r="U767" s="18" t="str">
        <f t="shared" si="488"/>
        <v xml:space="preserve">Ошибка Email</v>
      </c>
      <c r="V767" s="13" t="str">
        <f>IFERROR(VLOOKUP(K767,Справочники!$K$6:$L$13,2,0),K767)</f>
        <v>Балашиха</v>
      </c>
    </row>
    <row r="768" ht="15" customHeight="1">
      <c r="A768" s="10">
        <v>766</v>
      </c>
      <c r="B768" s="11" t="str">
        <f>RAW_Клиенты!A767</f>
        <v>C0766</v>
      </c>
      <c r="C768" s="11" t="str">
        <f>RAW_Клиенты!B767</f>
        <v xml:space="preserve">Золотарев Илья Александрович</v>
      </c>
      <c r="D768" s="11" t="str">
        <f>RAW_Клиенты!C767</f>
        <v>17.11.1977</v>
      </c>
      <c r="E768" s="11" t="str">
        <f>RAW_Клиенты!D767</f>
        <v>+79031234567</v>
      </c>
      <c r="F768" s="11" t="str">
        <f>RAW_Клиенты!E767</f>
        <v>zolotarev@mail</v>
      </c>
      <c r="G768" s="11" t="str">
        <f>RAW_Клиенты!F767</f>
        <v>Сургут</v>
      </c>
      <c r="H768" s="11" t="str">
        <f>RAW_Клиенты!G767</f>
        <v>01.04.2043</v>
      </c>
      <c r="I768" s="12" t="str">
        <f t="shared" si="476"/>
        <v>79031234567</v>
      </c>
      <c r="J768" s="12" t="str">
        <f t="shared" si="477"/>
        <v>zolotarev@mail</v>
      </c>
      <c r="K768" s="12" t="str">
        <f t="shared" si="478"/>
        <v>Сургут</v>
      </c>
      <c r="L768" s="13" t="str">
        <f t="shared" si="479"/>
        <v>C0766</v>
      </c>
      <c r="M768" s="13" t="str">
        <f t="shared" si="480"/>
        <v xml:space="preserve">Золотарев Илья Александрович</v>
      </c>
      <c r="N768" s="13" t="str">
        <f t="shared" si="481"/>
        <v>OK</v>
      </c>
      <c r="O768" s="19">
        <f t="shared" si="482"/>
        <v>28446</v>
      </c>
      <c r="P768" s="19">
        <f t="shared" si="483"/>
        <v>52322</v>
      </c>
      <c r="Q768" s="13">
        <f t="shared" ca="1" si="484"/>
        <v>48</v>
      </c>
      <c r="R768" s="13" t="str">
        <f t="shared" si="485"/>
        <v>OK</v>
      </c>
      <c r="S768" s="13" t="str">
        <f t="shared" si="486"/>
        <v xml:space="preserve">+7 (903) 123-45-67</v>
      </c>
      <c r="T768" s="13" t="str">
        <f t="shared" si="487"/>
        <v>zolotarev@mail</v>
      </c>
      <c r="U768" s="18" t="str">
        <f t="shared" si="488"/>
        <v xml:space="preserve">Ошибка Email</v>
      </c>
      <c r="V768" s="13" t="str">
        <f>IFERROR(VLOOKUP(K768,Справочники!$K$6:$L$13,2,0),K768)</f>
        <v>Сургут</v>
      </c>
    </row>
    <row r="769" ht="15" customHeight="1">
      <c r="A769" s="10">
        <v>767</v>
      </c>
      <c r="B769" s="11" t="str">
        <f>RAW_Клиенты!A768</f>
        <v>C0767</v>
      </c>
      <c r="C769" s="11" t="str">
        <f>RAW_Клиенты!B768</f>
        <v xml:space="preserve">Никольская Екатерина Алексеевна</v>
      </c>
      <c r="D769" s="11" t="str">
        <f>RAW_Клиенты!C768</f>
        <v>24.06.1992</v>
      </c>
      <c r="E769" s="11" t="str">
        <f>RAW_Клиенты!D768</f>
        <v>8-903-123-45-67</v>
      </c>
      <c r="F769" s="11" t="str">
        <f>RAW_Клиенты!E768</f>
        <v>nikolskaya@yandex</v>
      </c>
      <c r="G769" s="11" t="str">
        <f>RAW_Клиенты!F768</f>
        <v>Армавир</v>
      </c>
      <c r="H769" s="11" t="str">
        <f>RAW_Клиенты!G768</f>
        <v>2043-04-10</v>
      </c>
      <c r="I769" s="12" t="str">
        <f t="shared" si="476"/>
        <v>89031234567</v>
      </c>
      <c r="J769" s="12" t="str">
        <f t="shared" si="477"/>
        <v>nikolskaya@yandex</v>
      </c>
      <c r="K769" s="12" t="str">
        <f t="shared" si="478"/>
        <v>Армавир</v>
      </c>
      <c r="L769" s="13" t="str">
        <f t="shared" si="479"/>
        <v>C0767</v>
      </c>
      <c r="M769" s="13" t="str">
        <f t="shared" si="480"/>
        <v xml:space="preserve">Никольская Екатерина Алексеевна</v>
      </c>
      <c r="N769" s="13" t="str">
        <f t="shared" si="481"/>
        <v>OK</v>
      </c>
      <c r="O769" s="19">
        <f t="shared" si="482"/>
        <v>33779</v>
      </c>
      <c r="P769" s="19">
        <f t="shared" si="483"/>
        <v>52331</v>
      </c>
      <c r="Q769" s="13">
        <f t="shared" ca="1" si="484"/>
        <v>34</v>
      </c>
      <c r="R769" s="13" t="str">
        <f t="shared" si="485"/>
        <v>OK</v>
      </c>
      <c r="S769" s="13" t="str">
        <f t="shared" si="486"/>
        <v xml:space="preserve">+7 (903) 123-45-67</v>
      </c>
      <c r="T769" s="13" t="str">
        <f t="shared" si="487"/>
        <v>nikolskaya@yandex</v>
      </c>
      <c r="U769" s="18" t="str">
        <f t="shared" si="488"/>
        <v xml:space="preserve">Ошибка Email</v>
      </c>
      <c r="V769" s="13" t="str">
        <f>IFERROR(VLOOKUP(K769,Справочники!$K$6:$L$13,2,0),K769)</f>
        <v>Армавир</v>
      </c>
    </row>
    <row r="770" ht="15" customHeight="1">
      <c r="A770" s="10">
        <v>768</v>
      </c>
      <c r="B770" s="11" t="str">
        <f>RAW_Клиенты!A769</f>
        <v>C0768</v>
      </c>
      <c r="C770" s="11" t="str">
        <f>RAW_Клиенты!B769</f>
        <v xml:space="preserve">Шишкин Андрей Павлович</v>
      </c>
      <c r="D770" s="11" t="str">
        <f>RAW_Клиенты!C769</f>
        <v>23.12.1985</v>
      </c>
      <c r="E770" s="11" t="str">
        <f>RAW_Клиенты!D769</f>
        <v xml:space="preserve">8 903 234 56 78</v>
      </c>
      <c r="F770" s="11" t="str">
        <f>RAW_Клиенты!E769</f>
        <v>shishkin@gmail</v>
      </c>
      <c r="G770" s="11" t="str">
        <f>RAW_Клиенты!F769</f>
        <v>Волжский</v>
      </c>
      <c r="H770" s="11" t="str">
        <f>RAW_Клиенты!G769</f>
        <v>10.04.2043</v>
      </c>
      <c r="I770" s="12" t="str">
        <f t="shared" si="476"/>
        <v>89032345678</v>
      </c>
      <c r="J770" s="12" t="str">
        <f t="shared" si="477"/>
        <v>shishkin@gmail</v>
      </c>
      <c r="K770" s="12" t="str">
        <f t="shared" si="478"/>
        <v>Волжский</v>
      </c>
      <c r="L770" s="13" t="str">
        <f t="shared" si="479"/>
        <v>C0768</v>
      </c>
      <c r="M770" s="13" t="str">
        <f t="shared" si="480"/>
        <v xml:space="preserve">Шишкин Андрей Павлович</v>
      </c>
      <c r="N770" s="13" t="str">
        <f t="shared" si="481"/>
        <v>OK</v>
      </c>
      <c r="O770" s="19">
        <f t="shared" si="482"/>
        <v>31404</v>
      </c>
      <c r="P770" s="19">
        <f t="shared" si="483"/>
        <v>52331</v>
      </c>
      <c r="Q770" s="13">
        <f t="shared" ca="1" si="484"/>
        <v>40</v>
      </c>
      <c r="R770" s="13" t="str">
        <f t="shared" si="485"/>
        <v>OK</v>
      </c>
      <c r="S770" s="13" t="str">
        <f t="shared" si="486"/>
        <v xml:space="preserve">+7 (903) 234-56-78</v>
      </c>
      <c r="T770" s="13" t="str">
        <f t="shared" si="487"/>
        <v>shishkin@gmail</v>
      </c>
      <c r="U770" s="18" t="str">
        <f t="shared" si="488"/>
        <v xml:space="preserve">Ошибка Email</v>
      </c>
      <c r="V770" s="13" t="str">
        <f>IFERROR(VLOOKUP(K770,Справочники!$K$6:$L$13,2,0),K770)</f>
        <v>Волжский</v>
      </c>
    </row>
    <row r="771" ht="15" customHeight="1">
      <c r="A771" s="10">
        <v>769</v>
      </c>
      <c r="B771" s="11" t="str">
        <f>RAW_Клиенты!A770</f>
        <v>C0769</v>
      </c>
      <c r="C771" s="11" t="str">
        <f>RAW_Клиенты!B770</f>
        <v xml:space="preserve">Гущина Мария Олеговна</v>
      </c>
      <c r="D771" s="11" t="str">
        <f>RAW_Клиенты!C770</f>
        <v>11.07.1974</v>
      </c>
      <c r="E771" s="11" t="str">
        <f>RAW_Клиенты!D770</f>
        <v>+79032345678</v>
      </c>
      <c r="F771" s="11" t="str">
        <f>RAW_Клиенты!E770</f>
        <v>guschina@mail</v>
      </c>
      <c r="G771" s="11" t="str">
        <f>RAW_Клиенты!F770</f>
        <v>Шахты</v>
      </c>
      <c r="H771" s="11" t="str">
        <f>RAW_Клиенты!G770</f>
        <v>01.05.2043</v>
      </c>
      <c r="I771" s="12" t="str">
        <f t="shared" si="476"/>
        <v>79032345678</v>
      </c>
      <c r="J771" s="12" t="str">
        <f t="shared" si="477"/>
        <v>guschina@mail</v>
      </c>
      <c r="K771" s="12" t="str">
        <f t="shared" si="478"/>
        <v>Шахты</v>
      </c>
      <c r="L771" s="13" t="str">
        <f t="shared" si="479"/>
        <v>C0769</v>
      </c>
      <c r="M771" s="13" t="str">
        <f t="shared" si="480"/>
        <v xml:space="preserve">Гущина Мария Олеговна</v>
      </c>
      <c r="N771" s="13" t="str">
        <f t="shared" si="481"/>
        <v>OK</v>
      </c>
      <c r="O771" s="19">
        <f t="shared" si="482"/>
        <v>27221</v>
      </c>
      <c r="P771" s="19">
        <f t="shared" si="483"/>
        <v>52352</v>
      </c>
      <c r="Q771" s="13">
        <f t="shared" ca="1" si="484"/>
        <v>52</v>
      </c>
      <c r="R771" s="13" t="str">
        <f t="shared" si="485"/>
        <v>OK</v>
      </c>
      <c r="S771" s="13" t="str">
        <f t="shared" si="486"/>
        <v xml:space="preserve">+7 (903) 234-56-78</v>
      </c>
      <c r="T771" s="13" t="str">
        <f t="shared" si="487"/>
        <v>guschina@mail</v>
      </c>
      <c r="U771" s="18" t="str">
        <f t="shared" si="488"/>
        <v xml:space="preserve">Ошибка Email</v>
      </c>
      <c r="V771" s="13" t="str">
        <f>IFERROR(VLOOKUP(K771,Справочники!$K$6:$L$13,2,0),K771)</f>
        <v>Шахты</v>
      </c>
    </row>
    <row r="772" ht="15" customHeight="1">
      <c r="A772" s="10">
        <v>770</v>
      </c>
      <c r="B772" s="11" t="str">
        <f>RAW_Клиенты!A771</f>
        <v>C0770</v>
      </c>
      <c r="C772" s="11" t="str">
        <f>RAW_Клиенты!B771</f>
        <v xml:space="preserve">Трушин Денис Сергеевич</v>
      </c>
      <c r="D772" s="11" t="str">
        <f>RAW_Клиенты!C771</f>
        <v>27.10.1989</v>
      </c>
      <c r="E772" s="11" t="str">
        <f>RAW_Клиенты!D771</f>
        <v>8-903-234-56-78</v>
      </c>
      <c r="F772" s="11" t="str">
        <f>RAW_Клиенты!E771</f>
        <v>trushin@yandex</v>
      </c>
      <c r="G772" s="11" t="str">
        <f>RAW_Клиенты!F771</f>
        <v>Златоуст</v>
      </c>
      <c r="H772" s="11" t="str">
        <f>RAW_Клиенты!G771</f>
        <v>2043-05-15</v>
      </c>
      <c r="I772" s="12" t="str">
        <f t="shared" si="476"/>
        <v>89032345678</v>
      </c>
      <c r="J772" s="12" t="str">
        <f t="shared" si="477"/>
        <v>trushin@yandex</v>
      </c>
      <c r="K772" s="12" t="str">
        <f t="shared" si="478"/>
        <v>Златоуст</v>
      </c>
      <c r="L772" s="13" t="str">
        <f t="shared" si="479"/>
        <v>C0770</v>
      </c>
      <c r="M772" s="13" t="str">
        <f t="shared" si="480"/>
        <v xml:space="preserve">Трушин Денис Сергеевич</v>
      </c>
      <c r="N772" s="13" t="str">
        <f t="shared" si="481"/>
        <v>OK</v>
      </c>
      <c r="O772" s="19">
        <f t="shared" si="482"/>
        <v>32808</v>
      </c>
      <c r="P772" s="19">
        <f t="shared" si="483"/>
        <v>52366</v>
      </c>
      <c r="Q772" s="13">
        <f t="shared" ca="1" si="484"/>
        <v>36</v>
      </c>
      <c r="R772" s="13" t="str">
        <f t="shared" si="485"/>
        <v>OK</v>
      </c>
      <c r="S772" s="13" t="str">
        <f t="shared" si="486"/>
        <v xml:space="preserve">+7 (903) 234-56-78</v>
      </c>
      <c r="T772" s="13" t="str">
        <f t="shared" si="487"/>
        <v>trushin@yandex</v>
      </c>
      <c r="U772" s="18" t="str">
        <f t="shared" si="488"/>
        <v xml:space="preserve">Ошибка Email</v>
      </c>
      <c r="V772" s="13" t="str">
        <f>IFERROR(VLOOKUP(K772,Справочники!$K$6:$L$13,2,0),K772)</f>
        <v>Златоуст</v>
      </c>
    </row>
    <row r="773" ht="15" customHeight="1">
      <c r="A773" s="10">
        <v>771</v>
      </c>
      <c r="B773" s="11" t="str">
        <f>RAW_Клиенты!A772</f>
        <v>C0771</v>
      </c>
      <c r="C773" s="11" t="str">
        <f>RAW_Клиенты!B772</f>
        <v xml:space="preserve">Лаврикова Ольга Владимировна</v>
      </c>
      <c r="D773" s="11" t="str">
        <f>RAW_Клиенты!C772</f>
        <v>05.03.1982</v>
      </c>
      <c r="E773" s="11" t="str">
        <f>RAW_Клиенты!D772</f>
        <v xml:space="preserve">8 903 345 67 89</v>
      </c>
      <c r="F773" s="11" t="str">
        <f>RAW_Клиенты!E772</f>
        <v>lavrikova@gmail</v>
      </c>
      <c r="G773" s="11" t="str">
        <f>RAW_Клиенты!F772</f>
        <v>Ангарск</v>
      </c>
      <c r="H773" s="11" t="str">
        <f>RAW_Клиенты!G772</f>
        <v>15.05.2043</v>
      </c>
      <c r="I773" s="12" t="str">
        <f t="shared" si="476"/>
        <v>89033456789</v>
      </c>
      <c r="J773" s="12" t="str">
        <f t="shared" si="477"/>
        <v>lavrikova@gmail</v>
      </c>
      <c r="K773" s="12" t="str">
        <f t="shared" si="478"/>
        <v>Ангарск</v>
      </c>
      <c r="L773" s="13" t="str">
        <f t="shared" si="479"/>
        <v>C0771</v>
      </c>
      <c r="M773" s="13" t="str">
        <f t="shared" si="480"/>
        <v xml:space="preserve">Лаврикова Ольга Владимировна</v>
      </c>
      <c r="N773" s="13" t="str">
        <f t="shared" si="481"/>
        <v>OK</v>
      </c>
      <c r="O773" s="19">
        <f t="shared" si="482"/>
        <v>30015</v>
      </c>
      <c r="P773" s="19">
        <f t="shared" si="483"/>
        <v>52366</v>
      </c>
      <c r="Q773" s="13">
        <f t="shared" ca="1" si="484"/>
        <v>44</v>
      </c>
      <c r="R773" s="13" t="str">
        <f t="shared" si="485"/>
        <v>OK</v>
      </c>
      <c r="S773" s="13" t="str">
        <f t="shared" si="486"/>
        <v xml:space="preserve">+7 (903) 345-67-89</v>
      </c>
      <c r="T773" s="13" t="str">
        <f t="shared" si="487"/>
        <v>lavrikova@gmail</v>
      </c>
      <c r="U773" s="18" t="str">
        <f t="shared" si="488"/>
        <v xml:space="preserve">Ошибка Email</v>
      </c>
      <c r="V773" s="13" t="str">
        <f>IFERROR(VLOOKUP(K773,Справочники!$K$6:$L$13,2,0),K773)</f>
        <v>Ангарск</v>
      </c>
    </row>
    <row r="774" ht="15" customHeight="1">
      <c r="A774" s="10">
        <v>772</v>
      </c>
      <c r="B774" s="11" t="str">
        <f>RAW_Клиенты!A773</f>
        <v>C0772</v>
      </c>
      <c r="C774" s="11" t="str">
        <f>RAW_Клиенты!B773</f>
        <v xml:space="preserve">Сластников Илья Алексеевич</v>
      </c>
      <c r="D774" s="11" t="str">
        <f>RAW_Клиенты!C773</f>
        <v>12.08.1976</v>
      </c>
      <c r="E774" s="11" t="str">
        <f>RAW_Клиенты!D773</f>
        <v>+79033456789</v>
      </c>
      <c r="F774" s="11" t="str">
        <f>RAW_Клиенты!E773</f>
        <v>slastnikov@mail</v>
      </c>
      <c r="G774" s="11" t="str">
        <f>RAW_Клиенты!F773</f>
        <v>Озёрск</v>
      </c>
      <c r="H774" s="11" t="str">
        <f>RAW_Клиенты!G773</f>
        <v>01.06.2043</v>
      </c>
      <c r="I774" s="12" t="str">
        <f t="shared" si="476"/>
        <v>79033456789</v>
      </c>
      <c r="J774" s="12" t="str">
        <f t="shared" si="477"/>
        <v>slastnikov@mail</v>
      </c>
      <c r="K774" s="12" t="str">
        <f t="shared" si="478"/>
        <v>Озёрск</v>
      </c>
      <c r="L774" s="13" t="str">
        <f t="shared" si="479"/>
        <v>C0772</v>
      </c>
      <c r="M774" s="13" t="str">
        <f t="shared" si="480"/>
        <v xml:space="preserve">Сластников Илья Алексеевич</v>
      </c>
      <c r="N774" s="13" t="str">
        <f t="shared" si="481"/>
        <v>OK</v>
      </c>
      <c r="O774" s="19">
        <f t="shared" si="482"/>
        <v>27984</v>
      </c>
      <c r="P774" s="19">
        <f t="shared" si="483"/>
        <v>52383</v>
      </c>
      <c r="Q774" s="13">
        <f t="shared" ca="1" si="484"/>
        <v>50</v>
      </c>
      <c r="R774" s="13" t="str">
        <f t="shared" si="485"/>
        <v>OK</v>
      </c>
      <c r="S774" s="13" t="str">
        <f t="shared" si="486"/>
        <v xml:space="preserve">+7 (903) 345-67-89</v>
      </c>
      <c r="T774" s="13" t="str">
        <f t="shared" si="487"/>
        <v>slastnikov@mail</v>
      </c>
      <c r="U774" s="18" t="str">
        <f t="shared" si="488"/>
        <v xml:space="preserve">Ошибка Email</v>
      </c>
      <c r="V774" s="13" t="str">
        <f>IFERROR(VLOOKUP(K774,Справочники!$K$6:$L$13,2,0),K774)</f>
        <v>Озёрск</v>
      </c>
    </row>
    <row r="775" ht="15" customHeight="1">
      <c r="A775" s="10">
        <v>773</v>
      </c>
      <c r="B775" s="11" t="str">
        <f>RAW_Клиенты!A774</f>
        <v>C0773</v>
      </c>
      <c r="C775" s="11" t="str">
        <f>RAW_Клиенты!B774</f>
        <v xml:space="preserve">Кузьменко Екатерина Сергеевна</v>
      </c>
      <c r="D775" s="11" t="str">
        <f>RAW_Клиенты!C774</f>
        <v>21.04.1987</v>
      </c>
      <c r="E775" s="11" t="str">
        <f>RAW_Клиенты!D774</f>
        <v>8-903-345-67-89</v>
      </c>
      <c r="F775" s="11" t="str">
        <f>RAW_Клиенты!E774</f>
        <v>kuzmenko@yandex</v>
      </c>
      <c r="G775" s="11" t="str">
        <f>RAW_Клиенты!F774</f>
        <v>Орел</v>
      </c>
      <c r="H775" s="11" t="str">
        <f>RAW_Клиенты!G774</f>
        <v>2043-06-10</v>
      </c>
      <c r="I775" s="12" t="str">
        <f t="shared" si="476"/>
        <v>89033456789</v>
      </c>
      <c r="J775" s="12" t="str">
        <f t="shared" si="477"/>
        <v>kuzmenko@yandex</v>
      </c>
      <c r="K775" s="12" t="str">
        <f t="shared" si="478"/>
        <v>Орел</v>
      </c>
      <c r="L775" s="13" t="str">
        <f t="shared" si="479"/>
        <v>C0773</v>
      </c>
      <c r="M775" s="13" t="str">
        <f t="shared" si="480"/>
        <v xml:space="preserve">Кузьменко Екатерина Сергеевна</v>
      </c>
      <c r="N775" s="13" t="str">
        <f t="shared" si="481"/>
        <v>OK</v>
      </c>
      <c r="O775" s="19">
        <f t="shared" si="482"/>
        <v>31888</v>
      </c>
      <c r="P775" s="19">
        <f t="shared" si="483"/>
        <v>52392</v>
      </c>
      <c r="Q775" s="13">
        <f t="shared" ca="1" si="484"/>
        <v>39</v>
      </c>
      <c r="R775" s="13" t="str">
        <f t="shared" si="485"/>
        <v>OK</v>
      </c>
      <c r="S775" s="13" t="str">
        <f t="shared" si="486"/>
        <v xml:space="preserve">+7 (903) 345-67-89</v>
      </c>
      <c r="T775" s="13" t="str">
        <f t="shared" si="487"/>
        <v>kuzmenko@yandex</v>
      </c>
      <c r="U775" s="18" t="str">
        <f t="shared" si="488"/>
        <v xml:space="preserve">Ошибка Email</v>
      </c>
      <c r="V775" s="13" t="str">
        <f>IFERROR(VLOOKUP(K775,Справочники!$K$6:$L$13,2,0),K775)</f>
        <v>Орел</v>
      </c>
    </row>
    <row r="776" ht="15" customHeight="1">
      <c r="A776" s="10">
        <v>774</v>
      </c>
      <c r="B776" s="11" t="str">
        <f>RAW_Клиенты!A775</f>
        <v>C0774</v>
      </c>
      <c r="C776" s="11" t="str">
        <f>RAW_Клиенты!B775</f>
        <v xml:space="preserve">Токаренко Андрей Олегович</v>
      </c>
      <c r="D776" s="11" t="str">
        <f>RAW_Клиенты!C775</f>
        <v>14.09.1983</v>
      </c>
      <c r="E776" s="11" t="str">
        <f>RAW_Клиенты!D775</f>
        <v xml:space="preserve">8 903 456 78 90</v>
      </c>
      <c r="F776" s="11" t="str">
        <f>RAW_Клиенты!E775</f>
        <v>tokarenko@gmail</v>
      </c>
      <c r="G776" s="11" t="str">
        <f>RAW_Клиенты!F775</f>
        <v>Магнитогорск</v>
      </c>
      <c r="H776" s="11" t="str">
        <f>RAW_Клиенты!G775</f>
        <v>10.06.2043</v>
      </c>
      <c r="I776" s="12" t="str">
        <f t="shared" si="476"/>
        <v>89034567890</v>
      </c>
      <c r="J776" s="12" t="str">
        <f t="shared" si="477"/>
        <v>tokarenko@gmail</v>
      </c>
      <c r="K776" s="12" t="str">
        <f t="shared" si="478"/>
        <v>Магнитогорск</v>
      </c>
      <c r="L776" s="13" t="str">
        <f t="shared" si="479"/>
        <v>C0774</v>
      </c>
      <c r="M776" s="13" t="str">
        <f t="shared" si="480"/>
        <v xml:space="preserve">Токаренко Андрей Олегович</v>
      </c>
      <c r="N776" s="13" t="str">
        <f t="shared" si="481"/>
        <v>OK</v>
      </c>
      <c r="O776" s="19">
        <f t="shared" si="482"/>
        <v>30573</v>
      </c>
      <c r="P776" s="19">
        <f t="shared" si="483"/>
        <v>52392</v>
      </c>
      <c r="Q776" s="13">
        <f t="shared" ca="1" si="484"/>
        <v>43</v>
      </c>
      <c r="R776" s="13" t="str">
        <f t="shared" si="485"/>
        <v>OK</v>
      </c>
      <c r="S776" s="13" t="str">
        <f t="shared" si="486"/>
        <v xml:space="preserve">+7 (903) 456-78-90</v>
      </c>
      <c r="T776" s="13" t="str">
        <f t="shared" si="487"/>
        <v>tokarenko@gmail</v>
      </c>
      <c r="U776" s="18" t="str">
        <f t="shared" si="488"/>
        <v xml:space="preserve">Ошибка Email</v>
      </c>
      <c r="V776" s="13" t="str">
        <f>IFERROR(VLOOKUP(K776,Справочники!$K$6:$L$13,2,0),K776)</f>
        <v>Магнитогорск</v>
      </c>
    </row>
    <row r="777" ht="15" customHeight="1">
      <c r="A777" s="10">
        <v>775</v>
      </c>
      <c r="B777" s="11" t="str">
        <f>RAW_Клиенты!A776</f>
        <v>C0775</v>
      </c>
      <c r="C777" s="11" t="str">
        <f>RAW_Клиенты!B776</f>
        <v xml:space="preserve">Симонова Мария Павловна</v>
      </c>
      <c r="D777" s="11" t="str">
        <f>RAW_Клиенты!C776</f>
        <v>29.11.1970</v>
      </c>
      <c r="E777" s="11" t="str">
        <f>RAW_Клиенты!D776</f>
        <v>+79034567890</v>
      </c>
      <c r="F777" s="11" t="str">
        <f>RAW_Клиенты!E776</f>
        <v>simonova@mail</v>
      </c>
      <c r="G777" s="11" t="str">
        <f>RAW_Клиенты!F776</f>
        <v>Якутск</v>
      </c>
      <c r="H777" s="11" t="str">
        <f>RAW_Клиенты!G776</f>
        <v>01.07.2043</v>
      </c>
      <c r="I777" s="12" t="str">
        <f t="shared" si="476"/>
        <v>79034567890</v>
      </c>
      <c r="J777" s="12" t="str">
        <f t="shared" si="477"/>
        <v>simonova@mail</v>
      </c>
      <c r="K777" s="12" t="str">
        <f t="shared" si="478"/>
        <v>Якутск</v>
      </c>
      <c r="L777" s="13" t="str">
        <f t="shared" si="479"/>
        <v>C0775</v>
      </c>
      <c r="M777" s="13" t="str">
        <f t="shared" si="480"/>
        <v xml:space="preserve">Симонова Мария Павловна</v>
      </c>
      <c r="N777" s="13" t="str">
        <f t="shared" si="481"/>
        <v>OK</v>
      </c>
      <c r="O777" s="19">
        <f t="shared" si="482"/>
        <v>25901</v>
      </c>
      <c r="P777" s="19">
        <f t="shared" si="483"/>
        <v>52413</v>
      </c>
      <c r="Q777" s="13">
        <f t="shared" ca="1" si="484"/>
        <v>55</v>
      </c>
      <c r="R777" s="13" t="str">
        <f t="shared" si="485"/>
        <v>OK</v>
      </c>
      <c r="S777" s="13" t="str">
        <f t="shared" si="486"/>
        <v xml:space="preserve">+7 (903) 456-78-90</v>
      </c>
      <c r="T777" s="13" t="str">
        <f t="shared" si="487"/>
        <v>simonova@mail</v>
      </c>
      <c r="U777" s="18" t="str">
        <f t="shared" si="488"/>
        <v xml:space="preserve">Ошибка Email</v>
      </c>
      <c r="V777" s="13" t="str">
        <f>IFERROR(VLOOKUP(K777,Справочники!$K$6:$L$13,2,0),K777)</f>
        <v>Якутск</v>
      </c>
    </row>
    <row r="778" ht="15" customHeight="1">
      <c r="A778" s="10">
        <v>776</v>
      </c>
      <c r="B778" s="11" t="str">
        <f>RAW_Клиенты!A777</f>
        <v>C0776</v>
      </c>
      <c r="C778" s="11" t="str">
        <f>RAW_Клиенты!B777</f>
        <v xml:space="preserve">Царев Денис Викторович</v>
      </c>
      <c r="D778" s="11" t="str">
        <f>RAW_Клиенты!C777</f>
        <v>08.06.1988</v>
      </c>
      <c r="E778" s="11" t="str">
        <f>RAW_Клиенты!D777</f>
        <v>8-903-456-78-90</v>
      </c>
      <c r="F778" s="11" t="str">
        <f>RAW_Клиенты!E777</f>
        <v>tsarev@yandex</v>
      </c>
      <c r="G778" s="11" t="str">
        <f>RAW_Клиенты!F777</f>
        <v>Чебоксары</v>
      </c>
      <c r="H778" s="11" t="str">
        <f>RAW_Клиенты!G777</f>
        <v>2043-07-15</v>
      </c>
      <c r="I778" s="12" t="str">
        <f t="shared" si="476"/>
        <v>89034567890</v>
      </c>
      <c r="J778" s="12" t="str">
        <f t="shared" si="477"/>
        <v>tsarev@yandex</v>
      </c>
      <c r="K778" s="12" t="str">
        <f t="shared" si="478"/>
        <v>Чебоксары</v>
      </c>
      <c r="L778" s="13" t="str">
        <f t="shared" si="479"/>
        <v>C0776</v>
      </c>
      <c r="M778" s="13" t="str">
        <f t="shared" si="480"/>
        <v xml:space="preserve">Царев Денис Викторович</v>
      </c>
      <c r="N778" s="13" t="str">
        <f t="shared" si="481"/>
        <v>OK</v>
      </c>
      <c r="O778" s="19">
        <f t="shared" si="482"/>
        <v>32302</v>
      </c>
      <c r="P778" s="19">
        <f t="shared" si="483"/>
        <v>52427</v>
      </c>
      <c r="Q778" s="13">
        <f t="shared" ca="1" si="484"/>
        <v>38</v>
      </c>
      <c r="R778" s="13" t="str">
        <f t="shared" si="485"/>
        <v>OK</v>
      </c>
      <c r="S778" s="13" t="str">
        <f t="shared" si="486"/>
        <v xml:space="preserve">+7 (903) 456-78-90</v>
      </c>
      <c r="T778" s="13" t="str">
        <f t="shared" si="487"/>
        <v>tsarev@yandex</v>
      </c>
      <c r="U778" s="18" t="str">
        <f t="shared" si="488"/>
        <v xml:space="preserve">Ошибка Email</v>
      </c>
      <c r="V778" s="13" t="str">
        <f>IFERROR(VLOOKUP(K778,Справочники!$K$6:$L$13,2,0),K778)</f>
        <v>Чебоксары</v>
      </c>
    </row>
    <row r="779" ht="15" customHeight="1">
      <c r="A779" s="10">
        <v>777</v>
      </c>
      <c r="B779" s="11" t="str">
        <f>RAW_Клиенты!A778</f>
        <v>C0777</v>
      </c>
      <c r="C779" s="11" t="str">
        <f>RAW_Клиенты!B778</f>
        <v xml:space="preserve">Крупина Ольга Сергеевна</v>
      </c>
      <c r="D779" s="11" t="str">
        <f>RAW_Клиенты!C778</f>
        <v>03.08.1978</v>
      </c>
      <c r="E779" s="11" t="str">
        <f>RAW_Клиенты!D778</f>
        <v xml:space="preserve">8 903 567 89 01</v>
      </c>
      <c r="F779" s="11" t="str">
        <f>RAW_Клиенты!E778</f>
        <v>krupina@gmail</v>
      </c>
      <c r="G779" s="11" t="str">
        <f>RAW_Клиенты!F778</f>
        <v>Мурманск</v>
      </c>
      <c r="H779" s="11" t="str">
        <f>RAW_Клиенты!G778</f>
        <v>15.07.2043</v>
      </c>
      <c r="I779" s="12" t="str">
        <f t="shared" si="476"/>
        <v>89035678901</v>
      </c>
      <c r="J779" s="12" t="str">
        <f t="shared" si="477"/>
        <v>krupina@gmail</v>
      </c>
      <c r="K779" s="12" t="str">
        <f t="shared" si="478"/>
        <v>Мурманск</v>
      </c>
      <c r="L779" s="13" t="str">
        <f t="shared" si="479"/>
        <v>C0777</v>
      </c>
      <c r="M779" s="13" t="str">
        <f t="shared" si="480"/>
        <v xml:space="preserve">Крупина Ольга Сергеевна</v>
      </c>
      <c r="N779" s="13" t="str">
        <f t="shared" si="481"/>
        <v>OK</v>
      </c>
      <c r="O779" s="19">
        <f t="shared" si="482"/>
        <v>28705</v>
      </c>
      <c r="P779" s="19">
        <f t="shared" si="483"/>
        <v>52427</v>
      </c>
      <c r="Q779" s="13">
        <f t="shared" ca="1" si="484"/>
        <v>48</v>
      </c>
      <c r="R779" s="13" t="str">
        <f t="shared" si="485"/>
        <v>OK</v>
      </c>
      <c r="S779" s="13" t="str">
        <f t="shared" si="486"/>
        <v xml:space="preserve">+7 (903) 567-89-01</v>
      </c>
      <c r="T779" s="13" t="str">
        <f t="shared" si="487"/>
        <v>krupina@gmail</v>
      </c>
      <c r="U779" s="18" t="str">
        <f t="shared" si="488"/>
        <v xml:space="preserve">Ошибка Email</v>
      </c>
      <c r="V779" s="13" t="str">
        <f>IFERROR(VLOOKUP(K779,Справочники!$K$6:$L$13,2,0),K779)</f>
        <v>Мурманск</v>
      </c>
    </row>
    <row r="780" ht="15" customHeight="1">
      <c r="A780" s="10">
        <v>778</v>
      </c>
      <c r="B780" s="11" t="str">
        <f>RAW_Клиенты!A779</f>
        <v>C0778</v>
      </c>
      <c r="C780" s="11" t="str">
        <f>RAW_Клиенты!B779</f>
        <v xml:space="preserve">Бурцев Илья Александрович</v>
      </c>
      <c r="D780" s="11" t="str">
        <f>RAW_Клиенты!C779</f>
        <v>16.10.1984</v>
      </c>
      <c r="E780" s="11" t="str">
        <f>RAW_Клиенты!D779</f>
        <v>+79035678901</v>
      </c>
      <c r="F780" s="11" t="str">
        <f>RAW_Клиенты!E779</f>
        <v>burtsev@mail</v>
      </c>
      <c r="G780" s="11" t="str">
        <f>RAW_Клиенты!F779</f>
        <v>Смоленск</v>
      </c>
      <c r="H780" s="11" t="str">
        <f>RAW_Клиенты!G779</f>
        <v>01.08.2043</v>
      </c>
      <c r="I780" s="12" t="str">
        <f t="shared" si="476"/>
        <v>79035678901</v>
      </c>
      <c r="J780" s="12" t="str">
        <f t="shared" si="477"/>
        <v>burtsev@mail</v>
      </c>
      <c r="K780" s="12" t="str">
        <f t="shared" si="478"/>
        <v>Смоленск</v>
      </c>
      <c r="L780" s="13" t="str">
        <f t="shared" si="479"/>
        <v>C0778</v>
      </c>
      <c r="M780" s="13" t="str">
        <f t="shared" si="480"/>
        <v xml:space="preserve">Бурцев Илья Александрович</v>
      </c>
      <c r="N780" s="13" t="str">
        <f t="shared" si="481"/>
        <v>OK</v>
      </c>
      <c r="O780" s="19">
        <f t="shared" si="482"/>
        <v>30971</v>
      </c>
      <c r="P780" s="19">
        <f t="shared" si="483"/>
        <v>52444</v>
      </c>
      <c r="Q780" s="13">
        <f t="shared" ca="1" si="484"/>
        <v>41</v>
      </c>
      <c r="R780" s="13" t="str">
        <f t="shared" si="485"/>
        <v>OK</v>
      </c>
      <c r="S780" s="13" t="str">
        <f t="shared" si="486"/>
        <v xml:space="preserve">+7 (903) 567-89-01</v>
      </c>
      <c r="T780" s="13" t="str">
        <f t="shared" si="487"/>
        <v>burtsev@mail</v>
      </c>
      <c r="U780" s="18" t="str">
        <f t="shared" si="488"/>
        <v xml:space="preserve">Ошибка Email</v>
      </c>
      <c r="V780" s="13" t="str">
        <f>IFERROR(VLOOKUP(K780,Справочники!$K$6:$L$13,2,0),K780)</f>
        <v>Смоленск</v>
      </c>
    </row>
    <row r="781" ht="15" customHeight="1">
      <c r="A781" s="10">
        <v>779</v>
      </c>
      <c r="B781" s="11" t="str">
        <f>RAW_Клиенты!A780</f>
        <v>C0779</v>
      </c>
      <c r="C781" s="11" t="str">
        <f>RAW_Клиенты!B780</f>
        <v xml:space="preserve">Илюхина Екатерина Владимировна</v>
      </c>
      <c r="D781" s="11" t="str">
        <f>RAW_Клиенты!C780</f>
        <v>19.01.1991</v>
      </c>
      <c r="E781" s="11" t="str">
        <f>RAW_Клиенты!D780</f>
        <v>8-903-567-89-01</v>
      </c>
      <c r="F781" s="11" t="str">
        <f>RAW_Клиенты!E780</f>
        <v>ilyuhina@yandex</v>
      </c>
      <c r="G781" s="11" t="str">
        <f>RAW_Клиенты!F780</f>
        <v>Тула</v>
      </c>
      <c r="H781" s="11" t="str">
        <f>RAW_Клиенты!G780</f>
        <v>2043-08-10</v>
      </c>
      <c r="I781" s="12" t="str">
        <f t="shared" si="476"/>
        <v>89035678901</v>
      </c>
      <c r="J781" s="12" t="str">
        <f t="shared" si="477"/>
        <v>ilyuhina@yandex</v>
      </c>
      <c r="K781" s="12" t="str">
        <f t="shared" si="478"/>
        <v>Тула</v>
      </c>
      <c r="L781" s="13" t="str">
        <f t="shared" si="479"/>
        <v>C0779</v>
      </c>
      <c r="M781" s="13" t="str">
        <f t="shared" si="480"/>
        <v xml:space="preserve">Илюхина Екатерина Владимировна</v>
      </c>
      <c r="N781" s="13" t="str">
        <f t="shared" si="481"/>
        <v>OK</v>
      </c>
      <c r="O781" s="19">
        <f t="shared" si="482"/>
        <v>33257</v>
      </c>
      <c r="P781" s="19">
        <f t="shared" si="483"/>
        <v>52453</v>
      </c>
      <c r="Q781" s="13">
        <f t="shared" ca="1" si="484"/>
        <v>35</v>
      </c>
      <c r="R781" s="13" t="str">
        <f t="shared" si="485"/>
        <v>OK</v>
      </c>
      <c r="S781" s="13" t="str">
        <f t="shared" si="486"/>
        <v xml:space="preserve">+7 (903) 567-89-01</v>
      </c>
      <c r="T781" s="13" t="str">
        <f t="shared" si="487"/>
        <v>ilyuhina@yandex</v>
      </c>
      <c r="U781" s="18" t="str">
        <f t="shared" si="488"/>
        <v xml:space="preserve">Ошибка Email</v>
      </c>
      <c r="V781" s="13" t="str">
        <f>IFERROR(VLOOKUP(K781,Справочники!$K$6:$L$13,2,0),K781)</f>
        <v>Тула</v>
      </c>
    </row>
    <row r="782" ht="15" customHeight="1">
      <c r="A782" s="10">
        <v>780</v>
      </c>
      <c r="B782" s="11" t="str">
        <f>RAW_Клиенты!A781</f>
        <v>C0780</v>
      </c>
      <c r="C782" s="11" t="str">
        <f>RAW_Клиенты!B781</f>
        <v xml:space="preserve">Груздев Андрей Олегович</v>
      </c>
      <c r="D782" s="11" t="str">
        <f>RAW_Клиенты!C781</f>
        <v>25.05.1973</v>
      </c>
      <c r="E782" s="11" t="str">
        <f>RAW_Клиенты!D781</f>
        <v xml:space="preserve">8 903 678 90 12</v>
      </c>
      <c r="F782" s="11" t="str">
        <f>RAW_Клиенты!E781</f>
        <v>gruzdev@gmail</v>
      </c>
      <c r="G782" s="11" t="str">
        <f>RAW_Клиенты!F781</f>
        <v>Калуга</v>
      </c>
      <c r="H782" s="11" t="str">
        <f>RAW_Клиенты!G781</f>
        <v>10.08.2043</v>
      </c>
      <c r="I782" s="12" t="str">
        <f t="shared" si="476"/>
        <v>89036789012</v>
      </c>
      <c r="J782" s="12" t="str">
        <f t="shared" si="477"/>
        <v>gruzdev@gmail</v>
      </c>
      <c r="K782" s="12" t="str">
        <f t="shared" si="478"/>
        <v>Калуга</v>
      </c>
      <c r="L782" s="13" t="str">
        <f t="shared" si="479"/>
        <v>C0780</v>
      </c>
      <c r="M782" s="13" t="str">
        <f t="shared" si="480"/>
        <v xml:space="preserve">Груздев Андрей Олегович</v>
      </c>
      <c r="N782" s="13" t="str">
        <f t="shared" si="481"/>
        <v>OK</v>
      </c>
      <c r="O782" s="19">
        <f t="shared" si="482"/>
        <v>26809</v>
      </c>
      <c r="P782" s="19">
        <f t="shared" si="483"/>
        <v>52453</v>
      </c>
      <c r="Q782" s="13">
        <f t="shared" ca="1" si="484"/>
        <v>53</v>
      </c>
      <c r="R782" s="13" t="str">
        <f t="shared" si="485"/>
        <v>OK</v>
      </c>
      <c r="S782" s="13" t="str">
        <f t="shared" si="486"/>
        <v xml:space="preserve">+7 (903) 678-90-12</v>
      </c>
      <c r="T782" s="13" t="str">
        <f t="shared" si="487"/>
        <v>gruzdev@gmail</v>
      </c>
      <c r="U782" s="18" t="str">
        <f t="shared" si="488"/>
        <v xml:space="preserve">Ошибка Email</v>
      </c>
      <c r="V782" s="13" t="str">
        <f>IFERROR(VLOOKUP(K782,Справочники!$K$6:$L$13,2,0),K782)</f>
        <v>Калуга</v>
      </c>
    </row>
    <row r="783" ht="15" customHeight="1">
      <c r="A783" s="10">
        <v>781</v>
      </c>
      <c r="B783" s="11" t="str">
        <f>RAW_Клиенты!A782</f>
        <v>C0781</v>
      </c>
      <c r="C783" s="11" t="str">
        <f>RAW_Клиенты!B782</f>
        <v xml:space="preserve">Новикова Мария Павловна</v>
      </c>
      <c r="D783" s="11" t="str">
        <f>RAW_Клиенты!C782</f>
        <v>11.07.1982</v>
      </c>
      <c r="E783" s="11" t="str">
        <f>RAW_Клиенты!D782</f>
        <v>+79036789012</v>
      </c>
      <c r="F783" s="11" t="str">
        <f>RAW_Клиенты!E782</f>
        <v>novikova@mail</v>
      </c>
      <c r="G783" s="11" t="str">
        <f>RAW_Клиенты!F782</f>
        <v>Владикавказ</v>
      </c>
      <c r="H783" s="11" t="str">
        <f>RAW_Клиенты!G782</f>
        <v>01.09.2043</v>
      </c>
      <c r="I783" s="12" t="str">
        <f t="shared" si="476"/>
        <v>79036789012</v>
      </c>
      <c r="J783" s="12" t="str">
        <f t="shared" si="477"/>
        <v>novikova@mail</v>
      </c>
      <c r="K783" s="12" t="str">
        <f t="shared" si="478"/>
        <v>Владикавказ</v>
      </c>
      <c r="L783" s="13" t="str">
        <f t="shared" si="479"/>
        <v>C0781</v>
      </c>
      <c r="M783" s="13" t="str">
        <f t="shared" si="480"/>
        <v xml:space="preserve">Новикова Мария Павловна</v>
      </c>
      <c r="N783" s="13" t="str">
        <f t="shared" si="481"/>
        <v>OK</v>
      </c>
      <c r="O783" s="19">
        <f t="shared" si="482"/>
        <v>30143</v>
      </c>
      <c r="P783" s="19">
        <f t="shared" si="483"/>
        <v>52475</v>
      </c>
      <c r="Q783" s="13">
        <f t="shared" ca="1" si="484"/>
        <v>44</v>
      </c>
      <c r="R783" s="13" t="str">
        <f t="shared" si="485"/>
        <v>OK</v>
      </c>
      <c r="S783" s="13" t="str">
        <f t="shared" si="486"/>
        <v xml:space="preserve">+7 (903) 678-90-12</v>
      </c>
      <c r="T783" s="13" t="str">
        <f t="shared" si="487"/>
        <v>novikova@mail</v>
      </c>
      <c r="U783" s="18" t="str">
        <f t="shared" si="488"/>
        <v xml:space="preserve">Ошибка Email</v>
      </c>
      <c r="V783" s="13" t="str">
        <f>IFERROR(VLOOKUP(K783,Справочники!$K$6:$L$13,2,0),K783)</f>
        <v>Владикавказ</v>
      </c>
    </row>
    <row r="784" ht="15" customHeight="1">
      <c r="A784" s="10">
        <v>782</v>
      </c>
      <c r="B784" s="11" t="str">
        <f>RAW_Клиенты!A783</f>
        <v>C0782</v>
      </c>
      <c r="C784" s="11" t="str">
        <f>RAW_Клиенты!B783</f>
        <v xml:space="preserve">Куликов Денис Сергеевич</v>
      </c>
      <c r="D784" s="11" t="str">
        <f>RAW_Клиенты!C783</f>
        <v>03.12.1989</v>
      </c>
      <c r="E784" s="11" t="str">
        <f>RAW_Клиенты!D783</f>
        <v>8-903-678-90-12</v>
      </c>
      <c r="F784" s="11" t="str">
        <f>RAW_Клиенты!E783</f>
        <v>kulikov@yandex</v>
      </c>
      <c r="G784" s="11" t="str">
        <f>RAW_Клиенты!F783</f>
        <v>Смоленск</v>
      </c>
      <c r="H784" s="11" t="str">
        <f>RAW_Клиенты!G783</f>
        <v>2043-09-15</v>
      </c>
      <c r="I784" s="12" t="str">
        <f t="shared" si="476"/>
        <v>89036789012</v>
      </c>
      <c r="J784" s="12" t="str">
        <f t="shared" si="477"/>
        <v>kulikov@yandex</v>
      </c>
      <c r="K784" s="12" t="str">
        <f t="shared" si="478"/>
        <v>Смоленск</v>
      </c>
      <c r="L784" s="13" t="str">
        <f t="shared" si="479"/>
        <v>C0782</v>
      </c>
      <c r="M784" s="13" t="str">
        <f t="shared" si="480"/>
        <v xml:space="preserve">Куликов Денис Сергеевич</v>
      </c>
      <c r="N784" s="13" t="str">
        <f t="shared" si="481"/>
        <v>OK</v>
      </c>
      <c r="O784" s="19">
        <f t="shared" si="482"/>
        <v>32845</v>
      </c>
      <c r="P784" s="19">
        <f t="shared" si="483"/>
        <v>52489</v>
      </c>
      <c r="Q784" s="13">
        <f t="shared" ca="1" si="484"/>
        <v>36</v>
      </c>
      <c r="R784" s="13" t="str">
        <f t="shared" si="485"/>
        <v>OK</v>
      </c>
      <c r="S784" s="13" t="str">
        <f t="shared" si="486"/>
        <v xml:space="preserve">+7 (903) 678-90-12</v>
      </c>
      <c r="T784" s="13" t="str">
        <f t="shared" si="487"/>
        <v>kulikov@yandex</v>
      </c>
      <c r="U784" s="18" t="str">
        <f t="shared" si="488"/>
        <v xml:space="preserve">Ошибка Email</v>
      </c>
      <c r="V784" s="13" t="str">
        <f>IFERROR(VLOOKUP(K784,Справочники!$K$6:$L$13,2,0),K784)</f>
        <v>Смоленск</v>
      </c>
    </row>
    <row r="785" ht="15" customHeight="1">
      <c r="A785" s="10">
        <v>783</v>
      </c>
      <c r="B785" s="11" t="str">
        <f>RAW_Клиенты!A784</f>
        <v>C0783</v>
      </c>
      <c r="C785" s="11" t="str">
        <f>RAW_Клиенты!B784</f>
        <v xml:space="preserve">Быкова Ольга Владимировна</v>
      </c>
      <c r="D785" s="11" t="str">
        <f>RAW_Клиенты!C784</f>
        <v>07.09.1977</v>
      </c>
      <c r="E785" s="11" t="str">
        <f>RAW_Клиенты!D784</f>
        <v xml:space="preserve">8 903 789 01 23</v>
      </c>
      <c r="F785" s="11" t="str">
        <f>RAW_Клиенты!E784</f>
        <v>bykova@gmail</v>
      </c>
      <c r="G785" s="11" t="str">
        <f>RAW_Клиенты!F784</f>
        <v>Белгород</v>
      </c>
      <c r="H785" s="11" t="str">
        <f>RAW_Клиенты!G784</f>
        <v>15.09.2043</v>
      </c>
      <c r="I785" s="12" t="str">
        <f t="shared" si="476"/>
        <v>89037890123</v>
      </c>
      <c r="J785" s="12" t="str">
        <f t="shared" si="477"/>
        <v>bykova@gmail</v>
      </c>
      <c r="K785" s="12" t="str">
        <f t="shared" si="478"/>
        <v>Белгород</v>
      </c>
      <c r="L785" s="13" t="str">
        <f t="shared" si="479"/>
        <v>C0783</v>
      </c>
      <c r="M785" s="13" t="str">
        <f t="shared" si="480"/>
        <v xml:space="preserve">Быкова Ольга Владимировна</v>
      </c>
      <c r="N785" s="13" t="str">
        <f t="shared" si="481"/>
        <v>OK</v>
      </c>
      <c r="O785" s="19">
        <f t="shared" si="482"/>
        <v>28375</v>
      </c>
      <c r="P785" s="19">
        <f t="shared" si="483"/>
        <v>52489</v>
      </c>
      <c r="Q785" s="13">
        <f t="shared" ca="1" si="484"/>
        <v>49</v>
      </c>
      <c r="R785" s="13" t="str">
        <f t="shared" si="485"/>
        <v>OK</v>
      </c>
      <c r="S785" s="13" t="str">
        <f t="shared" si="486"/>
        <v xml:space="preserve">+7 (903) 789-01-23</v>
      </c>
      <c r="T785" s="13" t="str">
        <f t="shared" si="487"/>
        <v>bykova@gmail</v>
      </c>
      <c r="U785" s="18" t="str">
        <f t="shared" si="488"/>
        <v xml:space="preserve">Ошибка Email</v>
      </c>
      <c r="V785" s="13" t="str">
        <f>IFERROR(VLOOKUP(K785,Справочники!$K$6:$L$13,2,0),K785)</f>
        <v>Белгород</v>
      </c>
    </row>
    <row r="786" ht="15" customHeight="1">
      <c r="A786" s="10">
        <v>784</v>
      </c>
      <c r="B786" s="11" t="str">
        <f>RAW_Клиенты!A785</f>
        <v>C0784</v>
      </c>
      <c r="C786" s="11" t="str">
        <f>RAW_Клиенты!B785</f>
        <v xml:space="preserve">Щеглов Илья Алексеевич</v>
      </c>
      <c r="D786" s="11" t="str">
        <f>RAW_Клиенты!C785</f>
        <v>22.01.1985</v>
      </c>
      <c r="E786" s="11" t="str">
        <f>RAW_Клиенты!D785</f>
        <v>+79037890123</v>
      </c>
      <c r="F786" s="11" t="str">
        <f>RAW_Клиенты!E785</f>
        <v>scheglov@mail</v>
      </c>
      <c r="G786" s="11" t="str">
        <f>RAW_Клиенты!F785</f>
        <v>Мурманск</v>
      </c>
      <c r="H786" s="11" t="str">
        <f>RAW_Клиенты!G785</f>
        <v>01.10.2043</v>
      </c>
      <c r="I786" s="12" t="str">
        <f t="shared" si="476"/>
        <v>79037890123</v>
      </c>
      <c r="J786" s="12" t="str">
        <f t="shared" si="477"/>
        <v>scheglov@mail</v>
      </c>
      <c r="K786" s="12" t="str">
        <f t="shared" si="478"/>
        <v>Мурманск</v>
      </c>
      <c r="L786" s="13" t="str">
        <f t="shared" si="479"/>
        <v>C0784</v>
      </c>
      <c r="M786" s="13" t="str">
        <f t="shared" si="480"/>
        <v xml:space="preserve">Щеглов Илья Алексеевич</v>
      </c>
      <c r="N786" s="13" t="str">
        <f t="shared" si="481"/>
        <v>OK</v>
      </c>
      <c r="O786" s="19">
        <f t="shared" si="482"/>
        <v>31069</v>
      </c>
      <c r="P786" s="19">
        <f t="shared" si="483"/>
        <v>52505</v>
      </c>
      <c r="Q786" s="13">
        <f t="shared" ca="1" si="484"/>
        <v>41</v>
      </c>
      <c r="R786" s="13" t="str">
        <f t="shared" si="485"/>
        <v>OK</v>
      </c>
      <c r="S786" s="13" t="str">
        <f t="shared" si="486"/>
        <v xml:space="preserve">+7 (903) 789-01-23</v>
      </c>
      <c r="T786" s="13" t="str">
        <f t="shared" si="487"/>
        <v>scheglov@mail</v>
      </c>
      <c r="U786" s="18" t="str">
        <f t="shared" si="488"/>
        <v xml:space="preserve">Ошибка Email</v>
      </c>
      <c r="V786" s="13" t="str">
        <f>IFERROR(VLOOKUP(K786,Справочники!$K$6:$L$13,2,0),K786)</f>
        <v>Мурманск</v>
      </c>
    </row>
    <row r="787" ht="15" customHeight="1">
      <c r="A787" s="10">
        <v>785</v>
      </c>
      <c r="B787" s="11" t="str">
        <f>RAW_Клиенты!A786</f>
        <v>C0785</v>
      </c>
      <c r="C787" s="11" t="str">
        <f>RAW_Клиенты!B786</f>
        <v xml:space="preserve">Коровина Екатерина Сергеевна</v>
      </c>
      <c r="D787" s="11" t="str">
        <f>RAW_Клиенты!C786</f>
        <v>24.11.1992</v>
      </c>
      <c r="E787" s="11" t="str">
        <f>RAW_Клиенты!D786</f>
        <v>8-903-789-01-23</v>
      </c>
      <c r="F787" s="11" t="str">
        <f>RAW_Клиенты!E786</f>
        <v>korovina@yandex</v>
      </c>
      <c r="G787" s="11" t="str">
        <f>RAW_Клиенты!F786</f>
        <v>Ставрополь</v>
      </c>
      <c r="H787" s="11" t="str">
        <f>RAW_Клиенты!G786</f>
        <v>2043-10-10</v>
      </c>
      <c r="I787" s="12" t="str">
        <f t="shared" si="476"/>
        <v>89037890123</v>
      </c>
      <c r="J787" s="12" t="str">
        <f t="shared" si="477"/>
        <v>korovina@yandex</v>
      </c>
      <c r="K787" s="12" t="str">
        <f t="shared" si="478"/>
        <v>Ставрополь</v>
      </c>
      <c r="L787" s="13" t="str">
        <f t="shared" si="479"/>
        <v>C0785</v>
      </c>
      <c r="M787" s="13" t="str">
        <f t="shared" si="480"/>
        <v xml:space="preserve">Коровина Екатерина Сергеевна</v>
      </c>
      <c r="N787" s="13" t="str">
        <f t="shared" si="481"/>
        <v>OK</v>
      </c>
      <c r="O787" s="19">
        <f t="shared" si="482"/>
        <v>33932</v>
      </c>
      <c r="P787" s="19">
        <f t="shared" si="483"/>
        <v>52514</v>
      </c>
      <c r="Q787" s="13">
        <f t="shared" ca="1" si="484"/>
        <v>33</v>
      </c>
      <c r="R787" s="13" t="str">
        <f t="shared" si="485"/>
        <v>OK</v>
      </c>
      <c r="S787" s="13" t="str">
        <f t="shared" si="486"/>
        <v xml:space="preserve">+7 (903) 789-01-23</v>
      </c>
      <c r="T787" s="13" t="str">
        <f t="shared" si="487"/>
        <v>korovina@yandex</v>
      </c>
      <c r="U787" s="18" t="str">
        <f t="shared" si="488"/>
        <v xml:space="preserve">Ошибка Email</v>
      </c>
      <c r="V787" s="13" t="str">
        <f>IFERROR(VLOOKUP(K787,Справочники!$K$6:$L$13,2,0),K787)</f>
        <v>Ставрополь</v>
      </c>
    </row>
    <row r="788" ht="15" customHeight="1">
      <c r="A788" s="10">
        <v>786</v>
      </c>
      <c r="B788" s="11" t="str">
        <f>RAW_Клиенты!A787</f>
        <v>C0786</v>
      </c>
      <c r="C788" s="11" t="str">
        <f>RAW_Клиенты!B787</f>
        <v xml:space="preserve">Денисов Андрей Олегович</v>
      </c>
      <c r="D788" s="11" t="str">
        <f>RAW_Клиенты!C787</f>
        <v>02.06.1976</v>
      </c>
      <c r="E788" s="11" t="str">
        <f>RAW_Клиенты!D787</f>
        <v xml:space="preserve">8 903 890 12 34</v>
      </c>
      <c r="F788" s="11" t="str">
        <f>RAW_Клиенты!E787</f>
        <v>denisov@gmail</v>
      </c>
      <c r="G788" s="11" t="str">
        <f>RAW_Клиенты!F787</f>
        <v>Севастополь</v>
      </c>
      <c r="H788" s="11" t="str">
        <f>RAW_Клиенты!G787</f>
        <v>10.10.2043</v>
      </c>
      <c r="I788" s="12" t="str">
        <f t="shared" si="476"/>
        <v>89038901234</v>
      </c>
      <c r="J788" s="12" t="str">
        <f t="shared" si="477"/>
        <v>denisov@gmail</v>
      </c>
      <c r="K788" s="12" t="str">
        <f t="shared" si="478"/>
        <v>Севастополь</v>
      </c>
      <c r="L788" s="13" t="str">
        <f t="shared" si="479"/>
        <v>C0786</v>
      </c>
      <c r="M788" s="13" t="str">
        <f t="shared" si="480"/>
        <v xml:space="preserve">Денисов Андрей Олегович</v>
      </c>
      <c r="N788" s="13" t="str">
        <f t="shared" si="481"/>
        <v>OK</v>
      </c>
      <c r="O788" s="19">
        <f t="shared" si="482"/>
        <v>27913</v>
      </c>
      <c r="P788" s="19">
        <f t="shared" si="483"/>
        <v>52514</v>
      </c>
      <c r="Q788" s="13">
        <f t="shared" ca="1" si="484"/>
        <v>50</v>
      </c>
      <c r="R788" s="13" t="str">
        <f t="shared" si="485"/>
        <v>OK</v>
      </c>
      <c r="S788" s="13" t="str">
        <f t="shared" si="486"/>
        <v xml:space="preserve">+7 (903) 890-12-34</v>
      </c>
      <c r="T788" s="13" t="str">
        <f t="shared" si="487"/>
        <v>denisov@gmail</v>
      </c>
      <c r="U788" s="18" t="str">
        <f t="shared" si="488"/>
        <v xml:space="preserve">Ошибка Email</v>
      </c>
      <c r="V788" s="13" t="str">
        <f>IFERROR(VLOOKUP(K788,Справочники!$K$6:$L$13,2,0),K788)</f>
        <v>Севастополь</v>
      </c>
    </row>
    <row r="789" ht="15" customHeight="1">
      <c r="A789" s="10">
        <v>787</v>
      </c>
      <c r="B789" s="11" t="str">
        <f>RAW_Клиенты!A788</f>
        <v>C0787</v>
      </c>
      <c r="C789" s="11" t="str">
        <f>RAW_Клиенты!B788</f>
        <v xml:space="preserve">Ковалева Мария Павловна</v>
      </c>
      <c r="D789" s="11" t="str">
        <f>RAW_Клиенты!C788</f>
        <v>18.10.1983</v>
      </c>
      <c r="E789" s="11" t="str">
        <f>RAW_Клиенты!D788</f>
        <v>+79038901234</v>
      </c>
      <c r="F789" s="11" t="str">
        <f>RAW_Клиенты!E788</f>
        <v>kovaleva@mail</v>
      </c>
      <c r="G789" s="11" t="str">
        <f>RAW_Клиенты!F788</f>
        <v>Сочи</v>
      </c>
      <c r="H789" s="11" t="str">
        <f>RAW_Клиенты!G788</f>
        <v>01.11.2043</v>
      </c>
      <c r="I789" s="12" t="str">
        <f t="shared" si="476"/>
        <v>79038901234</v>
      </c>
      <c r="J789" s="12" t="str">
        <f t="shared" si="477"/>
        <v>kovaleva@mail</v>
      </c>
      <c r="K789" s="12" t="str">
        <f t="shared" si="478"/>
        <v>Сочи</v>
      </c>
      <c r="L789" s="13" t="str">
        <f t="shared" si="479"/>
        <v>C0787</v>
      </c>
      <c r="M789" s="13" t="str">
        <f t="shared" si="480"/>
        <v xml:space="preserve">Ковалева Мария Павловна</v>
      </c>
      <c r="N789" s="13" t="str">
        <f t="shared" si="481"/>
        <v>OK</v>
      </c>
      <c r="O789" s="19">
        <f t="shared" si="482"/>
        <v>30607</v>
      </c>
      <c r="P789" s="19">
        <f t="shared" si="483"/>
        <v>52536</v>
      </c>
      <c r="Q789" s="13">
        <f t="shared" ca="1" si="484"/>
        <v>42</v>
      </c>
      <c r="R789" s="13" t="str">
        <f t="shared" si="485"/>
        <v>OK</v>
      </c>
      <c r="S789" s="13" t="str">
        <f t="shared" si="486"/>
        <v xml:space="preserve">+7 (903) 890-12-34</v>
      </c>
      <c r="T789" s="13" t="str">
        <f t="shared" si="487"/>
        <v>kovaleva@mail</v>
      </c>
      <c r="U789" s="18" t="str">
        <f t="shared" si="488"/>
        <v xml:space="preserve">Ошибка Email</v>
      </c>
      <c r="V789" s="13" t="str">
        <f>IFERROR(VLOOKUP(K789,Справочники!$K$6:$L$13,2,0),K789)</f>
        <v>Сочи</v>
      </c>
    </row>
    <row r="790" ht="15" customHeight="1">
      <c r="A790" s="10">
        <v>788</v>
      </c>
      <c r="B790" s="11" t="str">
        <f>RAW_Клиенты!A789</f>
        <v>C0788</v>
      </c>
      <c r="C790" s="11" t="str">
        <f>RAW_Клиенты!B789</f>
        <v xml:space="preserve">Сердюков Денис Викторович</v>
      </c>
      <c r="D790" s="11" t="str">
        <f>RAW_Клиенты!C789</f>
        <v>09.03.1990</v>
      </c>
      <c r="E790" s="11" t="str">
        <f>RAW_Клиенты!D789</f>
        <v>8-903-890-12-34</v>
      </c>
      <c r="F790" s="11" t="str">
        <f>RAW_Клиенты!E789</f>
        <v>serdyukov@yandex</v>
      </c>
      <c r="G790" s="11" t="str">
        <f>RAW_Клиенты!F789</f>
        <v>Симферополь</v>
      </c>
      <c r="H790" s="11" t="str">
        <f>RAW_Клиенты!G789</f>
        <v>2043-11-15</v>
      </c>
      <c r="I790" s="12" t="str">
        <f t="shared" si="476"/>
        <v>89038901234</v>
      </c>
      <c r="J790" s="12" t="str">
        <f t="shared" si="477"/>
        <v>serdyukov@yandex</v>
      </c>
      <c r="K790" s="12" t="str">
        <f t="shared" si="478"/>
        <v>Симферополь</v>
      </c>
      <c r="L790" s="13" t="str">
        <f t="shared" si="479"/>
        <v>C0788</v>
      </c>
      <c r="M790" s="13" t="str">
        <f t="shared" si="480"/>
        <v xml:space="preserve">Сердюков Денис Викторович</v>
      </c>
      <c r="N790" s="13" t="str">
        <f t="shared" si="481"/>
        <v>OK</v>
      </c>
      <c r="O790" s="19">
        <f t="shared" si="482"/>
        <v>32941</v>
      </c>
      <c r="P790" s="19">
        <f t="shared" si="483"/>
        <v>52550</v>
      </c>
      <c r="Q790" s="13">
        <f t="shared" ca="1" si="484"/>
        <v>36</v>
      </c>
      <c r="R790" s="13" t="str">
        <f t="shared" si="485"/>
        <v>OK</v>
      </c>
      <c r="S790" s="13" t="str">
        <f t="shared" si="486"/>
        <v xml:space="preserve">+7 (903) 890-12-34</v>
      </c>
      <c r="T790" s="13" t="str">
        <f t="shared" si="487"/>
        <v>serdyukov@yandex</v>
      </c>
      <c r="U790" s="18" t="str">
        <f t="shared" si="488"/>
        <v xml:space="preserve">Ошибка Email</v>
      </c>
      <c r="V790" s="13" t="str">
        <f>IFERROR(VLOOKUP(K790,Справочники!$K$6:$L$13,2,0),K790)</f>
        <v>Симферополь</v>
      </c>
    </row>
    <row r="791" ht="15" customHeight="1">
      <c r="A791" s="10">
        <v>789</v>
      </c>
      <c r="B791" s="11" t="str">
        <f>RAW_Клиенты!A790</f>
        <v>C0789</v>
      </c>
      <c r="C791" s="11" t="str">
        <f>RAW_Клиенты!B790</f>
        <v xml:space="preserve">Долгова Ольга Сергеевна</v>
      </c>
      <c r="D791" s="11" t="str">
        <f>RAW_Клиенты!C790</f>
        <v>14.12.1979</v>
      </c>
      <c r="E791" s="11" t="str">
        <f>RAW_Клиенты!D790</f>
        <v xml:space="preserve">8 903 901 23 45</v>
      </c>
      <c r="F791" s="11" t="str">
        <f>RAW_Клиенты!E790</f>
        <v>dolgova@gmail</v>
      </c>
      <c r="G791" s="11" t="str">
        <f>RAW_Клиенты!F790</f>
        <v>Брянск</v>
      </c>
      <c r="H791" s="11" t="str">
        <f>RAW_Клиенты!G790</f>
        <v>15.11.2043</v>
      </c>
      <c r="I791" s="12" t="str">
        <f t="shared" si="476"/>
        <v>89039012345</v>
      </c>
      <c r="J791" s="12" t="str">
        <f t="shared" si="477"/>
        <v>dolgova@gmail</v>
      </c>
      <c r="K791" s="12" t="str">
        <f t="shared" si="478"/>
        <v>Брянск</v>
      </c>
      <c r="L791" s="13" t="str">
        <f t="shared" si="479"/>
        <v>C0789</v>
      </c>
      <c r="M791" s="13" t="str">
        <f t="shared" si="480"/>
        <v xml:space="preserve">Долгова Ольга Сергеевна</v>
      </c>
      <c r="N791" s="13" t="str">
        <f t="shared" si="481"/>
        <v>OK</v>
      </c>
      <c r="O791" s="19">
        <f t="shared" si="482"/>
        <v>29203</v>
      </c>
      <c r="P791" s="19">
        <f t="shared" si="483"/>
        <v>52550</v>
      </c>
      <c r="Q791" s="13">
        <f t="shared" ca="1" si="484"/>
        <v>46</v>
      </c>
      <c r="R791" s="13" t="str">
        <f t="shared" si="485"/>
        <v>OK</v>
      </c>
      <c r="S791" s="13" t="str">
        <f t="shared" si="486"/>
        <v xml:space="preserve">+7 (903) 901-23-45</v>
      </c>
      <c r="T791" s="13" t="str">
        <f t="shared" si="487"/>
        <v>dolgova@gmail</v>
      </c>
      <c r="U791" s="18" t="str">
        <f t="shared" si="488"/>
        <v xml:space="preserve">Ошибка Email</v>
      </c>
      <c r="V791" s="13" t="str">
        <f>IFERROR(VLOOKUP(K791,Справочники!$K$6:$L$13,2,0),K791)</f>
        <v>Брянск</v>
      </c>
    </row>
    <row r="792" ht="15" customHeight="1">
      <c r="A792" s="10">
        <v>790</v>
      </c>
      <c r="B792" s="11" t="str">
        <f>RAW_Клиенты!A791</f>
        <v>C0790</v>
      </c>
      <c r="C792" s="11" t="str">
        <f>RAW_Клиенты!B791</f>
        <v xml:space="preserve">Пирогов Илья Александрович</v>
      </c>
      <c r="D792" s="11" t="str">
        <f>RAW_Клиенты!C791</f>
        <v>27.04.1987</v>
      </c>
      <c r="E792" s="11" t="str">
        <f>RAW_Клиенты!D791</f>
        <v>+79039012345</v>
      </c>
      <c r="F792" s="11" t="str">
        <f>RAW_Клиенты!E791</f>
        <v>pirogov@mail</v>
      </c>
      <c r="G792" s="11" t="str">
        <f>RAW_Клиенты!F791</f>
        <v>Абакан</v>
      </c>
      <c r="H792" s="11" t="str">
        <f>RAW_Клиенты!G791</f>
        <v>01.12.2043</v>
      </c>
      <c r="I792" s="12" t="str">
        <f t="shared" si="476"/>
        <v>79039012345</v>
      </c>
      <c r="J792" s="12" t="str">
        <f t="shared" si="477"/>
        <v>pirogov@mail</v>
      </c>
      <c r="K792" s="12" t="str">
        <f t="shared" si="478"/>
        <v>Абакан</v>
      </c>
      <c r="L792" s="13" t="str">
        <f t="shared" si="479"/>
        <v>C0790</v>
      </c>
      <c r="M792" s="13" t="str">
        <f t="shared" si="480"/>
        <v xml:space="preserve">Пирогов Илья Александрович</v>
      </c>
      <c r="N792" s="13" t="str">
        <f t="shared" si="481"/>
        <v>OK</v>
      </c>
      <c r="O792" s="19">
        <f t="shared" si="482"/>
        <v>31894</v>
      </c>
      <c r="P792" s="19">
        <f t="shared" si="483"/>
        <v>52566</v>
      </c>
      <c r="Q792" s="13">
        <f t="shared" ca="1" si="484"/>
        <v>39</v>
      </c>
      <c r="R792" s="13" t="str">
        <f t="shared" si="485"/>
        <v>OK</v>
      </c>
      <c r="S792" s="13" t="str">
        <f t="shared" si="486"/>
        <v xml:space="preserve">+7 (903) 901-23-45</v>
      </c>
      <c r="T792" s="13" t="str">
        <f t="shared" si="487"/>
        <v>pirogov@mail</v>
      </c>
      <c r="U792" s="18" t="str">
        <f t="shared" si="488"/>
        <v xml:space="preserve">Ошибка Email</v>
      </c>
      <c r="V792" s="13" t="str">
        <f>IFERROR(VLOOKUP(K792,Справочники!$K$6:$L$13,2,0),K792)</f>
        <v>Абакан</v>
      </c>
    </row>
    <row r="793" ht="15" customHeight="1">
      <c r="A793" s="10">
        <v>791</v>
      </c>
      <c r="B793" s="11" t="str">
        <f>RAW_Клиенты!A792</f>
        <v>C0791</v>
      </c>
      <c r="C793" s="11" t="str">
        <f>RAW_Клиенты!B792</f>
        <v xml:space="preserve">Зубкова Екатерина Владимировна</v>
      </c>
      <c r="D793" s="11" t="str">
        <f>RAW_Клиенты!C792</f>
        <v>30.08.1981</v>
      </c>
      <c r="E793" s="11" t="str">
        <f>RAW_Клиенты!D792</f>
        <v>8-903-901-23-45</v>
      </c>
      <c r="F793" s="11" t="str">
        <f>RAW_Клиенты!E792</f>
        <v>zubkova@yandex</v>
      </c>
      <c r="G793" s="11" t="str">
        <f>RAW_Клиенты!F792</f>
        <v>Грозный</v>
      </c>
      <c r="H793" s="11" t="str">
        <f>RAW_Клиенты!G792</f>
        <v>2043-12-10</v>
      </c>
      <c r="I793" s="12" t="str">
        <f t="shared" si="476"/>
        <v>89039012345</v>
      </c>
      <c r="J793" s="12" t="str">
        <f t="shared" si="477"/>
        <v>zubkova@yandex</v>
      </c>
      <c r="K793" s="12" t="str">
        <f t="shared" si="478"/>
        <v>Грозный</v>
      </c>
      <c r="L793" s="13" t="str">
        <f t="shared" si="479"/>
        <v>C0791</v>
      </c>
      <c r="M793" s="13" t="str">
        <f t="shared" si="480"/>
        <v xml:space="preserve">Зубкова Екатерина Владимировна</v>
      </c>
      <c r="N793" s="13" t="str">
        <f t="shared" si="481"/>
        <v>OK</v>
      </c>
      <c r="O793" s="19">
        <f t="shared" si="482"/>
        <v>29828</v>
      </c>
      <c r="P793" s="19">
        <f t="shared" si="483"/>
        <v>52575</v>
      </c>
      <c r="Q793" s="13">
        <f t="shared" ca="1" si="484"/>
        <v>45</v>
      </c>
      <c r="R793" s="13" t="str">
        <f t="shared" si="485"/>
        <v>OK</v>
      </c>
      <c r="S793" s="13" t="str">
        <f t="shared" si="486"/>
        <v xml:space="preserve">+7 (903) 901-23-45</v>
      </c>
      <c r="T793" s="13" t="str">
        <f t="shared" si="487"/>
        <v>zubkova@yandex</v>
      </c>
      <c r="U793" s="18" t="str">
        <f t="shared" si="488"/>
        <v xml:space="preserve">Ошибка Email</v>
      </c>
      <c r="V793" s="13" t="str">
        <f>IFERROR(VLOOKUP(K793,Справочники!$K$6:$L$13,2,0),K793)</f>
        <v>Грозный</v>
      </c>
    </row>
    <row r="794" ht="15" customHeight="1">
      <c r="A794" s="10">
        <v>792</v>
      </c>
      <c r="B794" s="11" t="str">
        <f>RAW_Клиенты!A793</f>
        <v>C0792</v>
      </c>
      <c r="C794" s="11" t="str">
        <f>RAW_Клиенты!B793</f>
        <v xml:space="preserve">Суслов Андрей Олегович</v>
      </c>
      <c r="D794" s="11" t="str">
        <f>RAW_Клиенты!C793</f>
        <v>05.11.1972</v>
      </c>
      <c r="E794" s="11" t="str">
        <f>RAW_Клиенты!D793</f>
        <v xml:space="preserve">8 903 012 34 56</v>
      </c>
      <c r="F794" s="11" t="str">
        <f>RAW_Клиенты!E793</f>
        <v>suslov@gmail</v>
      </c>
      <c r="G794" s="11" t="str">
        <f>RAW_Клиенты!F793</f>
        <v>Бийск</v>
      </c>
      <c r="H794" s="11" t="str">
        <f>RAW_Клиенты!G793</f>
        <v>10.12.2043</v>
      </c>
      <c r="I794" s="12" t="str">
        <f t="shared" si="476"/>
        <v>89030123456</v>
      </c>
      <c r="J794" s="12" t="str">
        <f t="shared" si="477"/>
        <v>suslov@gmail</v>
      </c>
      <c r="K794" s="12" t="str">
        <f t="shared" si="478"/>
        <v>Бийск</v>
      </c>
      <c r="L794" s="13" t="str">
        <f t="shared" si="479"/>
        <v>C0792</v>
      </c>
      <c r="M794" s="13" t="str">
        <f t="shared" si="480"/>
        <v xml:space="preserve">Суслов Андрей Олегович</v>
      </c>
      <c r="N794" s="13" t="str">
        <f t="shared" si="481"/>
        <v>OK</v>
      </c>
      <c r="O794" s="19">
        <f t="shared" si="482"/>
        <v>26608</v>
      </c>
      <c r="P794" s="19">
        <f t="shared" si="483"/>
        <v>52575</v>
      </c>
      <c r="Q794" s="13">
        <f t="shared" ca="1" si="484"/>
        <v>53</v>
      </c>
      <c r="R794" s="13" t="str">
        <f t="shared" si="485"/>
        <v>OK</v>
      </c>
      <c r="S794" s="13" t="str">
        <f t="shared" si="486"/>
        <v xml:space="preserve">+7 (903) 012-34-56</v>
      </c>
      <c r="T794" s="13" t="str">
        <f t="shared" si="487"/>
        <v>suslov@gmail</v>
      </c>
      <c r="U794" s="18" t="str">
        <f t="shared" si="488"/>
        <v xml:space="preserve">Ошибка Email</v>
      </c>
      <c r="V794" s="13" t="str">
        <f>IFERROR(VLOOKUP(K794,Справочники!$K$6:$L$13,2,0),K794)</f>
        <v>Бийск</v>
      </c>
    </row>
    <row r="795" ht="15" customHeight="1">
      <c r="A795" s="10">
        <v>793</v>
      </c>
      <c r="B795" s="11" t="str">
        <f>RAW_Клиенты!A794</f>
        <v>C0793</v>
      </c>
      <c r="C795" s="11" t="str">
        <f>RAW_Клиенты!B794</f>
        <v xml:space="preserve">Куракина Мария Олеговна</v>
      </c>
      <c r="D795" s="11" t="str">
        <f>RAW_Клиенты!C794</f>
        <v>16.07.1985</v>
      </c>
      <c r="E795" s="11" t="str">
        <f>RAW_Клиенты!D794</f>
        <v>+79030123456</v>
      </c>
      <c r="F795" s="11" t="str">
        <f>RAW_Клиенты!E794</f>
        <v>kurakina@mail</v>
      </c>
      <c r="G795" s="11" t="str">
        <f>RAW_Клиенты!F794</f>
        <v>Йошкар-Ола</v>
      </c>
      <c r="H795" s="11" t="str">
        <f>RAW_Клиенты!G794</f>
        <v>01.01.2044</v>
      </c>
      <c r="I795" s="12" t="str">
        <f t="shared" si="476"/>
        <v>79030123456</v>
      </c>
      <c r="J795" s="12" t="str">
        <f t="shared" si="477"/>
        <v>kurakina@mail</v>
      </c>
      <c r="K795" s="12" t="str">
        <f t="shared" si="478"/>
        <v>Йошкар-Ола</v>
      </c>
      <c r="L795" s="13" t="str">
        <f t="shared" si="479"/>
        <v>C0793</v>
      </c>
      <c r="M795" s="13" t="str">
        <f t="shared" si="480"/>
        <v xml:space="preserve">Куракина Мария Олеговна</v>
      </c>
      <c r="N795" s="13" t="str">
        <f t="shared" si="481"/>
        <v>OK</v>
      </c>
      <c r="O795" s="19">
        <f t="shared" si="482"/>
        <v>31244</v>
      </c>
      <c r="P795" s="19">
        <f t="shared" si="483"/>
        <v>52597</v>
      </c>
      <c r="Q795" s="13">
        <f t="shared" ca="1" si="484"/>
        <v>41</v>
      </c>
      <c r="R795" s="13" t="str">
        <f t="shared" si="485"/>
        <v>OK</v>
      </c>
      <c r="S795" s="13" t="str">
        <f t="shared" si="486"/>
        <v xml:space="preserve">+7 (903) 012-34-56</v>
      </c>
      <c r="T795" s="13" t="str">
        <f t="shared" si="487"/>
        <v>kurakina@mail</v>
      </c>
      <c r="U795" s="18" t="str">
        <f t="shared" si="488"/>
        <v xml:space="preserve">Ошибка Email</v>
      </c>
      <c r="V795" s="13" t="str">
        <f>IFERROR(VLOOKUP(K795,Справочники!$K$6:$L$13,2,0),K795)</f>
        <v>Йошкар-Ола</v>
      </c>
    </row>
    <row r="796" ht="15" customHeight="1">
      <c r="A796" s="10">
        <v>794</v>
      </c>
      <c r="B796" s="11" t="str">
        <f>RAW_Клиенты!A795</f>
        <v>C0794</v>
      </c>
      <c r="C796" s="11" t="str">
        <f>RAW_Клиенты!B795</f>
        <v xml:space="preserve">Калашников Денис Павлович</v>
      </c>
      <c r="D796" s="11" t="str">
        <f>RAW_Клиенты!C795</f>
        <v>07.05.1988</v>
      </c>
      <c r="E796" s="11" t="str">
        <f>RAW_Клиенты!D795</f>
        <v>8-903-012-34-56</v>
      </c>
      <c r="F796" s="11" t="str">
        <f>RAW_Клиенты!E795</f>
        <v>kalashnikov@yandex</v>
      </c>
      <c r="G796" s="11" t="str">
        <f>RAW_Клиенты!F795</f>
        <v>Курган</v>
      </c>
      <c r="H796" s="11" t="str">
        <f>RAW_Клиенты!G795</f>
        <v>2044-01-15</v>
      </c>
      <c r="I796" s="12" t="str">
        <f t="shared" si="476"/>
        <v>89030123456</v>
      </c>
      <c r="J796" s="12" t="str">
        <f t="shared" si="477"/>
        <v>kalashnikov@yandex</v>
      </c>
      <c r="K796" s="12" t="str">
        <f t="shared" si="478"/>
        <v>Курган</v>
      </c>
      <c r="L796" s="13" t="str">
        <f t="shared" si="479"/>
        <v>C0794</v>
      </c>
      <c r="M796" s="13" t="str">
        <f t="shared" si="480"/>
        <v xml:space="preserve">Калашников Денис Павлович</v>
      </c>
      <c r="N796" s="13" t="str">
        <f t="shared" si="481"/>
        <v>OK</v>
      </c>
      <c r="O796" s="19">
        <f t="shared" si="482"/>
        <v>32270</v>
      </c>
      <c r="P796" s="19">
        <f t="shared" si="483"/>
        <v>52611</v>
      </c>
      <c r="Q796" s="13">
        <f t="shared" ca="1" si="484"/>
        <v>38</v>
      </c>
      <c r="R796" s="13" t="str">
        <f t="shared" si="485"/>
        <v>OK</v>
      </c>
      <c r="S796" s="13" t="str">
        <f t="shared" si="486"/>
        <v xml:space="preserve">+7 (903) 012-34-56</v>
      </c>
      <c r="T796" s="13" t="str">
        <f t="shared" si="487"/>
        <v>kalashnikov@yandex</v>
      </c>
      <c r="U796" s="18" t="str">
        <f t="shared" si="488"/>
        <v xml:space="preserve">Ошибка Email</v>
      </c>
      <c r="V796" s="13" t="str">
        <f>IFERROR(VLOOKUP(K796,Справочники!$K$6:$L$13,2,0),K796)</f>
        <v>Курган</v>
      </c>
    </row>
    <row r="797" ht="15" customHeight="1">
      <c r="A797" s="10">
        <v>795</v>
      </c>
      <c r="B797" s="11" t="str">
        <f>RAW_Клиенты!A796</f>
        <v>C0795</v>
      </c>
      <c r="C797" s="11" t="str">
        <f>RAW_Клиенты!B796</f>
        <v xml:space="preserve">Гриднева Ольга Сергеевна</v>
      </c>
      <c r="D797" s="11" t="str">
        <f>RAW_Клиенты!C796</f>
        <v>02.09.1974</v>
      </c>
      <c r="E797" s="11" t="str">
        <f>RAW_Клиенты!D796</f>
        <v xml:space="preserve">8 903 123 45 67</v>
      </c>
      <c r="F797" s="11" t="str">
        <f>RAW_Клиенты!E796</f>
        <v>gridneva@gmail</v>
      </c>
      <c r="G797" s="11" t="str">
        <f>RAW_Клиенты!F796</f>
        <v>Архангельск</v>
      </c>
      <c r="H797" s="11" t="str">
        <f>RAW_Клиенты!G796</f>
        <v>15.01.2044</v>
      </c>
      <c r="I797" s="12" t="str">
        <f t="shared" si="476"/>
        <v>89031234567</v>
      </c>
      <c r="J797" s="12" t="str">
        <f t="shared" si="477"/>
        <v>gridneva@gmail</v>
      </c>
      <c r="K797" s="12" t="str">
        <f t="shared" si="478"/>
        <v>Архангельск</v>
      </c>
      <c r="L797" s="13" t="str">
        <f t="shared" si="479"/>
        <v>C0795</v>
      </c>
      <c r="M797" s="13" t="str">
        <f t="shared" si="480"/>
        <v xml:space="preserve">Гриднева Ольга Сергеевна</v>
      </c>
      <c r="N797" s="13" t="str">
        <f t="shared" si="481"/>
        <v>OK</v>
      </c>
      <c r="O797" s="19">
        <f t="shared" si="482"/>
        <v>27274</v>
      </c>
      <c r="P797" s="19">
        <f t="shared" si="483"/>
        <v>52611</v>
      </c>
      <c r="Q797" s="13">
        <f t="shared" ca="1" si="484"/>
        <v>52</v>
      </c>
      <c r="R797" s="13" t="str">
        <f t="shared" si="485"/>
        <v>OK</v>
      </c>
      <c r="S797" s="13" t="str">
        <f t="shared" si="486"/>
        <v xml:space="preserve">+7 (903) 123-45-67</v>
      </c>
      <c r="T797" s="13" t="str">
        <f t="shared" si="487"/>
        <v>gridneva@gmail</v>
      </c>
      <c r="U797" s="18" t="str">
        <f t="shared" si="488"/>
        <v xml:space="preserve">Ошибка Email</v>
      </c>
      <c r="V797" s="13" t="str">
        <f>IFERROR(VLOOKUP(K797,Справочники!$K$6:$L$13,2,0),K797)</f>
        <v>Архангельск</v>
      </c>
    </row>
    <row r="798" ht="15" customHeight="1">
      <c r="A798" s="10">
        <v>796</v>
      </c>
      <c r="B798" s="11" t="str">
        <f>RAW_Клиенты!A797</f>
        <v>C0796</v>
      </c>
      <c r="C798" s="11" t="str">
        <f>RAW_Клиенты!B797</f>
        <v xml:space="preserve">Маслов Илья Александрович</v>
      </c>
      <c r="D798" s="11" t="str">
        <f>RAW_Клиенты!C797</f>
        <v>23.03.1983</v>
      </c>
      <c r="E798" s="11" t="str">
        <f>RAW_Клиенты!D797</f>
        <v>+79031234567</v>
      </c>
      <c r="F798" s="11" t="str">
        <f>RAW_Клиенты!E797</f>
        <v>maslov@mail</v>
      </c>
      <c r="G798" s="11" t="str">
        <f>RAW_Клиенты!F797</f>
        <v>Благовещенск</v>
      </c>
      <c r="H798" s="11" t="str">
        <f>RAW_Клиенты!G797</f>
        <v>01.02.2044</v>
      </c>
      <c r="I798" s="12" t="str">
        <f t="shared" si="476"/>
        <v>79031234567</v>
      </c>
      <c r="J798" s="12" t="str">
        <f t="shared" si="477"/>
        <v>maslov@mail</v>
      </c>
      <c r="K798" s="12" t="str">
        <f t="shared" si="478"/>
        <v>Благовещенск</v>
      </c>
      <c r="L798" s="13" t="str">
        <f t="shared" si="479"/>
        <v>C0796</v>
      </c>
      <c r="M798" s="13" t="str">
        <f t="shared" si="480"/>
        <v xml:space="preserve">Маслов Илья Александрович</v>
      </c>
      <c r="N798" s="13" t="str">
        <f t="shared" si="481"/>
        <v>OK</v>
      </c>
      <c r="O798" s="19">
        <f t="shared" si="482"/>
        <v>30398</v>
      </c>
      <c r="P798" s="19">
        <f t="shared" si="483"/>
        <v>52628</v>
      </c>
      <c r="Q798" s="13">
        <f t="shared" ca="1" si="484"/>
        <v>43</v>
      </c>
      <c r="R798" s="13" t="str">
        <f t="shared" si="485"/>
        <v>OK</v>
      </c>
      <c r="S798" s="13" t="str">
        <f t="shared" si="486"/>
        <v xml:space="preserve">+7 (903) 123-45-67</v>
      </c>
      <c r="T798" s="13" t="str">
        <f t="shared" si="487"/>
        <v>maslov@mail</v>
      </c>
      <c r="U798" s="18" t="str">
        <f t="shared" si="488"/>
        <v xml:space="preserve">Ошибка Email</v>
      </c>
      <c r="V798" s="13" t="str">
        <f>IFERROR(VLOOKUP(K798,Справочники!$K$6:$L$13,2,0),K798)</f>
        <v>Благовещенск</v>
      </c>
    </row>
    <row r="799" ht="15" customHeight="1">
      <c r="A799" s="10">
        <v>797</v>
      </c>
      <c r="B799" s="11" t="str">
        <f>RAW_Клиенты!A798</f>
        <v>C0797</v>
      </c>
      <c r="C799" s="11" t="str">
        <f>RAW_Клиенты!B798</f>
        <v xml:space="preserve">Александрова Екатерина Сергеевна</v>
      </c>
      <c r="D799" s="11" t="str">
        <f>RAW_Клиенты!C798</f>
        <v>10.12.1991</v>
      </c>
      <c r="E799" s="11" t="str">
        <f>RAW_Клиенты!D798</f>
        <v>8-903-123-45-67</v>
      </c>
      <c r="F799" s="11" t="str">
        <f>RAW_Клиенты!E798</f>
        <v>aleksandrova@yandex</v>
      </c>
      <c r="G799" s="11" t="str">
        <f>RAW_Клиенты!F798</f>
        <v>Майкоп</v>
      </c>
      <c r="H799" s="11" t="str">
        <f>RAW_Клиенты!G798</f>
        <v>2044-02-10</v>
      </c>
      <c r="I799" s="12" t="str">
        <f t="shared" si="476"/>
        <v>89031234567</v>
      </c>
      <c r="J799" s="12" t="str">
        <f t="shared" si="477"/>
        <v>aleksandrova@yandex</v>
      </c>
      <c r="K799" s="12" t="str">
        <f t="shared" si="478"/>
        <v>Майкоп</v>
      </c>
      <c r="L799" s="13" t="str">
        <f t="shared" si="479"/>
        <v>C0797</v>
      </c>
      <c r="M799" s="13" t="str">
        <f t="shared" si="480"/>
        <v xml:space="preserve">Александрова Екатерина Сергеевна</v>
      </c>
      <c r="N799" s="13" t="str">
        <f t="shared" si="481"/>
        <v>OK</v>
      </c>
      <c r="O799" s="19">
        <f t="shared" si="482"/>
        <v>33582</v>
      </c>
      <c r="P799" s="19">
        <f t="shared" si="483"/>
        <v>52637</v>
      </c>
      <c r="Q799" s="13">
        <f t="shared" ca="1" si="484"/>
        <v>34</v>
      </c>
      <c r="R799" s="13" t="str">
        <f t="shared" si="485"/>
        <v>OK</v>
      </c>
      <c r="S799" s="13" t="str">
        <f t="shared" si="486"/>
        <v xml:space="preserve">+7 (903) 123-45-67</v>
      </c>
      <c r="T799" s="13" t="str">
        <f t="shared" si="487"/>
        <v>aleksandrova@yandex</v>
      </c>
      <c r="U799" s="18" t="str">
        <f t="shared" si="488"/>
        <v xml:space="preserve">Ошибка Email</v>
      </c>
      <c r="V799" s="13" t="str">
        <f>IFERROR(VLOOKUP(K799,Справочники!$K$6:$L$13,2,0),K799)</f>
        <v>Майкоп</v>
      </c>
    </row>
    <row r="800" ht="15" customHeight="1">
      <c r="A800" s="10">
        <v>798</v>
      </c>
      <c r="B800" s="11" t="str">
        <f>RAW_Клиенты!A799</f>
        <v>C0798</v>
      </c>
      <c r="C800" s="11" t="str">
        <f>RAW_Клиенты!B799</f>
        <v xml:space="preserve">Косогоров Андрей Олегович</v>
      </c>
      <c r="D800" s="11" t="str">
        <f>RAW_Клиенты!C799</f>
        <v>15.08.1977</v>
      </c>
      <c r="E800" s="11" t="str">
        <f>RAW_Клиенты!D799</f>
        <v xml:space="preserve">8 903 234 56 78</v>
      </c>
      <c r="F800" s="11" t="str">
        <f>RAW_Клиенты!E799</f>
        <v>kosogorov@gmail</v>
      </c>
      <c r="G800" s="11" t="str">
        <f>RAW_Клиенты!F799</f>
        <v>Уссурийск</v>
      </c>
      <c r="H800" s="11" t="str">
        <f>RAW_Клиенты!G799</f>
        <v>10.02.2044</v>
      </c>
      <c r="I800" s="12" t="str">
        <f t="shared" si="476"/>
        <v>89032345678</v>
      </c>
      <c r="J800" s="12" t="str">
        <f t="shared" si="477"/>
        <v>kosogorov@gmail</v>
      </c>
      <c r="K800" s="12" t="str">
        <f t="shared" si="478"/>
        <v>Уссурийск</v>
      </c>
      <c r="L800" s="13" t="str">
        <f t="shared" si="479"/>
        <v>C0798</v>
      </c>
      <c r="M800" s="13" t="str">
        <f t="shared" si="480"/>
        <v xml:space="preserve">Косогоров Андрей Олегович</v>
      </c>
      <c r="N800" s="13" t="str">
        <f t="shared" si="481"/>
        <v>OK</v>
      </c>
      <c r="O800" s="19">
        <f t="shared" si="482"/>
        <v>28352</v>
      </c>
      <c r="P800" s="19">
        <f t="shared" si="483"/>
        <v>52637</v>
      </c>
      <c r="Q800" s="13">
        <f t="shared" ca="1" si="484"/>
        <v>49</v>
      </c>
      <c r="R800" s="13" t="str">
        <f t="shared" si="485"/>
        <v>OK</v>
      </c>
      <c r="S800" s="13" t="str">
        <f t="shared" si="486"/>
        <v xml:space="preserve">+7 (903) 234-56-78</v>
      </c>
      <c r="T800" s="13" t="str">
        <f t="shared" si="487"/>
        <v>kosogorov@gmail</v>
      </c>
      <c r="U800" s="18" t="str">
        <f t="shared" si="488"/>
        <v xml:space="preserve">Ошибка Email</v>
      </c>
      <c r="V800" s="13" t="str">
        <f>IFERROR(VLOOKUP(K800,Справочники!$K$6:$L$13,2,0),K800)</f>
        <v>Уссурийск</v>
      </c>
    </row>
    <row r="801" ht="15" customHeight="1">
      <c r="A801" s="10">
        <v>799</v>
      </c>
      <c r="B801" s="11" t="str">
        <f>RAW_Клиенты!A800</f>
        <v>C0799</v>
      </c>
      <c r="C801" s="11" t="str">
        <f>RAW_Клиенты!B800</f>
        <v xml:space="preserve">Свиридова Мария Павловна</v>
      </c>
      <c r="D801" s="11" t="str">
        <f>RAW_Клиенты!C800</f>
        <v>29.10.1984</v>
      </c>
      <c r="E801" s="11" t="str">
        <f>RAW_Клиенты!D800</f>
        <v>+79032345678</v>
      </c>
      <c r="F801" s="11" t="str">
        <f>RAW_Клиенты!E800</f>
        <v>sviridova@mail</v>
      </c>
      <c r="G801" s="11" t="str">
        <f>RAW_Клиенты!F800</f>
        <v>Миасс</v>
      </c>
      <c r="H801" s="11" t="str">
        <f>RAW_Клиенты!G800</f>
        <v>01.03.2044</v>
      </c>
      <c r="I801" s="12" t="str">
        <f t="shared" si="476"/>
        <v>79032345678</v>
      </c>
      <c r="J801" s="12" t="str">
        <f t="shared" si="477"/>
        <v>sviridova@mail</v>
      </c>
      <c r="K801" s="12" t="str">
        <f t="shared" si="478"/>
        <v>Миасс</v>
      </c>
      <c r="L801" s="13" t="str">
        <f t="shared" si="479"/>
        <v>C0799</v>
      </c>
      <c r="M801" s="13" t="str">
        <f t="shared" si="480"/>
        <v xml:space="preserve">Свиридова Мария Павловна</v>
      </c>
      <c r="N801" s="13" t="str">
        <f t="shared" si="481"/>
        <v>OK</v>
      </c>
      <c r="O801" s="19">
        <f t="shared" si="482"/>
        <v>30984</v>
      </c>
      <c r="P801" s="19">
        <f t="shared" si="483"/>
        <v>52657</v>
      </c>
      <c r="Q801" s="13">
        <f t="shared" ca="1" si="484"/>
        <v>41</v>
      </c>
      <c r="R801" s="13" t="str">
        <f t="shared" si="485"/>
        <v>OK</v>
      </c>
      <c r="S801" s="13" t="str">
        <f t="shared" si="486"/>
        <v xml:space="preserve">+7 (903) 234-56-78</v>
      </c>
      <c r="T801" s="13" t="str">
        <f t="shared" si="487"/>
        <v>sviridova@mail</v>
      </c>
      <c r="U801" s="18" t="str">
        <f t="shared" si="488"/>
        <v xml:space="preserve">Ошибка Email</v>
      </c>
      <c r="V801" s="13" t="str">
        <f>IFERROR(VLOOKUP(K801,Справочники!$K$6:$L$13,2,0),K801)</f>
        <v>Миасс</v>
      </c>
    </row>
    <row r="802" ht="15" customHeight="1">
      <c r="A802" s="10">
        <v>800</v>
      </c>
      <c r="B802" s="11" t="str">
        <f>RAW_Клиенты!A801</f>
        <v>C0800</v>
      </c>
      <c r="C802" s="11" t="str">
        <f>RAW_Клиенты!B801</f>
        <v xml:space="preserve">Бондарь Денис Викторович</v>
      </c>
      <c r="D802" s="11" t="str">
        <f>RAW_Клиенты!C801</f>
        <v>07.06.1990</v>
      </c>
      <c r="E802" s="11" t="str">
        <f>RAW_Клиенты!D801</f>
        <v>8-903-234-56-78</v>
      </c>
      <c r="F802" s="11" t="str">
        <f>RAW_Клиенты!E801</f>
        <v>bondar@yandex</v>
      </c>
      <c r="G802" s="11" t="str">
        <f>RAW_Клиенты!F801</f>
        <v>Кызыл</v>
      </c>
      <c r="H802" s="11" t="str">
        <f>RAW_Клиенты!G801</f>
        <v>2044-03-15</v>
      </c>
      <c r="I802" s="12" t="str">
        <f t="shared" si="476"/>
        <v>89032345678</v>
      </c>
      <c r="J802" s="12" t="str">
        <f t="shared" si="477"/>
        <v>bondar@yandex</v>
      </c>
      <c r="K802" s="12" t="str">
        <f t="shared" si="478"/>
        <v>Кызыл</v>
      </c>
      <c r="L802" s="13" t="str">
        <f t="shared" si="479"/>
        <v>C0800</v>
      </c>
      <c r="M802" s="13" t="str">
        <f t="shared" si="480"/>
        <v xml:space="preserve">Бондарь Денис Викторович</v>
      </c>
      <c r="N802" s="13" t="str">
        <f t="shared" si="481"/>
        <v>OK</v>
      </c>
      <c r="O802" s="19">
        <f t="shared" si="482"/>
        <v>33031</v>
      </c>
      <c r="P802" s="19">
        <f t="shared" si="483"/>
        <v>52671</v>
      </c>
      <c r="Q802" s="13">
        <f t="shared" ca="1" si="484"/>
        <v>36</v>
      </c>
      <c r="R802" s="13" t="str">
        <f t="shared" si="485"/>
        <v>OK</v>
      </c>
      <c r="S802" s="13" t="str">
        <f t="shared" si="486"/>
        <v xml:space="preserve">+7 (903) 234-56-78</v>
      </c>
      <c r="T802" s="13" t="str">
        <f t="shared" si="487"/>
        <v>bondar@yandex</v>
      </c>
      <c r="U802" s="18" t="str">
        <f t="shared" si="488"/>
        <v xml:space="preserve">Ошибка Email</v>
      </c>
      <c r="V802" s="13" t="str">
        <f>IFERROR(VLOOKUP(K802,Справочники!$K$6:$L$13,2,0),K802)</f>
        <v>Кызыл</v>
      </c>
    </row>
    <row r="803" ht="15" customHeight="1">
      <c r="A803" s="10">
        <v>801</v>
      </c>
      <c r="B803" s="11" t="str">
        <f>RAW_Клиенты!A802</f>
        <v>C0801</v>
      </c>
      <c r="C803" s="11" t="str">
        <f>RAW_Клиенты!B802</f>
        <v xml:space="preserve">Кузьмина Ольга Сергеевна</v>
      </c>
      <c r="D803" s="11" t="str">
        <f>RAW_Клиенты!C802</f>
        <v>19.01.1976</v>
      </c>
      <c r="E803" s="11" t="str">
        <f>RAW_Клиенты!D802</f>
        <v xml:space="preserve">8 903 345 67 89</v>
      </c>
      <c r="F803" s="11" t="str">
        <f>RAW_Клиенты!E802</f>
        <v>kuzmina@gmail</v>
      </c>
      <c r="G803" s="11" t="str">
        <f>RAW_Клиенты!F802</f>
        <v>Калининград</v>
      </c>
      <c r="H803" s="11" t="str">
        <f>RAW_Клиенты!G802</f>
        <v>15.03.2044</v>
      </c>
      <c r="I803" s="12" t="str">
        <f t="shared" si="476"/>
        <v>89033456789</v>
      </c>
      <c r="J803" s="12" t="str">
        <f t="shared" si="477"/>
        <v>kuzmina@gmail</v>
      </c>
      <c r="K803" s="12" t="str">
        <f t="shared" si="478"/>
        <v>Калининград</v>
      </c>
      <c r="L803" s="13" t="str">
        <f t="shared" si="479"/>
        <v>C0801</v>
      </c>
      <c r="M803" s="13" t="str">
        <f t="shared" si="480"/>
        <v xml:space="preserve">Кузьмина Ольга Сергеевна</v>
      </c>
      <c r="N803" s="13" t="str">
        <f t="shared" si="481"/>
        <v>OK</v>
      </c>
      <c r="O803" s="19">
        <f t="shared" si="482"/>
        <v>27778</v>
      </c>
      <c r="P803" s="19">
        <f t="shared" si="483"/>
        <v>52671</v>
      </c>
      <c r="Q803" s="13">
        <f t="shared" ca="1" si="484"/>
        <v>50</v>
      </c>
      <c r="R803" s="13" t="str">
        <f t="shared" si="485"/>
        <v>OK</v>
      </c>
      <c r="S803" s="13" t="str">
        <f t="shared" si="486"/>
        <v xml:space="preserve">+7 (903) 345-67-89</v>
      </c>
      <c r="T803" s="13" t="str">
        <f t="shared" si="487"/>
        <v>kuzmina@gmail</v>
      </c>
      <c r="U803" s="18" t="str">
        <f t="shared" si="488"/>
        <v xml:space="preserve">Ошибка Email</v>
      </c>
      <c r="V803" s="13" t="str">
        <f>IFERROR(VLOOKUP(K803,Справочники!$K$6:$L$13,2,0),K803)</f>
        <v>Калининград</v>
      </c>
    </row>
    <row r="804" ht="15" customHeight="1">
      <c r="A804" s="10">
        <v>802</v>
      </c>
      <c r="B804" s="11" t="str">
        <f>RAW_Клиенты!A803</f>
        <v>C0802</v>
      </c>
      <c r="C804" s="11" t="str">
        <f>RAW_Клиенты!B803</f>
        <v xml:space="preserve">Федосов Илья Алексеевич</v>
      </c>
      <c r="D804" s="11" t="str">
        <f>RAW_Клиенты!C803</f>
        <v>01.10.1982</v>
      </c>
      <c r="E804" s="11" t="str">
        <f>RAW_Клиенты!D803</f>
        <v>+79033456789</v>
      </c>
      <c r="F804" s="11" t="str">
        <f>RAW_Клиенты!E803</f>
        <v>fedosov@mail</v>
      </c>
      <c r="G804" s="11" t="str">
        <f>RAW_Клиенты!F803</f>
        <v>Петрозаводск</v>
      </c>
      <c r="H804" s="11" t="str">
        <f>RAW_Клиенты!G803</f>
        <v>01.04.2044</v>
      </c>
      <c r="I804" s="12" t="str">
        <f t="shared" ref="I804:I867" si="489">SUBSTITUTE(SUBSTITUTE(SUBSTITUTE(SUBSTITUTE(SUBSTITUTE(SUBSTITUTE(E804," ",""),"-",""),"+",""),"(",""),")",""),CHAR(160),"")</f>
        <v>79033456789</v>
      </c>
      <c r="J804" s="12" t="str">
        <f t="shared" ref="J804:J867" si="490">SUBSTITUTE(SUBSTITUTE(TRIM(F804)," ",""),CHAR(160),"")</f>
        <v>fedosov@mail</v>
      </c>
      <c r="K804" s="12" t="str">
        <f t="shared" ref="K804:K867" si="491">TRIM(SUBSTITUTE(SUBSTITUTE(TRIM(G804),"г.",""),"г ",""))</f>
        <v>Петрозаводск</v>
      </c>
      <c r="L804" s="13" t="str">
        <f t="shared" ref="L804:L867" si="492">B804</f>
        <v>C0802</v>
      </c>
      <c r="M804" s="13" t="str">
        <f t="shared" ref="M804:M867" si="493">PROPER(TRIM(C804))</f>
        <v xml:space="preserve">Федосов Илья Алексеевич</v>
      </c>
      <c r="N804" s="13" t="str">
        <f t="shared" ref="N804:N867" si="494">IF(ISNUMBER(FIND(".",C804)),"инициалы: проверить",IF(SUMPRODUCT(--ISNUMBER(FIND(MID("abcdefghijklmnopqrstuvwxyz",ROW(INDIRECT("1:26")),1),LOWER(C804))))&gt;0,"латиница: транслит","OK"))</f>
        <v>OK</v>
      </c>
      <c r="O804" s="19">
        <f t="shared" ref="O804:O867" si="495">IF(ISNUMBER(FIND("-",D804)),DATE(VALUE(LEFT(D804,4)),VALUE(MID(D804,6,2)),VALUE(MID(D804,9,2))),DATE(VALUE(MID(D804,7,4)),VALUE(MID(D804,4,2)),VALUE(LEFT(D804,2))))</f>
        <v>30225</v>
      </c>
      <c r="P804" s="19">
        <f t="shared" ref="P804:P867" si="496">IF(ISNUMBER(FIND("-",H804)),DATE(VALUE(LEFT(H804,4)),VALUE(MID(H804,6,2)),VALUE(MID(H804,9,2))),DATE(VALUE(MID(H804,7,4)),VALUE(MID(H804,4,2)),VALUE(LEFT(H804,2))))</f>
        <v>52688</v>
      </c>
      <c r="Q804" s="13">
        <f t="shared" ref="Q804:Q867" ca="1" si="497">DATEDIF(O804,TODAY(),"Y")</f>
        <v>43</v>
      </c>
      <c r="R804" s="13" t="str">
        <f t="shared" ref="R804:R867" si="498">IF(OR(Q804&lt;18,Q804&gt;120),"Ошибка даты рождения","OK")</f>
        <v>OK</v>
      </c>
      <c r="S804" s="13" t="str">
        <f t="shared" ref="S804:S867" si="499">IF(LEN(I804)&gt;=10,"+7 ("&amp;MID(I804,LEN(I804)-9,3)&amp;") "&amp;MID(I804,LEN(I804)-6,3)&amp;"-"&amp;MID(I804,LEN(I804)-3,2)&amp;"-"&amp;RIGHT(I804,2),"Ошибка телефона")</f>
        <v xml:space="preserve">+7 (903) 345-67-89</v>
      </c>
      <c r="T804" s="13" t="str">
        <f t="shared" ref="T804:T867" si="500">J804</f>
        <v>fedosov@mail</v>
      </c>
      <c r="U804" s="18" t="str">
        <f t="shared" ref="U804:U867" si="501">IF(AND(ISNUMBER(FIND("@",J804)),ISNUMBER(FIND(".",MID(J804,FIND("@",J804),100)))),"OK","Ошибка Email")</f>
        <v xml:space="preserve">Ошибка Email</v>
      </c>
      <c r="V804" s="13" t="str">
        <f>IFERROR(VLOOKUP(K804,Справочники!$K$6:$L$13,2,0),K804)</f>
        <v>Петрозаводск</v>
      </c>
    </row>
    <row r="805" ht="15" customHeight="1">
      <c r="A805" s="10">
        <v>803</v>
      </c>
      <c r="B805" s="11" t="str">
        <f>RAW_Клиенты!A804</f>
        <v>C0803</v>
      </c>
      <c r="C805" s="11" t="str">
        <f>RAW_Клиенты!B804</f>
        <v xml:space="preserve">Иващенко Екатерина Владимировна</v>
      </c>
      <c r="D805" s="11" t="str">
        <f>RAW_Клиенты!C804</f>
        <v>14.11.1988</v>
      </c>
      <c r="E805" s="11" t="str">
        <f>RAW_Клиенты!D804</f>
        <v>8-903-345-67-89</v>
      </c>
      <c r="F805" s="11" t="str">
        <f>RAW_Клиенты!E804</f>
        <v>ivaschenko@yandex</v>
      </c>
      <c r="G805" s="11" t="str">
        <f>RAW_Клиенты!F804</f>
        <v>Рубцовск</v>
      </c>
      <c r="H805" s="11" t="str">
        <f>RAW_Клиенты!G804</f>
        <v>2044-04-10</v>
      </c>
      <c r="I805" s="12" t="str">
        <f t="shared" si="489"/>
        <v>89033456789</v>
      </c>
      <c r="J805" s="12" t="str">
        <f t="shared" si="490"/>
        <v>ivaschenko@yandex</v>
      </c>
      <c r="K805" s="12" t="str">
        <f t="shared" si="491"/>
        <v>Рубцовск</v>
      </c>
      <c r="L805" s="13" t="str">
        <f t="shared" si="492"/>
        <v>C0803</v>
      </c>
      <c r="M805" s="13" t="str">
        <f t="shared" si="493"/>
        <v xml:space="preserve">Иващенко Екатерина Владимировна</v>
      </c>
      <c r="N805" s="13" t="str">
        <f t="shared" si="494"/>
        <v>OK</v>
      </c>
      <c r="O805" s="19">
        <f t="shared" si="495"/>
        <v>32461</v>
      </c>
      <c r="P805" s="19">
        <f t="shared" si="496"/>
        <v>52697</v>
      </c>
      <c r="Q805" s="13">
        <f t="shared" ca="1" si="497"/>
        <v>37</v>
      </c>
      <c r="R805" s="13" t="str">
        <f t="shared" si="498"/>
        <v>OK</v>
      </c>
      <c r="S805" s="13" t="str">
        <f t="shared" si="499"/>
        <v xml:space="preserve">+7 (903) 345-67-89</v>
      </c>
      <c r="T805" s="13" t="str">
        <f t="shared" si="500"/>
        <v>ivaschenko@yandex</v>
      </c>
      <c r="U805" s="18" t="str">
        <f t="shared" si="501"/>
        <v xml:space="preserve">Ошибка Email</v>
      </c>
      <c r="V805" s="13" t="str">
        <f>IFERROR(VLOOKUP(K805,Справочники!$K$6:$L$13,2,0),K805)</f>
        <v>Рубцовск</v>
      </c>
    </row>
    <row r="806" ht="15" customHeight="1">
      <c r="A806" s="10">
        <v>804</v>
      </c>
      <c r="B806" s="11" t="str">
        <f>RAW_Клиенты!A805</f>
        <v>C0804</v>
      </c>
      <c r="C806" s="11" t="str">
        <f>RAW_Клиенты!B805</f>
        <v xml:space="preserve">Поляков Андрей Олегович</v>
      </c>
      <c r="D806" s="11" t="str">
        <f>RAW_Клиенты!C805</f>
        <v>03.07.1975</v>
      </c>
      <c r="E806" s="11" t="str">
        <f>RAW_Клиенты!D805</f>
        <v xml:space="preserve">8 903 456 78 90</v>
      </c>
      <c r="F806" s="11" t="str">
        <f>RAW_Клиенты!E805</f>
        <v>polyakov@gmail</v>
      </c>
      <c r="G806" s="11" t="str">
        <f>RAW_Клиенты!F805</f>
        <v>Элиста</v>
      </c>
      <c r="H806" s="11" t="str">
        <f>RAW_Клиенты!G805</f>
        <v>10.04.2044</v>
      </c>
      <c r="I806" s="12" t="str">
        <f t="shared" si="489"/>
        <v>89034567890</v>
      </c>
      <c r="J806" s="12" t="str">
        <f t="shared" si="490"/>
        <v>polyakov@gmail</v>
      </c>
      <c r="K806" s="12" t="str">
        <f t="shared" si="491"/>
        <v>Элиста</v>
      </c>
      <c r="L806" s="13" t="str">
        <f t="shared" si="492"/>
        <v>C0804</v>
      </c>
      <c r="M806" s="13" t="str">
        <f t="shared" si="493"/>
        <v xml:space="preserve">Поляков Андрей Олегович</v>
      </c>
      <c r="N806" s="13" t="str">
        <f t="shared" si="494"/>
        <v>OK</v>
      </c>
      <c r="O806" s="19">
        <f t="shared" si="495"/>
        <v>27578</v>
      </c>
      <c r="P806" s="19">
        <f t="shared" si="496"/>
        <v>52697</v>
      </c>
      <c r="Q806" s="13">
        <f t="shared" ca="1" si="497"/>
        <v>51</v>
      </c>
      <c r="R806" s="13" t="str">
        <f t="shared" si="498"/>
        <v>OK</v>
      </c>
      <c r="S806" s="13" t="str">
        <f t="shared" si="499"/>
        <v xml:space="preserve">+7 (903) 456-78-90</v>
      </c>
      <c r="T806" s="13" t="str">
        <f t="shared" si="500"/>
        <v>polyakov@gmail</v>
      </c>
      <c r="U806" s="18" t="str">
        <f t="shared" si="501"/>
        <v xml:space="preserve">Ошибка Email</v>
      </c>
      <c r="V806" s="13" t="str">
        <f>IFERROR(VLOOKUP(K806,Справочники!$K$6:$L$13,2,0),K806)</f>
        <v>Элиста</v>
      </c>
    </row>
    <row r="807" ht="15" customHeight="1">
      <c r="A807" s="10">
        <v>805</v>
      </c>
      <c r="B807" s="11" t="str">
        <f>RAW_Клиенты!A806</f>
        <v>C0805</v>
      </c>
      <c r="C807" s="11" t="str">
        <f>RAW_Клиенты!B806</f>
        <v xml:space="preserve">Павлова Мария Павловна</v>
      </c>
      <c r="D807" s="11" t="str">
        <f>RAW_Клиенты!C806</f>
        <v>21.02.1981</v>
      </c>
      <c r="E807" s="11" t="str">
        <f>RAW_Клиенты!D806</f>
        <v>+79034567890</v>
      </c>
      <c r="F807" s="11" t="str">
        <f>RAW_Клиенты!E806</f>
        <v>pavlova@mail</v>
      </c>
      <c r="G807" s="11" t="str">
        <f>RAW_Клиенты!F806</f>
        <v>Орск</v>
      </c>
      <c r="H807" s="11" t="str">
        <f>RAW_Клиенты!G806</f>
        <v>01.05.2044</v>
      </c>
      <c r="I807" s="12" t="str">
        <f t="shared" si="489"/>
        <v>79034567890</v>
      </c>
      <c r="J807" s="12" t="str">
        <f t="shared" si="490"/>
        <v>pavlova@mail</v>
      </c>
      <c r="K807" s="12" t="str">
        <f t="shared" si="491"/>
        <v>Орск</v>
      </c>
      <c r="L807" s="13" t="str">
        <f t="shared" si="492"/>
        <v>C0805</v>
      </c>
      <c r="M807" s="13" t="str">
        <f t="shared" si="493"/>
        <v xml:space="preserve">Павлова Мария Павловна</v>
      </c>
      <c r="N807" s="13" t="str">
        <f t="shared" si="494"/>
        <v>OK</v>
      </c>
      <c r="O807" s="19">
        <f t="shared" si="495"/>
        <v>29638</v>
      </c>
      <c r="P807" s="19">
        <f t="shared" si="496"/>
        <v>52718</v>
      </c>
      <c r="Q807" s="13">
        <f t="shared" ca="1" si="497"/>
        <v>45</v>
      </c>
      <c r="R807" s="13" t="str">
        <f t="shared" si="498"/>
        <v>OK</v>
      </c>
      <c r="S807" s="13" t="str">
        <f t="shared" si="499"/>
        <v xml:space="preserve">+7 (903) 456-78-90</v>
      </c>
      <c r="T807" s="13" t="str">
        <f t="shared" si="500"/>
        <v>pavlova@mail</v>
      </c>
      <c r="U807" s="18" t="str">
        <f t="shared" si="501"/>
        <v xml:space="preserve">Ошибка Email</v>
      </c>
      <c r="V807" s="13" t="str">
        <f>IFERROR(VLOOKUP(K807,Справочники!$K$6:$L$13,2,0),K807)</f>
        <v>Орск</v>
      </c>
    </row>
    <row r="808" ht="15" customHeight="1">
      <c r="A808" s="10">
        <v>806</v>
      </c>
      <c r="B808" s="11" t="str">
        <f>RAW_Клиенты!A807</f>
        <v>C0806</v>
      </c>
      <c r="C808" s="11" t="str">
        <f>RAW_Клиенты!B807</f>
        <v xml:space="preserve">Трунов Денис Сергеевич</v>
      </c>
      <c r="D808" s="11" t="str">
        <f>RAW_Клиенты!C807</f>
        <v>24.12.1986</v>
      </c>
      <c r="E808" s="11" t="str">
        <f>RAW_Клиенты!D807</f>
        <v>8-903-456-78-90</v>
      </c>
      <c r="F808" s="11" t="str">
        <f>RAW_Клиенты!E807</f>
        <v>trunov@yandex</v>
      </c>
      <c r="G808" s="11" t="str">
        <f>RAW_Клиенты!F807</f>
        <v>Нижневартовск</v>
      </c>
      <c r="H808" s="11" t="str">
        <f>RAW_Клиенты!G807</f>
        <v>2044-05-15</v>
      </c>
      <c r="I808" s="12" t="str">
        <f t="shared" si="489"/>
        <v>89034567890</v>
      </c>
      <c r="J808" s="12" t="str">
        <f t="shared" si="490"/>
        <v>trunov@yandex</v>
      </c>
      <c r="K808" s="12" t="str">
        <f t="shared" si="491"/>
        <v>Нижневартовск</v>
      </c>
      <c r="L808" s="13" t="str">
        <f t="shared" si="492"/>
        <v>C0806</v>
      </c>
      <c r="M808" s="13" t="str">
        <f t="shared" si="493"/>
        <v xml:space="preserve">Трунов Денис Сергеевич</v>
      </c>
      <c r="N808" s="13" t="str">
        <f t="shared" si="494"/>
        <v>OK</v>
      </c>
      <c r="O808" s="19">
        <f t="shared" si="495"/>
        <v>31770</v>
      </c>
      <c r="P808" s="19">
        <f t="shared" si="496"/>
        <v>52732</v>
      </c>
      <c r="Q808" s="13">
        <f t="shared" ca="1" si="497"/>
        <v>39</v>
      </c>
      <c r="R808" s="13" t="str">
        <f t="shared" si="498"/>
        <v>OK</v>
      </c>
      <c r="S808" s="13" t="str">
        <f t="shared" si="499"/>
        <v xml:space="preserve">+7 (903) 456-78-90</v>
      </c>
      <c r="T808" s="13" t="str">
        <f t="shared" si="500"/>
        <v>trunov@yandex</v>
      </c>
      <c r="U808" s="18" t="str">
        <f t="shared" si="501"/>
        <v xml:space="preserve">Ошибка Email</v>
      </c>
      <c r="V808" s="13" t="str">
        <f>IFERROR(VLOOKUP(K808,Справочники!$K$6:$L$13,2,0),K808)</f>
        <v>Нижневартовск</v>
      </c>
    </row>
    <row r="809" ht="15" customHeight="1">
      <c r="A809" s="10">
        <v>807</v>
      </c>
      <c r="B809" s="11" t="str">
        <f>RAW_Клиенты!A808</f>
        <v>C0807</v>
      </c>
      <c r="C809" s="11" t="str">
        <f>RAW_Клиенты!B808</f>
        <v xml:space="preserve">Байкова Ольга Владимировна</v>
      </c>
      <c r="D809" s="11" t="str">
        <f>RAW_Клиенты!C808</f>
        <v>08.04.1973</v>
      </c>
      <c r="E809" s="11" t="str">
        <f>RAW_Клиенты!D808</f>
        <v xml:space="preserve">8 903 567 89 01</v>
      </c>
      <c r="F809" s="11" t="str">
        <f>RAW_Клиенты!E808</f>
        <v>baykova@gmail</v>
      </c>
      <c r="G809" s="11" t="str">
        <f>RAW_Клиенты!F808</f>
        <v>Новороссийск</v>
      </c>
      <c r="H809" s="11" t="str">
        <f>RAW_Клиенты!G808</f>
        <v>15.05.2044</v>
      </c>
      <c r="I809" s="12" t="str">
        <f t="shared" si="489"/>
        <v>89035678901</v>
      </c>
      <c r="J809" s="12" t="str">
        <f t="shared" si="490"/>
        <v>baykova@gmail</v>
      </c>
      <c r="K809" s="12" t="str">
        <f t="shared" si="491"/>
        <v>Новороссийск</v>
      </c>
      <c r="L809" s="13" t="str">
        <f t="shared" si="492"/>
        <v>C0807</v>
      </c>
      <c r="M809" s="13" t="str">
        <f t="shared" si="493"/>
        <v xml:space="preserve">Байкова Ольга Владимировна</v>
      </c>
      <c r="N809" s="13" t="str">
        <f t="shared" si="494"/>
        <v>OK</v>
      </c>
      <c r="O809" s="19">
        <f t="shared" si="495"/>
        <v>26762</v>
      </c>
      <c r="P809" s="19">
        <f t="shared" si="496"/>
        <v>52732</v>
      </c>
      <c r="Q809" s="13">
        <f t="shared" ca="1" si="497"/>
        <v>53</v>
      </c>
      <c r="R809" s="13" t="str">
        <f t="shared" si="498"/>
        <v>OK</v>
      </c>
      <c r="S809" s="13" t="str">
        <f t="shared" si="499"/>
        <v xml:space="preserve">+7 (903) 567-89-01</v>
      </c>
      <c r="T809" s="13" t="str">
        <f t="shared" si="500"/>
        <v>baykova@gmail</v>
      </c>
      <c r="U809" s="18" t="str">
        <f t="shared" si="501"/>
        <v xml:space="preserve">Ошибка Email</v>
      </c>
      <c r="V809" s="13" t="str">
        <f>IFERROR(VLOOKUP(K809,Справочники!$K$6:$L$13,2,0),K809)</f>
        <v>Новороссийск</v>
      </c>
    </row>
    <row r="810" ht="15" customHeight="1">
      <c r="A810" s="10">
        <v>808</v>
      </c>
      <c r="B810" s="11" t="str">
        <f>RAW_Клиенты!A809</f>
        <v>C0808</v>
      </c>
      <c r="C810" s="11" t="str">
        <f>RAW_Клиенты!B809</f>
        <v xml:space="preserve">Клишин Илья Александрович</v>
      </c>
      <c r="D810" s="11" t="str">
        <f>RAW_Клиенты!C809</f>
        <v>13.09.1985</v>
      </c>
      <c r="E810" s="11" t="str">
        <f>RAW_Клиенты!D809</f>
        <v>+79035678901</v>
      </c>
      <c r="F810" s="11" t="str">
        <f>RAW_Клиенты!E809</f>
        <v>klishin@mail</v>
      </c>
      <c r="G810" s="11" t="str">
        <f>RAW_Клиенты!F809</f>
        <v>Химки</v>
      </c>
      <c r="H810" s="11" t="str">
        <f>RAW_Клиенты!G809</f>
        <v>01.06.2044</v>
      </c>
      <c r="I810" s="12" t="str">
        <f t="shared" si="489"/>
        <v>79035678901</v>
      </c>
      <c r="J810" s="12" t="str">
        <f t="shared" si="490"/>
        <v>klishin@mail</v>
      </c>
      <c r="K810" s="12" t="str">
        <f t="shared" si="491"/>
        <v>Химки</v>
      </c>
      <c r="L810" s="13" t="str">
        <f t="shared" si="492"/>
        <v>C0808</v>
      </c>
      <c r="M810" s="13" t="str">
        <f t="shared" si="493"/>
        <v xml:space="preserve">Клишин Илья Александрович</v>
      </c>
      <c r="N810" s="13" t="str">
        <f t="shared" si="494"/>
        <v>OK</v>
      </c>
      <c r="O810" s="19">
        <f t="shared" si="495"/>
        <v>31303</v>
      </c>
      <c r="P810" s="19">
        <f t="shared" si="496"/>
        <v>52749</v>
      </c>
      <c r="Q810" s="13">
        <f t="shared" ca="1" si="497"/>
        <v>41</v>
      </c>
      <c r="R810" s="13" t="str">
        <f t="shared" si="498"/>
        <v>OK</v>
      </c>
      <c r="S810" s="13" t="str">
        <f t="shared" si="499"/>
        <v xml:space="preserve">+7 (903) 567-89-01</v>
      </c>
      <c r="T810" s="13" t="str">
        <f t="shared" si="500"/>
        <v>klishin@mail</v>
      </c>
      <c r="U810" s="18" t="str">
        <f t="shared" si="501"/>
        <v xml:space="preserve">Ошибка Email</v>
      </c>
      <c r="V810" s="13" t="str">
        <f>IFERROR(VLOOKUP(K810,Справочники!$K$6:$L$13,2,0),K810)</f>
        <v>Химки</v>
      </c>
    </row>
    <row r="811" ht="15" customHeight="1">
      <c r="A811" s="10">
        <v>809</v>
      </c>
      <c r="B811" s="11" t="str">
        <f>RAW_Клиенты!A810</f>
        <v>C0809</v>
      </c>
      <c r="C811" s="11" t="str">
        <f>RAW_Клиенты!B810</f>
        <v xml:space="preserve">Ярцева Екатерина Сергеевна</v>
      </c>
      <c r="D811" s="11" t="str">
        <f>RAW_Клиенты!C810</f>
        <v>31.05.1992</v>
      </c>
      <c r="E811" s="11" t="str">
        <f>RAW_Клиенты!D810</f>
        <v>8-903-567-89-01</v>
      </c>
      <c r="F811" s="11" t="str">
        <f>RAW_Клиенты!E810</f>
        <v>yartseva@yandex</v>
      </c>
      <c r="G811" s="11" t="str">
        <f>RAW_Клиенты!F810</f>
        <v>Подольск</v>
      </c>
      <c r="H811" s="11" t="str">
        <f>RAW_Клиенты!G810</f>
        <v>2044-06-10</v>
      </c>
      <c r="I811" s="12" t="str">
        <f t="shared" si="489"/>
        <v>89035678901</v>
      </c>
      <c r="J811" s="12" t="str">
        <f t="shared" si="490"/>
        <v>yartseva@yandex</v>
      </c>
      <c r="K811" s="12" t="str">
        <f t="shared" si="491"/>
        <v>Подольск</v>
      </c>
      <c r="L811" s="13" t="str">
        <f t="shared" si="492"/>
        <v>C0809</v>
      </c>
      <c r="M811" s="13" t="str">
        <f t="shared" si="493"/>
        <v xml:space="preserve">Ярцева Екатерина Сергеевна</v>
      </c>
      <c r="N811" s="13" t="str">
        <f t="shared" si="494"/>
        <v>OK</v>
      </c>
      <c r="O811" s="19">
        <f t="shared" si="495"/>
        <v>33755</v>
      </c>
      <c r="P811" s="19">
        <f t="shared" si="496"/>
        <v>52758</v>
      </c>
      <c r="Q811" s="13">
        <f t="shared" ca="1" si="497"/>
        <v>34</v>
      </c>
      <c r="R811" s="13" t="str">
        <f t="shared" si="498"/>
        <v>OK</v>
      </c>
      <c r="S811" s="13" t="str">
        <f t="shared" si="499"/>
        <v xml:space="preserve">+7 (903) 567-89-01</v>
      </c>
      <c r="T811" s="13" t="str">
        <f t="shared" si="500"/>
        <v>yartseva@yandex</v>
      </c>
      <c r="U811" s="18" t="str">
        <f t="shared" si="501"/>
        <v xml:space="preserve">Ошибка Email</v>
      </c>
      <c r="V811" s="13" t="str">
        <f>IFERROR(VLOOKUP(K811,Справочники!$K$6:$L$13,2,0),K811)</f>
        <v>Подольск</v>
      </c>
    </row>
    <row r="812" ht="15" customHeight="1">
      <c r="A812" s="10">
        <v>810</v>
      </c>
      <c r="B812" s="11" t="str">
        <f>RAW_Клиенты!A811</f>
        <v>C0810</v>
      </c>
      <c r="C812" s="11" t="str">
        <f>RAW_Клиенты!B811</f>
        <v xml:space="preserve">Касаткин Андрей Павлович</v>
      </c>
      <c r="D812" s="11" t="str">
        <f>RAW_Клиенты!C811</f>
        <v>02.08.1978</v>
      </c>
      <c r="E812" s="11" t="str">
        <f>RAW_Клиенты!D811</f>
        <v xml:space="preserve">8 903 678 90 12</v>
      </c>
      <c r="F812" s="11" t="str">
        <f>RAW_Клиенты!E811</f>
        <v>kasatkin@gmail</v>
      </c>
      <c r="G812" s="11" t="str">
        <f>RAW_Клиенты!F811</f>
        <v>Балашиха</v>
      </c>
      <c r="H812" s="11" t="str">
        <f>RAW_Клиенты!G811</f>
        <v>10.06.2044</v>
      </c>
      <c r="I812" s="12" t="str">
        <f t="shared" si="489"/>
        <v>89036789012</v>
      </c>
      <c r="J812" s="12" t="str">
        <f t="shared" si="490"/>
        <v>kasatkin@gmail</v>
      </c>
      <c r="K812" s="12" t="str">
        <f t="shared" si="491"/>
        <v>Балашиха</v>
      </c>
      <c r="L812" s="13" t="str">
        <f t="shared" si="492"/>
        <v>C0810</v>
      </c>
      <c r="M812" s="13" t="str">
        <f t="shared" si="493"/>
        <v xml:space="preserve">Касаткин Андрей Павлович</v>
      </c>
      <c r="N812" s="13" t="str">
        <f t="shared" si="494"/>
        <v>OK</v>
      </c>
      <c r="O812" s="19">
        <f t="shared" si="495"/>
        <v>28704</v>
      </c>
      <c r="P812" s="19">
        <f t="shared" si="496"/>
        <v>52758</v>
      </c>
      <c r="Q812" s="13">
        <f t="shared" ca="1" si="497"/>
        <v>48</v>
      </c>
      <c r="R812" s="13" t="str">
        <f t="shared" si="498"/>
        <v>OK</v>
      </c>
      <c r="S812" s="13" t="str">
        <f t="shared" si="499"/>
        <v xml:space="preserve">+7 (903) 678-90-12</v>
      </c>
      <c r="T812" s="13" t="str">
        <f t="shared" si="500"/>
        <v>kasatkin@gmail</v>
      </c>
      <c r="U812" s="18" t="str">
        <f t="shared" si="501"/>
        <v xml:space="preserve">Ошибка Email</v>
      </c>
      <c r="V812" s="13" t="str">
        <f>IFERROR(VLOOKUP(K812,Справочники!$K$6:$L$13,2,0),K812)</f>
        <v>Балашиха</v>
      </c>
    </row>
    <row r="813" ht="15" customHeight="1">
      <c r="A813" s="10">
        <v>811</v>
      </c>
      <c r="B813" s="11" t="str">
        <f>RAW_Клиенты!A812</f>
        <v>C0811</v>
      </c>
      <c r="C813" s="11" t="str">
        <f>RAW_Клиенты!B812</f>
        <v xml:space="preserve">Мещерякова Мария Олеговна</v>
      </c>
      <c r="D813" s="11" t="str">
        <f>RAW_Клиенты!C812</f>
        <v>10.11.1984</v>
      </c>
      <c r="E813" s="11" t="str">
        <f>RAW_Клиенты!D812</f>
        <v>+79036789012</v>
      </c>
      <c r="F813" s="11" t="str">
        <f>RAW_Клиенты!E812</f>
        <v>mescheryakovа@mail</v>
      </c>
      <c r="G813" s="11" t="str">
        <f>RAW_Клиенты!F812</f>
        <v>Сургут</v>
      </c>
      <c r="H813" s="11" t="str">
        <f>RAW_Клиенты!G812</f>
        <v>01.07.2044</v>
      </c>
      <c r="I813" s="12" t="str">
        <f t="shared" si="489"/>
        <v>79036789012</v>
      </c>
      <c r="J813" s="12" t="str">
        <f t="shared" si="490"/>
        <v>mescheryakovа@mail</v>
      </c>
      <c r="K813" s="12" t="str">
        <f t="shared" si="491"/>
        <v>Сургут</v>
      </c>
      <c r="L813" s="13" t="str">
        <f t="shared" si="492"/>
        <v>C0811</v>
      </c>
      <c r="M813" s="13" t="str">
        <f t="shared" si="493"/>
        <v xml:space="preserve">Мещерякова Мария Олеговна</v>
      </c>
      <c r="N813" s="13" t="str">
        <f t="shared" si="494"/>
        <v>OK</v>
      </c>
      <c r="O813" s="19">
        <f t="shared" si="495"/>
        <v>30996</v>
      </c>
      <c r="P813" s="19">
        <f t="shared" si="496"/>
        <v>52779</v>
      </c>
      <c r="Q813" s="13">
        <f t="shared" ca="1" si="497"/>
        <v>41</v>
      </c>
      <c r="R813" s="13" t="str">
        <f t="shared" si="498"/>
        <v>OK</v>
      </c>
      <c r="S813" s="13" t="str">
        <f t="shared" si="499"/>
        <v xml:space="preserve">+7 (903) 678-90-12</v>
      </c>
      <c r="T813" s="13" t="str">
        <f t="shared" si="500"/>
        <v>mescheryakovа@mail</v>
      </c>
      <c r="U813" s="18" t="str">
        <f t="shared" si="501"/>
        <v xml:space="preserve">Ошибка Email</v>
      </c>
      <c r="V813" s="13" t="str">
        <f>IFERROR(VLOOKUP(K813,Справочники!$K$6:$L$13,2,0),K813)</f>
        <v>Сургут</v>
      </c>
    </row>
    <row r="814" ht="15" customHeight="1">
      <c r="A814" s="10">
        <v>812</v>
      </c>
      <c r="B814" s="11" t="str">
        <f>RAW_Клиенты!A813</f>
        <v>C0812</v>
      </c>
      <c r="C814" s="11" t="str">
        <f>RAW_Клиенты!B813</f>
        <v xml:space="preserve">Жданов Денис Викторович</v>
      </c>
      <c r="D814" s="11" t="str">
        <f>RAW_Клиенты!C813</f>
        <v>17.03.1990</v>
      </c>
      <c r="E814" s="11" t="str">
        <f>RAW_Клиенты!D813</f>
        <v>8-903-678-90-12</v>
      </c>
      <c r="F814" s="11" t="str">
        <f>RAW_Клиенты!E813</f>
        <v>zhdanov@yandex</v>
      </c>
      <c r="G814" s="11" t="str">
        <f>RAW_Клиенты!F813</f>
        <v>Армавир</v>
      </c>
      <c r="H814" s="11" t="str">
        <f>RAW_Клиенты!G813</f>
        <v>2044-07-15</v>
      </c>
      <c r="I814" s="12" t="str">
        <f t="shared" si="489"/>
        <v>89036789012</v>
      </c>
      <c r="J814" s="12" t="str">
        <f t="shared" si="490"/>
        <v>zhdanov@yandex</v>
      </c>
      <c r="K814" s="12" t="str">
        <f t="shared" si="491"/>
        <v>Армавир</v>
      </c>
      <c r="L814" s="13" t="str">
        <f t="shared" si="492"/>
        <v>C0812</v>
      </c>
      <c r="M814" s="13" t="str">
        <f t="shared" si="493"/>
        <v xml:space="preserve">Жданов Денис Викторович</v>
      </c>
      <c r="N814" s="13" t="str">
        <f t="shared" si="494"/>
        <v>OK</v>
      </c>
      <c r="O814" s="19">
        <f t="shared" si="495"/>
        <v>32949</v>
      </c>
      <c r="P814" s="19">
        <f t="shared" si="496"/>
        <v>52793</v>
      </c>
      <c r="Q814" s="13">
        <f t="shared" ca="1" si="497"/>
        <v>36</v>
      </c>
      <c r="R814" s="13" t="str">
        <f t="shared" si="498"/>
        <v>OK</v>
      </c>
      <c r="S814" s="13" t="str">
        <f t="shared" si="499"/>
        <v xml:space="preserve">+7 (903) 678-90-12</v>
      </c>
      <c r="T814" s="13" t="str">
        <f t="shared" si="500"/>
        <v>zhdanov@yandex</v>
      </c>
      <c r="U814" s="18" t="str">
        <f t="shared" si="501"/>
        <v xml:space="preserve">Ошибка Email</v>
      </c>
      <c r="V814" s="13" t="str">
        <f>IFERROR(VLOOKUP(K814,Справочники!$K$6:$L$13,2,0),K814)</f>
        <v>Армавир</v>
      </c>
    </row>
    <row r="815" ht="15" customHeight="1">
      <c r="A815" s="10">
        <v>813</v>
      </c>
      <c r="B815" s="11" t="str">
        <f>RAW_Клиенты!A814</f>
        <v>C0813</v>
      </c>
      <c r="C815" s="11" t="str">
        <f>RAW_Клиенты!B814</f>
        <v xml:space="preserve">Куликова Ольга Павловна</v>
      </c>
      <c r="D815" s="11" t="str">
        <f>RAW_Клиенты!C814</f>
        <v>05.07.1979</v>
      </c>
      <c r="E815" s="11" t="str">
        <f>RAW_Клиенты!D814</f>
        <v xml:space="preserve">8 903 789 01 23</v>
      </c>
      <c r="F815" s="11" t="str">
        <f>RAW_Клиенты!E814</f>
        <v>kulikova@gmail</v>
      </c>
      <c r="G815" s="11" t="str">
        <f>RAW_Клиенты!F814</f>
        <v>Волжский</v>
      </c>
      <c r="H815" s="11" t="str">
        <f>RAW_Клиенты!G814</f>
        <v>15.07.2044</v>
      </c>
      <c r="I815" s="12" t="str">
        <f t="shared" si="489"/>
        <v>89037890123</v>
      </c>
      <c r="J815" s="12" t="str">
        <f t="shared" si="490"/>
        <v>kulikova@gmail</v>
      </c>
      <c r="K815" s="12" t="str">
        <f t="shared" si="491"/>
        <v>Волжский</v>
      </c>
      <c r="L815" s="13" t="str">
        <f t="shared" si="492"/>
        <v>C0813</v>
      </c>
      <c r="M815" s="13" t="str">
        <f t="shared" si="493"/>
        <v xml:space="preserve">Куликова Ольга Павловна</v>
      </c>
      <c r="N815" s="13" t="str">
        <f t="shared" si="494"/>
        <v>OK</v>
      </c>
      <c r="O815" s="19">
        <f t="shared" si="495"/>
        <v>29041</v>
      </c>
      <c r="P815" s="19">
        <f t="shared" si="496"/>
        <v>52793</v>
      </c>
      <c r="Q815" s="13">
        <f t="shared" ca="1" si="497"/>
        <v>47</v>
      </c>
      <c r="R815" s="13" t="str">
        <f t="shared" si="498"/>
        <v>OK</v>
      </c>
      <c r="S815" s="13" t="str">
        <f t="shared" si="499"/>
        <v xml:space="preserve">+7 (903) 789-01-23</v>
      </c>
      <c r="T815" s="13" t="str">
        <f t="shared" si="500"/>
        <v>kulikova@gmail</v>
      </c>
      <c r="U815" s="18" t="str">
        <f t="shared" si="501"/>
        <v xml:space="preserve">Ошибка Email</v>
      </c>
      <c r="V815" s="13" t="str">
        <f>IFERROR(VLOOKUP(K815,Справочники!$K$6:$L$13,2,0),K815)</f>
        <v>Волжский</v>
      </c>
    </row>
    <row r="816" ht="15" customHeight="1">
      <c r="A816" s="10">
        <v>814</v>
      </c>
      <c r="B816" s="11" t="str">
        <f>RAW_Клиенты!A815</f>
        <v>C0814</v>
      </c>
      <c r="C816" s="11" t="str">
        <f>RAW_Клиенты!B815</f>
        <v xml:space="preserve">Леднев Илья Алексеевич</v>
      </c>
      <c r="D816" s="11" t="str">
        <f>RAW_Клиенты!C815</f>
        <v>28.12.1983</v>
      </c>
      <c r="E816" s="11" t="str">
        <f>RAW_Клиенты!D815</f>
        <v>+79037890123</v>
      </c>
      <c r="F816" s="11" t="str">
        <f>RAW_Клиенты!E815</f>
        <v>lednev@mail</v>
      </c>
      <c r="G816" s="11" t="str">
        <f>RAW_Клиенты!F815</f>
        <v>Шахты</v>
      </c>
      <c r="H816" s="11" t="str">
        <f>RAW_Клиенты!G815</f>
        <v>01.08.2044</v>
      </c>
      <c r="I816" s="12" t="str">
        <f t="shared" si="489"/>
        <v>79037890123</v>
      </c>
      <c r="J816" s="12" t="str">
        <f t="shared" si="490"/>
        <v>lednev@mail</v>
      </c>
      <c r="K816" s="12" t="str">
        <f t="shared" si="491"/>
        <v>Шахты</v>
      </c>
      <c r="L816" s="13" t="str">
        <f t="shared" si="492"/>
        <v>C0814</v>
      </c>
      <c r="M816" s="13" t="str">
        <f t="shared" si="493"/>
        <v xml:space="preserve">Леднев Илья Алексеевич</v>
      </c>
      <c r="N816" s="13" t="str">
        <f t="shared" si="494"/>
        <v>OK</v>
      </c>
      <c r="O816" s="19">
        <f t="shared" si="495"/>
        <v>30678</v>
      </c>
      <c r="P816" s="19">
        <f t="shared" si="496"/>
        <v>52810</v>
      </c>
      <c r="Q816" s="13">
        <f t="shared" ca="1" si="497"/>
        <v>42</v>
      </c>
      <c r="R816" s="13" t="str">
        <f t="shared" si="498"/>
        <v>OK</v>
      </c>
      <c r="S816" s="13" t="str">
        <f t="shared" si="499"/>
        <v xml:space="preserve">+7 (903) 789-01-23</v>
      </c>
      <c r="T816" s="13" t="str">
        <f t="shared" si="500"/>
        <v>lednev@mail</v>
      </c>
      <c r="U816" s="18" t="str">
        <f t="shared" si="501"/>
        <v xml:space="preserve">Ошибка Email</v>
      </c>
      <c r="V816" s="13" t="str">
        <f>IFERROR(VLOOKUP(K816,Справочники!$K$6:$L$13,2,0),K816)</f>
        <v>Шахты</v>
      </c>
    </row>
    <row r="817" ht="15" customHeight="1">
      <c r="A817" s="10">
        <v>815</v>
      </c>
      <c r="B817" s="11" t="str">
        <f>RAW_Клиенты!A816</f>
        <v>C0815</v>
      </c>
      <c r="C817" s="11" t="str">
        <f>RAW_Клиенты!B816</f>
        <v xml:space="preserve">Соколовская Екатерина Сергеевна</v>
      </c>
      <c r="D817" s="11" t="str">
        <f>RAW_Клиенты!C816</f>
        <v>15.06.1987</v>
      </c>
      <c r="E817" s="11" t="str">
        <f>RAW_Клиенты!D816</f>
        <v>8-903-789-01-23</v>
      </c>
      <c r="F817" s="11" t="str">
        <f>RAW_Клиенты!E816</f>
        <v>sokolovskaya@yandex</v>
      </c>
      <c r="G817" s="11" t="str">
        <f>RAW_Клиенты!F816</f>
        <v>Златоуст</v>
      </c>
      <c r="H817" s="11" t="str">
        <f>RAW_Клиенты!G816</f>
        <v>2044-08-10</v>
      </c>
      <c r="I817" s="12" t="str">
        <f t="shared" si="489"/>
        <v>89037890123</v>
      </c>
      <c r="J817" s="12" t="str">
        <f t="shared" si="490"/>
        <v>sokolovskaya@yandex</v>
      </c>
      <c r="K817" s="12" t="str">
        <f t="shared" si="491"/>
        <v>Златоуст</v>
      </c>
      <c r="L817" s="13" t="str">
        <f t="shared" si="492"/>
        <v>C0815</v>
      </c>
      <c r="M817" s="13" t="str">
        <f t="shared" si="493"/>
        <v xml:space="preserve">Соколовская Екатерина Сергеевна</v>
      </c>
      <c r="N817" s="13" t="str">
        <f t="shared" si="494"/>
        <v>OK</v>
      </c>
      <c r="O817" s="19">
        <f t="shared" si="495"/>
        <v>31943</v>
      </c>
      <c r="P817" s="19">
        <f t="shared" si="496"/>
        <v>52819</v>
      </c>
      <c r="Q817" s="13">
        <f t="shared" ca="1" si="497"/>
        <v>39</v>
      </c>
      <c r="R817" s="13" t="str">
        <f t="shared" si="498"/>
        <v>OK</v>
      </c>
      <c r="S817" s="13" t="str">
        <f t="shared" si="499"/>
        <v xml:space="preserve">+7 (903) 789-01-23</v>
      </c>
      <c r="T817" s="13" t="str">
        <f t="shared" si="500"/>
        <v>sokolovskaya@yandex</v>
      </c>
      <c r="U817" s="18" t="str">
        <f t="shared" si="501"/>
        <v xml:space="preserve">Ошибка Email</v>
      </c>
      <c r="V817" s="13" t="str">
        <f>IFERROR(VLOOKUP(K817,Справочники!$K$6:$L$13,2,0),K817)</f>
        <v>Златоуст</v>
      </c>
    </row>
    <row r="818" ht="15" customHeight="1">
      <c r="A818" s="10">
        <v>816</v>
      </c>
      <c r="B818" s="11" t="str">
        <f>RAW_Клиенты!A817</f>
        <v>C0816</v>
      </c>
      <c r="C818" s="11" t="str">
        <f>RAW_Клиенты!B817</f>
        <v xml:space="preserve">Синельников Андрей Олегович</v>
      </c>
      <c r="D818" s="11" t="str">
        <f>RAW_Клиенты!C817</f>
        <v>20.02.1976</v>
      </c>
      <c r="E818" s="11" t="str">
        <f>RAW_Клиенты!D817</f>
        <v xml:space="preserve">8 903 890 12 34</v>
      </c>
      <c r="F818" s="11" t="str">
        <f>RAW_Клиенты!E817</f>
        <v>sinelnikov@gmail</v>
      </c>
      <c r="G818" s="11" t="str">
        <f>RAW_Клиенты!F817</f>
        <v>Ангарск</v>
      </c>
      <c r="H818" s="11" t="str">
        <f>RAW_Клиенты!G817</f>
        <v>10.08.2044</v>
      </c>
      <c r="I818" s="12" t="str">
        <f t="shared" si="489"/>
        <v>89038901234</v>
      </c>
      <c r="J818" s="12" t="str">
        <f t="shared" si="490"/>
        <v>sinelnikov@gmail</v>
      </c>
      <c r="K818" s="12" t="str">
        <f t="shared" si="491"/>
        <v>Ангарск</v>
      </c>
      <c r="L818" s="13" t="str">
        <f t="shared" si="492"/>
        <v>C0816</v>
      </c>
      <c r="M818" s="13" t="str">
        <f t="shared" si="493"/>
        <v xml:space="preserve">Синельников Андрей Олегович</v>
      </c>
      <c r="N818" s="13" t="str">
        <f t="shared" si="494"/>
        <v>OK</v>
      </c>
      <c r="O818" s="19">
        <f t="shared" si="495"/>
        <v>27810</v>
      </c>
      <c r="P818" s="19">
        <f t="shared" si="496"/>
        <v>52819</v>
      </c>
      <c r="Q818" s="13">
        <f t="shared" ca="1" si="497"/>
        <v>50</v>
      </c>
      <c r="R818" s="13" t="str">
        <f t="shared" si="498"/>
        <v>OK</v>
      </c>
      <c r="S818" s="13" t="str">
        <f t="shared" si="499"/>
        <v xml:space="preserve">+7 (903) 890-12-34</v>
      </c>
      <c r="T818" s="13" t="str">
        <f t="shared" si="500"/>
        <v>sinelnikov@gmail</v>
      </c>
      <c r="U818" s="18" t="str">
        <f t="shared" si="501"/>
        <v xml:space="preserve">Ошибка Email</v>
      </c>
      <c r="V818" s="13" t="str">
        <f>IFERROR(VLOOKUP(K818,Справочники!$K$6:$L$13,2,0),K818)</f>
        <v>Ангарск</v>
      </c>
    </row>
    <row r="819" ht="15" customHeight="1">
      <c r="A819" s="10">
        <v>817</v>
      </c>
      <c r="B819" s="11" t="str">
        <f>RAW_Клиенты!A818</f>
        <v>C0817</v>
      </c>
      <c r="C819" s="11" t="str">
        <f>RAW_Клиенты!B818</f>
        <v xml:space="preserve">Калинкина Мария Владимировна</v>
      </c>
      <c r="D819" s="11" t="str">
        <f>RAW_Клиенты!C818</f>
        <v>04.10.1982</v>
      </c>
      <c r="E819" s="11" t="str">
        <f>RAW_Клиенты!D818</f>
        <v>+79038901234</v>
      </c>
      <c r="F819" s="11" t="str">
        <f>RAW_Клиенты!E818</f>
        <v>kalinkina@mail</v>
      </c>
      <c r="G819" s="11" t="str">
        <f>RAW_Клиенты!F818</f>
        <v>Озёрск</v>
      </c>
      <c r="H819" s="11" t="str">
        <f>RAW_Клиенты!G818</f>
        <v>01.09.2044</v>
      </c>
      <c r="I819" s="12" t="str">
        <f t="shared" si="489"/>
        <v>79038901234</v>
      </c>
      <c r="J819" s="12" t="str">
        <f t="shared" si="490"/>
        <v>kalinkina@mail</v>
      </c>
      <c r="K819" s="12" t="str">
        <f t="shared" si="491"/>
        <v>Озёрск</v>
      </c>
      <c r="L819" s="13" t="str">
        <f t="shared" si="492"/>
        <v>C0817</v>
      </c>
      <c r="M819" s="13" t="str">
        <f t="shared" si="493"/>
        <v xml:space="preserve">Калинкина Мария Владимировна</v>
      </c>
      <c r="N819" s="13" t="str">
        <f t="shared" si="494"/>
        <v>OK</v>
      </c>
      <c r="O819" s="19">
        <f t="shared" si="495"/>
        <v>30228</v>
      </c>
      <c r="P819" s="19">
        <f t="shared" si="496"/>
        <v>52841</v>
      </c>
      <c r="Q819" s="13">
        <f t="shared" ca="1" si="497"/>
        <v>43</v>
      </c>
      <c r="R819" s="13" t="str">
        <f t="shared" si="498"/>
        <v>OK</v>
      </c>
      <c r="S819" s="13" t="str">
        <f t="shared" si="499"/>
        <v xml:space="preserve">+7 (903) 890-12-34</v>
      </c>
      <c r="T819" s="13" t="str">
        <f t="shared" si="500"/>
        <v>kalinkina@mail</v>
      </c>
      <c r="U819" s="18" t="str">
        <f t="shared" si="501"/>
        <v xml:space="preserve">Ошибка Email</v>
      </c>
      <c r="V819" s="13" t="str">
        <f>IFERROR(VLOOKUP(K819,Справочники!$K$6:$L$13,2,0),K819)</f>
        <v>Озёрск</v>
      </c>
    </row>
    <row r="820" ht="15" customHeight="1">
      <c r="A820" s="10">
        <v>818</v>
      </c>
      <c r="B820" s="11" t="str">
        <f>RAW_Клиенты!A819</f>
        <v>C0818</v>
      </c>
      <c r="C820" s="11" t="str">
        <f>RAW_Клиенты!B819</f>
        <v xml:space="preserve">Загороднев Денис Павлович</v>
      </c>
      <c r="D820" s="11" t="str">
        <f>RAW_Клиенты!C819</f>
        <v>16.05.1991</v>
      </c>
      <c r="E820" s="11" t="str">
        <f>RAW_Клиенты!D819</f>
        <v>8-903-890-12-34</v>
      </c>
      <c r="F820" s="11" t="str">
        <f>RAW_Клиенты!E819</f>
        <v>zagorodnev@yandex</v>
      </c>
      <c r="G820" s="11" t="str">
        <f>RAW_Клиенты!F819</f>
        <v>Орел</v>
      </c>
      <c r="H820" s="11" t="str">
        <f>RAW_Клиенты!G819</f>
        <v>2044-09-15</v>
      </c>
      <c r="I820" s="12" t="str">
        <f t="shared" si="489"/>
        <v>89038901234</v>
      </c>
      <c r="J820" s="12" t="str">
        <f t="shared" si="490"/>
        <v>zagorodnev@yandex</v>
      </c>
      <c r="K820" s="12" t="str">
        <f t="shared" si="491"/>
        <v>Орел</v>
      </c>
      <c r="L820" s="13" t="str">
        <f t="shared" si="492"/>
        <v>C0818</v>
      </c>
      <c r="M820" s="13" t="str">
        <f t="shared" si="493"/>
        <v xml:space="preserve">Загороднев Денис Павлович</v>
      </c>
      <c r="N820" s="13" t="str">
        <f t="shared" si="494"/>
        <v>OK</v>
      </c>
      <c r="O820" s="19">
        <f t="shared" si="495"/>
        <v>33374</v>
      </c>
      <c r="P820" s="19">
        <f t="shared" si="496"/>
        <v>52855</v>
      </c>
      <c r="Q820" s="13">
        <f t="shared" ca="1" si="497"/>
        <v>35</v>
      </c>
      <c r="R820" s="13" t="str">
        <f t="shared" si="498"/>
        <v>OK</v>
      </c>
      <c r="S820" s="13" t="str">
        <f t="shared" si="499"/>
        <v xml:space="preserve">+7 (903) 890-12-34</v>
      </c>
      <c r="T820" s="13" t="str">
        <f t="shared" si="500"/>
        <v>zagorodnev@yandex</v>
      </c>
      <c r="U820" s="18" t="str">
        <f t="shared" si="501"/>
        <v xml:space="preserve">Ошибка Email</v>
      </c>
      <c r="V820" s="13" t="str">
        <f>IFERROR(VLOOKUP(K820,Справочники!$K$6:$L$13,2,0),K820)</f>
        <v>Орел</v>
      </c>
    </row>
    <row r="821" ht="15" customHeight="1">
      <c r="A821" s="10">
        <v>819</v>
      </c>
      <c r="B821" s="11" t="str">
        <f>RAW_Клиенты!A820</f>
        <v>C0819</v>
      </c>
      <c r="C821" s="11" t="str">
        <f>RAW_Клиенты!B820</f>
        <v xml:space="preserve">Басова Ольга Сергеевна</v>
      </c>
      <c r="D821" s="11" t="str">
        <f>RAW_Клиенты!C820</f>
        <v>22.09.1974</v>
      </c>
      <c r="E821" s="11" t="str">
        <f>RAW_Клиенты!D820</f>
        <v xml:space="preserve">8 903 901 23 45</v>
      </c>
      <c r="F821" s="11" t="str">
        <f>RAW_Клиенты!E820</f>
        <v>basova@gmail</v>
      </c>
      <c r="G821" s="11" t="str">
        <f>RAW_Клиенты!F820</f>
        <v>Магнитогорск</v>
      </c>
      <c r="H821" s="11" t="str">
        <f>RAW_Клиенты!G820</f>
        <v>15.09.2044</v>
      </c>
      <c r="I821" s="12" t="str">
        <f t="shared" si="489"/>
        <v>89039012345</v>
      </c>
      <c r="J821" s="12" t="str">
        <f t="shared" si="490"/>
        <v>basova@gmail</v>
      </c>
      <c r="K821" s="12" t="str">
        <f t="shared" si="491"/>
        <v>Магнитогорск</v>
      </c>
      <c r="L821" s="13" t="str">
        <f t="shared" si="492"/>
        <v>C0819</v>
      </c>
      <c r="M821" s="13" t="str">
        <f t="shared" si="493"/>
        <v xml:space="preserve">Басова Ольга Сергеевна</v>
      </c>
      <c r="N821" s="13" t="str">
        <f t="shared" si="494"/>
        <v>OK</v>
      </c>
      <c r="O821" s="19">
        <f t="shared" si="495"/>
        <v>27294</v>
      </c>
      <c r="P821" s="19">
        <f t="shared" si="496"/>
        <v>52855</v>
      </c>
      <c r="Q821" s="13">
        <f t="shared" ca="1" si="497"/>
        <v>52</v>
      </c>
      <c r="R821" s="13" t="str">
        <f t="shared" si="498"/>
        <v>OK</v>
      </c>
      <c r="S821" s="13" t="str">
        <f t="shared" si="499"/>
        <v xml:space="preserve">+7 (903) 901-23-45</v>
      </c>
      <c r="T821" s="13" t="str">
        <f t="shared" si="500"/>
        <v>basova@gmail</v>
      </c>
      <c r="U821" s="18" t="str">
        <f t="shared" si="501"/>
        <v xml:space="preserve">Ошибка Email</v>
      </c>
      <c r="V821" s="13" t="str">
        <f>IFERROR(VLOOKUP(K821,Справочники!$K$6:$L$13,2,0),K821)</f>
        <v>Магнитогорск</v>
      </c>
    </row>
    <row r="822" ht="15" customHeight="1">
      <c r="A822" s="10">
        <v>820</v>
      </c>
      <c r="B822" s="11" t="str">
        <f>RAW_Клиенты!A821</f>
        <v>C0820</v>
      </c>
      <c r="C822" s="11" t="str">
        <f>RAW_Клиенты!B821</f>
        <v xml:space="preserve">Михайлов Илья Александрович</v>
      </c>
      <c r="D822" s="11" t="str">
        <f>RAW_Клиенты!C821</f>
        <v>03.02.1986</v>
      </c>
      <c r="E822" s="11" t="str">
        <f>RAW_Клиенты!D821</f>
        <v>+79039012345</v>
      </c>
      <c r="F822" s="11" t="str">
        <f>RAW_Клиенты!E821</f>
        <v>mihaylov@mail</v>
      </c>
      <c r="G822" s="11" t="str">
        <f>RAW_Клиенты!F821</f>
        <v>Якутск</v>
      </c>
      <c r="H822" s="11" t="str">
        <f>RAW_Клиенты!G821</f>
        <v>01.10.2044</v>
      </c>
      <c r="I822" s="12" t="str">
        <f t="shared" si="489"/>
        <v>79039012345</v>
      </c>
      <c r="J822" s="12" t="str">
        <f t="shared" si="490"/>
        <v>mihaylov@mail</v>
      </c>
      <c r="K822" s="12" t="str">
        <f t="shared" si="491"/>
        <v>Якутск</v>
      </c>
      <c r="L822" s="13" t="str">
        <f t="shared" si="492"/>
        <v>C0820</v>
      </c>
      <c r="M822" s="13" t="str">
        <f t="shared" si="493"/>
        <v xml:space="preserve">Михайлов Илья Александрович</v>
      </c>
      <c r="N822" s="13" t="str">
        <f t="shared" si="494"/>
        <v>OK</v>
      </c>
      <c r="O822" s="19">
        <f t="shared" si="495"/>
        <v>31446</v>
      </c>
      <c r="P822" s="19">
        <f t="shared" si="496"/>
        <v>52871</v>
      </c>
      <c r="Q822" s="13">
        <f t="shared" ca="1" si="497"/>
        <v>40</v>
      </c>
      <c r="R822" s="13" t="str">
        <f t="shared" si="498"/>
        <v>OK</v>
      </c>
      <c r="S822" s="13" t="str">
        <f t="shared" si="499"/>
        <v xml:space="preserve">+7 (903) 901-23-45</v>
      </c>
      <c r="T822" s="13" t="str">
        <f t="shared" si="500"/>
        <v>mihaylov@mail</v>
      </c>
      <c r="U822" s="18" t="str">
        <f t="shared" si="501"/>
        <v xml:space="preserve">Ошибка Email</v>
      </c>
      <c r="V822" s="13" t="str">
        <f>IFERROR(VLOOKUP(K822,Справочники!$K$6:$L$13,2,0),K822)</f>
        <v>Якутск</v>
      </c>
    </row>
    <row r="823" ht="15" customHeight="1">
      <c r="A823" s="10">
        <v>821</v>
      </c>
      <c r="B823" s="11" t="str">
        <f>RAW_Клиенты!A822</f>
        <v>C0821</v>
      </c>
      <c r="C823" s="11" t="str">
        <f>RAW_Клиенты!B822</f>
        <v xml:space="preserve">Тарасюк Екатерина Владимировна</v>
      </c>
      <c r="D823" s="11" t="str">
        <f>RAW_Клиенты!C822</f>
        <v>14.10.1992</v>
      </c>
      <c r="E823" s="11" t="str">
        <f>RAW_Клиенты!D822</f>
        <v>8-903-901-23-45</v>
      </c>
      <c r="F823" s="11" t="str">
        <f>RAW_Клиенты!E822</f>
        <v>tarasyuk@yandex</v>
      </c>
      <c r="G823" s="11" t="str">
        <f>RAW_Клиенты!F822</f>
        <v>Чебоксары</v>
      </c>
      <c r="H823" s="11" t="str">
        <f>RAW_Клиенты!G822</f>
        <v>2044-10-10</v>
      </c>
      <c r="I823" s="12" t="str">
        <f t="shared" si="489"/>
        <v>89039012345</v>
      </c>
      <c r="J823" s="12" t="str">
        <f t="shared" si="490"/>
        <v>tarasyuk@yandex</v>
      </c>
      <c r="K823" s="12" t="str">
        <f t="shared" si="491"/>
        <v>Чебоксары</v>
      </c>
      <c r="L823" s="13" t="str">
        <f t="shared" si="492"/>
        <v>C0821</v>
      </c>
      <c r="M823" s="13" t="str">
        <f t="shared" si="493"/>
        <v xml:space="preserve">Тарасюк Екатерина Владимировна</v>
      </c>
      <c r="N823" s="13" t="str">
        <f t="shared" si="494"/>
        <v>OK</v>
      </c>
      <c r="O823" s="19">
        <f t="shared" si="495"/>
        <v>33891</v>
      </c>
      <c r="P823" s="19">
        <f t="shared" si="496"/>
        <v>52880</v>
      </c>
      <c r="Q823" s="13">
        <f t="shared" ca="1" si="497"/>
        <v>33</v>
      </c>
      <c r="R823" s="13" t="str">
        <f t="shared" si="498"/>
        <v>OK</v>
      </c>
      <c r="S823" s="13" t="str">
        <f t="shared" si="499"/>
        <v xml:space="preserve">+7 (903) 901-23-45</v>
      </c>
      <c r="T823" s="13" t="str">
        <f t="shared" si="500"/>
        <v>tarasyuk@yandex</v>
      </c>
      <c r="U823" s="18" t="str">
        <f t="shared" si="501"/>
        <v xml:space="preserve">Ошибка Email</v>
      </c>
      <c r="V823" s="13" t="str">
        <f>IFERROR(VLOOKUP(K823,Справочники!$K$6:$L$13,2,0),K823)</f>
        <v>Чебоксары</v>
      </c>
    </row>
    <row r="824" ht="15" customHeight="1">
      <c r="A824" s="10">
        <v>822</v>
      </c>
      <c r="B824" s="11" t="str">
        <f>RAW_Клиенты!A823</f>
        <v>C0822</v>
      </c>
      <c r="C824" s="11" t="str">
        <f>RAW_Клиенты!B823</f>
        <v xml:space="preserve">Ожегов Андрей Олегович</v>
      </c>
      <c r="D824" s="11" t="str">
        <f>RAW_Клиенты!C823</f>
        <v>08.12.1977</v>
      </c>
      <c r="E824" s="11" t="str">
        <f>RAW_Клиенты!D823</f>
        <v xml:space="preserve">8 903 012 34 56</v>
      </c>
      <c r="F824" s="11" t="str">
        <f>RAW_Клиенты!E823</f>
        <v>ozhegov@gmail</v>
      </c>
      <c r="G824" s="11" t="str">
        <f>RAW_Клиенты!F823</f>
        <v>Мурманск</v>
      </c>
      <c r="H824" s="11" t="str">
        <f>RAW_Клиенты!G823</f>
        <v>10.10.2044</v>
      </c>
      <c r="I824" s="12" t="str">
        <f t="shared" si="489"/>
        <v>89030123456</v>
      </c>
      <c r="J824" s="12" t="str">
        <f t="shared" si="490"/>
        <v>ozhegov@gmail</v>
      </c>
      <c r="K824" s="12" t="str">
        <f t="shared" si="491"/>
        <v>Мурманск</v>
      </c>
      <c r="L824" s="13" t="str">
        <f t="shared" si="492"/>
        <v>C0822</v>
      </c>
      <c r="M824" s="13" t="str">
        <f t="shared" si="493"/>
        <v xml:space="preserve">Ожегов Андрей Олегович</v>
      </c>
      <c r="N824" s="13" t="str">
        <f t="shared" si="494"/>
        <v>OK</v>
      </c>
      <c r="O824" s="19">
        <f t="shared" si="495"/>
        <v>28467</v>
      </c>
      <c r="P824" s="19">
        <f t="shared" si="496"/>
        <v>52880</v>
      </c>
      <c r="Q824" s="13">
        <f t="shared" ca="1" si="497"/>
        <v>48</v>
      </c>
      <c r="R824" s="13" t="str">
        <f t="shared" si="498"/>
        <v>OK</v>
      </c>
      <c r="S824" s="13" t="str">
        <f t="shared" si="499"/>
        <v xml:space="preserve">+7 (903) 012-34-56</v>
      </c>
      <c r="T824" s="13" t="str">
        <f t="shared" si="500"/>
        <v>ozhegov@gmail</v>
      </c>
      <c r="U824" s="18" t="str">
        <f t="shared" si="501"/>
        <v xml:space="preserve">Ошибка Email</v>
      </c>
      <c r="V824" s="13" t="str">
        <f>IFERROR(VLOOKUP(K824,Справочники!$K$6:$L$13,2,0),K824)</f>
        <v>Мурманск</v>
      </c>
    </row>
    <row r="825" ht="15" customHeight="1">
      <c r="A825" s="10">
        <v>823</v>
      </c>
      <c r="B825" s="11" t="str">
        <f>RAW_Клиенты!A824</f>
        <v>C0823</v>
      </c>
      <c r="C825" s="11" t="str">
        <f>RAW_Клиенты!B824</f>
        <v xml:space="preserve">Сидоренко Мария Павловна</v>
      </c>
      <c r="D825" s="11" t="str">
        <f>RAW_Клиенты!C824</f>
        <v>25.07.1985</v>
      </c>
      <c r="E825" s="11" t="str">
        <f>RAW_Клиенты!D824</f>
        <v>+79030123456</v>
      </c>
      <c r="F825" s="11" t="str">
        <f>RAW_Клиенты!E824</f>
        <v>sidorenko@mail</v>
      </c>
      <c r="G825" s="11" t="str">
        <f>RAW_Клиенты!F824</f>
        <v>Смоленск</v>
      </c>
      <c r="H825" s="11" t="str">
        <f>RAW_Клиенты!G824</f>
        <v>01.11.2044</v>
      </c>
      <c r="I825" s="12" t="str">
        <f t="shared" si="489"/>
        <v>79030123456</v>
      </c>
      <c r="J825" s="12" t="str">
        <f t="shared" si="490"/>
        <v>sidorenko@mail</v>
      </c>
      <c r="K825" s="12" t="str">
        <f t="shared" si="491"/>
        <v>Смоленск</v>
      </c>
      <c r="L825" s="13" t="str">
        <f t="shared" si="492"/>
        <v>C0823</v>
      </c>
      <c r="M825" s="13" t="str">
        <f t="shared" si="493"/>
        <v xml:space="preserve">Сидоренко Мария Павловна</v>
      </c>
      <c r="N825" s="13" t="str">
        <f t="shared" si="494"/>
        <v>OK</v>
      </c>
      <c r="O825" s="19">
        <f t="shared" si="495"/>
        <v>31253</v>
      </c>
      <c r="P825" s="19">
        <f t="shared" si="496"/>
        <v>52902</v>
      </c>
      <c r="Q825" s="13">
        <f t="shared" ca="1" si="497"/>
        <v>41</v>
      </c>
      <c r="R825" s="13" t="str">
        <f t="shared" si="498"/>
        <v>OK</v>
      </c>
      <c r="S825" s="13" t="str">
        <f t="shared" si="499"/>
        <v xml:space="preserve">+7 (903) 012-34-56</v>
      </c>
      <c r="T825" s="13" t="str">
        <f t="shared" si="500"/>
        <v>sidorenko@mail</v>
      </c>
      <c r="U825" s="18" t="str">
        <f t="shared" si="501"/>
        <v xml:space="preserve">Ошибка Email</v>
      </c>
      <c r="V825" s="13" t="str">
        <f>IFERROR(VLOOKUP(K825,Справочники!$K$6:$L$13,2,0),K825)</f>
        <v>Смоленск</v>
      </c>
    </row>
    <row r="826" ht="15" customHeight="1">
      <c r="A826" s="10">
        <v>824</v>
      </c>
      <c r="B826" s="11" t="str">
        <f>RAW_Клиенты!A825</f>
        <v>C0824</v>
      </c>
      <c r="C826" s="11" t="str">
        <f>RAW_Клиенты!B825</f>
        <v xml:space="preserve">Черных Денис Сергеевич</v>
      </c>
      <c r="D826" s="11" t="str">
        <f>RAW_Клиенты!C825</f>
        <v>13.11.1980</v>
      </c>
      <c r="E826" s="11" t="str">
        <f>RAW_Клиенты!D825</f>
        <v>8-903-012-34-56</v>
      </c>
      <c r="F826" s="11" t="str">
        <f>RAW_Клиенты!E825</f>
        <v>chernyh@yandex</v>
      </c>
      <c r="G826" s="11" t="str">
        <f>RAW_Клиенты!F825</f>
        <v>Тула</v>
      </c>
      <c r="H826" s="11" t="str">
        <f>RAW_Клиенты!G825</f>
        <v>2044-11-15</v>
      </c>
      <c r="I826" s="12" t="str">
        <f t="shared" si="489"/>
        <v>89030123456</v>
      </c>
      <c r="J826" s="12" t="str">
        <f t="shared" si="490"/>
        <v>chernyh@yandex</v>
      </c>
      <c r="K826" s="12" t="str">
        <f t="shared" si="491"/>
        <v>Тула</v>
      </c>
      <c r="L826" s="13" t="str">
        <f t="shared" si="492"/>
        <v>C0824</v>
      </c>
      <c r="M826" s="13" t="str">
        <f t="shared" si="493"/>
        <v xml:space="preserve">Черных Денис Сергеевич</v>
      </c>
      <c r="N826" s="13" t="str">
        <f t="shared" si="494"/>
        <v>OK</v>
      </c>
      <c r="O826" s="19">
        <f t="shared" si="495"/>
        <v>29538</v>
      </c>
      <c r="P826" s="19">
        <f t="shared" si="496"/>
        <v>52916</v>
      </c>
      <c r="Q826" s="13">
        <f t="shared" ca="1" si="497"/>
        <v>45</v>
      </c>
      <c r="R826" s="13" t="str">
        <f t="shared" si="498"/>
        <v>OK</v>
      </c>
      <c r="S826" s="13" t="str">
        <f t="shared" si="499"/>
        <v xml:space="preserve">+7 (903) 012-34-56</v>
      </c>
      <c r="T826" s="13" t="str">
        <f t="shared" si="500"/>
        <v>chernyh@yandex</v>
      </c>
      <c r="U826" s="18" t="str">
        <f t="shared" si="501"/>
        <v xml:space="preserve">Ошибка Email</v>
      </c>
      <c r="V826" s="13" t="str">
        <f>IFERROR(VLOOKUP(K826,Справочники!$K$6:$L$13,2,0),K826)</f>
        <v>Тула</v>
      </c>
    </row>
    <row r="827" ht="15" customHeight="1">
      <c r="A827" s="10">
        <v>825</v>
      </c>
      <c r="B827" s="11" t="str">
        <f>RAW_Клиенты!A826</f>
        <v>C0825</v>
      </c>
      <c r="C827" s="11" t="str">
        <f>RAW_Клиенты!B826</f>
        <v xml:space="preserve">Зорина Ольга Владимировна</v>
      </c>
      <c r="D827" s="11" t="str">
        <f>RAW_Клиенты!C826</f>
        <v>19.04.1975</v>
      </c>
      <c r="E827" s="11" t="str">
        <f>RAW_Клиенты!D826</f>
        <v xml:space="preserve">8 903 123 45 67</v>
      </c>
      <c r="F827" s="11" t="str">
        <f>RAW_Клиенты!E826</f>
        <v>zorina@gmail</v>
      </c>
      <c r="G827" s="11" t="str">
        <f>RAW_Клиенты!F826</f>
        <v>Калуга</v>
      </c>
      <c r="H827" s="11" t="str">
        <f>RAW_Клиенты!G826</f>
        <v>15.11.2044</v>
      </c>
      <c r="I827" s="12" t="str">
        <f t="shared" si="489"/>
        <v>89031234567</v>
      </c>
      <c r="J827" s="12" t="str">
        <f t="shared" si="490"/>
        <v>zorina@gmail</v>
      </c>
      <c r="K827" s="12" t="str">
        <f t="shared" si="491"/>
        <v>Калуга</v>
      </c>
      <c r="L827" s="13" t="str">
        <f t="shared" si="492"/>
        <v>C0825</v>
      </c>
      <c r="M827" s="13" t="str">
        <f t="shared" si="493"/>
        <v xml:space="preserve">Зорина Ольга Владимировна</v>
      </c>
      <c r="N827" s="13" t="str">
        <f t="shared" si="494"/>
        <v>OK</v>
      </c>
      <c r="O827" s="19">
        <f t="shared" si="495"/>
        <v>27503</v>
      </c>
      <c r="P827" s="19">
        <f t="shared" si="496"/>
        <v>52916</v>
      </c>
      <c r="Q827" s="13">
        <f t="shared" ca="1" si="497"/>
        <v>51</v>
      </c>
      <c r="R827" s="13" t="str">
        <f t="shared" si="498"/>
        <v>OK</v>
      </c>
      <c r="S827" s="13" t="str">
        <f t="shared" si="499"/>
        <v xml:space="preserve">+7 (903) 123-45-67</v>
      </c>
      <c r="T827" s="13" t="str">
        <f t="shared" si="500"/>
        <v>zorina@gmail</v>
      </c>
      <c r="U827" s="18" t="str">
        <f t="shared" si="501"/>
        <v xml:space="preserve">Ошибка Email</v>
      </c>
      <c r="V827" s="13" t="str">
        <f>IFERROR(VLOOKUP(K827,Справочники!$K$6:$L$13,2,0),K827)</f>
        <v>Калуга</v>
      </c>
    </row>
    <row r="828" ht="15" customHeight="1">
      <c r="A828" s="10">
        <v>826</v>
      </c>
      <c r="B828" s="11" t="str">
        <f>RAW_Клиенты!A827</f>
        <v>C0826</v>
      </c>
      <c r="C828" s="11" t="str">
        <f>RAW_Клиенты!B827</f>
        <v xml:space="preserve">Трошин Илья Александрович</v>
      </c>
      <c r="D828" s="11" t="str">
        <f>RAW_Клиенты!C827</f>
        <v>21.06.1987</v>
      </c>
      <c r="E828" s="11" t="str">
        <f>RAW_Клиенты!D827</f>
        <v>+79031234567</v>
      </c>
      <c r="F828" s="11" t="str">
        <f>RAW_Клиенты!E827</f>
        <v>troshin@mail</v>
      </c>
      <c r="G828" s="11" t="str">
        <f>RAW_Клиенты!F827</f>
        <v>Владикавказ</v>
      </c>
      <c r="H828" s="11" t="str">
        <f>RAW_Клиенты!G827</f>
        <v>01.12.2044</v>
      </c>
      <c r="I828" s="12" t="str">
        <f t="shared" si="489"/>
        <v>79031234567</v>
      </c>
      <c r="J828" s="12" t="str">
        <f t="shared" si="490"/>
        <v>troshin@mail</v>
      </c>
      <c r="K828" s="12" t="str">
        <f t="shared" si="491"/>
        <v>Владикавказ</v>
      </c>
      <c r="L828" s="13" t="str">
        <f t="shared" si="492"/>
        <v>C0826</v>
      </c>
      <c r="M828" s="13" t="str">
        <f t="shared" si="493"/>
        <v xml:space="preserve">Трошин Илья Александрович</v>
      </c>
      <c r="N828" s="13" t="str">
        <f t="shared" si="494"/>
        <v>OK</v>
      </c>
      <c r="O828" s="19">
        <f t="shared" si="495"/>
        <v>31949</v>
      </c>
      <c r="P828" s="19">
        <f t="shared" si="496"/>
        <v>52932</v>
      </c>
      <c r="Q828" s="13">
        <f t="shared" ca="1" si="497"/>
        <v>39</v>
      </c>
      <c r="R828" s="13" t="str">
        <f t="shared" si="498"/>
        <v>OK</v>
      </c>
      <c r="S828" s="13" t="str">
        <f t="shared" si="499"/>
        <v xml:space="preserve">+7 (903) 123-45-67</v>
      </c>
      <c r="T828" s="13" t="str">
        <f t="shared" si="500"/>
        <v>troshin@mail</v>
      </c>
      <c r="U828" s="18" t="str">
        <f t="shared" si="501"/>
        <v xml:space="preserve">Ошибка Email</v>
      </c>
      <c r="V828" s="13" t="str">
        <f>IFERROR(VLOOKUP(K828,Справочники!$K$6:$L$13,2,0),K828)</f>
        <v>Владикавказ</v>
      </c>
    </row>
    <row r="829" ht="15" customHeight="1">
      <c r="A829" s="10">
        <v>827</v>
      </c>
      <c r="B829" s="11" t="str">
        <f>RAW_Клиенты!A828</f>
        <v>C0827</v>
      </c>
      <c r="C829" s="11" t="str">
        <f>RAW_Клиенты!B828</f>
        <v xml:space="preserve">Леонова Екатерина Сергеевна</v>
      </c>
      <c r="D829" s="11" t="str">
        <f>RAW_Клиенты!C828</f>
        <v>09.12.1991</v>
      </c>
      <c r="E829" s="11" t="str">
        <f>RAW_Клиенты!D828</f>
        <v>8-903-123-45-67</v>
      </c>
      <c r="F829" s="11" t="str">
        <f>RAW_Клиенты!E828</f>
        <v>leonova@yandex</v>
      </c>
      <c r="G829" s="11" t="str">
        <f>RAW_Клиенты!F828</f>
        <v>Смоленск</v>
      </c>
      <c r="H829" s="11" t="str">
        <f>RAW_Клиенты!G828</f>
        <v>2044-12-10</v>
      </c>
      <c r="I829" s="12" t="str">
        <f t="shared" si="489"/>
        <v>89031234567</v>
      </c>
      <c r="J829" s="12" t="str">
        <f t="shared" si="490"/>
        <v>leonova@yandex</v>
      </c>
      <c r="K829" s="12" t="str">
        <f t="shared" si="491"/>
        <v>Смоленск</v>
      </c>
      <c r="L829" s="13" t="str">
        <f t="shared" si="492"/>
        <v>C0827</v>
      </c>
      <c r="M829" s="13" t="str">
        <f t="shared" si="493"/>
        <v xml:space="preserve">Леонова Екатерина Сергеевна</v>
      </c>
      <c r="N829" s="13" t="str">
        <f t="shared" si="494"/>
        <v>OK</v>
      </c>
      <c r="O829" s="19">
        <f t="shared" si="495"/>
        <v>33581</v>
      </c>
      <c r="P829" s="19">
        <f t="shared" si="496"/>
        <v>52941</v>
      </c>
      <c r="Q829" s="13">
        <f t="shared" ca="1" si="497"/>
        <v>34</v>
      </c>
      <c r="R829" s="13" t="str">
        <f t="shared" si="498"/>
        <v>OK</v>
      </c>
      <c r="S829" s="13" t="str">
        <f t="shared" si="499"/>
        <v xml:space="preserve">+7 (903) 123-45-67</v>
      </c>
      <c r="T829" s="13" t="str">
        <f t="shared" si="500"/>
        <v>leonova@yandex</v>
      </c>
      <c r="U829" s="18" t="str">
        <f t="shared" si="501"/>
        <v xml:space="preserve">Ошибка Email</v>
      </c>
      <c r="V829" s="13" t="str">
        <f>IFERROR(VLOOKUP(K829,Справочники!$K$6:$L$13,2,0),K829)</f>
        <v>Смоленск</v>
      </c>
    </row>
    <row r="830" ht="15" customHeight="1">
      <c r="A830" s="10">
        <v>828</v>
      </c>
      <c r="B830" s="11" t="str">
        <f>RAW_Клиенты!A829</f>
        <v>C0828</v>
      </c>
      <c r="C830" s="11" t="str">
        <f>RAW_Клиенты!B829</f>
        <v xml:space="preserve">Зубков Андрей Олегович</v>
      </c>
      <c r="D830" s="11" t="str">
        <f>RAW_Клиенты!C829</f>
        <v>27.08.1976</v>
      </c>
      <c r="E830" s="11" t="str">
        <f>RAW_Клиенты!D829</f>
        <v xml:space="preserve">8 903 234 56 78</v>
      </c>
      <c r="F830" s="11" t="str">
        <f>RAW_Клиенты!E829</f>
        <v>zubkov@gmail</v>
      </c>
      <c r="G830" s="11" t="str">
        <f>RAW_Клиенты!F829</f>
        <v>Белгород</v>
      </c>
      <c r="H830" s="11" t="str">
        <f>RAW_Клиенты!G829</f>
        <v>10.12.2044</v>
      </c>
      <c r="I830" s="12" t="str">
        <f t="shared" si="489"/>
        <v>89032345678</v>
      </c>
      <c r="J830" s="12" t="str">
        <f t="shared" si="490"/>
        <v>zubkov@gmail</v>
      </c>
      <c r="K830" s="12" t="str">
        <f t="shared" si="491"/>
        <v>Белгород</v>
      </c>
      <c r="L830" s="13" t="str">
        <f t="shared" si="492"/>
        <v>C0828</v>
      </c>
      <c r="M830" s="13" t="str">
        <f t="shared" si="493"/>
        <v xml:space="preserve">Зубков Андрей Олегович</v>
      </c>
      <c r="N830" s="13" t="str">
        <f t="shared" si="494"/>
        <v>OK</v>
      </c>
      <c r="O830" s="19">
        <f t="shared" si="495"/>
        <v>27999</v>
      </c>
      <c r="P830" s="19">
        <f t="shared" si="496"/>
        <v>52941</v>
      </c>
      <c r="Q830" s="13">
        <f t="shared" ca="1" si="497"/>
        <v>50</v>
      </c>
      <c r="R830" s="13" t="str">
        <f t="shared" si="498"/>
        <v>OK</v>
      </c>
      <c r="S830" s="13" t="str">
        <f t="shared" si="499"/>
        <v xml:space="preserve">+7 (903) 234-56-78</v>
      </c>
      <c r="T830" s="13" t="str">
        <f t="shared" si="500"/>
        <v>zubkov@gmail</v>
      </c>
      <c r="U830" s="18" t="str">
        <f t="shared" si="501"/>
        <v xml:space="preserve">Ошибка Email</v>
      </c>
      <c r="V830" s="13" t="str">
        <f>IFERROR(VLOOKUP(K830,Справочники!$K$6:$L$13,2,0),K830)</f>
        <v>Белгород</v>
      </c>
    </row>
    <row r="831" ht="15" customHeight="1">
      <c r="A831" s="10">
        <v>829</v>
      </c>
      <c r="B831" s="11" t="str">
        <f>RAW_Клиенты!A830</f>
        <v>C0829</v>
      </c>
      <c r="C831" s="11" t="str">
        <f>RAW_Клиенты!B830</f>
        <v xml:space="preserve">Красикова Мария Павловна</v>
      </c>
      <c r="D831" s="11" t="str">
        <f>RAW_Клиенты!C830</f>
        <v>18.01.1983</v>
      </c>
      <c r="E831" s="11" t="str">
        <f>RAW_Клиенты!D830</f>
        <v>+79032345678</v>
      </c>
      <c r="F831" s="11" t="str">
        <f>RAW_Клиенты!E830</f>
        <v>krasikova@mail</v>
      </c>
      <c r="G831" s="11" t="str">
        <f>RAW_Клиенты!F830</f>
        <v>Мурманск</v>
      </c>
      <c r="H831" s="11" t="str">
        <f>RAW_Клиенты!G830</f>
        <v>01.01.2045</v>
      </c>
      <c r="I831" s="12" t="str">
        <f t="shared" si="489"/>
        <v>79032345678</v>
      </c>
      <c r="J831" s="12" t="str">
        <f t="shared" si="490"/>
        <v>krasikova@mail</v>
      </c>
      <c r="K831" s="12" t="str">
        <f t="shared" si="491"/>
        <v>Мурманск</v>
      </c>
      <c r="L831" s="13" t="str">
        <f t="shared" si="492"/>
        <v>C0829</v>
      </c>
      <c r="M831" s="13" t="str">
        <f t="shared" si="493"/>
        <v xml:space="preserve">Красикова Мария Павловна</v>
      </c>
      <c r="N831" s="13" t="str">
        <f t="shared" si="494"/>
        <v>OK</v>
      </c>
      <c r="O831" s="19">
        <f t="shared" si="495"/>
        <v>30334</v>
      </c>
      <c r="P831" s="19">
        <f t="shared" si="496"/>
        <v>52963</v>
      </c>
      <c r="Q831" s="13">
        <f t="shared" ca="1" si="497"/>
        <v>43</v>
      </c>
      <c r="R831" s="13" t="str">
        <f t="shared" si="498"/>
        <v>OK</v>
      </c>
      <c r="S831" s="13" t="str">
        <f t="shared" si="499"/>
        <v xml:space="preserve">+7 (903) 234-56-78</v>
      </c>
      <c r="T831" s="13" t="str">
        <f t="shared" si="500"/>
        <v>krasikova@mail</v>
      </c>
      <c r="U831" s="18" t="str">
        <f t="shared" si="501"/>
        <v xml:space="preserve">Ошибка Email</v>
      </c>
      <c r="V831" s="13" t="str">
        <f>IFERROR(VLOOKUP(K831,Справочники!$K$6:$L$13,2,0),K831)</f>
        <v>Мурманск</v>
      </c>
    </row>
    <row r="832" ht="15" customHeight="1">
      <c r="A832" s="10">
        <v>830</v>
      </c>
      <c r="B832" s="11" t="str">
        <f>RAW_Клиенты!A831</f>
        <v>C0830</v>
      </c>
      <c r="C832" s="11" t="str">
        <f>RAW_Клиенты!B831</f>
        <v xml:space="preserve">Мусин Денис Викторович</v>
      </c>
      <c r="D832" s="11" t="str">
        <f>RAW_Клиенты!C831</f>
        <v>07.10.1989</v>
      </c>
      <c r="E832" s="11" t="str">
        <f>RAW_Клиенты!D831</f>
        <v>8-903-234-56-78</v>
      </c>
      <c r="F832" s="11" t="str">
        <f>RAW_Клиенты!E831</f>
        <v>musin@yandex</v>
      </c>
      <c r="G832" s="11" t="str">
        <f>RAW_Клиенты!F831</f>
        <v>Ставрополь</v>
      </c>
      <c r="H832" s="11" t="str">
        <f>RAW_Клиенты!G831</f>
        <v>2045-01-15</v>
      </c>
      <c r="I832" s="12" t="str">
        <f t="shared" si="489"/>
        <v>89032345678</v>
      </c>
      <c r="J832" s="12" t="str">
        <f t="shared" si="490"/>
        <v>musin@yandex</v>
      </c>
      <c r="K832" s="12" t="str">
        <f t="shared" si="491"/>
        <v>Ставрополь</v>
      </c>
      <c r="L832" s="13" t="str">
        <f t="shared" si="492"/>
        <v>C0830</v>
      </c>
      <c r="M832" s="13" t="str">
        <f t="shared" si="493"/>
        <v xml:space="preserve">Мусин Денис Викторович</v>
      </c>
      <c r="N832" s="13" t="str">
        <f t="shared" si="494"/>
        <v>OK</v>
      </c>
      <c r="O832" s="19">
        <f t="shared" si="495"/>
        <v>32788</v>
      </c>
      <c r="P832" s="19">
        <f t="shared" si="496"/>
        <v>52977</v>
      </c>
      <c r="Q832" s="13">
        <f t="shared" ca="1" si="497"/>
        <v>36</v>
      </c>
      <c r="R832" s="13" t="str">
        <f t="shared" si="498"/>
        <v>OK</v>
      </c>
      <c r="S832" s="13" t="str">
        <f t="shared" si="499"/>
        <v xml:space="preserve">+7 (903) 234-56-78</v>
      </c>
      <c r="T832" s="13" t="str">
        <f t="shared" si="500"/>
        <v>musin@yandex</v>
      </c>
      <c r="U832" s="18" t="str">
        <f t="shared" si="501"/>
        <v xml:space="preserve">Ошибка Email</v>
      </c>
      <c r="V832" s="13" t="str">
        <f>IFERROR(VLOOKUP(K832,Справочники!$K$6:$L$13,2,0),K832)</f>
        <v>Ставрополь</v>
      </c>
    </row>
    <row r="833" ht="15" customHeight="1">
      <c r="A833" s="10">
        <v>831</v>
      </c>
      <c r="B833" s="11" t="str">
        <f>RAW_Клиенты!A832</f>
        <v>C0831</v>
      </c>
      <c r="C833" s="11" t="str">
        <f>RAW_Клиенты!B832</f>
        <v xml:space="preserve">Руднева Ольга Сергеевна</v>
      </c>
      <c r="D833" s="11" t="str">
        <f>RAW_Клиенты!C832</f>
        <v>23.09.1978</v>
      </c>
      <c r="E833" s="11" t="str">
        <f>RAW_Клиенты!D832</f>
        <v xml:space="preserve">8 903 345 67 89</v>
      </c>
      <c r="F833" s="11" t="str">
        <f>RAW_Клиенты!E832</f>
        <v>rudneva@gmail</v>
      </c>
      <c r="G833" s="11" t="str">
        <f>RAW_Клиенты!F832</f>
        <v>Севастополь</v>
      </c>
      <c r="H833" s="11" t="str">
        <f>RAW_Клиенты!G832</f>
        <v>15.01.2045</v>
      </c>
      <c r="I833" s="12" t="str">
        <f t="shared" si="489"/>
        <v>89033456789</v>
      </c>
      <c r="J833" s="12" t="str">
        <f t="shared" si="490"/>
        <v>rudneva@gmail</v>
      </c>
      <c r="K833" s="12" t="str">
        <f t="shared" si="491"/>
        <v>Севастополь</v>
      </c>
      <c r="L833" s="13" t="str">
        <f t="shared" si="492"/>
        <v>C0831</v>
      </c>
      <c r="M833" s="13" t="str">
        <f t="shared" si="493"/>
        <v xml:space="preserve">Руднева Ольга Сергеевна</v>
      </c>
      <c r="N833" s="13" t="str">
        <f t="shared" si="494"/>
        <v>OK</v>
      </c>
      <c r="O833" s="19">
        <f t="shared" si="495"/>
        <v>28756</v>
      </c>
      <c r="P833" s="19">
        <f t="shared" si="496"/>
        <v>52977</v>
      </c>
      <c r="Q833" s="13">
        <f t="shared" ca="1" si="497"/>
        <v>48</v>
      </c>
      <c r="R833" s="13" t="str">
        <f t="shared" si="498"/>
        <v>OK</v>
      </c>
      <c r="S833" s="13" t="str">
        <f t="shared" si="499"/>
        <v xml:space="preserve">+7 (903) 345-67-89</v>
      </c>
      <c r="T833" s="13" t="str">
        <f t="shared" si="500"/>
        <v>rudneva@gmail</v>
      </c>
      <c r="U833" s="18" t="str">
        <f t="shared" si="501"/>
        <v xml:space="preserve">Ошибка Email</v>
      </c>
      <c r="V833" s="13" t="str">
        <f>IFERROR(VLOOKUP(K833,Справочники!$K$6:$L$13,2,0),K833)</f>
        <v>Севастополь</v>
      </c>
    </row>
    <row r="834" ht="15" customHeight="1">
      <c r="A834" s="10">
        <v>832</v>
      </c>
      <c r="B834" s="11" t="str">
        <f>RAW_Клиенты!A833</f>
        <v>C0832</v>
      </c>
      <c r="C834" s="11" t="str">
        <f>RAW_Клиенты!B833</f>
        <v xml:space="preserve">Кузьмин Илья Алексеевич</v>
      </c>
      <c r="D834" s="11" t="str">
        <f>RAW_Клиенты!C833</f>
        <v>15.05.1985</v>
      </c>
      <c r="E834" s="11" t="str">
        <f>RAW_Клиенты!D833</f>
        <v>+79033456789</v>
      </c>
      <c r="F834" s="11" t="str">
        <f>RAW_Клиенты!E833</f>
        <v>kuzmin@mail</v>
      </c>
      <c r="G834" s="11" t="str">
        <f>RAW_Клиенты!F833</f>
        <v>Сочи</v>
      </c>
      <c r="H834" s="11" t="str">
        <f>RAW_Клиенты!G833</f>
        <v>01.02.2045</v>
      </c>
      <c r="I834" s="12" t="str">
        <f t="shared" si="489"/>
        <v>79033456789</v>
      </c>
      <c r="J834" s="12" t="str">
        <f t="shared" si="490"/>
        <v>kuzmin@mail</v>
      </c>
      <c r="K834" s="12" t="str">
        <f t="shared" si="491"/>
        <v>Сочи</v>
      </c>
      <c r="L834" s="13" t="str">
        <f t="shared" si="492"/>
        <v>C0832</v>
      </c>
      <c r="M834" s="13" t="str">
        <f t="shared" si="493"/>
        <v xml:space="preserve">Кузьмин Илья Алексеевич</v>
      </c>
      <c r="N834" s="13" t="str">
        <f t="shared" si="494"/>
        <v>OK</v>
      </c>
      <c r="O834" s="19">
        <f t="shared" si="495"/>
        <v>31182</v>
      </c>
      <c r="P834" s="19">
        <f t="shared" si="496"/>
        <v>52994</v>
      </c>
      <c r="Q834" s="13">
        <f t="shared" ca="1" si="497"/>
        <v>41</v>
      </c>
      <c r="R834" s="13" t="str">
        <f t="shared" si="498"/>
        <v>OK</v>
      </c>
      <c r="S834" s="13" t="str">
        <f t="shared" si="499"/>
        <v xml:space="preserve">+7 (903) 345-67-89</v>
      </c>
      <c r="T834" s="13" t="str">
        <f t="shared" si="500"/>
        <v>kuzmin@mail</v>
      </c>
      <c r="U834" s="18" t="str">
        <f t="shared" si="501"/>
        <v xml:space="preserve">Ошибка Email</v>
      </c>
      <c r="V834" s="13" t="str">
        <f>IFERROR(VLOOKUP(K834,Справочники!$K$6:$L$13,2,0),K834)</f>
        <v>Сочи</v>
      </c>
    </row>
    <row r="835" ht="15" customHeight="1">
      <c r="A835" s="10">
        <v>833</v>
      </c>
      <c r="B835" s="11" t="str">
        <f>RAW_Клиенты!A834</f>
        <v>C0833</v>
      </c>
      <c r="C835" s="11" t="str">
        <f>RAW_Клиенты!B834</f>
        <v xml:space="preserve">Шатилова Екатерина Владимировна</v>
      </c>
      <c r="D835" s="11" t="str">
        <f>RAW_Клиенты!C834</f>
        <v>04.11.1992</v>
      </c>
      <c r="E835" s="11" t="str">
        <f>RAW_Клиенты!D834</f>
        <v>8-903-345-67-89</v>
      </c>
      <c r="F835" s="11" t="str">
        <f>RAW_Клиенты!E834</f>
        <v>shatilova@yandex</v>
      </c>
      <c r="G835" s="11" t="str">
        <f>RAW_Клиенты!F834</f>
        <v>Симферополь</v>
      </c>
      <c r="H835" s="11" t="str">
        <f>RAW_Клиенты!G834</f>
        <v>2045-02-10</v>
      </c>
      <c r="I835" s="12" t="str">
        <f t="shared" si="489"/>
        <v>89033456789</v>
      </c>
      <c r="J835" s="12" t="str">
        <f t="shared" si="490"/>
        <v>shatilova@yandex</v>
      </c>
      <c r="K835" s="12" t="str">
        <f t="shared" si="491"/>
        <v>Симферополь</v>
      </c>
      <c r="L835" s="13" t="str">
        <f t="shared" si="492"/>
        <v>C0833</v>
      </c>
      <c r="M835" s="13" t="str">
        <f t="shared" si="493"/>
        <v xml:space="preserve">Шатилова Екатерина Владимировна</v>
      </c>
      <c r="N835" s="13" t="str">
        <f t="shared" si="494"/>
        <v>OK</v>
      </c>
      <c r="O835" s="19">
        <f t="shared" si="495"/>
        <v>33912</v>
      </c>
      <c r="P835" s="19">
        <f t="shared" si="496"/>
        <v>53003</v>
      </c>
      <c r="Q835" s="13">
        <f t="shared" ca="1" si="497"/>
        <v>33</v>
      </c>
      <c r="R835" s="13" t="str">
        <f t="shared" si="498"/>
        <v>OK</v>
      </c>
      <c r="S835" s="13" t="str">
        <f t="shared" si="499"/>
        <v xml:space="preserve">+7 (903) 345-67-89</v>
      </c>
      <c r="T835" s="13" t="str">
        <f t="shared" si="500"/>
        <v>shatilova@yandex</v>
      </c>
      <c r="U835" s="18" t="str">
        <f t="shared" si="501"/>
        <v xml:space="preserve">Ошибка Email</v>
      </c>
      <c r="V835" s="13" t="str">
        <f>IFERROR(VLOOKUP(K835,Справочники!$K$6:$L$13,2,0),K835)</f>
        <v>Симферополь</v>
      </c>
    </row>
    <row r="836" ht="15" customHeight="1">
      <c r="A836" s="10">
        <v>834</v>
      </c>
      <c r="B836" s="11" t="str">
        <f>RAW_Клиенты!A835</f>
        <v>C0834</v>
      </c>
      <c r="C836" s="11" t="str">
        <f>RAW_Клиенты!B835</f>
        <v xml:space="preserve">Петрухин Андрей Олегович</v>
      </c>
      <c r="D836" s="11" t="str">
        <f>RAW_Клиенты!C835</f>
        <v>02.07.1973</v>
      </c>
      <c r="E836" s="11" t="str">
        <f>RAW_Клиенты!D835</f>
        <v xml:space="preserve">8 903 456 78 90</v>
      </c>
      <c r="F836" s="11" t="str">
        <f>RAW_Клиенты!E835</f>
        <v>petruhin@gmail</v>
      </c>
      <c r="G836" s="11" t="str">
        <f>RAW_Клиенты!F835</f>
        <v>Брянск</v>
      </c>
      <c r="H836" s="11" t="str">
        <f>RAW_Клиенты!G835</f>
        <v>10.02.2045</v>
      </c>
      <c r="I836" s="12" t="str">
        <f t="shared" si="489"/>
        <v>89034567890</v>
      </c>
      <c r="J836" s="12" t="str">
        <f t="shared" si="490"/>
        <v>petruhin@gmail</v>
      </c>
      <c r="K836" s="12" t="str">
        <f t="shared" si="491"/>
        <v>Брянск</v>
      </c>
      <c r="L836" s="13" t="str">
        <f t="shared" si="492"/>
        <v>C0834</v>
      </c>
      <c r="M836" s="13" t="str">
        <f t="shared" si="493"/>
        <v xml:space="preserve">Петрухин Андрей Олегович</v>
      </c>
      <c r="N836" s="13" t="str">
        <f t="shared" si="494"/>
        <v>OK</v>
      </c>
      <c r="O836" s="19">
        <f t="shared" si="495"/>
        <v>26847</v>
      </c>
      <c r="P836" s="19">
        <f t="shared" si="496"/>
        <v>53003</v>
      </c>
      <c r="Q836" s="13">
        <f t="shared" ca="1" si="497"/>
        <v>53</v>
      </c>
      <c r="R836" s="13" t="str">
        <f t="shared" si="498"/>
        <v>OK</v>
      </c>
      <c r="S836" s="13" t="str">
        <f t="shared" si="499"/>
        <v xml:space="preserve">+7 (903) 456-78-90</v>
      </c>
      <c r="T836" s="13" t="str">
        <f t="shared" si="500"/>
        <v>petruhin@gmail</v>
      </c>
      <c r="U836" s="18" t="str">
        <f t="shared" si="501"/>
        <v xml:space="preserve">Ошибка Email</v>
      </c>
      <c r="V836" s="13" t="str">
        <f>IFERROR(VLOOKUP(K836,Справочники!$K$6:$L$13,2,0),K836)</f>
        <v>Брянск</v>
      </c>
    </row>
    <row r="837" ht="15" customHeight="1">
      <c r="A837" s="10">
        <v>835</v>
      </c>
      <c r="B837" s="11" t="str">
        <f>RAW_Клиенты!A836</f>
        <v>C0835</v>
      </c>
      <c r="C837" s="11" t="str">
        <f>RAW_Клиенты!B836</f>
        <v xml:space="preserve">Стрекалова Мария Павловна</v>
      </c>
      <c r="D837" s="11" t="str">
        <f>RAW_Клиенты!C836</f>
        <v>29.12.1981</v>
      </c>
      <c r="E837" s="11" t="str">
        <f>RAW_Клиенты!D836</f>
        <v>+79034567890</v>
      </c>
      <c r="F837" s="11" t="str">
        <f>RAW_Клиенты!E836</f>
        <v>strekalova@mail</v>
      </c>
      <c r="G837" s="11" t="str">
        <f>RAW_Клиенты!F836</f>
        <v>Абакан</v>
      </c>
      <c r="H837" s="11" t="str">
        <f>RAW_Клиенты!G836</f>
        <v>01.03.2045</v>
      </c>
      <c r="I837" s="12" t="str">
        <f t="shared" si="489"/>
        <v>79034567890</v>
      </c>
      <c r="J837" s="12" t="str">
        <f t="shared" si="490"/>
        <v>strekalova@mail</v>
      </c>
      <c r="K837" s="12" t="str">
        <f t="shared" si="491"/>
        <v>Абакан</v>
      </c>
      <c r="L837" s="13" t="str">
        <f t="shared" si="492"/>
        <v>C0835</v>
      </c>
      <c r="M837" s="13" t="str">
        <f t="shared" si="493"/>
        <v xml:space="preserve">Стрекалова Мария Павловна</v>
      </c>
      <c r="N837" s="13" t="str">
        <f t="shared" si="494"/>
        <v>OK</v>
      </c>
      <c r="O837" s="19">
        <f t="shared" si="495"/>
        <v>29949</v>
      </c>
      <c r="P837" s="19">
        <f t="shared" si="496"/>
        <v>53022</v>
      </c>
      <c r="Q837" s="13">
        <f t="shared" ca="1" si="497"/>
        <v>44</v>
      </c>
      <c r="R837" s="13" t="str">
        <f t="shared" si="498"/>
        <v>OK</v>
      </c>
      <c r="S837" s="13" t="str">
        <f t="shared" si="499"/>
        <v xml:space="preserve">+7 (903) 456-78-90</v>
      </c>
      <c r="T837" s="13" t="str">
        <f t="shared" si="500"/>
        <v>strekalova@mail</v>
      </c>
      <c r="U837" s="18" t="str">
        <f t="shared" si="501"/>
        <v xml:space="preserve">Ошибка Email</v>
      </c>
      <c r="V837" s="13" t="str">
        <f>IFERROR(VLOOKUP(K837,Справочники!$K$6:$L$13,2,0),K837)</f>
        <v>Абакан</v>
      </c>
    </row>
    <row r="838" ht="15" customHeight="1">
      <c r="A838" s="10">
        <v>836</v>
      </c>
      <c r="B838" s="11" t="str">
        <f>RAW_Клиенты!A837</f>
        <v>C0836</v>
      </c>
      <c r="C838" s="11" t="str">
        <f>RAW_Клиенты!B837</f>
        <v xml:space="preserve">Назаров Денис Сергеевич</v>
      </c>
      <c r="D838" s="11" t="str">
        <f>RAW_Клиенты!C837</f>
        <v>18.03.1986</v>
      </c>
      <c r="E838" s="11" t="str">
        <f>RAW_Клиенты!D837</f>
        <v>8-903-456-78-90</v>
      </c>
      <c r="F838" s="11" t="str">
        <f>RAW_Клиенты!E837</f>
        <v>nazarov@yandex</v>
      </c>
      <c r="G838" s="11" t="str">
        <f>RAW_Клиенты!F837</f>
        <v>Грозный</v>
      </c>
      <c r="H838" s="11" t="str">
        <f>RAW_Клиенты!G837</f>
        <v>2045-03-15</v>
      </c>
      <c r="I838" s="12" t="str">
        <f t="shared" si="489"/>
        <v>89034567890</v>
      </c>
      <c r="J838" s="12" t="str">
        <f t="shared" si="490"/>
        <v>nazarov@yandex</v>
      </c>
      <c r="K838" s="12" t="str">
        <f t="shared" si="491"/>
        <v>Грозный</v>
      </c>
      <c r="L838" s="13" t="str">
        <f t="shared" si="492"/>
        <v>C0836</v>
      </c>
      <c r="M838" s="13" t="str">
        <f t="shared" si="493"/>
        <v xml:space="preserve">Назаров Денис Сергеевич</v>
      </c>
      <c r="N838" s="13" t="str">
        <f t="shared" si="494"/>
        <v>OK</v>
      </c>
      <c r="O838" s="19">
        <f t="shared" si="495"/>
        <v>31489</v>
      </c>
      <c r="P838" s="19">
        <f t="shared" si="496"/>
        <v>53036</v>
      </c>
      <c r="Q838" s="13">
        <f t="shared" ca="1" si="497"/>
        <v>40</v>
      </c>
      <c r="R838" s="13" t="str">
        <f t="shared" si="498"/>
        <v>OK</v>
      </c>
      <c r="S838" s="13" t="str">
        <f t="shared" si="499"/>
        <v xml:space="preserve">+7 (903) 456-78-90</v>
      </c>
      <c r="T838" s="13" t="str">
        <f t="shared" si="500"/>
        <v>nazarov@yandex</v>
      </c>
      <c r="U838" s="18" t="str">
        <f t="shared" si="501"/>
        <v xml:space="preserve">Ошибка Email</v>
      </c>
      <c r="V838" s="13" t="str">
        <f>IFERROR(VLOOKUP(K838,Справочники!$K$6:$L$13,2,0),K838)</f>
        <v>Грозный</v>
      </c>
    </row>
    <row r="839" ht="15" customHeight="1">
      <c r="A839" s="10">
        <v>837</v>
      </c>
      <c r="B839" s="11" t="str">
        <f>RAW_Клиенты!A838</f>
        <v>C0837</v>
      </c>
      <c r="C839" s="11" t="str">
        <f>RAW_Клиенты!B838</f>
        <v xml:space="preserve">Иванищева Ольга Владимировна</v>
      </c>
      <c r="D839" s="11" t="str">
        <f>RAW_Клиенты!C838</f>
        <v>10.08.1974</v>
      </c>
      <c r="E839" s="11" t="str">
        <f>RAW_Клиенты!D838</f>
        <v xml:space="preserve">8 903 567 89 01</v>
      </c>
      <c r="F839" s="11" t="str">
        <f>RAW_Клиенты!E838</f>
        <v>ivanischeva@gmail</v>
      </c>
      <c r="G839" s="11" t="str">
        <f>RAW_Клиенты!F838</f>
        <v>Бийск</v>
      </c>
      <c r="H839" s="11" t="str">
        <f>RAW_Клиенты!G838</f>
        <v>15.03.2045</v>
      </c>
      <c r="I839" s="12" t="str">
        <f t="shared" si="489"/>
        <v>89035678901</v>
      </c>
      <c r="J839" s="12" t="str">
        <f t="shared" si="490"/>
        <v>ivanischeva@gmail</v>
      </c>
      <c r="K839" s="12" t="str">
        <f t="shared" si="491"/>
        <v>Бийск</v>
      </c>
      <c r="L839" s="13" t="str">
        <f t="shared" si="492"/>
        <v>C0837</v>
      </c>
      <c r="M839" s="13" t="str">
        <f t="shared" si="493"/>
        <v xml:space="preserve">Иванищева Ольга Владимировна</v>
      </c>
      <c r="N839" s="13" t="str">
        <f t="shared" si="494"/>
        <v>OK</v>
      </c>
      <c r="O839" s="19">
        <f t="shared" si="495"/>
        <v>27251</v>
      </c>
      <c r="P839" s="19">
        <f t="shared" si="496"/>
        <v>53036</v>
      </c>
      <c r="Q839" s="13">
        <f t="shared" ca="1" si="497"/>
        <v>52</v>
      </c>
      <c r="R839" s="13" t="str">
        <f t="shared" si="498"/>
        <v>OK</v>
      </c>
      <c r="S839" s="13" t="str">
        <f t="shared" si="499"/>
        <v xml:space="preserve">+7 (903) 567-89-01</v>
      </c>
      <c r="T839" s="13" t="str">
        <f t="shared" si="500"/>
        <v>ivanischeva@gmail</v>
      </c>
      <c r="U839" s="18" t="str">
        <f t="shared" si="501"/>
        <v xml:space="preserve">Ошибка Email</v>
      </c>
      <c r="V839" s="13" t="str">
        <f>IFERROR(VLOOKUP(K839,Справочники!$K$6:$L$13,2,0),K839)</f>
        <v>Бийск</v>
      </c>
    </row>
    <row r="840" ht="15" customHeight="1">
      <c r="A840" s="10">
        <v>838</v>
      </c>
      <c r="B840" s="11" t="str">
        <f>RAW_Клиенты!A839</f>
        <v>C0838</v>
      </c>
      <c r="C840" s="11" t="str">
        <f>RAW_Клиенты!B839</f>
        <v xml:space="preserve">Спирин Илья Александрович</v>
      </c>
      <c r="D840" s="11" t="str">
        <f>RAW_Клиенты!C839</f>
        <v>01.01.1984</v>
      </c>
      <c r="E840" s="11" t="str">
        <f>RAW_Клиенты!D839</f>
        <v>+79035678901</v>
      </c>
      <c r="F840" s="11" t="str">
        <f>RAW_Клиенты!E839</f>
        <v>spirin@mail</v>
      </c>
      <c r="G840" s="11" t="str">
        <f>RAW_Клиенты!F839</f>
        <v>Йошкар-Ола</v>
      </c>
      <c r="H840" s="11" t="str">
        <f>RAW_Клиенты!G839</f>
        <v>01.04.2045</v>
      </c>
      <c r="I840" s="12" t="str">
        <f t="shared" si="489"/>
        <v>79035678901</v>
      </c>
      <c r="J840" s="12" t="str">
        <f t="shared" si="490"/>
        <v>spirin@mail</v>
      </c>
      <c r="K840" s="12" t="str">
        <f t="shared" si="491"/>
        <v>Йошкар-Ола</v>
      </c>
      <c r="L840" s="13" t="str">
        <f t="shared" si="492"/>
        <v>C0838</v>
      </c>
      <c r="M840" s="13" t="str">
        <f t="shared" si="493"/>
        <v xml:space="preserve">Спирин Илья Александрович</v>
      </c>
      <c r="N840" s="13" t="str">
        <f t="shared" si="494"/>
        <v>OK</v>
      </c>
      <c r="O840" s="19">
        <f t="shared" si="495"/>
        <v>30682</v>
      </c>
      <c r="P840" s="19">
        <f t="shared" si="496"/>
        <v>53053</v>
      </c>
      <c r="Q840" s="13">
        <f t="shared" ca="1" si="497"/>
        <v>42</v>
      </c>
      <c r="R840" s="13" t="str">
        <f t="shared" si="498"/>
        <v>OK</v>
      </c>
      <c r="S840" s="13" t="str">
        <f t="shared" si="499"/>
        <v xml:space="preserve">+7 (903) 567-89-01</v>
      </c>
      <c r="T840" s="13" t="str">
        <f t="shared" si="500"/>
        <v>spirin@mail</v>
      </c>
      <c r="U840" s="18" t="str">
        <f t="shared" si="501"/>
        <v xml:space="preserve">Ошибка Email</v>
      </c>
      <c r="V840" s="13" t="str">
        <f>IFERROR(VLOOKUP(K840,Справочники!$K$6:$L$13,2,0),K840)</f>
        <v>Йошкар-Ола</v>
      </c>
    </row>
    <row r="841" ht="15" customHeight="1">
      <c r="A841" s="10">
        <v>839</v>
      </c>
      <c r="B841" s="11" t="str">
        <f>RAW_Клиенты!A840</f>
        <v>C0839</v>
      </c>
      <c r="C841" s="11" t="str">
        <f>RAW_Клиенты!B840</f>
        <v xml:space="preserve">Гурьева Екатерина Сергеевна</v>
      </c>
      <c r="D841" s="11" t="str">
        <f>RAW_Клиенты!C840</f>
        <v>24.04.1991</v>
      </c>
      <c r="E841" s="11" t="str">
        <f>RAW_Клиенты!D840</f>
        <v>8-903-567-89-01</v>
      </c>
      <c r="F841" s="11" t="str">
        <f>RAW_Клиенты!E840</f>
        <v>gurieva@yandex</v>
      </c>
      <c r="G841" s="11" t="str">
        <f>RAW_Клиенты!F840</f>
        <v>Курган</v>
      </c>
      <c r="H841" s="11" t="str">
        <f>RAW_Клиенты!G840</f>
        <v>2045-04-10</v>
      </c>
      <c r="I841" s="12" t="str">
        <f t="shared" si="489"/>
        <v>89035678901</v>
      </c>
      <c r="J841" s="12" t="str">
        <f t="shared" si="490"/>
        <v>gurieva@yandex</v>
      </c>
      <c r="K841" s="12" t="str">
        <f t="shared" si="491"/>
        <v>Курган</v>
      </c>
      <c r="L841" s="13" t="str">
        <f t="shared" si="492"/>
        <v>C0839</v>
      </c>
      <c r="M841" s="13" t="str">
        <f t="shared" si="493"/>
        <v xml:space="preserve">Гурьева Екатерина Сергеевна</v>
      </c>
      <c r="N841" s="13" t="str">
        <f t="shared" si="494"/>
        <v>OK</v>
      </c>
      <c r="O841" s="19">
        <f t="shared" si="495"/>
        <v>33352</v>
      </c>
      <c r="P841" s="19">
        <f t="shared" si="496"/>
        <v>53062</v>
      </c>
      <c r="Q841" s="13">
        <f t="shared" ca="1" si="497"/>
        <v>35</v>
      </c>
      <c r="R841" s="13" t="str">
        <f t="shared" si="498"/>
        <v>OK</v>
      </c>
      <c r="S841" s="13" t="str">
        <f t="shared" si="499"/>
        <v xml:space="preserve">+7 (903) 567-89-01</v>
      </c>
      <c r="T841" s="13" t="str">
        <f t="shared" si="500"/>
        <v>gurieva@yandex</v>
      </c>
      <c r="U841" s="18" t="str">
        <f t="shared" si="501"/>
        <v xml:space="preserve">Ошибка Email</v>
      </c>
      <c r="V841" s="13" t="str">
        <f>IFERROR(VLOOKUP(K841,Справочники!$K$6:$L$13,2,0),K841)</f>
        <v>Курган</v>
      </c>
    </row>
    <row r="842" ht="15" customHeight="1">
      <c r="A842" s="10">
        <v>840</v>
      </c>
      <c r="B842" s="11" t="str">
        <f>RAW_Клиенты!A841</f>
        <v>C0840</v>
      </c>
      <c r="C842" s="11" t="str">
        <f>RAW_Клиенты!B841</f>
        <v xml:space="preserve">Митрохин Андрей Олегович</v>
      </c>
      <c r="D842" s="11" t="str">
        <f>RAW_Клиенты!C841</f>
        <v>17.06.1979</v>
      </c>
      <c r="E842" s="11" t="str">
        <f>RAW_Клиенты!D841</f>
        <v xml:space="preserve">8 903 678 90 12</v>
      </c>
      <c r="F842" s="11" t="str">
        <f>RAW_Клиенты!E841</f>
        <v>mitrohin@gmail</v>
      </c>
      <c r="G842" s="11" t="str">
        <f>RAW_Клиенты!F841</f>
        <v>Архангельск</v>
      </c>
      <c r="H842" s="11" t="str">
        <f>RAW_Клиенты!G841</f>
        <v>10.04.2045</v>
      </c>
      <c r="I842" s="12" t="str">
        <f t="shared" si="489"/>
        <v>89036789012</v>
      </c>
      <c r="J842" s="12" t="str">
        <f t="shared" si="490"/>
        <v>mitrohin@gmail</v>
      </c>
      <c r="K842" s="12" t="str">
        <f t="shared" si="491"/>
        <v>Архангельск</v>
      </c>
      <c r="L842" s="13" t="str">
        <f t="shared" si="492"/>
        <v>C0840</v>
      </c>
      <c r="M842" s="13" t="str">
        <f t="shared" si="493"/>
        <v xml:space="preserve">Митрохин Андрей Олегович</v>
      </c>
      <c r="N842" s="13" t="str">
        <f t="shared" si="494"/>
        <v>OK</v>
      </c>
      <c r="O842" s="19">
        <f t="shared" si="495"/>
        <v>29023</v>
      </c>
      <c r="P842" s="19">
        <f t="shared" si="496"/>
        <v>53062</v>
      </c>
      <c r="Q842" s="13">
        <f t="shared" ca="1" si="497"/>
        <v>47</v>
      </c>
      <c r="R842" s="13" t="str">
        <f t="shared" si="498"/>
        <v>OK</v>
      </c>
      <c r="S842" s="13" t="str">
        <f t="shared" si="499"/>
        <v xml:space="preserve">+7 (903) 678-90-12</v>
      </c>
      <c r="T842" s="13" t="str">
        <f t="shared" si="500"/>
        <v>mitrohin@gmail</v>
      </c>
      <c r="U842" s="18" t="str">
        <f t="shared" si="501"/>
        <v xml:space="preserve">Ошибка Email</v>
      </c>
      <c r="V842" s="13" t="str">
        <f>IFERROR(VLOOKUP(K842,Справочники!$K$6:$L$13,2,0),K842)</f>
        <v>Архангельск</v>
      </c>
    </row>
    <row r="843" ht="15" customHeight="1">
      <c r="A843" s="10">
        <v>841</v>
      </c>
      <c r="B843" s="11" t="str">
        <f>RAW_Клиенты!A842</f>
        <v>C0841</v>
      </c>
      <c r="C843" s="11" t="str">
        <f>RAW_Клиенты!B842</f>
        <v xml:space="preserve">Скоробогатова Мария Павловна</v>
      </c>
      <c r="D843" s="11" t="str">
        <f>RAW_Клиенты!C842</f>
        <v>06.11.1988</v>
      </c>
      <c r="E843" s="11" t="str">
        <f>RAW_Клиенты!D842</f>
        <v>+79036789012</v>
      </c>
      <c r="F843" s="11" t="str">
        <f>RAW_Клиенты!E842</f>
        <v>skorobogatova@mail</v>
      </c>
      <c r="G843" s="11" t="str">
        <f>RAW_Клиенты!F842</f>
        <v>Благовещенск</v>
      </c>
      <c r="H843" s="11" t="str">
        <f>RAW_Клиенты!G842</f>
        <v>01.05.2045</v>
      </c>
      <c r="I843" s="12" t="str">
        <f t="shared" si="489"/>
        <v>79036789012</v>
      </c>
      <c r="J843" s="12" t="str">
        <f t="shared" si="490"/>
        <v>skorobogatova@mail</v>
      </c>
      <c r="K843" s="12" t="str">
        <f t="shared" si="491"/>
        <v>Благовещенск</v>
      </c>
      <c r="L843" s="13" t="str">
        <f t="shared" si="492"/>
        <v>C0841</v>
      </c>
      <c r="M843" s="13" t="str">
        <f t="shared" si="493"/>
        <v xml:space="preserve">Скоробогатова Мария Павловна</v>
      </c>
      <c r="N843" s="13" t="str">
        <f t="shared" si="494"/>
        <v>OK</v>
      </c>
      <c r="O843" s="19">
        <f t="shared" si="495"/>
        <v>32453</v>
      </c>
      <c r="P843" s="19">
        <f t="shared" si="496"/>
        <v>53083</v>
      </c>
      <c r="Q843" s="13">
        <f t="shared" ca="1" si="497"/>
        <v>37</v>
      </c>
      <c r="R843" s="13" t="str">
        <f t="shared" si="498"/>
        <v>OK</v>
      </c>
      <c r="S843" s="13" t="str">
        <f t="shared" si="499"/>
        <v xml:space="preserve">+7 (903) 678-90-12</v>
      </c>
      <c r="T843" s="13" t="str">
        <f t="shared" si="500"/>
        <v>skorobogatova@mail</v>
      </c>
      <c r="U843" s="18" t="str">
        <f t="shared" si="501"/>
        <v xml:space="preserve">Ошибка Email</v>
      </c>
      <c r="V843" s="13" t="str">
        <f>IFERROR(VLOOKUP(K843,Справочники!$K$6:$L$13,2,0),K843)</f>
        <v>Благовещенск</v>
      </c>
    </row>
    <row r="844" ht="15" customHeight="1">
      <c r="A844" s="10">
        <v>842</v>
      </c>
      <c r="B844" s="11" t="str">
        <f>RAW_Клиенты!A843</f>
        <v>C0842</v>
      </c>
      <c r="C844" s="11" t="str">
        <f>RAW_Клиенты!B843</f>
        <v xml:space="preserve">Чижов Денис Викторович</v>
      </c>
      <c r="D844" s="11" t="str">
        <f>RAW_Клиенты!C843</f>
        <v>30.07.1983</v>
      </c>
      <c r="E844" s="11" t="str">
        <f>RAW_Клиенты!D843</f>
        <v>8-903-678-90-12</v>
      </c>
      <c r="F844" s="11" t="str">
        <f>RAW_Клиенты!E843</f>
        <v>chizhov@yandex</v>
      </c>
      <c r="G844" s="11" t="str">
        <f>RAW_Клиенты!F843</f>
        <v>Майкоп</v>
      </c>
      <c r="H844" s="11" t="str">
        <f>RAW_Клиенты!G843</f>
        <v>2045-05-15</v>
      </c>
      <c r="I844" s="12" t="str">
        <f t="shared" si="489"/>
        <v>89036789012</v>
      </c>
      <c r="J844" s="12" t="str">
        <f t="shared" si="490"/>
        <v>chizhov@yandex</v>
      </c>
      <c r="K844" s="12" t="str">
        <f t="shared" si="491"/>
        <v>Майкоп</v>
      </c>
      <c r="L844" s="13" t="str">
        <f t="shared" si="492"/>
        <v>C0842</v>
      </c>
      <c r="M844" s="13" t="str">
        <f t="shared" si="493"/>
        <v xml:space="preserve">Чижов Денис Викторович</v>
      </c>
      <c r="N844" s="13" t="str">
        <f t="shared" si="494"/>
        <v>OK</v>
      </c>
      <c r="O844" s="19">
        <f t="shared" si="495"/>
        <v>30527</v>
      </c>
      <c r="P844" s="19">
        <f t="shared" si="496"/>
        <v>53097</v>
      </c>
      <c r="Q844" s="13">
        <f t="shared" ca="1" si="497"/>
        <v>43</v>
      </c>
      <c r="R844" s="13" t="str">
        <f t="shared" si="498"/>
        <v>OK</v>
      </c>
      <c r="S844" s="13" t="str">
        <f t="shared" si="499"/>
        <v xml:space="preserve">+7 (903) 678-90-12</v>
      </c>
      <c r="T844" s="13" t="str">
        <f t="shared" si="500"/>
        <v>chizhov@yandex</v>
      </c>
      <c r="U844" s="18" t="str">
        <f t="shared" si="501"/>
        <v xml:space="preserve">Ошибка Email</v>
      </c>
      <c r="V844" s="13" t="str">
        <f>IFERROR(VLOOKUP(K844,Справочники!$K$6:$L$13,2,0),K844)</f>
        <v>Майкоп</v>
      </c>
    </row>
    <row r="845" ht="15" customHeight="1">
      <c r="A845" s="10">
        <v>843</v>
      </c>
      <c r="B845" s="11" t="str">
        <f>RAW_Клиенты!A844</f>
        <v>C0843</v>
      </c>
      <c r="C845" s="11" t="str">
        <f>RAW_Клиенты!B844</f>
        <v xml:space="preserve">Лукина Ольга Сергеевна</v>
      </c>
      <c r="D845" s="11" t="str">
        <f>RAW_Клиенты!C844</f>
        <v>21.10.1975</v>
      </c>
      <c r="E845" s="11" t="str">
        <f>RAW_Клиенты!D844</f>
        <v xml:space="preserve">8 903 789 01 23</v>
      </c>
      <c r="F845" s="11" t="str">
        <f>RAW_Клиенты!E844</f>
        <v>lukina@gmail</v>
      </c>
      <c r="G845" s="11" t="str">
        <f>RAW_Клиенты!F844</f>
        <v>Уссурийск</v>
      </c>
      <c r="H845" s="11" t="str">
        <f>RAW_Клиенты!G844</f>
        <v>15.05.2045</v>
      </c>
      <c r="I845" s="12" t="str">
        <f t="shared" si="489"/>
        <v>89037890123</v>
      </c>
      <c r="J845" s="12" t="str">
        <f t="shared" si="490"/>
        <v>lukina@gmail</v>
      </c>
      <c r="K845" s="12" t="str">
        <f t="shared" si="491"/>
        <v>Уссурийск</v>
      </c>
      <c r="L845" s="13" t="str">
        <f t="shared" si="492"/>
        <v>C0843</v>
      </c>
      <c r="M845" s="13" t="str">
        <f t="shared" si="493"/>
        <v xml:space="preserve">Лукина Ольга Сергеевна</v>
      </c>
      <c r="N845" s="13" t="str">
        <f t="shared" si="494"/>
        <v>OK</v>
      </c>
      <c r="O845" s="19">
        <f t="shared" si="495"/>
        <v>27688</v>
      </c>
      <c r="P845" s="19">
        <f t="shared" si="496"/>
        <v>53097</v>
      </c>
      <c r="Q845" s="13">
        <f t="shared" ca="1" si="497"/>
        <v>50</v>
      </c>
      <c r="R845" s="13" t="str">
        <f t="shared" si="498"/>
        <v>OK</v>
      </c>
      <c r="S845" s="13" t="str">
        <f t="shared" si="499"/>
        <v xml:space="preserve">+7 (903) 789-01-23</v>
      </c>
      <c r="T845" s="13" t="str">
        <f t="shared" si="500"/>
        <v>lukina@gmail</v>
      </c>
      <c r="U845" s="18" t="str">
        <f t="shared" si="501"/>
        <v xml:space="preserve">Ошибка Email</v>
      </c>
      <c r="V845" s="13" t="str">
        <f>IFERROR(VLOOKUP(K845,Справочники!$K$6:$L$13,2,0),K845)</f>
        <v>Уссурийск</v>
      </c>
    </row>
    <row r="846" ht="15" customHeight="1">
      <c r="A846" s="10">
        <v>844</v>
      </c>
      <c r="B846" s="11" t="str">
        <f>RAW_Клиенты!A845</f>
        <v>C0844</v>
      </c>
      <c r="C846" s="11" t="str">
        <f>RAW_Клиенты!B845</f>
        <v xml:space="preserve">Белоус Илья Алексеевич</v>
      </c>
      <c r="D846" s="11" t="str">
        <f>RAW_Клиенты!C845</f>
        <v>19.12.1980</v>
      </c>
      <c r="E846" s="11" t="str">
        <f>RAW_Клиенты!D845</f>
        <v>+79037890123</v>
      </c>
      <c r="F846" s="11" t="str">
        <f>RAW_Клиенты!E845</f>
        <v>belous@mail</v>
      </c>
      <c r="G846" s="11" t="str">
        <f>RAW_Клиенты!F845</f>
        <v>Миасс</v>
      </c>
      <c r="H846" s="11" t="str">
        <f>RAW_Клиенты!G845</f>
        <v>01.06.2045</v>
      </c>
      <c r="I846" s="12" t="str">
        <f t="shared" si="489"/>
        <v>79037890123</v>
      </c>
      <c r="J846" s="12" t="str">
        <f t="shared" si="490"/>
        <v>belous@mail</v>
      </c>
      <c r="K846" s="12" t="str">
        <f t="shared" si="491"/>
        <v>Миасс</v>
      </c>
      <c r="L846" s="13" t="str">
        <f t="shared" si="492"/>
        <v>C0844</v>
      </c>
      <c r="M846" s="13" t="str">
        <f t="shared" si="493"/>
        <v xml:space="preserve">Белоус Илья Алексеевич</v>
      </c>
      <c r="N846" s="13" t="str">
        <f t="shared" si="494"/>
        <v>OK</v>
      </c>
      <c r="O846" s="19">
        <f t="shared" si="495"/>
        <v>29574</v>
      </c>
      <c r="P846" s="19">
        <f t="shared" si="496"/>
        <v>53114</v>
      </c>
      <c r="Q846" s="13">
        <f t="shared" ca="1" si="497"/>
        <v>45</v>
      </c>
      <c r="R846" s="13" t="str">
        <f t="shared" si="498"/>
        <v>OK</v>
      </c>
      <c r="S846" s="13" t="str">
        <f t="shared" si="499"/>
        <v xml:space="preserve">+7 (903) 789-01-23</v>
      </c>
      <c r="T846" s="13" t="str">
        <f t="shared" si="500"/>
        <v>belous@mail</v>
      </c>
      <c r="U846" s="18" t="str">
        <f t="shared" si="501"/>
        <v xml:space="preserve">Ошибка Email</v>
      </c>
      <c r="V846" s="13" t="str">
        <f>IFERROR(VLOOKUP(K846,Справочники!$K$6:$L$13,2,0),K846)</f>
        <v>Миасс</v>
      </c>
    </row>
    <row r="847" ht="15" customHeight="1">
      <c r="A847" s="10">
        <v>845</v>
      </c>
      <c r="B847" s="11" t="str">
        <f>RAW_Клиенты!A846</f>
        <v>C0845</v>
      </c>
      <c r="C847" s="11" t="str">
        <f>RAW_Клиенты!B846</f>
        <v xml:space="preserve">Алексеева Екатерина Владимировна</v>
      </c>
      <c r="D847" s="11" t="str">
        <f>RAW_Клиенты!C846</f>
        <v>08.02.1987</v>
      </c>
      <c r="E847" s="11" t="str">
        <f>RAW_Клиенты!D846</f>
        <v>8-903-789-01-23</v>
      </c>
      <c r="F847" s="11" t="str">
        <f>RAW_Клиенты!E846</f>
        <v>alekseeva@yandex</v>
      </c>
      <c r="G847" s="11" t="str">
        <f>RAW_Клиенты!F846</f>
        <v>Кызыл</v>
      </c>
      <c r="H847" s="11" t="str">
        <f>RAW_Клиенты!G846</f>
        <v>2045-06-10</v>
      </c>
      <c r="I847" s="12" t="str">
        <f t="shared" si="489"/>
        <v>89037890123</v>
      </c>
      <c r="J847" s="12" t="str">
        <f t="shared" si="490"/>
        <v>alekseeva@yandex</v>
      </c>
      <c r="K847" s="12" t="str">
        <f t="shared" si="491"/>
        <v>Кызыл</v>
      </c>
      <c r="L847" s="13" t="str">
        <f t="shared" si="492"/>
        <v>C0845</v>
      </c>
      <c r="M847" s="13" t="str">
        <f t="shared" si="493"/>
        <v xml:space="preserve">Алексеева Екатерина Владимировна</v>
      </c>
      <c r="N847" s="13" t="str">
        <f t="shared" si="494"/>
        <v>OK</v>
      </c>
      <c r="O847" s="19">
        <f t="shared" si="495"/>
        <v>31816</v>
      </c>
      <c r="P847" s="19">
        <f t="shared" si="496"/>
        <v>53123</v>
      </c>
      <c r="Q847" s="13">
        <f t="shared" ca="1" si="497"/>
        <v>39</v>
      </c>
      <c r="R847" s="13" t="str">
        <f t="shared" si="498"/>
        <v>OK</v>
      </c>
      <c r="S847" s="13" t="str">
        <f t="shared" si="499"/>
        <v xml:space="preserve">+7 (903) 789-01-23</v>
      </c>
      <c r="T847" s="13" t="str">
        <f t="shared" si="500"/>
        <v>alekseeva@yandex</v>
      </c>
      <c r="U847" s="18" t="str">
        <f t="shared" si="501"/>
        <v xml:space="preserve">Ошибка Email</v>
      </c>
      <c r="V847" s="13" t="str">
        <f>IFERROR(VLOOKUP(K847,Справочники!$K$6:$L$13,2,0),K847)</f>
        <v>Кызыл</v>
      </c>
    </row>
    <row r="848" ht="15" customHeight="1">
      <c r="A848" s="10">
        <v>846</v>
      </c>
      <c r="B848" s="11" t="str">
        <f>RAW_Клиенты!A847</f>
        <v>C0846</v>
      </c>
      <c r="C848" s="11" t="str">
        <f>RAW_Клиенты!B847</f>
        <v xml:space="preserve">Постников Андрей Олегович</v>
      </c>
      <c r="D848" s="11" t="str">
        <f>RAW_Клиенты!C847</f>
        <v>22.09.1992</v>
      </c>
      <c r="E848" s="11" t="str">
        <f>RAW_Клиенты!D847</f>
        <v xml:space="preserve">8 903 890 12 34</v>
      </c>
      <c r="F848" s="11" t="str">
        <f>RAW_Клиенты!E847</f>
        <v>postnikov@gmail</v>
      </c>
      <c r="G848" s="11" t="str">
        <f>RAW_Клиенты!F847</f>
        <v>Калининград</v>
      </c>
      <c r="H848" s="11" t="str">
        <f>RAW_Клиенты!G847</f>
        <v>10.06.2045</v>
      </c>
      <c r="I848" s="12" t="str">
        <f t="shared" si="489"/>
        <v>89038901234</v>
      </c>
      <c r="J848" s="12" t="str">
        <f t="shared" si="490"/>
        <v>postnikov@gmail</v>
      </c>
      <c r="K848" s="12" t="str">
        <f t="shared" si="491"/>
        <v>Калининград</v>
      </c>
      <c r="L848" s="13" t="str">
        <f t="shared" si="492"/>
        <v>C0846</v>
      </c>
      <c r="M848" s="13" t="str">
        <f t="shared" si="493"/>
        <v xml:space="preserve">Постников Андрей Олегович</v>
      </c>
      <c r="N848" s="13" t="str">
        <f t="shared" si="494"/>
        <v>OK</v>
      </c>
      <c r="O848" s="19">
        <f t="shared" si="495"/>
        <v>33869</v>
      </c>
      <c r="P848" s="19">
        <f t="shared" si="496"/>
        <v>53123</v>
      </c>
      <c r="Q848" s="13">
        <f t="shared" ca="1" si="497"/>
        <v>34</v>
      </c>
      <c r="R848" s="13" t="str">
        <f t="shared" si="498"/>
        <v>OK</v>
      </c>
      <c r="S848" s="13" t="str">
        <f t="shared" si="499"/>
        <v xml:space="preserve">+7 (903) 890-12-34</v>
      </c>
      <c r="T848" s="13" t="str">
        <f t="shared" si="500"/>
        <v>postnikov@gmail</v>
      </c>
      <c r="U848" s="18" t="str">
        <f t="shared" si="501"/>
        <v xml:space="preserve">Ошибка Email</v>
      </c>
      <c r="V848" s="13" t="str">
        <f>IFERROR(VLOOKUP(K848,Справочники!$K$6:$L$13,2,0),K848)</f>
        <v>Калининград</v>
      </c>
    </row>
    <row r="849" ht="15" customHeight="1">
      <c r="A849" s="10">
        <v>847</v>
      </c>
      <c r="B849" s="11" t="str">
        <f>RAW_Клиенты!A848</f>
        <v>C0847</v>
      </c>
      <c r="C849" s="11" t="str">
        <f>RAW_Клиенты!B848</f>
        <v xml:space="preserve">Кравец Мария Павловна</v>
      </c>
      <c r="D849" s="11" t="str">
        <f>RAW_Клиенты!C848</f>
        <v>03.05.1976</v>
      </c>
      <c r="E849" s="11" t="str">
        <f>RAW_Клиенты!D848</f>
        <v>+79038901234</v>
      </c>
      <c r="F849" s="11" t="str">
        <f>RAW_Клиенты!E848</f>
        <v>kravets@mail</v>
      </c>
      <c r="G849" s="11" t="str">
        <f>RAW_Клиенты!F848</f>
        <v>Петрозаводск</v>
      </c>
      <c r="H849" s="11" t="str">
        <f>RAW_Клиенты!G848</f>
        <v>01.07.2045</v>
      </c>
      <c r="I849" s="12" t="str">
        <f t="shared" si="489"/>
        <v>79038901234</v>
      </c>
      <c r="J849" s="12" t="str">
        <f t="shared" si="490"/>
        <v>kravets@mail</v>
      </c>
      <c r="K849" s="12" t="str">
        <f t="shared" si="491"/>
        <v>Петрозаводск</v>
      </c>
      <c r="L849" s="13" t="str">
        <f t="shared" si="492"/>
        <v>C0847</v>
      </c>
      <c r="M849" s="13" t="str">
        <f t="shared" si="493"/>
        <v xml:space="preserve">Кравец Мария Павловна</v>
      </c>
      <c r="N849" s="13" t="str">
        <f t="shared" si="494"/>
        <v>OK</v>
      </c>
      <c r="O849" s="19">
        <f t="shared" si="495"/>
        <v>27883</v>
      </c>
      <c r="P849" s="19">
        <f t="shared" si="496"/>
        <v>53144</v>
      </c>
      <c r="Q849" s="13">
        <f t="shared" ca="1" si="497"/>
        <v>50</v>
      </c>
      <c r="R849" s="13" t="str">
        <f t="shared" si="498"/>
        <v>OK</v>
      </c>
      <c r="S849" s="13" t="str">
        <f t="shared" si="499"/>
        <v xml:space="preserve">+7 (903) 890-12-34</v>
      </c>
      <c r="T849" s="13" t="str">
        <f t="shared" si="500"/>
        <v>kravets@mail</v>
      </c>
      <c r="U849" s="18" t="str">
        <f t="shared" si="501"/>
        <v xml:space="preserve">Ошибка Email</v>
      </c>
      <c r="V849" s="13" t="str">
        <f>IFERROR(VLOOKUP(K849,Справочники!$K$6:$L$13,2,0),K849)</f>
        <v>Петрозаводск</v>
      </c>
    </row>
    <row r="850" ht="15" customHeight="1">
      <c r="A850" s="10">
        <v>848</v>
      </c>
      <c r="B850" s="11" t="str">
        <f>RAW_Клиенты!A849</f>
        <v>C0848</v>
      </c>
      <c r="C850" s="11" t="str">
        <f>RAW_Клиенты!B849</f>
        <v xml:space="preserve">Кураев Денис Сергеевич</v>
      </c>
      <c r="D850" s="11" t="str">
        <f>RAW_Клиенты!C849</f>
        <v>14.08.1985</v>
      </c>
      <c r="E850" s="11" t="str">
        <f>RAW_Клиенты!D849</f>
        <v>8-903-890-12-34</v>
      </c>
      <c r="F850" s="11" t="str">
        <f>RAW_Клиенты!E849</f>
        <v>kuraev@yandex</v>
      </c>
      <c r="G850" s="11" t="str">
        <f>RAW_Клиенты!F849</f>
        <v>Рубцовск</v>
      </c>
      <c r="H850" s="11" t="str">
        <f>RAW_Клиенты!G849</f>
        <v>2045-07-15</v>
      </c>
      <c r="I850" s="12" t="str">
        <f t="shared" si="489"/>
        <v>89038901234</v>
      </c>
      <c r="J850" s="12" t="str">
        <f t="shared" si="490"/>
        <v>kuraev@yandex</v>
      </c>
      <c r="K850" s="12" t="str">
        <f t="shared" si="491"/>
        <v>Рубцовск</v>
      </c>
      <c r="L850" s="13" t="str">
        <f t="shared" si="492"/>
        <v>C0848</v>
      </c>
      <c r="M850" s="13" t="str">
        <f t="shared" si="493"/>
        <v xml:space="preserve">Кураев Денис Сергеевич</v>
      </c>
      <c r="N850" s="13" t="str">
        <f t="shared" si="494"/>
        <v>OK</v>
      </c>
      <c r="O850" s="19">
        <f t="shared" si="495"/>
        <v>31273</v>
      </c>
      <c r="P850" s="19">
        <f t="shared" si="496"/>
        <v>53158</v>
      </c>
      <c r="Q850" s="13">
        <f t="shared" ca="1" si="497"/>
        <v>41</v>
      </c>
      <c r="R850" s="13" t="str">
        <f t="shared" si="498"/>
        <v>OK</v>
      </c>
      <c r="S850" s="13" t="str">
        <f t="shared" si="499"/>
        <v xml:space="preserve">+7 (903) 890-12-34</v>
      </c>
      <c r="T850" s="13" t="str">
        <f t="shared" si="500"/>
        <v>kuraev@yandex</v>
      </c>
      <c r="U850" s="18" t="str">
        <f t="shared" si="501"/>
        <v xml:space="preserve">Ошибка Email</v>
      </c>
      <c r="V850" s="13" t="str">
        <f>IFERROR(VLOOKUP(K850,Справочники!$K$6:$L$13,2,0),K850)</f>
        <v>Рубцовск</v>
      </c>
    </row>
    <row r="851" ht="15" customHeight="1">
      <c r="A851" s="10">
        <v>849</v>
      </c>
      <c r="B851" s="11" t="str">
        <f>RAW_Клиенты!A850</f>
        <v>C0849</v>
      </c>
      <c r="C851" s="11" t="str">
        <f>RAW_Клиенты!B850</f>
        <v xml:space="preserve">Абрамова Ольга Владимировна</v>
      </c>
      <c r="D851" s="11" t="str">
        <f>RAW_Клиенты!C850</f>
        <v>26.11.1991</v>
      </c>
      <c r="E851" s="11" t="str">
        <f>RAW_Клиенты!D850</f>
        <v xml:space="preserve">8 903 901 23 45</v>
      </c>
      <c r="F851" s="11" t="str">
        <f>RAW_Клиенты!E850</f>
        <v>abramova@gmail</v>
      </c>
      <c r="G851" s="11" t="str">
        <f>RAW_Клиенты!F850</f>
        <v>Элиста</v>
      </c>
      <c r="H851" s="11" t="str">
        <f>RAW_Клиенты!G850</f>
        <v>15.07.2045</v>
      </c>
      <c r="I851" s="12" t="str">
        <f t="shared" si="489"/>
        <v>89039012345</v>
      </c>
      <c r="J851" s="12" t="str">
        <f t="shared" si="490"/>
        <v>abramova@gmail</v>
      </c>
      <c r="K851" s="12" t="str">
        <f t="shared" si="491"/>
        <v>Элиста</v>
      </c>
      <c r="L851" s="13" t="str">
        <f t="shared" si="492"/>
        <v>C0849</v>
      </c>
      <c r="M851" s="13" t="str">
        <f t="shared" si="493"/>
        <v xml:space="preserve">Абрамова Ольга Владимировна</v>
      </c>
      <c r="N851" s="13" t="str">
        <f t="shared" si="494"/>
        <v>OK</v>
      </c>
      <c r="O851" s="19">
        <f t="shared" si="495"/>
        <v>33568</v>
      </c>
      <c r="P851" s="19">
        <f t="shared" si="496"/>
        <v>53158</v>
      </c>
      <c r="Q851" s="13">
        <f t="shared" ca="1" si="497"/>
        <v>34</v>
      </c>
      <c r="R851" s="13" t="str">
        <f t="shared" si="498"/>
        <v>OK</v>
      </c>
      <c r="S851" s="13" t="str">
        <f t="shared" si="499"/>
        <v xml:space="preserve">+7 (903) 901-23-45</v>
      </c>
      <c r="T851" s="13" t="str">
        <f t="shared" si="500"/>
        <v>abramova@gmail</v>
      </c>
      <c r="U851" s="18" t="str">
        <f t="shared" si="501"/>
        <v xml:space="preserve">Ошибка Email</v>
      </c>
      <c r="V851" s="13" t="str">
        <f>IFERROR(VLOOKUP(K851,Справочники!$K$6:$L$13,2,0),K851)</f>
        <v>Элиста</v>
      </c>
    </row>
    <row r="852" ht="15" customHeight="1">
      <c r="A852" s="10">
        <v>850</v>
      </c>
      <c r="B852" s="11" t="str">
        <f>RAW_Клиенты!A851</f>
        <v>C0850</v>
      </c>
      <c r="C852" s="11" t="str">
        <f>RAW_Клиенты!B851</f>
        <v xml:space="preserve">Зайцев Илья Александрович</v>
      </c>
      <c r="D852" s="11" t="str">
        <f>RAW_Клиенты!C851</f>
        <v>09.01.1974</v>
      </c>
      <c r="E852" s="11" t="str">
        <f>RAW_Клиенты!D851</f>
        <v>+79039012345</v>
      </c>
      <c r="F852" s="11" t="str">
        <f>RAW_Клиенты!E851</f>
        <v>zaytsev@mail</v>
      </c>
      <c r="G852" s="11" t="str">
        <f>RAW_Клиенты!F851</f>
        <v>Орск</v>
      </c>
      <c r="H852" s="11" t="str">
        <f>RAW_Клиенты!G851</f>
        <v>01.08.2045</v>
      </c>
      <c r="I852" s="12" t="str">
        <f t="shared" si="489"/>
        <v>79039012345</v>
      </c>
      <c r="J852" s="12" t="str">
        <f t="shared" si="490"/>
        <v>zaytsev@mail</v>
      </c>
      <c r="K852" s="12" t="str">
        <f t="shared" si="491"/>
        <v>Орск</v>
      </c>
      <c r="L852" s="13" t="str">
        <f t="shared" si="492"/>
        <v>C0850</v>
      </c>
      <c r="M852" s="13" t="str">
        <f t="shared" si="493"/>
        <v xml:space="preserve">Зайцев Илья Александрович</v>
      </c>
      <c r="N852" s="13" t="str">
        <f t="shared" si="494"/>
        <v>OK</v>
      </c>
      <c r="O852" s="19">
        <f t="shared" si="495"/>
        <v>27038</v>
      </c>
      <c r="P852" s="19">
        <f t="shared" si="496"/>
        <v>53175</v>
      </c>
      <c r="Q852" s="13">
        <f t="shared" ca="1" si="497"/>
        <v>52</v>
      </c>
      <c r="R852" s="13" t="str">
        <f t="shared" si="498"/>
        <v>OK</v>
      </c>
      <c r="S852" s="13" t="str">
        <f t="shared" si="499"/>
        <v xml:space="preserve">+7 (903) 901-23-45</v>
      </c>
      <c r="T852" s="13" t="str">
        <f t="shared" si="500"/>
        <v>zaytsev@mail</v>
      </c>
      <c r="U852" s="18" t="str">
        <f t="shared" si="501"/>
        <v xml:space="preserve">Ошибка Email</v>
      </c>
      <c r="V852" s="13" t="str">
        <f>IFERROR(VLOOKUP(K852,Справочники!$K$6:$L$13,2,0),K852)</f>
        <v>Орск</v>
      </c>
    </row>
    <row r="853" ht="15" customHeight="1">
      <c r="A853" s="10">
        <v>851</v>
      </c>
      <c r="B853" s="11" t="str">
        <f>RAW_Клиенты!A852</f>
        <v>C0851</v>
      </c>
      <c r="C853" s="11" t="str">
        <f>RAW_Клиенты!B852</f>
        <v xml:space="preserve">Горюнова Екатерина Сергеевна</v>
      </c>
      <c r="D853" s="11" t="str">
        <f>RAW_Клиенты!C852</f>
        <v>11.07.1982</v>
      </c>
      <c r="E853" s="11" t="str">
        <f>RAW_Клиенты!D852</f>
        <v>8-903-901-23-45</v>
      </c>
      <c r="F853" s="11" t="str">
        <f>RAW_Клиенты!E852</f>
        <v>goryunova@yandex</v>
      </c>
      <c r="G853" s="11" t="str">
        <f>RAW_Клиенты!F852</f>
        <v>Нижневартовск</v>
      </c>
      <c r="H853" s="11" t="str">
        <f>RAW_Клиенты!G852</f>
        <v>2045-08-10</v>
      </c>
      <c r="I853" s="12" t="str">
        <f t="shared" si="489"/>
        <v>89039012345</v>
      </c>
      <c r="J853" s="12" t="str">
        <f t="shared" si="490"/>
        <v>goryunova@yandex</v>
      </c>
      <c r="K853" s="12" t="str">
        <f t="shared" si="491"/>
        <v>Нижневартовск</v>
      </c>
      <c r="L853" s="13" t="str">
        <f t="shared" si="492"/>
        <v>C0851</v>
      </c>
      <c r="M853" s="13" t="str">
        <f t="shared" si="493"/>
        <v xml:space="preserve">Горюнова Екатерина Сергеевна</v>
      </c>
      <c r="N853" s="13" t="str">
        <f t="shared" si="494"/>
        <v>OK</v>
      </c>
      <c r="O853" s="19">
        <f t="shared" si="495"/>
        <v>30143</v>
      </c>
      <c r="P853" s="19">
        <f t="shared" si="496"/>
        <v>53184</v>
      </c>
      <c r="Q853" s="13">
        <f t="shared" ca="1" si="497"/>
        <v>44</v>
      </c>
      <c r="R853" s="13" t="str">
        <f t="shared" si="498"/>
        <v>OK</v>
      </c>
      <c r="S853" s="13" t="str">
        <f t="shared" si="499"/>
        <v xml:space="preserve">+7 (903) 901-23-45</v>
      </c>
      <c r="T853" s="13" t="str">
        <f t="shared" si="500"/>
        <v>goryunova@yandex</v>
      </c>
      <c r="U853" s="18" t="str">
        <f t="shared" si="501"/>
        <v xml:space="preserve">Ошибка Email</v>
      </c>
      <c r="V853" s="13" t="str">
        <f>IFERROR(VLOOKUP(K853,Справочники!$K$6:$L$13,2,0),K853)</f>
        <v>Нижневартовск</v>
      </c>
    </row>
    <row r="854" ht="15" customHeight="1">
      <c r="A854" s="10">
        <v>852</v>
      </c>
      <c r="B854" s="11" t="str">
        <f>RAW_Клиенты!A853</f>
        <v>C0852</v>
      </c>
      <c r="C854" s="11" t="str">
        <f>RAW_Клиенты!B853</f>
        <v xml:space="preserve">Пичугин Андрей Олегович</v>
      </c>
      <c r="D854" s="11" t="str">
        <f>RAW_Клиенты!C853</f>
        <v>05.12.1989</v>
      </c>
      <c r="E854" s="11" t="str">
        <f>RAW_Клиенты!D853</f>
        <v xml:space="preserve">8 903 012 34 56</v>
      </c>
      <c r="F854" s="11" t="str">
        <f>RAW_Клиенты!E853</f>
        <v>pichugin@gmail</v>
      </c>
      <c r="G854" s="11" t="str">
        <f>RAW_Клиенты!F853</f>
        <v>Новороссийск</v>
      </c>
      <c r="H854" s="11" t="str">
        <f>RAW_Клиенты!G853</f>
        <v>10.08.2045</v>
      </c>
      <c r="I854" s="12" t="str">
        <f t="shared" si="489"/>
        <v>89030123456</v>
      </c>
      <c r="J854" s="12" t="str">
        <f t="shared" si="490"/>
        <v>pichugin@gmail</v>
      </c>
      <c r="K854" s="12" t="str">
        <f t="shared" si="491"/>
        <v>Новороссийск</v>
      </c>
      <c r="L854" s="13" t="str">
        <f t="shared" si="492"/>
        <v>C0852</v>
      </c>
      <c r="M854" s="13" t="str">
        <f t="shared" si="493"/>
        <v xml:space="preserve">Пичугин Андрей Олегович</v>
      </c>
      <c r="N854" s="13" t="str">
        <f t="shared" si="494"/>
        <v>OK</v>
      </c>
      <c r="O854" s="19">
        <f t="shared" si="495"/>
        <v>32847</v>
      </c>
      <c r="P854" s="19">
        <f t="shared" si="496"/>
        <v>53184</v>
      </c>
      <c r="Q854" s="13">
        <f t="shared" ca="1" si="497"/>
        <v>36</v>
      </c>
      <c r="R854" s="13" t="str">
        <f t="shared" si="498"/>
        <v>OK</v>
      </c>
      <c r="S854" s="13" t="str">
        <f t="shared" si="499"/>
        <v xml:space="preserve">+7 (903) 012-34-56</v>
      </c>
      <c r="T854" s="13" t="str">
        <f t="shared" si="500"/>
        <v>pichugin@gmail</v>
      </c>
      <c r="U854" s="18" t="str">
        <f t="shared" si="501"/>
        <v xml:space="preserve">Ошибка Email</v>
      </c>
      <c r="V854" s="13" t="str">
        <f>IFERROR(VLOOKUP(K854,Справочники!$K$6:$L$13,2,0),K854)</f>
        <v>Новороссийск</v>
      </c>
    </row>
    <row r="855" ht="15" customHeight="1">
      <c r="A855" s="10">
        <v>853</v>
      </c>
      <c r="B855" s="11" t="str">
        <f>RAW_Клиенты!A854</f>
        <v>C0853</v>
      </c>
      <c r="C855" s="11" t="str">
        <f>RAW_Клиенты!B854</f>
        <v xml:space="preserve">Воронова Мария Павловна</v>
      </c>
      <c r="D855" s="11" t="str">
        <f>RAW_Клиенты!C854</f>
        <v>23.04.1977</v>
      </c>
      <c r="E855" s="11" t="str">
        <f>RAW_Клиенты!D854</f>
        <v>+79030123456</v>
      </c>
      <c r="F855" s="11" t="str">
        <f>RAW_Клиенты!E854</f>
        <v>voronova@mail</v>
      </c>
      <c r="G855" s="11" t="str">
        <f>RAW_Клиенты!F854</f>
        <v>Химки</v>
      </c>
      <c r="H855" s="11" t="str">
        <f>RAW_Клиенты!G854</f>
        <v>01.09.2045</v>
      </c>
      <c r="I855" s="12" t="str">
        <f t="shared" si="489"/>
        <v>79030123456</v>
      </c>
      <c r="J855" s="12" t="str">
        <f t="shared" si="490"/>
        <v>voronova@mail</v>
      </c>
      <c r="K855" s="12" t="str">
        <f t="shared" si="491"/>
        <v>Химки</v>
      </c>
      <c r="L855" s="13" t="str">
        <f t="shared" si="492"/>
        <v>C0853</v>
      </c>
      <c r="M855" s="13" t="str">
        <f t="shared" si="493"/>
        <v xml:space="preserve">Воронова Мария Павловна</v>
      </c>
      <c r="N855" s="13" t="str">
        <f t="shared" si="494"/>
        <v>OK</v>
      </c>
      <c r="O855" s="19">
        <f t="shared" si="495"/>
        <v>28238</v>
      </c>
      <c r="P855" s="19">
        <f t="shared" si="496"/>
        <v>53206</v>
      </c>
      <c r="Q855" s="13">
        <f t="shared" ca="1" si="497"/>
        <v>49</v>
      </c>
      <c r="R855" s="13" t="str">
        <f t="shared" si="498"/>
        <v>OK</v>
      </c>
      <c r="S855" s="13" t="str">
        <f t="shared" si="499"/>
        <v xml:space="preserve">+7 (903) 012-34-56</v>
      </c>
      <c r="T855" s="13" t="str">
        <f t="shared" si="500"/>
        <v>voronova@mail</v>
      </c>
      <c r="U855" s="18" t="str">
        <f t="shared" si="501"/>
        <v xml:space="preserve">Ошибка Email</v>
      </c>
      <c r="V855" s="13" t="str">
        <f>IFERROR(VLOOKUP(K855,Справочники!$K$6:$L$13,2,0),K855)</f>
        <v>Химки</v>
      </c>
    </row>
    <row r="856" ht="15" customHeight="1">
      <c r="A856" s="10">
        <v>854</v>
      </c>
      <c r="B856" s="11" t="str">
        <f>RAW_Клиенты!A855</f>
        <v>C0854</v>
      </c>
      <c r="C856" s="11" t="str">
        <f>RAW_Клиенты!B855</f>
        <v xml:space="preserve">Балабанов Денис Викторович</v>
      </c>
      <c r="D856" s="11" t="str">
        <f>RAW_Клиенты!C855</f>
        <v>15.09.1984</v>
      </c>
      <c r="E856" s="11" t="str">
        <f>RAW_Клиенты!D855</f>
        <v>8-903-012-34-56</v>
      </c>
      <c r="F856" s="11" t="str">
        <f>RAW_Клиенты!E855</f>
        <v>balabanov@yandex</v>
      </c>
      <c r="G856" s="11" t="str">
        <f>RAW_Клиенты!F855</f>
        <v>Подольск</v>
      </c>
      <c r="H856" s="11" t="str">
        <f>RAW_Клиенты!G855</f>
        <v>2045-09-15</v>
      </c>
      <c r="I856" s="12" t="str">
        <f t="shared" si="489"/>
        <v>89030123456</v>
      </c>
      <c r="J856" s="12" t="str">
        <f t="shared" si="490"/>
        <v>balabanov@yandex</v>
      </c>
      <c r="K856" s="12" t="str">
        <f t="shared" si="491"/>
        <v>Подольск</v>
      </c>
      <c r="L856" s="13" t="str">
        <f t="shared" si="492"/>
        <v>C0854</v>
      </c>
      <c r="M856" s="13" t="str">
        <f t="shared" si="493"/>
        <v xml:space="preserve">Балабанов Денис Викторович</v>
      </c>
      <c r="N856" s="13" t="str">
        <f t="shared" si="494"/>
        <v>OK</v>
      </c>
      <c r="O856" s="19">
        <f t="shared" si="495"/>
        <v>30940</v>
      </c>
      <c r="P856" s="19">
        <f t="shared" si="496"/>
        <v>53220</v>
      </c>
      <c r="Q856" s="13">
        <f t="shared" ca="1" si="497"/>
        <v>42</v>
      </c>
      <c r="R856" s="13" t="str">
        <f t="shared" si="498"/>
        <v>OK</v>
      </c>
      <c r="S856" s="13" t="str">
        <f t="shared" si="499"/>
        <v xml:space="preserve">+7 (903) 012-34-56</v>
      </c>
      <c r="T856" s="13" t="str">
        <f t="shared" si="500"/>
        <v>balabanov@yandex</v>
      </c>
      <c r="U856" s="18" t="str">
        <f t="shared" si="501"/>
        <v xml:space="preserve">Ошибка Email</v>
      </c>
      <c r="V856" s="13" t="str">
        <f>IFERROR(VLOOKUP(K856,Справочники!$K$6:$L$13,2,0),K856)</f>
        <v>Подольск</v>
      </c>
    </row>
    <row r="857" ht="15" customHeight="1">
      <c r="A857" s="10">
        <v>855</v>
      </c>
      <c r="B857" s="11" t="str">
        <f>RAW_Клиенты!A856</f>
        <v>C0855</v>
      </c>
      <c r="C857" s="11" t="str">
        <f>RAW_Клиенты!B856</f>
        <v xml:space="preserve">Скачкова Ольга Сергеевна</v>
      </c>
      <c r="D857" s="11" t="str">
        <f>RAW_Клиенты!C856</f>
        <v>28.10.1990</v>
      </c>
      <c r="E857" s="11" t="str">
        <f>RAW_Клиенты!D856</f>
        <v xml:space="preserve">8 903 123 45 67</v>
      </c>
      <c r="F857" s="11" t="str">
        <f>RAW_Клиенты!E856</f>
        <v>skachkova@gmail</v>
      </c>
      <c r="G857" s="11" t="str">
        <f>RAW_Клиенты!F856</f>
        <v>Балашиха</v>
      </c>
      <c r="H857" s="11" t="str">
        <f>RAW_Клиенты!G856</f>
        <v>15.09.2045</v>
      </c>
      <c r="I857" s="12" t="str">
        <f t="shared" si="489"/>
        <v>89031234567</v>
      </c>
      <c r="J857" s="12" t="str">
        <f t="shared" si="490"/>
        <v>skachkova@gmail</v>
      </c>
      <c r="K857" s="12" t="str">
        <f t="shared" si="491"/>
        <v>Балашиха</v>
      </c>
      <c r="L857" s="13" t="str">
        <f t="shared" si="492"/>
        <v>C0855</v>
      </c>
      <c r="M857" s="13" t="str">
        <f t="shared" si="493"/>
        <v xml:space="preserve">Скачкова Ольга Сергеевна</v>
      </c>
      <c r="N857" s="13" t="str">
        <f t="shared" si="494"/>
        <v>OK</v>
      </c>
      <c r="O857" s="19">
        <f t="shared" si="495"/>
        <v>33174</v>
      </c>
      <c r="P857" s="19">
        <f t="shared" si="496"/>
        <v>53220</v>
      </c>
      <c r="Q857" s="13">
        <f t="shared" ca="1" si="497"/>
        <v>35</v>
      </c>
      <c r="R857" s="13" t="str">
        <f t="shared" si="498"/>
        <v>OK</v>
      </c>
      <c r="S857" s="13" t="str">
        <f t="shared" si="499"/>
        <v xml:space="preserve">+7 (903) 123-45-67</v>
      </c>
      <c r="T857" s="13" t="str">
        <f t="shared" si="500"/>
        <v>skachkova@gmail</v>
      </c>
      <c r="U857" s="18" t="str">
        <f t="shared" si="501"/>
        <v xml:space="preserve">Ошибка Email</v>
      </c>
      <c r="V857" s="13" t="str">
        <f>IFERROR(VLOOKUP(K857,Справочники!$K$6:$L$13,2,0),K857)</f>
        <v>Балашиха</v>
      </c>
    </row>
    <row r="858" ht="15" customHeight="1">
      <c r="A858" s="10">
        <v>856</v>
      </c>
      <c r="B858" s="11" t="str">
        <f>RAW_Клиенты!A857</f>
        <v>C0856</v>
      </c>
      <c r="C858" s="11" t="str">
        <f>RAW_Клиенты!B857</f>
        <v xml:space="preserve">Лобанов Илья Александрович</v>
      </c>
      <c r="D858" s="11" t="str">
        <f>RAW_Клиенты!C857</f>
        <v>19.02.1973</v>
      </c>
      <c r="E858" s="11" t="str">
        <f>RAW_Клиенты!D857</f>
        <v>+79031234567</v>
      </c>
      <c r="F858" s="11" t="str">
        <f>RAW_Клиенты!E857</f>
        <v>lobanov@mail</v>
      </c>
      <c r="G858" s="11" t="str">
        <f>RAW_Клиенты!F857</f>
        <v>Сургут</v>
      </c>
      <c r="H858" s="11" t="str">
        <f>RAW_Клиенты!G857</f>
        <v>01.10.2045</v>
      </c>
      <c r="I858" s="12" t="str">
        <f t="shared" si="489"/>
        <v>79031234567</v>
      </c>
      <c r="J858" s="12" t="str">
        <f t="shared" si="490"/>
        <v>lobanov@mail</v>
      </c>
      <c r="K858" s="12" t="str">
        <f t="shared" si="491"/>
        <v>Сургут</v>
      </c>
      <c r="L858" s="13" t="str">
        <f t="shared" si="492"/>
        <v>C0856</v>
      </c>
      <c r="M858" s="13" t="str">
        <f t="shared" si="493"/>
        <v xml:space="preserve">Лобанов Илья Александрович</v>
      </c>
      <c r="N858" s="13" t="str">
        <f t="shared" si="494"/>
        <v>OK</v>
      </c>
      <c r="O858" s="19">
        <f t="shared" si="495"/>
        <v>26714</v>
      </c>
      <c r="P858" s="19">
        <f t="shared" si="496"/>
        <v>53236</v>
      </c>
      <c r="Q858" s="13">
        <f t="shared" ca="1" si="497"/>
        <v>53</v>
      </c>
      <c r="R858" s="13" t="str">
        <f t="shared" si="498"/>
        <v>OK</v>
      </c>
      <c r="S858" s="13" t="str">
        <f t="shared" si="499"/>
        <v xml:space="preserve">+7 (903) 123-45-67</v>
      </c>
      <c r="T858" s="13" t="str">
        <f t="shared" si="500"/>
        <v>lobanov@mail</v>
      </c>
      <c r="U858" s="18" t="str">
        <f t="shared" si="501"/>
        <v xml:space="preserve">Ошибка Email</v>
      </c>
      <c r="V858" s="13" t="str">
        <f>IFERROR(VLOOKUP(K858,Справочники!$K$6:$L$13,2,0),K858)</f>
        <v>Сургут</v>
      </c>
    </row>
    <row r="859" ht="15" customHeight="1">
      <c r="A859" s="10">
        <v>857</v>
      </c>
      <c r="B859" s="11" t="str">
        <f>RAW_Клиенты!A858</f>
        <v>C0857</v>
      </c>
      <c r="C859" s="11" t="str">
        <f>RAW_Клиенты!B858</f>
        <v xml:space="preserve">Хомякова Екатерина Владимировна</v>
      </c>
      <c r="D859" s="11" t="str">
        <f>RAW_Клиенты!C858</f>
        <v>06.06.1986</v>
      </c>
      <c r="E859" s="11" t="str">
        <f>RAW_Клиенты!D858</f>
        <v>8-903-123-45-67</v>
      </c>
      <c r="F859" s="11" t="str">
        <f>RAW_Клиенты!E858</f>
        <v>homyakova@yandex</v>
      </c>
      <c r="G859" s="11" t="str">
        <f>RAW_Клиенты!F858</f>
        <v>Армавир</v>
      </c>
      <c r="H859" s="11" t="str">
        <f>RAW_Клиенты!G858</f>
        <v>2045-10-10</v>
      </c>
      <c r="I859" s="12" t="str">
        <f t="shared" si="489"/>
        <v>89031234567</v>
      </c>
      <c r="J859" s="12" t="str">
        <f t="shared" si="490"/>
        <v>homyakova@yandex</v>
      </c>
      <c r="K859" s="12" t="str">
        <f t="shared" si="491"/>
        <v>Армавир</v>
      </c>
      <c r="L859" s="13" t="str">
        <f t="shared" si="492"/>
        <v>C0857</v>
      </c>
      <c r="M859" s="13" t="str">
        <f t="shared" si="493"/>
        <v xml:space="preserve">Хомякова Екатерина Владимировна</v>
      </c>
      <c r="N859" s="13" t="str">
        <f t="shared" si="494"/>
        <v>OK</v>
      </c>
      <c r="O859" s="19">
        <f t="shared" si="495"/>
        <v>31569</v>
      </c>
      <c r="P859" s="19">
        <f t="shared" si="496"/>
        <v>53245</v>
      </c>
      <c r="Q859" s="13">
        <f t="shared" ca="1" si="497"/>
        <v>40</v>
      </c>
      <c r="R859" s="13" t="str">
        <f t="shared" si="498"/>
        <v>OK</v>
      </c>
      <c r="S859" s="13" t="str">
        <f t="shared" si="499"/>
        <v xml:space="preserve">+7 (903) 123-45-67</v>
      </c>
      <c r="T859" s="13" t="str">
        <f t="shared" si="500"/>
        <v>homyakova@yandex</v>
      </c>
      <c r="U859" s="18" t="str">
        <f t="shared" si="501"/>
        <v xml:space="preserve">Ошибка Email</v>
      </c>
      <c r="V859" s="13" t="str">
        <f>IFERROR(VLOOKUP(K859,Справочники!$K$6:$L$13,2,0),K859)</f>
        <v>Армавир</v>
      </c>
    </row>
    <row r="860" ht="15" customHeight="1">
      <c r="A860" s="10">
        <v>858</v>
      </c>
      <c r="B860" s="11" t="str">
        <f>RAW_Клиенты!A859</f>
        <v>C0858</v>
      </c>
      <c r="C860" s="11" t="str">
        <f>RAW_Клиенты!B859</f>
        <v xml:space="preserve">Стукалов Андрей Олегович</v>
      </c>
      <c r="D860" s="11" t="str">
        <f>RAW_Клиенты!C859</f>
        <v>25.12.1981</v>
      </c>
      <c r="E860" s="11" t="str">
        <f>RAW_Клиенты!D859</f>
        <v xml:space="preserve">8 903 234 56 78</v>
      </c>
      <c r="F860" s="11" t="str">
        <f>RAW_Клиенты!E859</f>
        <v>stukalov@gmail</v>
      </c>
      <c r="G860" s="11" t="str">
        <f>RAW_Клиенты!F859</f>
        <v>Волжский</v>
      </c>
      <c r="H860" s="11" t="str">
        <f>RAW_Клиенты!G859</f>
        <v>10.10.2045</v>
      </c>
      <c r="I860" s="12" t="str">
        <f t="shared" si="489"/>
        <v>89032345678</v>
      </c>
      <c r="J860" s="12" t="str">
        <f t="shared" si="490"/>
        <v>stukalov@gmail</v>
      </c>
      <c r="K860" s="12" t="str">
        <f t="shared" si="491"/>
        <v>Волжский</v>
      </c>
      <c r="L860" s="13" t="str">
        <f t="shared" si="492"/>
        <v>C0858</v>
      </c>
      <c r="M860" s="13" t="str">
        <f t="shared" si="493"/>
        <v xml:space="preserve">Стукалов Андрей Олегович</v>
      </c>
      <c r="N860" s="13" t="str">
        <f t="shared" si="494"/>
        <v>OK</v>
      </c>
      <c r="O860" s="19">
        <f t="shared" si="495"/>
        <v>29945</v>
      </c>
      <c r="P860" s="19">
        <f t="shared" si="496"/>
        <v>53245</v>
      </c>
      <c r="Q860" s="13">
        <f t="shared" ca="1" si="497"/>
        <v>44</v>
      </c>
      <c r="R860" s="13" t="str">
        <f t="shared" si="498"/>
        <v>OK</v>
      </c>
      <c r="S860" s="13" t="str">
        <f t="shared" si="499"/>
        <v xml:space="preserve">+7 (903) 234-56-78</v>
      </c>
      <c r="T860" s="13" t="str">
        <f t="shared" si="500"/>
        <v>stukalov@gmail</v>
      </c>
      <c r="U860" s="18" t="str">
        <f t="shared" si="501"/>
        <v xml:space="preserve">Ошибка Email</v>
      </c>
      <c r="V860" s="13" t="str">
        <f>IFERROR(VLOOKUP(K860,Справочники!$K$6:$L$13,2,0),K860)</f>
        <v>Волжский</v>
      </c>
    </row>
    <row r="861" ht="15" customHeight="1">
      <c r="A861" s="10">
        <v>859</v>
      </c>
      <c r="B861" s="11" t="str">
        <f>RAW_Клиенты!A860</f>
        <v>C0859</v>
      </c>
      <c r="C861" s="11" t="str">
        <f>RAW_Клиенты!B860</f>
        <v xml:space="preserve">Морозова Мария Павловна</v>
      </c>
      <c r="D861" s="11" t="str">
        <f>RAW_Клиенты!C860</f>
        <v>16.08.1975</v>
      </c>
      <c r="E861" s="11" t="str">
        <f>RAW_Клиенты!D860</f>
        <v>+79032345678</v>
      </c>
      <c r="F861" s="11" t="str">
        <f>RAW_Клиенты!E860</f>
        <v>morozova@mail</v>
      </c>
      <c r="G861" s="11" t="str">
        <f>RAW_Клиенты!F860</f>
        <v>Шахты</v>
      </c>
      <c r="H861" s="11" t="str">
        <f>RAW_Клиенты!G860</f>
        <v>01.11.2045</v>
      </c>
      <c r="I861" s="12" t="str">
        <f t="shared" si="489"/>
        <v>79032345678</v>
      </c>
      <c r="J861" s="12" t="str">
        <f t="shared" si="490"/>
        <v>morozova@mail</v>
      </c>
      <c r="K861" s="12" t="str">
        <f t="shared" si="491"/>
        <v>Шахты</v>
      </c>
      <c r="L861" s="13" t="str">
        <f t="shared" si="492"/>
        <v>C0859</v>
      </c>
      <c r="M861" s="13" t="str">
        <f t="shared" si="493"/>
        <v xml:space="preserve">Морозова Мария Павловна</v>
      </c>
      <c r="N861" s="13" t="str">
        <f t="shared" si="494"/>
        <v>OK</v>
      </c>
      <c r="O861" s="19">
        <f t="shared" si="495"/>
        <v>27622</v>
      </c>
      <c r="P861" s="19">
        <f t="shared" si="496"/>
        <v>53267</v>
      </c>
      <c r="Q861" s="13">
        <f t="shared" ca="1" si="497"/>
        <v>51</v>
      </c>
      <c r="R861" s="13" t="str">
        <f t="shared" si="498"/>
        <v>OK</v>
      </c>
      <c r="S861" s="13" t="str">
        <f t="shared" si="499"/>
        <v xml:space="preserve">+7 (903) 234-56-78</v>
      </c>
      <c r="T861" s="13" t="str">
        <f t="shared" si="500"/>
        <v>morozova@mail</v>
      </c>
      <c r="U861" s="18" t="str">
        <f t="shared" si="501"/>
        <v xml:space="preserve">Ошибка Email</v>
      </c>
      <c r="V861" s="13" t="str">
        <f>IFERROR(VLOOKUP(K861,Справочники!$K$6:$L$13,2,0),K861)</f>
        <v>Шахты</v>
      </c>
    </row>
    <row r="862" ht="15" customHeight="1">
      <c r="A862" s="10">
        <v>860</v>
      </c>
      <c r="B862" s="11" t="str">
        <f>RAW_Клиенты!A861</f>
        <v>C0860</v>
      </c>
      <c r="C862" s="11" t="str">
        <f>RAW_Клиенты!B861</f>
        <v xml:space="preserve">Кутузов Денис Сергеевич</v>
      </c>
      <c r="D862" s="11" t="str">
        <f>RAW_Клиенты!C861</f>
        <v>07.03.1992</v>
      </c>
      <c r="E862" s="11" t="str">
        <f>RAW_Клиенты!D861</f>
        <v>8-903-234-56-78</v>
      </c>
      <c r="F862" s="11" t="str">
        <f>RAW_Клиенты!E861</f>
        <v>kutuzov@yandex</v>
      </c>
      <c r="G862" s="11" t="str">
        <f>RAW_Клиенты!F861</f>
        <v>Златоуст</v>
      </c>
      <c r="H862" s="11" t="str">
        <f>RAW_Клиенты!G861</f>
        <v>2045-11-15</v>
      </c>
      <c r="I862" s="12" t="str">
        <f t="shared" si="489"/>
        <v>89032345678</v>
      </c>
      <c r="J862" s="12" t="str">
        <f t="shared" si="490"/>
        <v>kutuzov@yandex</v>
      </c>
      <c r="K862" s="12" t="str">
        <f t="shared" si="491"/>
        <v>Златоуст</v>
      </c>
      <c r="L862" s="13" t="str">
        <f t="shared" si="492"/>
        <v>C0860</v>
      </c>
      <c r="M862" s="13" t="str">
        <f t="shared" si="493"/>
        <v xml:space="preserve">Кутузов Денис Сергеевич</v>
      </c>
      <c r="N862" s="13" t="str">
        <f t="shared" si="494"/>
        <v>OK</v>
      </c>
      <c r="O862" s="19">
        <f t="shared" si="495"/>
        <v>33670</v>
      </c>
      <c r="P862" s="19">
        <f t="shared" si="496"/>
        <v>53281</v>
      </c>
      <c r="Q862" s="13">
        <f t="shared" ca="1" si="497"/>
        <v>34</v>
      </c>
      <c r="R862" s="13" t="str">
        <f t="shared" si="498"/>
        <v>OK</v>
      </c>
      <c r="S862" s="13" t="str">
        <f t="shared" si="499"/>
        <v xml:space="preserve">+7 (903) 234-56-78</v>
      </c>
      <c r="T862" s="13" t="str">
        <f t="shared" si="500"/>
        <v>kutuzov@yandex</v>
      </c>
      <c r="U862" s="18" t="str">
        <f t="shared" si="501"/>
        <v xml:space="preserve">Ошибка Email</v>
      </c>
      <c r="V862" s="13" t="str">
        <f>IFERROR(VLOOKUP(K862,Справочники!$K$6:$L$13,2,0),K862)</f>
        <v>Златоуст</v>
      </c>
    </row>
    <row r="863" ht="15" customHeight="1">
      <c r="A863" s="10">
        <v>861</v>
      </c>
      <c r="B863" s="11" t="str">
        <f>RAW_Клиенты!A862</f>
        <v>C0861</v>
      </c>
      <c r="C863" s="11" t="str">
        <f>RAW_Клиенты!B862</f>
        <v xml:space="preserve">Федотова Ольга Владимировна</v>
      </c>
      <c r="D863" s="11" t="str">
        <f>RAW_Клиенты!C862</f>
        <v>19.10.1983</v>
      </c>
      <c r="E863" s="11" t="str">
        <f>RAW_Клиенты!D862</f>
        <v xml:space="preserve">8 903 345 67 89</v>
      </c>
      <c r="F863" s="11" t="str">
        <f>RAW_Клиенты!E862</f>
        <v>fedotova@gmail</v>
      </c>
      <c r="G863" s="11" t="str">
        <f>RAW_Клиенты!F862</f>
        <v>Ангарск</v>
      </c>
      <c r="H863" s="11" t="str">
        <f>RAW_Клиенты!G862</f>
        <v>15.11.2045</v>
      </c>
      <c r="I863" s="12" t="str">
        <f t="shared" si="489"/>
        <v>89033456789</v>
      </c>
      <c r="J863" s="12" t="str">
        <f t="shared" si="490"/>
        <v>fedotova@gmail</v>
      </c>
      <c r="K863" s="12" t="str">
        <f t="shared" si="491"/>
        <v>Ангарск</v>
      </c>
      <c r="L863" s="13" t="str">
        <f t="shared" si="492"/>
        <v>C0861</v>
      </c>
      <c r="M863" s="13" t="str">
        <f t="shared" si="493"/>
        <v xml:space="preserve">Федотова Ольга Владимировна</v>
      </c>
      <c r="N863" s="13" t="str">
        <f t="shared" si="494"/>
        <v>OK</v>
      </c>
      <c r="O863" s="19">
        <f t="shared" si="495"/>
        <v>30608</v>
      </c>
      <c r="P863" s="19">
        <f t="shared" si="496"/>
        <v>53281</v>
      </c>
      <c r="Q863" s="13">
        <f t="shared" ca="1" si="497"/>
        <v>42</v>
      </c>
      <c r="R863" s="13" t="str">
        <f t="shared" si="498"/>
        <v>OK</v>
      </c>
      <c r="S863" s="13" t="str">
        <f t="shared" si="499"/>
        <v xml:space="preserve">+7 (903) 345-67-89</v>
      </c>
      <c r="T863" s="13" t="str">
        <f t="shared" si="500"/>
        <v>fedotova@gmail</v>
      </c>
      <c r="U863" s="18" t="str">
        <f t="shared" si="501"/>
        <v xml:space="preserve">Ошибка Email</v>
      </c>
      <c r="V863" s="13" t="str">
        <f>IFERROR(VLOOKUP(K863,Справочники!$K$6:$L$13,2,0),K863)</f>
        <v>Ангарск</v>
      </c>
    </row>
    <row r="864" ht="15" customHeight="1">
      <c r="A864" s="10">
        <v>862</v>
      </c>
      <c r="B864" s="11" t="str">
        <f>RAW_Клиенты!A863</f>
        <v>C0862</v>
      </c>
      <c r="C864" s="11" t="str">
        <f>RAW_Клиенты!B863</f>
        <v xml:space="preserve">Воробьев Илья Александрович</v>
      </c>
      <c r="D864" s="11" t="str">
        <f>RAW_Клиенты!C863</f>
        <v>22.07.1978</v>
      </c>
      <c r="E864" s="11" t="str">
        <f>RAW_Клиенты!D863</f>
        <v>+79033456789</v>
      </c>
      <c r="F864" s="11" t="str">
        <f>RAW_Клиенты!E863</f>
        <v>vorobyev@mail</v>
      </c>
      <c r="G864" s="11" t="str">
        <f>RAW_Клиенты!F863</f>
        <v>Озёрск</v>
      </c>
      <c r="H864" s="11" t="str">
        <f>RAW_Клиенты!G863</f>
        <v>01.12.2045</v>
      </c>
      <c r="I864" s="12" t="str">
        <f t="shared" si="489"/>
        <v>79033456789</v>
      </c>
      <c r="J864" s="12" t="str">
        <f t="shared" si="490"/>
        <v>vorobyev@mail</v>
      </c>
      <c r="K864" s="12" t="str">
        <f t="shared" si="491"/>
        <v>Озёрск</v>
      </c>
      <c r="L864" s="13" t="str">
        <f t="shared" si="492"/>
        <v>C0862</v>
      </c>
      <c r="M864" s="13" t="str">
        <f t="shared" si="493"/>
        <v xml:space="preserve">Воробьев Илья Александрович</v>
      </c>
      <c r="N864" s="13" t="str">
        <f t="shared" si="494"/>
        <v>OK</v>
      </c>
      <c r="O864" s="19">
        <f t="shared" si="495"/>
        <v>28693</v>
      </c>
      <c r="P864" s="19">
        <f t="shared" si="496"/>
        <v>53297</v>
      </c>
      <c r="Q864" s="13">
        <f t="shared" ca="1" si="497"/>
        <v>48</v>
      </c>
      <c r="R864" s="13" t="str">
        <f t="shared" si="498"/>
        <v>OK</v>
      </c>
      <c r="S864" s="13" t="str">
        <f t="shared" si="499"/>
        <v xml:space="preserve">+7 (903) 345-67-89</v>
      </c>
      <c r="T864" s="13" t="str">
        <f t="shared" si="500"/>
        <v>vorobyev@mail</v>
      </c>
      <c r="U864" s="18" t="str">
        <f t="shared" si="501"/>
        <v xml:space="preserve">Ошибка Email</v>
      </c>
      <c r="V864" s="13" t="str">
        <f>IFERROR(VLOOKUP(K864,Справочники!$K$6:$L$13,2,0),K864)</f>
        <v>Озёрск</v>
      </c>
    </row>
    <row r="865" ht="15" customHeight="1">
      <c r="A865" s="10">
        <v>863</v>
      </c>
      <c r="B865" s="11" t="str">
        <f>RAW_Клиенты!A864</f>
        <v>C0863</v>
      </c>
      <c r="C865" s="11" t="str">
        <f>RAW_Клиенты!B864</f>
        <v xml:space="preserve">Селиванова Екатерина Сергеевна</v>
      </c>
      <c r="D865" s="11" t="str">
        <f>RAW_Клиенты!C864</f>
        <v>11.09.1988</v>
      </c>
      <c r="E865" s="11" t="str">
        <f>RAW_Клиенты!D864</f>
        <v>8-903-345-67-89</v>
      </c>
      <c r="F865" s="11" t="str">
        <f>RAW_Клиенты!E864</f>
        <v>selivanova@yandex</v>
      </c>
      <c r="G865" s="11" t="str">
        <f>RAW_Клиенты!F864</f>
        <v>Орел</v>
      </c>
      <c r="H865" s="11" t="str">
        <f>RAW_Клиенты!G864</f>
        <v>2045-12-10</v>
      </c>
      <c r="I865" s="12" t="str">
        <f t="shared" si="489"/>
        <v>89033456789</v>
      </c>
      <c r="J865" s="12" t="str">
        <f t="shared" si="490"/>
        <v>selivanova@yandex</v>
      </c>
      <c r="K865" s="12" t="str">
        <f t="shared" si="491"/>
        <v>Орел</v>
      </c>
      <c r="L865" s="13" t="str">
        <f t="shared" si="492"/>
        <v>C0863</v>
      </c>
      <c r="M865" s="13" t="str">
        <f t="shared" si="493"/>
        <v xml:space="preserve">Селиванова Екатерина Сергеевна</v>
      </c>
      <c r="N865" s="13" t="str">
        <f t="shared" si="494"/>
        <v>OK</v>
      </c>
      <c r="O865" s="19">
        <f t="shared" si="495"/>
        <v>32397</v>
      </c>
      <c r="P865" s="19">
        <f t="shared" si="496"/>
        <v>53306</v>
      </c>
      <c r="Q865" s="13">
        <f t="shared" ca="1" si="497"/>
        <v>38</v>
      </c>
      <c r="R865" s="13" t="str">
        <f t="shared" si="498"/>
        <v>OK</v>
      </c>
      <c r="S865" s="13" t="str">
        <f t="shared" si="499"/>
        <v xml:space="preserve">+7 (903) 345-67-89</v>
      </c>
      <c r="T865" s="13" t="str">
        <f t="shared" si="500"/>
        <v>selivanova@yandex</v>
      </c>
      <c r="U865" s="18" t="str">
        <f t="shared" si="501"/>
        <v xml:space="preserve">Ошибка Email</v>
      </c>
      <c r="V865" s="13" t="str">
        <f>IFERROR(VLOOKUP(K865,Справочники!$K$6:$L$13,2,0),K865)</f>
        <v>Орел</v>
      </c>
    </row>
    <row r="866" ht="15" customHeight="1">
      <c r="A866" s="10">
        <v>864</v>
      </c>
      <c r="B866" s="11" t="str">
        <f>RAW_Клиенты!A865</f>
        <v>C0864</v>
      </c>
      <c r="C866" s="11" t="str">
        <f>RAW_Клиенты!B865</f>
        <v xml:space="preserve">Третьяков Андрей Олегович</v>
      </c>
      <c r="D866" s="11" t="str">
        <f>RAW_Клиенты!C865</f>
        <v>14.05.1971</v>
      </c>
      <c r="E866" s="11" t="str">
        <f>RAW_Клиенты!D865</f>
        <v xml:space="preserve">8 903 456 78 90</v>
      </c>
      <c r="F866" s="11" t="str">
        <f>RAW_Клиенты!E865</f>
        <v>tretyakov@gmail</v>
      </c>
      <c r="G866" s="11" t="str">
        <f>RAW_Клиенты!F865</f>
        <v>Магнитогорск</v>
      </c>
      <c r="H866" s="11" t="str">
        <f>RAW_Клиенты!G865</f>
        <v>10.12.2045</v>
      </c>
      <c r="I866" s="12" t="str">
        <f t="shared" si="489"/>
        <v>89034567890</v>
      </c>
      <c r="J866" s="12" t="str">
        <f t="shared" si="490"/>
        <v>tretyakov@gmail</v>
      </c>
      <c r="K866" s="12" t="str">
        <f t="shared" si="491"/>
        <v>Магнитогорск</v>
      </c>
      <c r="L866" s="13" t="str">
        <f t="shared" si="492"/>
        <v>C0864</v>
      </c>
      <c r="M866" s="13" t="str">
        <f t="shared" si="493"/>
        <v xml:space="preserve">Третьяков Андрей Олегович</v>
      </c>
      <c r="N866" s="13" t="str">
        <f t="shared" si="494"/>
        <v>OK</v>
      </c>
      <c r="O866" s="19">
        <f t="shared" si="495"/>
        <v>26067</v>
      </c>
      <c r="P866" s="19">
        <f t="shared" si="496"/>
        <v>53306</v>
      </c>
      <c r="Q866" s="13">
        <f t="shared" ca="1" si="497"/>
        <v>55</v>
      </c>
      <c r="R866" s="13" t="str">
        <f t="shared" si="498"/>
        <v>OK</v>
      </c>
      <c r="S866" s="13" t="str">
        <f t="shared" si="499"/>
        <v xml:space="preserve">+7 (903) 456-78-90</v>
      </c>
      <c r="T866" s="13" t="str">
        <f t="shared" si="500"/>
        <v>tretyakov@gmail</v>
      </c>
      <c r="U866" s="18" t="str">
        <f t="shared" si="501"/>
        <v xml:space="preserve">Ошибка Email</v>
      </c>
      <c r="V866" s="13" t="str">
        <f>IFERROR(VLOOKUP(K866,Справочники!$K$6:$L$13,2,0),K866)</f>
        <v>Магнитогорск</v>
      </c>
    </row>
    <row r="867" ht="15" customHeight="1">
      <c r="A867" s="10">
        <v>865</v>
      </c>
      <c r="B867" s="11" t="str">
        <f>RAW_Клиенты!A866</f>
        <v>C0865</v>
      </c>
      <c r="C867" s="11" t="str">
        <f>RAW_Клиенты!B866</f>
        <v xml:space="preserve">Решетникова Мария Павловна</v>
      </c>
      <c r="D867" s="11" t="str">
        <f>RAW_Клиенты!C866</f>
        <v>02.04.1985</v>
      </c>
      <c r="E867" s="11" t="str">
        <f>RAW_Клиенты!D866</f>
        <v>+79034567890</v>
      </c>
      <c r="F867" s="11" t="str">
        <f>RAW_Клиенты!E866</f>
        <v>reshetnikova@mail</v>
      </c>
      <c r="G867" s="11" t="str">
        <f>RAW_Клиенты!F866</f>
        <v>Якутск</v>
      </c>
      <c r="H867" s="11" t="str">
        <f>RAW_Клиенты!G866</f>
        <v>01.01.2046</v>
      </c>
      <c r="I867" s="12" t="str">
        <f t="shared" si="489"/>
        <v>79034567890</v>
      </c>
      <c r="J867" s="12" t="str">
        <f t="shared" si="490"/>
        <v>reshetnikova@mail</v>
      </c>
      <c r="K867" s="12" t="str">
        <f t="shared" si="491"/>
        <v>Якутск</v>
      </c>
      <c r="L867" s="13" t="str">
        <f t="shared" si="492"/>
        <v>C0865</v>
      </c>
      <c r="M867" s="13" t="str">
        <f t="shared" si="493"/>
        <v xml:space="preserve">Решетникова Мария Павловна</v>
      </c>
      <c r="N867" s="13" t="str">
        <f t="shared" si="494"/>
        <v>OK</v>
      </c>
      <c r="O867" s="19">
        <f t="shared" si="495"/>
        <v>31139</v>
      </c>
      <c r="P867" s="19">
        <f t="shared" si="496"/>
        <v>53328</v>
      </c>
      <c r="Q867" s="13">
        <f t="shared" ca="1" si="497"/>
        <v>41</v>
      </c>
      <c r="R867" s="13" t="str">
        <f t="shared" si="498"/>
        <v>OK</v>
      </c>
      <c r="S867" s="13" t="str">
        <f t="shared" si="499"/>
        <v xml:space="preserve">+7 (903) 456-78-90</v>
      </c>
      <c r="T867" s="13" t="str">
        <f t="shared" si="500"/>
        <v>reshetnikova@mail</v>
      </c>
      <c r="U867" s="18" t="str">
        <f t="shared" si="501"/>
        <v xml:space="preserve">Ошибка Email</v>
      </c>
      <c r="V867" s="13" t="str">
        <f>IFERROR(VLOOKUP(K867,Справочники!$K$6:$L$13,2,0),K867)</f>
        <v>Якутск</v>
      </c>
    </row>
    <row r="868" ht="15" customHeight="1">
      <c r="A868" s="10">
        <v>866</v>
      </c>
      <c r="B868" s="11" t="str">
        <f>RAW_Клиенты!A867</f>
        <v>C0866</v>
      </c>
      <c r="C868" s="11" t="str">
        <f>RAW_Клиенты!B867</f>
        <v xml:space="preserve">Попков Денис Викторович</v>
      </c>
      <c r="D868" s="11" t="str">
        <f>RAW_Клиенты!C867</f>
        <v>18.06.1990</v>
      </c>
      <c r="E868" s="11" t="str">
        <f>RAW_Клиенты!D867</f>
        <v>8-903-456-78-90</v>
      </c>
      <c r="F868" s="11" t="str">
        <f>RAW_Клиенты!E867</f>
        <v>popkov@yandex</v>
      </c>
      <c r="G868" s="11" t="str">
        <f>RAW_Клиенты!F867</f>
        <v>Чебоксары</v>
      </c>
      <c r="H868" s="11" t="str">
        <f>RAW_Клиенты!G867</f>
        <v>2046-01-15</v>
      </c>
      <c r="I868" s="12" t="str">
        <f t="shared" ref="I868:I931" si="502">SUBSTITUTE(SUBSTITUTE(SUBSTITUTE(SUBSTITUTE(SUBSTITUTE(SUBSTITUTE(E868," ",""),"-",""),"+",""),"(",""),")",""),CHAR(160),"")</f>
        <v>89034567890</v>
      </c>
      <c r="J868" s="12" t="str">
        <f t="shared" ref="J868:J931" si="503">SUBSTITUTE(SUBSTITUTE(TRIM(F868)," ",""),CHAR(160),"")</f>
        <v>popkov@yandex</v>
      </c>
      <c r="K868" s="12" t="str">
        <f t="shared" ref="K868:K931" si="504">TRIM(SUBSTITUTE(SUBSTITUTE(TRIM(G868),"г.",""),"г ",""))</f>
        <v>Чебоксары</v>
      </c>
      <c r="L868" s="13" t="str">
        <f t="shared" ref="L868:L931" si="505">B868</f>
        <v>C0866</v>
      </c>
      <c r="M868" s="13" t="str">
        <f t="shared" ref="M868:M931" si="506">PROPER(TRIM(C868))</f>
        <v xml:space="preserve">Попков Денис Викторович</v>
      </c>
      <c r="N868" s="13" t="str">
        <f t="shared" ref="N868:N931" si="507">IF(ISNUMBER(FIND(".",C868)),"инициалы: проверить",IF(SUMPRODUCT(--ISNUMBER(FIND(MID("abcdefghijklmnopqrstuvwxyz",ROW(INDIRECT("1:26")),1),LOWER(C868))))&gt;0,"латиница: транслит","OK"))</f>
        <v>OK</v>
      </c>
      <c r="O868" s="19">
        <f t="shared" ref="O868:O931" si="508">IF(ISNUMBER(FIND("-",D868)),DATE(VALUE(LEFT(D868,4)),VALUE(MID(D868,6,2)),VALUE(MID(D868,9,2))),DATE(VALUE(MID(D868,7,4)),VALUE(MID(D868,4,2)),VALUE(LEFT(D868,2))))</f>
        <v>33042</v>
      </c>
      <c r="P868" s="19">
        <f t="shared" ref="P868:P931" si="509">IF(ISNUMBER(FIND("-",H868)),DATE(VALUE(LEFT(H868,4)),VALUE(MID(H868,6,2)),VALUE(MID(H868,9,2))),DATE(VALUE(MID(H868,7,4)),VALUE(MID(H868,4,2)),VALUE(LEFT(H868,2))))</f>
        <v>53342</v>
      </c>
      <c r="Q868" s="13">
        <f t="shared" ref="Q868:Q931" ca="1" si="510">DATEDIF(O868,TODAY(),"Y")</f>
        <v>36</v>
      </c>
      <c r="R868" s="13" t="str">
        <f t="shared" ref="R868:R931" si="511">IF(OR(Q868&lt;18,Q868&gt;120),"Ошибка даты рождения","OK")</f>
        <v>OK</v>
      </c>
      <c r="S868" s="13" t="str">
        <f t="shared" ref="S868:S931" si="512">IF(LEN(I868)&gt;=10,"+7 ("&amp;MID(I868,LEN(I868)-9,3)&amp;") "&amp;MID(I868,LEN(I868)-6,3)&amp;"-"&amp;MID(I868,LEN(I868)-3,2)&amp;"-"&amp;RIGHT(I868,2),"Ошибка телефона")</f>
        <v xml:space="preserve">+7 (903) 456-78-90</v>
      </c>
      <c r="T868" s="13" t="str">
        <f t="shared" ref="T868:T931" si="513">J868</f>
        <v>popkov@yandex</v>
      </c>
      <c r="U868" s="18" t="str">
        <f t="shared" ref="U868:U931" si="514">IF(AND(ISNUMBER(FIND("@",J868)),ISNUMBER(FIND(".",MID(J868,FIND("@",J868),100)))),"OK","Ошибка Email")</f>
        <v xml:space="preserve">Ошибка Email</v>
      </c>
      <c r="V868" s="13" t="str">
        <f>IFERROR(VLOOKUP(K868,Справочники!$K$6:$L$13,2,0),K868)</f>
        <v>Чебоксары</v>
      </c>
    </row>
    <row r="869" ht="15" customHeight="1">
      <c r="A869" s="10">
        <v>867</v>
      </c>
      <c r="B869" s="11" t="str">
        <f>RAW_Клиенты!A868</f>
        <v>C0867</v>
      </c>
      <c r="C869" s="11" t="str">
        <f>RAW_Клиенты!B868</f>
        <v xml:space="preserve">Шевцова Ольга Сергеевна</v>
      </c>
      <c r="D869" s="11" t="str">
        <f>RAW_Клиенты!C868</f>
        <v>24.08.1977</v>
      </c>
      <c r="E869" s="11" t="str">
        <f>RAW_Клиенты!D868</f>
        <v xml:space="preserve">8 903 567 89 01</v>
      </c>
      <c r="F869" s="11" t="str">
        <f>RAW_Клиенты!E868</f>
        <v>shevtsova@gmail</v>
      </c>
      <c r="G869" s="11" t="str">
        <f>RAW_Клиенты!F868</f>
        <v>Мурманск</v>
      </c>
      <c r="H869" s="11" t="str">
        <f>RAW_Клиенты!G868</f>
        <v>15.01.2046</v>
      </c>
      <c r="I869" s="12" t="str">
        <f t="shared" si="502"/>
        <v>89035678901</v>
      </c>
      <c r="J869" s="12" t="str">
        <f t="shared" si="503"/>
        <v>shevtsova@gmail</v>
      </c>
      <c r="K869" s="12" t="str">
        <f t="shared" si="504"/>
        <v>Мурманск</v>
      </c>
      <c r="L869" s="13" t="str">
        <f t="shared" si="505"/>
        <v>C0867</v>
      </c>
      <c r="M869" s="13" t="str">
        <f t="shared" si="506"/>
        <v xml:space="preserve">Шевцова Ольга Сергеевна</v>
      </c>
      <c r="N869" s="13" t="str">
        <f t="shared" si="507"/>
        <v>OK</v>
      </c>
      <c r="O869" s="19">
        <f t="shared" si="508"/>
        <v>28361</v>
      </c>
      <c r="P869" s="19">
        <f t="shared" si="509"/>
        <v>53342</v>
      </c>
      <c r="Q869" s="13">
        <f t="shared" ca="1" si="510"/>
        <v>49</v>
      </c>
      <c r="R869" s="13" t="str">
        <f t="shared" si="511"/>
        <v>OK</v>
      </c>
      <c r="S869" s="13" t="str">
        <f t="shared" si="512"/>
        <v xml:space="preserve">+7 (903) 567-89-01</v>
      </c>
      <c r="T869" s="13" t="str">
        <f t="shared" si="513"/>
        <v>shevtsova@gmail</v>
      </c>
      <c r="U869" s="18" t="str">
        <f t="shared" si="514"/>
        <v xml:space="preserve">Ошибка Email</v>
      </c>
      <c r="V869" s="13" t="str">
        <f>IFERROR(VLOOKUP(K869,Справочники!$K$6:$L$13,2,0),K869)</f>
        <v>Мурманск</v>
      </c>
    </row>
    <row r="870" ht="15" customHeight="1">
      <c r="A870" s="10">
        <v>868</v>
      </c>
      <c r="B870" s="11" t="str">
        <f>RAW_Клиенты!A869</f>
        <v>C0868</v>
      </c>
      <c r="C870" s="11" t="str">
        <f>RAW_Клиенты!B869</f>
        <v xml:space="preserve">Казаков Илья Александрович</v>
      </c>
      <c r="D870" s="11" t="str">
        <f>RAW_Клиенты!C869</f>
        <v>09.01.1983</v>
      </c>
      <c r="E870" s="11" t="str">
        <f>RAW_Клиенты!D869</f>
        <v>+79035678901</v>
      </c>
      <c r="F870" s="11" t="str">
        <f>RAW_Клиенты!E869</f>
        <v>kazakov@mail</v>
      </c>
      <c r="G870" s="11" t="str">
        <f>RAW_Клиенты!F869</f>
        <v>Смоленск</v>
      </c>
      <c r="H870" s="11" t="str">
        <f>RAW_Клиенты!G869</f>
        <v>01.02.2046</v>
      </c>
      <c r="I870" s="12" t="str">
        <f t="shared" si="502"/>
        <v>79035678901</v>
      </c>
      <c r="J870" s="12" t="str">
        <f t="shared" si="503"/>
        <v>kazakov@mail</v>
      </c>
      <c r="K870" s="12" t="str">
        <f t="shared" si="504"/>
        <v>Смоленск</v>
      </c>
      <c r="L870" s="13" t="str">
        <f t="shared" si="505"/>
        <v>C0868</v>
      </c>
      <c r="M870" s="13" t="str">
        <f t="shared" si="506"/>
        <v xml:space="preserve">Казаков Илья Александрович</v>
      </c>
      <c r="N870" s="13" t="str">
        <f t="shared" si="507"/>
        <v>OK</v>
      </c>
      <c r="O870" s="19">
        <f t="shared" si="508"/>
        <v>30325</v>
      </c>
      <c r="P870" s="19">
        <f t="shared" si="509"/>
        <v>53359</v>
      </c>
      <c r="Q870" s="13">
        <f t="shared" ca="1" si="510"/>
        <v>43</v>
      </c>
      <c r="R870" s="13" t="str">
        <f t="shared" si="511"/>
        <v>OK</v>
      </c>
      <c r="S870" s="13" t="str">
        <f t="shared" si="512"/>
        <v xml:space="preserve">+7 (903) 567-89-01</v>
      </c>
      <c r="T870" s="13" t="str">
        <f t="shared" si="513"/>
        <v>kazakov@mail</v>
      </c>
      <c r="U870" s="18" t="str">
        <f t="shared" si="514"/>
        <v xml:space="preserve">Ошибка Email</v>
      </c>
      <c r="V870" s="13" t="str">
        <f>IFERROR(VLOOKUP(K870,Справочники!$K$6:$L$13,2,0),K870)</f>
        <v>Смоленск</v>
      </c>
    </row>
    <row r="871" ht="15" customHeight="1">
      <c r="A871" s="10">
        <v>869</v>
      </c>
      <c r="B871" s="11" t="str">
        <f>RAW_Клиенты!A870</f>
        <v>C0869</v>
      </c>
      <c r="C871" s="11" t="str">
        <f>RAW_Клиенты!B870</f>
        <v xml:space="preserve">Кречетова Екатерина Владимировна</v>
      </c>
      <c r="D871" s="11" t="str">
        <f>RAW_Клиенты!C870</f>
        <v>16.11.1991</v>
      </c>
      <c r="E871" s="11" t="str">
        <f>RAW_Клиенты!D870</f>
        <v>8-903-567-89-01</v>
      </c>
      <c r="F871" s="11" t="str">
        <f>RAW_Клиенты!E870</f>
        <v>krechetova@yandex</v>
      </c>
      <c r="G871" s="11" t="str">
        <f>RAW_Клиенты!F870</f>
        <v>Тула</v>
      </c>
      <c r="H871" s="11" t="str">
        <f>RAW_Клиенты!G870</f>
        <v>2046-02-10</v>
      </c>
      <c r="I871" s="12" t="str">
        <f t="shared" si="502"/>
        <v>89035678901</v>
      </c>
      <c r="J871" s="12" t="str">
        <f t="shared" si="503"/>
        <v>krechetova@yandex</v>
      </c>
      <c r="K871" s="12" t="str">
        <f t="shared" si="504"/>
        <v>Тула</v>
      </c>
      <c r="L871" s="13" t="str">
        <f t="shared" si="505"/>
        <v>C0869</v>
      </c>
      <c r="M871" s="13" t="str">
        <f t="shared" si="506"/>
        <v xml:space="preserve">Кречетова Екатерина Владимировна</v>
      </c>
      <c r="N871" s="13" t="str">
        <f t="shared" si="507"/>
        <v>OK</v>
      </c>
      <c r="O871" s="19">
        <f t="shared" si="508"/>
        <v>33558</v>
      </c>
      <c r="P871" s="19">
        <f t="shared" si="509"/>
        <v>53368</v>
      </c>
      <c r="Q871" s="13">
        <f t="shared" ca="1" si="510"/>
        <v>34</v>
      </c>
      <c r="R871" s="13" t="str">
        <f t="shared" si="511"/>
        <v>OK</v>
      </c>
      <c r="S871" s="13" t="str">
        <f t="shared" si="512"/>
        <v xml:space="preserve">+7 (903) 567-89-01</v>
      </c>
      <c r="T871" s="13" t="str">
        <f t="shared" si="513"/>
        <v>krechetova@yandex</v>
      </c>
      <c r="U871" s="18" t="str">
        <f t="shared" si="514"/>
        <v xml:space="preserve">Ошибка Email</v>
      </c>
      <c r="V871" s="13" t="str">
        <f>IFERROR(VLOOKUP(K871,Справочники!$K$6:$L$13,2,0),K871)</f>
        <v>Тула</v>
      </c>
    </row>
    <row r="872" ht="15" customHeight="1">
      <c r="A872" s="10">
        <v>870</v>
      </c>
      <c r="B872" s="11" t="str">
        <f>RAW_Клиенты!A871</f>
        <v>C0870</v>
      </c>
      <c r="C872" s="11" t="str">
        <f>RAW_Клиенты!B871</f>
        <v xml:space="preserve">Алёшин Андрей Олегович</v>
      </c>
      <c r="D872" s="11" t="str">
        <f>RAW_Клиенты!C871</f>
        <v>03.12.1972</v>
      </c>
      <c r="E872" s="11" t="str">
        <f>RAW_Клиенты!D871</f>
        <v xml:space="preserve">8 903 678 90 12</v>
      </c>
      <c r="F872" s="11" t="str">
        <f>RAW_Клиенты!E871</f>
        <v>aleshin@gmail</v>
      </c>
      <c r="G872" s="11" t="str">
        <f>RAW_Клиенты!F871</f>
        <v>Калуга</v>
      </c>
      <c r="H872" s="11" t="str">
        <f>RAW_Клиенты!G871</f>
        <v>10.02.2046</v>
      </c>
      <c r="I872" s="12" t="str">
        <f t="shared" si="502"/>
        <v>89036789012</v>
      </c>
      <c r="J872" s="12" t="str">
        <f t="shared" si="503"/>
        <v>aleshin@gmail</v>
      </c>
      <c r="K872" s="12" t="str">
        <f t="shared" si="504"/>
        <v>Калуга</v>
      </c>
      <c r="L872" s="13" t="str">
        <f t="shared" si="505"/>
        <v>C0870</v>
      </c>
      <c r="M872" s="13" t="str">
        <f t="shared" si="506"/>
        <v xml:space="preserve">Алёшин Андрей Олегович</v>
      </c>
      <c r="N872" s="13" t="str">
        <f t="shared" si="507"/>
        <v>OK</v>
      </c>
      <c r="O872" s="19">
        <f t="shared" si="508"/>
        <v>26636</v>
      </c>
      <c r="P872" s="19">
        <f t="shared" si="509"/>
        <v>53368</v>
      </c>
      <c r="Q872" s="13">
        <f t="shared" ca="1" si="510"/>
        <v>53</v>
      </c>
      <c r="R872" s="13" t="str">
        <f t="shared" si="511"/>
        <v>OK</v>
      </c>
      <c r="S872" s="13" t="str">
        <f t="shared" si="512"/>
        <v xml:space="preserve">+7 (903) 678-90-12</v>
      </c>
      <c r="T872" s="13" t="str">
        <f t="shared" si="513"/>
        <v>aleshin@gmail</v>
      </c>
      <c r="U872" s="18" t="str">
        <f t="shared" si="514"/>
        <v xml:space="preserve">Ошибка Email</v>
      </c>
      <c r="V872" s="13" t="str">
        <f>IFERROR(VLOOKUP(K872,Справочники!$K$6:$L$13,2,0),K872)</f>
        <v>Калуга</v>
      </c>
    </row>
    <row r="873" ht="15" customHeight="1">
      <c r="A873" s="10">
        <v>871</v>
      </c>
      <c r="B873" s="11" t="str">
        <f>RAW_Клиенты!A872</f>
        <v>C0871</v>
      </c>
      <c r="C873" s="11" t="str">
        <f>RAW_Клиенты!B872</f>
        <v xml:space="preserve">Парфёнова Мария Павловна</v>
      </c>
      <c r="D873" s="11" t="str">
        <f>RAW_Клиенты!C872</f>
        <v>27.07.1986</v>
      </c>
      <c r="E873" s="11" t="str">
        <f>RAW_Клиенты!D872</f>
        <v>+79036789012</v>
      </c>
      <c r="F873" s="11" t="str">
        <f>RAW_Клиенты!E872</f>
        <v>parfyonova@mail</v>
      </c>
      <c r="G873" s="11" t="str">
        <f>RAW_Клиенты!F872</f>
        <v>Владикавказ</v>
      </c>
      <c r="H873" s="11" t="str">
        <f>RAW_Клиенты!G872</f>
        <v>01.03.2046</v>
      </c>
      <c r="I873" s="12" t="str">
        <f t="shared" si="502"/>
        <v>79036789012</v>
      </c>
      <c r="J873" s="12" t="str">
        <f t="shared" si="503"/>
        <v>parfyonova@mail</v>
      </c>
      <c r="K873" s="12" t="str">
        <f t="shared" si="504"/>
        <v>Владикавказ</v>
      </c>
      <c r="L873" s="13" t="str">
        <f t="shared" si="505"/>
        <v>C0871</v>
      </c>
      <c r="M873" s="13" t="str">
        <f t="shared" si="506"/>
        <v xml:space="preserve">Парфёнова Мария Павловна</v>
      </c>
      <c r="N873" s="13" t="str">
        <f t="shared" si="507"/>
        <v>OK</v>
      </c>
      <c r="O873" s="19">
        <f t="shared" si="508"/>
        <v>31620</v>
      </c>
      <c r="P873" s="19">
        <f t="shared" si="509"/>
        <v>53387</v>
      </c>
      <c r="Q873" s="13">
        <f t="shared" ca="1" si="510"/>
        <v>40</v>
      </c>
      <c r="R873" s="13" t="str">
        <f t="shared" si="511"/>
        <v>OK</v>
      </c>
      <c r="S873" s="13" t="str">
        <f t="shared" si="512"/>
        <v xml:space="preserve">+7 (903) 678-90-12</v>
      </c>
      <c r="T873" s="13" t="str">
        <f t="shared" si="513"/>
        <v>parfyonova@mail</v>
      </c>
      <c r="U873" s="18" t="str">
        <f t="shared" si="514"/>
        <v xml:space="preserve">Ошибка Email</v>
      </c>
      <c r="V873" s="13" t="str">
        <f>IFERROR(VLOOKUP(K873,Справочники!$K$6:$L$13,2,0),K873)</f>
        <v>Владикавказ</v>
      </c>
    </row>
    <row r="874" ht="15" customHeight="1">
      <c r="A874" s="10">
        <v>872</v>
      </c>
      <c r="B874" s="11" t="str">
        <f>RAW_Клиенты!A873</f>
        <v>C0872</v>
      </c>
      <c r="C874" s="11" t="str">
        <f>RAW_Клиенты!B873</f>
        <v xml:space="preserve">Гаврилов Денис Сергеевич</v>
      </c>
      <c r="D874" s="11" t="str">
        <f>RAW_Клиенты!C873</f>
        <v>10.02.1979</v>
      </c>
      <c r="E874" s="11" t="str">
        <f>RAW_Клиенты!D873</f>
        <v>8-903-678-90-12</v>
      </c>
      <c r="F874" s="11" t="str">
        <f>RAW_Клиенты!E873</f>
        <v>gavrilov@yandex</v>
      </c>
      <c r="G874" s="11" t="str">
        <f>RAW_Клиенты!F873</f>
        <v>Смоленск</v>
      </c>
      <c r="H874" s="11" t="str">
        <f>RAW_Клиенты!G873</f>
        <v>2046-03-15</v>
      </c>
      <c r="I874" s="12" t="str">
        <f t="shared" si="502"/>
        <v>89036789012</v>
      </c>
      <c r="J874" s="12" t="str">
        <f t="shared" si="503"/>
        <v>gavrilov@yandex</v>
      </c>
      <c r="K874" s="12" t="str">
        <f t="shared" si="504"/>
        <v>Смоленск</v>
      </c>
      <c r="L874" s="13" t="str">
        <f t="shared" si="505"/>
        <v>C0872</v>
      </c>
      <c r="M874" s="13" t="str">
        <f t="shared" si="506"/>
        <v xml:space="preserve">Гаврилов Денис Сергеевич</v>
      </c>
      <c r="N874" s="13" t="str">
        <f t="shared" si="507"/>
        <v>OK</v>
      </c>
      <c r="O874" s="19">
        <f t="shared" si="508"/>
        <v>28896</v>
      </c>
      <c r="P874" s="19">
        <f t="shared" si="509"/>
        <v>53401</v>
      </c>
      <c r="Q874" s="13">
        <f t="shared" ca="1" si="510"/>
        <v>47</v>
      </c>
      <c r="R874" s="13" t="str">
        <f t="shared" si="511"/>
        <v>OK</v>
      </c>
      <c r="S874" s="13" t="str">
        <f t="shared" si="512"/>
        <v xml:space="preserve">+7 (903) 678-90-12</v>
      </c>
      <c r="T874" s="13" t="str">
        <f t="shared" si="513"/>
        <v>gavrilov@yandex</v>
      </c>
      <c r="U874" s="18" t="str">
        <f t="shared" si="514"/>
        <v xml:space="preserve">Ошибка Email</v>
      </c>
      <c r="V874" s="13" t="str">
        <f>IFERROR(VLOOKUP(K874,Справочники!$K$6:$L$13,2,0),K874)</f>
        <v>Смоленск</v>
      </c>
    </row>
    <row r="875" ht="15" customHeight="1">
      <c r="A875" s="10">
        <v>873</v>
      </c>
      <c r="B875" s="11" t="str">
        <f>RAW_Клиенты!A874</f>
        <v>C0873</v>
      </c>
      <c r="C875" s="11" t="str">
        <f>RAW_Клиенты!B874</f>
        <v xml:space="preserve">Корчагина Ольга Владимировна</v>
      </c>
      <c r="D875" s="11" t="str">
        <f>RAW_Клиенты!C874</f>
        <v>13.10.1984</v>
      </c>
      <c r="E875" s="11" t="str">
        <f>RAW_Клиенты!D874</f>
        <v xml:space="preserve">8 903 789 01 23</v>
      </c>
      <c r="F875" s="11" t="str">
        <f>RAW_Клиенты!E874</f>
        <v>korchagina@gmail</v>
      </c>
      <c r="G875" s="11" t="str">
        <f>RAW_Клиенты!F874</f>
        <v>Белгород</v>
      </c>
      <c r="H875" s="11" t="str">
        <f>RAW_Клиенты!G874</f>
        <v>15.03.2046</v>
      </c>
      <c r="I875" s="12" t="str">
        <f t="shared" si="502"/>
        <v>89037890123</v>
      </c>
      <c r="J875" s="12" t="str">
        <f t="shared" si="503"/>
        <v>korchagina@gmail</v>
      </c>
      <c r="K875" s="12" t="str">
        <f t="shared" si="504"/>
        <v>Белгород</v>
      </c>
      <c r="L875" s="13" t="str">
        <f t="shared" si="505"/>
        <v>C0873</v>
      </c>
      <c r="M875" s="13" t="str">
        <f t="shared" si="506"/>
        <v xml:space="preserve">Корчагина Ольга Владимировна</v>
      </c>
      <c r="N875" s="13" t="str">
        <f t="shared" si="507"/>
        <v>OK</v>
      </c>
      <c r="O875" s="19">
        <f t="shared" si="508"/>
        <v>30968</v>
      </c>
      <c r="P875" s="19">
        <f t="shared" si="509"/>
        <v>53401</v>
      </c>
      <c r="Q875" s="13">
        <f t="shared" ca="1" si="510"/>
        <v>41</v>
      </c>
      <c r="R875" s="13" t="str">
        <f t="shared" si="511"/>
        <v>OK</v>
      </c>
      <c r="S875" s="13" t="str">
        <f t="shared" si="512"/>
        <v xml:space="preserve">+7 (903) 789-01-23</v>
      </c>
      <c r="T875" s="13" t="str">
        <f t="shared" si="513"/>
        <v>korchagina@gmail</v>
      </c>
      <c r="U875" s="18" t="str">
        <f t="shared" si="514"/>
        <v xml:space="preserve">Ошибка Email</v>
      </c>
      <c r="V875" s="13" t="str">
        <f>IFERROR(VLOOKUP(K875,Справочники!$K$6:$L$13,2,0),K875)</f>
        <v>Белгород</v>
      </c>
    </row>
    <row r="876" ht="15" customHeight="1">
      <c r="A876" s="10">
        <v>874</v>
      </c>
      <c r="B876" s="11" t="str">
        <f>RAW_Клиенты!A875</f>
        <v>C0874</v>
      </c>
      <c r="C876" s="11" t="str">
        <f>RAW_Клиенты!B875</f>
        <v xml:space="preserve">Гуляева Екатерина Александровна</v>
      </c>
      <c r="D876" s="11" t="str">
        <f>RAW_Клиенты!C875</f>
        <v>21.05.1974</v>
      </c>
      <c r="E876" s="11" t="str">
        <f>RAW_Клиенты!D875</f>
        <v>+79037890123</v>
      </c>
      <c r="F876" s="11" t="str">
        <f>RAW_Клиенты!E875</f>
        <v>gulyaeva@mail</v>
      </c>
      <c r="G876" s="11" t="str">
        <f>RAW_Клиенты!F875</f>
        <v>Мурманск</v>
      </c>
      <c r="H876" s="11" t="str">
        <f>RAW_Клиенты!G875</f>
        <v>01.04.2046</v>
      </c>
      <c r="I876" s="12" t="str">
        <f t="shared" si="502"/>
        <v>79037890123</v>
      </c>
      <c r="J876" s="12" t="str">
        <f t="shared" si="503"/>
        <v>gulyaeva@mail</v>
      </c>
      <c r="K876" s="12" t="str">
        <f t="shared" si="504"/>
        <v>Мурманск</v>
      </c>
      <c r="L876" s="13" t="str">
        <f t="shared" si="505"/>
        <v>C0874</v>
      </c>
      <c r="M876" s="13" t="str">
        <f t="shared" si="506"/>
        <v xml:space="preserve">Гуляева Екатерина Александровна</v>
      </c>
      <c r="N876" s="13" t="str">
        <f t="shared" si="507"/>
        <v>OK</v>
      </c>
      <c r="O876" s="19">
        <f t="shared" si="508"/>
        <v>27170</v>
      </c>
      <c r="P876" s="19">
        <f t="shared" si="509"/>
        <v>53418</v>
      </c>
      <c r="Q876" s="13">
        <f t="shared" ca="1" si="510"/>
        <v>52</v>
      </c>
      <c r="R876" s="13" t="str">
        <f t="shared" si="511"/>
        <v>OK</v>
      </c>
      <c r="S876" s="13" t="str">
        <f t="shared" si="512"/>
        <v xml:space="preserve">+7 (903) 789-01-23</v>
      </c>
      <c r="T876" s="13" t="str">
        <f t="shared" si="513"/>
        <v>gulyaeva@mail</v>
      </c>
      <c r="U876" s="18" t="str">
        <f t="shared" si="514"/>
        <v xml:space="preserve">Ошибка Email</v>
      </c>
      <c r="V876" s="13" t="str">
        <f>IFERROR(VLOOKUP(K876,Справочники!$K$6:$L$13,2,0),K876)</f>
        <v>Мурманск</v>
      </c>
    </row>
    <row r="877" ht="15" customHeight="1">
      <c r="A877" s="10">
        <v>875</v>
      </c>
      <c r="B877" s="11" t="str">
        <f>RAW_Клиенты!A876</f>
        <v>C0875</v>
      </c>
      <c r="C877" s="11" t="str">
        <f>RAW_Клиенты!B876</f>
        <v xml:space="preserve">Бережной Илья Викторович</v>
      </c>
      <c r="D877" s="11" t="str">
        <f>RAW_Клиенты!C876</f>
        <v>08.08.1982</v>
      </c>
      <c r="E877" s="11" t="str">
        <f>RAW_Клиенты!D876</f>
        <v>8-903-789-01-23</v>
      </c>
      <c r="F877" s="11" t="str">
        <f>RAW_Клиенты!E876</f>
        <v>berezhnoy@yandex</v>
      </c>
      <c r="G877" s="11" t="str">
        <f>RAW_Клиенты!F876</f>
        <v>Ставрополь</v>
      </c>
      <c r="H877" s="11" t="str">
        <f>RAW_Клиенты!G876</f>
        <v>2046-04-10</v>
      </c>
      <c r="I877" s="12" t="str">
        <f t="shared" si="502"/>
        <v>89037890123</v>
      </c>
      <c r="J877" s="12" t="str">
        <f t="shared" si="503"/>
        <v>berezhnoy@yandex</v>
      </c>
      <c r="K877" s="12" t="str">
        <f t="shared" si="504"/>
        <v>Ставрополь</v>
      </c>
      <c r="L877" s="13" t="str">
        <f t="shared" si="505"/>
        <v>C0875</v>
      </c>
      <c r="M877" s="13" t="str">
        <f t="shared" si="506"/>
        <v xml:space="preserve">Бережной Илья Викторович</v>
      </c>
      <c r="N877" s="13" t="str">
        <f t="shared" si="507"/>
        <v>OK</v>
      </c>
      <c r="O877" s="19">
        <f t="shared" si="508"/>
        <v>30171</v>
      </c>
      <c r="P877" s="19">
        <f t="shared" si="509"/>
        <v>53427</v>
      </c>
      <c r="Q877" s="13">
        <f t="shared" ca="1" si="510"/>
        <v>44</v>
      </c>
      <c r="R877" s="13" t="str">
        <f t="shared" si="511"/>
        <v>OK</v>
      </c>
      <c r="S877" s="13" t="str">
        <f t="shared" si="512"/>
        <v xml:space="preserve">+7 (903) 789-01-23</v>
      </c>
      <c r="T877" s="13" t="str">
        <f t="shared" si="513"/>
        <v>berezhnoy@yandex</v>
      </c>
      <c r="U877" s="18" t="str">
        <f t="shared" si="514"/>
        <v xml:space="preserve">Ошибка Email</v>
      </c>
      <c r="V877" s="13" t="str">
        <f>IFERROR(VLOOKUP(K877,Справочники!$K$6:$L$13,2,0),K877)</f>
        <v>Ставрополь</v>
      </c>
    </row>
    <row r="878" ht="15" customHeight="1">
      <c r="A878" s="10">
        <v>876</v>
      </c>
      <c r="B878" s="11" t="str">
        <f>RAW_Клиенты!A877</f>
        <v>C0876</v>
      </c>
      <c r="C878" s="11" t="str">
        <f>RAW_Клиенты!B877</f>
        <v xml:space="preserve">Булатова Мария Олеговна</v>
      </c>
      <c r="D878" s="11" t="str">
        <f>RAW_Клиенты!C877</f>
        <v>06.11.1990</v>
      </c>
      <c r="E878" s="11" t="str">
        <f>RAW_Клиенты!D877</f>
        <v xml:space="preserve">8 903 890 12 34</v>
      </c>
      <c r="F878" s="11" t="str">
        <f>RAW_Клиенты!E877</f>
        <v>bulatova@gmail</v>
      </c>
      <c r="G878" s="11" t="str">
        <f>RAW_Клиенты!F877</f>
        <v>Севастополь</v>
      </c>
      <c r="H878" s="11" t="str">
        <f>RAW_Клиенты!G877</f>
        <v>10.04.2046</v>
      </c>
      <c r="I878" s="12" t="str">
        <f t="shared" si="502"/>
        <v>89038901234</v>
      </c>
      <c r="J878" s="12" t="str">
        <f t="shared" si="503"/>
        <v>bulatova@gmail</v>
      </c>
      <c r="K878" s="12" t="str">
        <f t="shared" si="504"/>
        <v>Севастополь</v>
      </c>
      <c r="L878" s="13" t="str">
        <f t="shared" si="505"/>
        <v>C0876</v>
      </c>
      <c r="M878" s="13" t="str">
        <f t="shared" si="506"/>
        <v xml:space="preserve">Булатова Мария Олеговна</v>
      </c>
      <c r="N878" s="13" t="str">
        <f t="shared" si="507"/>
        <v>OK</v>
      </c>
      <c r="O878" s="19">
        <f t="shared" si="508"/>
        <v>33183</v>
      </c>
      <c r="P878" s="19">
        <f t="shared" si="509"/>
        <v>53427</v>
      </c>
      <c r="Q878" s="13">
        <f t="shared" ca="1" si="510"/>
        <v>35</v>
      </c>
      <c r="R878" s="13" t="str">
        <f t="shared" si="511"/>
        <v>OK</v>
      </c>
      <c r="S878" s="13" t="str">
        <f t="shared" si="512"/>
        <v xml:space="preserve">+7 (903) 890-12-34</v>
      </c>
      <c r="T878" s="13" t="str">
        <f t="shared" si="513"/>
        <v>bulatova@gmail</v>
      </c>
      <c r="U878" s="18" t="str">
        <f t="shared" si="514"/>
        <v xml:space="preserve">Ошибка Email</v>
      </c>
      <c r="V878" s="13" t="str">
        <f>IFERROR(VLOOKUP(K878,Справочники!$K$6:$L$13,2,0),K878)</f>
        <v>Севастополь</v>
      </c>
    </row>
    <row r="879" ht="15" customHeight="1">
      <c r="A879" s="10">
        <v>877</v>
      </c>
      <c r="B879" s="11" t="str">
        <f>RAW_Клиенты!A878</f>
        <v>C0877</v>
      </c>
      <c r="C879" s="11" t="str">
        <f>RAW_Клиенты!B878</f>
        <v xml:space="preserve">Капустин Андрей Павлович</v>
      </c>
      <c r="D879" s="11" t="str">
        <f>RAW_Клиенты!C878</f>
        <v>29.09.1975</v>
      </c>
      <c r="E879" s="11" t="str">
        <f>RAW_Клиенты!D878</f>
        <v>+79038901234</v>
      </c>
      <c r="F879" s="11" t="str">
        <f>RAW_Клиенты!E878</f>
        <v>kapustin@mail</v>
      </c>
      <c r="G879" s="11" t="str">
        <f>RAW_Клиенты!F878</f>
        <v>Сочи</v>
      </c>
      <c r="H879" s="11" t="str">
        <f>RAW_Клиенты!G878</f>
        <v>01.05.2046</v>
      </c>
      <c r="I879" s="12" t="str">
        <f t="shared" si="502"/>
        <v>79038901234</v>
      </c>
      <c r="J879" s="12" t="str">
        <f t="shared" si="503"/>
        <v>kapustin@mail</v>
      </c>
      <c r="K879" s="12" t="str">
        <f t="shared" si="504"/>
        <v>Сочи</v>
      </c>
      <c r="L879" s="13" t="str">
        <f t="shared" si="505"/>
        <v>C0877</v>
      </c>
      <c r="M879" s="13" t="str">
        <f t="shared" si="506"/>
        <v xml:space="preserve">Капустин Андрей Павлович</v>
      </c>
      <c r="N879" s="13" t="str">
        <f t="shared" si="507"/>
        <v>OK</v>
      </c>
      <c r="O879" s="19">
        <f t="shared" si="508"/>
        <v>27666</v>
      </c>
      <c r="P879" s="19">
        <f t="shared" si="509"/>
        <v>53448</v>
      </c>
      <c r="Q879" s="13">
        <f t="shared" ca="1" si="510"/>
        <v>50</v>
      </c>
      <c r="R879" s="13" t="str">
        <f t="shared" si="511"/>
        <v>OK</v>
      </c>
      <c r="S879" s="13" t="str">
        <f t="shared" si="512"/>
        <v xml:space="preserve">+7 (903) 890-12-34</v>
      </c>
      <c r="T879" s="13" t="str">
        <f t="shared" si="513"/>
        <v>kapustin@mail</v>
      </c>
      <c r="U879" s="18" t="str">
        <f t="shared" si="514"/>
        <v xml:space="preserve">Ошибка Email</v>
      </c>
      <c r="V879" s="13" t="str">
        <f>IFERROR(VLOOKUP(K879,Справочники!$K$6:$L$13,2,0),K879)</f>
        <v>Сочи</v>
      </c>
    </row>
    <row r="880" ht="15" customHeight="1">
      <c r="A880" s="10">
        <v>878</v>
      </c>
      <c r="B880" s="11" t="str">
        <f>RAW_Клиенты!A879</f>
        <v>C0878</v>
      </c>
      <c r="C880" s="11" t="str">
        <f>RAW_Клиенты!B879</f>
        <v xml:space="preserve">Бирюкова Ольга Сергеевна</v>
      </c>
      <c r="D880" s="11" t="str">
        <f>RAW_Клиенты!C879</f>
        <v>03.12.1981</v>
      </c>
      <c r="E880" s="11" t="str">
        <f>RAW_Клиенты!D879</f>
        <v>8-903-890-12-34</v>
      </c>
      <c r="F880" s="11" t="str">
        <f>RAW_Клиенты!E879</f>
        <v>biryukova@yandex</v>
      </c>
      <c r="G880" s="11" t="str">
        <f>RAW_Клиенты!F879</f>
        <v>Симферополь</v>
      </c>
      <c r="H880" s="11" t="str">
        <f>RAW_Клиенты!G879</f>
        <v>2046-05-15</v>
      </c>
      <c r="I880" s="12" t="str">
        <f t="shared" si="502"/>
        <v>89038901234</v>
      </c>
      <c r="J880" s="12" t="str">
        <f t="shared" si="503"/>
        <v>biryukova@yandex</v>
      </c>
      <c r="K880" s="12" t="str">
        <f t="shared" si="504"/>
        <v>Симферополь</v>
      </c>
      <c r="L880" s="13" t="str">
        <f t="shared" si="505"/>
        <v>C0878</v>
      </c>
      <c r="M880" s="13" t="str">
        <f t="shared" si="506"/>
        <v xml:space="preserve">Бирюкова Ольга Сергеевна</v>
      </c>
      <c r="N880" s="13" t="str">
        <f t="shared" si="507"/>
        <v>OK</v>
      </c>
      <c r="O880" s="19">
        <f t="shared" si="508"/>
        <v>29923</v>
      </c>
      <c r="P880" s="19">
        <f t="shared" si="509"/>
        <v>53462</v>
      </c>
      <c r="Q880" s="13">
        <f t="shared" ca="1" si="510"/>
        <v>44</v>
      </c>
      <c r="R880" s="13" t="str">
        <f t="shared" si="511"/>
        <v>OK</v>
      </c>
      <c r="S880" s="13" t="str">
        <f t="shared" si="512"/>
        <v xml:space="preserve">+7 (903) 890-12-34</v>
      </c>
      <c r="T880" s="13" t="str">
        <f t="shared" si="513"/>
        <v>biryukova@yandex</v>
      </c>
      <c r="U880" s="18" t="str">
        <f t="shared" si="514"/>
        <v xml:space="preserve">Ошибка Email</v>
      </c>
      <c r="V880" s="13" t="str">
        <f>IFERROR(VLOOKUP(K880,Справочники!$K$6:$L$13,2,0),K880)</f>
        <v>Симферополь</v>
      </c>
    </row>
    <row r="881" ht="15" customHeight="1">
      <c r="A881" s="10">
        <v>879</v>
      </c>
      <c r="B881" s="11" t="str">
        <f>RAW_Клиенты!A880</f>
        <v>C0879</v>
      </c>
      <c r="C881" s="11" t="str">
        <f>RAW_Клиенты!B880</f>
        <v xml:space="preserve">Барсуков Денис Викторович</v>
      </c>
      <c r="D881" s="11" t="str">
        <f>RAW_Клиенты!C880</f>
        <v>19.01.1987</v>
      </c>
      <c r="E881" s="11" t="str">
        <f>RAW_Клиенты!D880</f>
        <v xml:space="preserve">8 903 901 23 45</v>
      </c>
      <c r="F881" s="11" t="str">
        <f>RAW_Клиенты!E880</f>
        <v>barsukov@gmail</v>
      </c>
      <c r="G881" s="11" t="str">
        <f>RAW_Клиенты!F880</f>
        <v>Брянск</v>
      </c>
      <c r="H881" s="11" t="str">
        <f>RAW_Клиенты!G880</f>
        <v>15.05.2046</v>
      </c>
      <c r="I881" s="12" t="str">
        <f t="shared" si="502"/>
        <v>89039012345</v>
      </c>
      <c r="J881" s="12" t="str">
        <f t="shared" si="503"/>
        <v>barsukov@gmail</v>
      </c>
      <c r="K881" s="12" t="str">
        <f t="shared" si="504"/>
        <v>Брянск</v>
      </c>
      <c r="L881" s="13" t="str">
        <f t="shared" si="505"/>
        <v>C0879</v>
      </c>
      <c r="M881" s="13" t="str">
        <f t="shared" si="506"/>
        <v xml:space="preserve">Барсуков Денис Викторович</v>
      </c>
      <c r="N881" s="13" t="str">
        <f t="shared" si="507"/>
        <v>OK</v>
      </c>
      <c r="O881" s="19">
        <f t="shared" si="508"/>
        <v>31796</v>
      </c>
      <c r="P881" s="19">
        <f t="shared" si="509"/>
        <v>53462</v>
      </c>
      <c r="Q881" s="13">
        <f t="shared" ca="1" si="510"/>
        <v>39</v>
      </c>
      <c r="R881" s="13" t="str">
        <f t="shared" si="511"/>
        <v>OK</v>
      </c>
      <c r="S881" s="13" t="str">
        <f t="shared" si="512"/>
        <v xml:space="preserve">+7 (903) 901-23-45</v>
      </c>
      <c r="T881" s="13" t="str">
        <f t="shared" si="513"/>
        <v>barsukov@gmail</v>
      </c>
      <c r="U881" s="18" t="str">
        <f t="shared" si="514"/>
        <v xml:space="preserve">Ошибка Email</v>
      </c>
      <c r="V881" s="13" t="str">
        <f>IFERROR(VLOOKUP(K881,Справочники!$K$6:$L$13,2,0),K881)</f>
        <v>Брянск</v>
      </c>
    </row>
    <row r="882" ht="15" customHeight="1">
      <c r="A882" s="10">
        <v>880</v>
      </c>
      <c r="B882" s="11" t="str">
        <f>RAW_Клиенты!A881</f>
        <v>C0880</v>
      </c>
      <c r="C882" s="11" t="str">
        <f>RAW_Клиенты!B881</f>
        <v xml:space="preserve">Мосина Екатерина Владимировна</v>
      </c>
      <c r="D882" s="11" t="str">
        <f>RAW_Клиенты!C881</f>
        <v>01.08.1992</v>
      </c>
      <c r="E882" s="11" t="str">
        <f>RAW_Клиенты!D881</f>
        <v>+79039012345</v>
      </c>
      <c r="F882" s="11" t="str">
        <f>RAW_Клиенты!E881</f>
        <v>mosina@mail</v>
      </c>
      <c r="G882" s="11" t="str">
        <f>RAW_Клиенты!F881</f>
        <v>Абакан</v>
      </c>
      <c r="H882" s="11" t="str">
        <f>RAW_Клиенты!G881</f>
        <v>01.06.2046</v>
      </c>
      <c r="I882" s="12" t="str">
        <f t="shared" si="502"/>
        <v>79039012345</v>
      </c>
      <c r="J882" s="12" t="str">
        <f t="shared" si="503"/>
        <v>mosina@mail</v>
      </c>
      <c r="K882" s="12" t="str">
        <f t="shared" si="504"/>
        <v>Абакан</v>
      </c>
      <c r="L882" s="13" t="str">
        <f t="shared" si="505"/>
        <v>C0880</v>
      </c>
      <c r="M882" s="13" t="str">
        <f t="shared" si="506"/>
        <v xml:space="preserve">Мосина Екатерина Владимировна</v>
      </c>
      <c r="N882" s="13" t="str">
        <f t="shared" si="507"/>
        <v>OK</v>
      </c>
      <c r="O882" s="19">
        <f t="shared" si="508"/>
        <v>33817</v>
      </c>
      <c r="P882" s="19">
        <f t="shared" si="509"/>
        <v>53479</v>
      </c>
      <c r="Q882" s="13">
        <f t="shared" ca="1" si="510"/>
        <v>34</v>
      </c>
      <c r="R882" s="13" t="str">
        <f t="shared" si="511"/>
        <v>OK</v>
      </c>
      <c r="S882" s="13" t="str">
        <f t="shared" si="512"/>
        <v xml:space="preserve">+7 (903) 901-23-45</v>
      </c>
      <c r="T882" s="13" t="str">
        <f t="shared" si="513"/>
        <v>mosina@mail</v>
      </c>
      <c r="U882" s="18" t="str">
        <f t="shared" si="514"/>
        <v xml:space="preserve">Ошибка Email</v>
      </c>
      <c r="V882" s="13" t="str">
        <f>IFERROR(VLOOKUP(K882,Справочники!$K$6:$L$13,2,0),K882)</f>
        <v>Абакан</v>
      </c>
    </row>
    <row r="883" ht="15" customHeight="1">
      <c r="A883" s="10">
        <v>881</v>
      </c>
      <c r="B883" s="11" t="str">
        <f>RAW_Клиенты!A882</f>
        <v>C0881</v>
      </c>
      <c r="C883" s="11" t="str">
        <f>RAW_Клиенты!B882</f>
        <v xml:space="preserve">Вершинин Илья Александрович</v>
      </c>
      <c r="D883" s="11" t="str">
        <f>RAW_Клиенты!C882</f>
        <v>24.06.1978</v>
      </c>
      <c r="E883" s="11" t="str">
        <f>RAW_Клиенты!D882</f>
        <v>8-903-901-23-45</v>
      </c>
      <c r="F883" s="11" t="str">
        <f>RAW_Клиенты!E882</f>
        <v>vershinin@yandex</v>
      </c>
      <c r="G883" s="11" t="str">
        <f>RAW_Клиенты!F882</f>
        <v>Грозный</v>
      </c>
      <c r="H883" s="11" t="str">
        <f>RAW_Клиенты!G882</f>
        <v>2046-06-10</v>
      </c>
      <c r="I883" s="12" t="str">
        <f t="shared" si="502"/>
        <v>89039012345</v>
      </c>
      <c r="J883" s="12" t="str">
        <f t="shared" si="503"/>
        <v>vershinin@yandex</v>
      </c>
      <c r="K883" s="12" t="str">
        <f t="shared" si="504"/>
        <v>Грозный</v>
      </c>
      <c r="L883" s="13" t="str">
        <f t="shared" si="505"/>
        <v>C0881</v>
      </c>
      <c r="M883" s="13" t="str">
        <f t="shared" si="506"/>
        <v xml:space="preserve">Вершинин Илья Александрович</v>
      </c>
      <c r="N883" s="13" t="str">
        <f t="shared" si="507"/>
        <v>OK</v>
      </c>
      <c r="O883" s="19">
        <f t="shared" si="508"/>
        <v>28665</v>
      </c>
      <c r="P883" s="19">
        <f t="shared" si="509"/>
        <v>53488</v>
      </c>
      <c r="Q883" s="13">
        <f t="shared" ca="1" si="510"/>
        <v>48</v>
      </c>
      <c r="R883" s="13" t="str">
        <f t="shared" si="511"/>
        <v>OK</v>
      </c>
      <c r="S883" s="13" t="str">
        <f t="shared" si="512"/>
        <v xml:space="preserve">+7 (903) 901-23-45</v>
      </c>
      <c r="T883" s="13" t="str">
        <f t="shared" si="513"/>
        <v>vershinin@yandex</v>
      </c>
      <c r="U883" s="18" t="str">
        <f t="shared" si="514"/>
        <v xml:space="preserve">Ошибка Email</v>
      </c>
      <c r="V883" s="13" t="str">
        <f>IFERROR(VLOOKUP(K883,Справочники!$K$6:$L$13,2,0),K883)</f>
        <v>Грозный</v>
      </c>
    </row>
    <row r="884" ht="15" customHeight="1">
      <c r="A884" s="10">
        <v>882</v>
      </c>
      <c r="B884" s="11" t="str">
        <f>RAW_Клиенты!A883</f>
        <v>C0882</v>
      </c>
      <c r="C884" s="11" t="str">
        <f>RAW_Клиенты!B883</f>
        <v xml:space="preserve">Волова Мария Павловна</v>
      </c>
      <c r="D884" s="11" t="str">
        <f>RAW_Клиенты!C883</f>
        <v>15.04.1984</v>
      </c>
      <c r="E884" s="11" t="str">
        <f>RAW_Клиенты!D883</f>
        <v xml:space="preserve">8 903 012 34 56</v>
      </c>
      <c r="F884" s="11" t="str">
        <f>RAW_Клиенты!E883</f>
        <v>volova@gmail</v>
      </c>
      <c r="G884" s="11" t="str">
        <f>RAW_Клиенты!F883</f>
        <v>Бийск</v>
      </c>
      <c r="H884" s="11" t="str">
        <f>RAW_Клиенты!G883</f>
        <v>10.06.2046</v>
      </c>
      <c r="I884" s="12" t="str">
        <f t="shared" si="502"/>
        <v>89030123456</v>
      </c>
      <c r="J884" s="12" t="str">
        <f t="shared" si="503"/>
        <v>volova@gmail</v>
      </c>
      <c r="K884" s="12" t="str">
        <f t="shared" si="504"/>
        <v>Бийск</v>
      </c>
      <c r="L884" s="13" t="str">
        <f t="shared" si="505"/>
        <v>C0882</v>
      </c>
      <c r="M884" s="13" t="str">
        <f t="shared" si="506"/>
        <v xml:space="preserve">Волова Мария Павловна</v>
      </c>
      <c r="N884" s="13" t="str">
        <f t="shared" si="507"/>
        <v>OK</v>
      </c>
      <c r="O884" s="19">
        <f t="shared" si="508"/>
        <v>30787</v>
      </c>
      <c r="P884" s="19">
        <f t="shared" si="509"/>
        <v>53488</v>
      </c>
      <c r="Q884" s="13">
        <f t="shared" ca="1" si="510"/>
        <v>42</v>
      </c>
      <c r="R884" s="13" t="str">
        <f t="shared" si="511"/>
        <v>OK</v>
      </c>
      <c r="S884" s="13" t="str">
        <f t="shared" si="512"/>
        <v xml:space="preserve">+7 (903) 012-34-56</v>
      </c>
      <c r="T884" s="13" t="str">
        <f t="shared" si="513"/>
        <v>volova@gmail</v>
      </c>
      <c r="U884" s="18" t="str">
        <f t="shared" si="514"/>
        <v xml:space="preserve">Ошибка Email</v>
      </c>
      <c r="V884" s="13" t="str">
        <f>IFERROR(VLOOKUP(K884,Справочники!$K$6:$L$13,2,0),K884)</f>
        <v>Бийск</v>
      </c>
    </row>
    <row r="885" ht="15" customHeight="1">
      <c r="A885" s="10">
        <v>883</v>
      </c>
      <c r="B885" s="11" t="str">
        <f>RAW_Клиенты!A884</f>
        <v>C0883</v>
      </c>
      <c r="C885" s="11" t="str">
        <f>RAW_Клиенты!B884</f>
        <v xml:space="preserve">Мезенцев Андрей Олегович</v>
      </c>
      <c r="D885" s="11" t="str">
        <f>RAW_Клиенты!C884</f>
        <v>11.09.1989</v>
      </c>
      <c r="E885" s="11" t="str">
        <f>RAW_Клиенты!D884</f>
        <v>+79030123456</v>
      </c>
      <c r="F885" s="11" t="str">
        <f>RAW_Клиенты!E884</f>
        <v>mezencev@mail</v>
      </c>
      <c r="G885" s="11" t="str">
        <f>RAW_Клиенты!F884</f>
        <v>Йошкар-Ола</v>
      </c>
      <c r="H885" s="11" t="str">
        <f>RAW_Клиенты!G884</f>
        <v>01.07.2046</v>
      </c>
      <c r="I885" s="12" t="str">
        <f t="shared" si="502"/>
        <v>79030123456</v>
      </c>
      <c r="J885" s="12" t="str">
        <f t="shared" si="503"/>
        <v>mezencev@mail</v>
      </c>
      <c r="K885" s="12" t="str">
        <f t="shared" si="504"/>
        <v>Йошкар-Ола</v>
      </c>
      <c r="L885" s="13" t="str">
        <f t="shared" si="505"/>
        <v>C0883</v>
      </c>
      <c r="M885" s="13" t="str">
        <f t="shared" si="506"/>
        <v xml:space="preserve">Мезенцев Андрей Олегович</v>
      </c>
      <c r="N885" s="13" t="str">
        <f t="shared" si="507"/>
        <v>OK</v>
      </c>
      <c r="O885" s="19">
        <f t="shared" si="508"/>
        <v>32762</v>
      </c>
      <c r="P885" s="19">
        <f t="shared" si="509"/>
        <v>53509</v>
      </c>
      <c r="Q885" s="13">
        <f t="shared" ca="1" si="510"/>
        <v>37</v>
      </c>
      <c r="R885" s="13" t="str">
        <f t="shared" si="511"/>
        <v>OK</v>
      </c>
      <c r="S885" s="13" t="str">
        <f t="shared" si="512"/>
        <v xml:space="preserve">+7 (903) 012-34-56</v>
      </c>
      <c r="T885" s="13" t="str">
        <f t="shared" si="513"/>
        <v>mezencev@mail</v>
      </c>
      <c r="U885" s="18" t="str">
        <f t="shared" si="514"/>
        <v xml:space="preserve">Ошибка Email</v>
      </c>
      <c r="V885" s="13" t="str">
        <f>IFERROR(VLOOKUP(K885,Справочники!$K$6:$L$13,2,0),K885)</f>
        <v>Йошкар-Ола</v>
      </c>
    </row>
    <row r="886" ht="15" customHeight="1">
      <c r="A886" s="10">
        <v>884</v>
      </c>
      <c r="B886" s="11" t="str">
        <f>RAW_Клиенты!A885</f>
        <v>C0884</v>
      </c>
      <c r="C886" s="11" t="str">
        <f>RAW_Клиенты!B885</f>
        <v xml:space="preserve">Аксенова Ольга Сергеевна</v>
      </c>
      <c r="D886" s="11" t="str">
        <f>RAW_Клиенты!C885</f>
        <v>07.12.1973</v>
      </c>
      <c r="E886" s="11" t="str">
        <f>RAW_Клиенты!D885</f>
        <v>8-903-012-34-56</v>
      </c>
      <c r="F886" s="11" t="str">
        <f>RAW_Клиенты!E885</f>
        <v>aksenova@yandex</v>
      </c>
      <c r="G886" s="11" t="str">
        <f>RAW_Клиенты!F885</f>
        <v>Курган</v>
      </c>
      <c r="H886" s="11" t="str">
        <f>RAW_Клиенты!G885</f>
        <v>2046-07-15</v>
      </c>
      <c r="I886" s="12" t="str">
        <f t="shared" si="502"/>
        <v>89030123456</v>
      </c>
      <c r="J886" s="12" t="str">
        <f t="shared" si="503"/>
        <v>aksenova@yandex</v>
      </c>
      <c r="K886" s="12" t="str">
        <f t="shared" si="504"/>
        <v>Курган</v>
      </c>
      <c r="L886" s="13" t="str">
        <f t="shared" si="505"/>
        <v>C0884</v>
      </c>
      <c r="M886" s="13" t="str">
        <f t="shared" si="506"/>
        <v xml:space="preserve">Аксенова Ольга Сергеевна</v>
      </c>
      <c r="N886" s="13" t="str">
        <f t="shared" si="507"/>
        <v>OK</v>
      </c>
      <c r="O886" s="19">
        <f t="shared" si="508"/>
        <v>27005</v>
      </c>
      <c r="P886" s="19">
        <f t="shared" si="509"/>
        <v>53523</v>
      </c>
      <c r="Q886" s="13">
        <f t="shared" ca="1" si="510"/>
        <v>52</v>
      </c>
      <c r="R886" s="13" t="str">
        <f t="shared" si="511"/>
        <v>OK</v>
      </c>
      <c r="S886" s="13" t="str">
        <f t="shared" si="512"/>
        <v xml:space="preserve">+7 (903) 012-34-56</v>
      </c>
      <c r="T886" s="13" t="str">
        <f t="shared" si="513"/>
        <v>aksenova@yandex</v>
      </c>
      <c r="U886" s="18" t="str">
        <f t="shared" si="514"/>
        <v xml:space="preserve">Ошибка Email</v>
      </c>
      <c r="V886" s="13" t="str">
        <f>IFERROR(VLOOKUP(K886,Справочники!$K$6:$L$13,2,0),K886)</f>
        <v>Курган</v>
      </c>
    </row>
    <row r="887" ht="15" customHeight="1">
      <c r="A887" s="10">
        <v>885</v>
      </c>
      <c r="B887" s="11" t="str">
        <f>RAW_Клиенты!A886</f>
        <v>C0885</v>
      </c>
      <c r="C887" s="11" t="str">
        <f>RAW_Клиенты!B886</f>
        <v xml:space="preserve">Смолин Денис Павлович</v>
      </c>
      <c r="D887" s="11" t="str">
        <f>RAW_Клиенты!C886</f>
        <v>19.05.1986</v>
      </c>
      <c r="E887" s="11" t="str">
        <f>RAW_Клиенты!D886</f>
        <v xml:space="preserve">8 903 123 45 67</v>
      </c>
      <c r="F887" s="11" t="str">
        <f>RAW_Клиенты!E886</f>
        <v>smolin@gmail</v>
      </c>
      <c r="G887" s="11" t="str">
        <f>RAW_Клиенты!F886</f>
        <v>Архангельск</v>
      </c>
      <c r="H887" s="11" t="str">
        <f>RAW_Клиенты!G886</f>
        <v>15.07.2046</v>
      </c>
      <c r="I887" s="12" t="str">
        <f t="shared" si="502"/>
        <v>89031234567</v>
      </c>
      <c r="J887" s="12" t="str">
        <f t="shared" si="503"/>
        <v>smolin@gmail</v>
      </c>
      <c r="K887" s="12" t="str">
        <f t="shared" si="504"/>
        <v>Архангельск</v>
      </c>
      <c r="L887" s="13" t="str">
        <f t="shared" si="505"/>
        <v>C0885</v>
      </c>
      <c r="M887" s="13" t="str">
        <f t="shared" si="506"/>
        <v xml:space="preserve">Смолин Денис Павлович</v>
      </c>
      <c r="N887" s="13" t="str">
        <f t="shared" si="507"/>
        <v>OK</v>
      </c>
      <c r="O887" s="19">
        <f t="shared" si="508"/>
        <v>31551</v>
      </c>
      <c r="P887" s="19">
        <f t="shared" si="509"/>
        <v>53523</v>
      </c>
      <c r="Q887" s="13">
        <f t="shared" ca="1" si="510"/>
        <v>40</v>
      </c>
      <c r="R887" s="13" t="str">
        <f t="shared" si="511"/>
        <v>OK</v>
      </c>
      <c r="S887" s="13" t="str">
        <f t="shared" si="512"/>
        <v xml:space="preserve">+7 (903) 123-45-67</v>
      </c>
      <c r="T887" s="13" t="str">
        <f t="shared" si="513"/>
        <v>smolin@gmail</v>
      </c>
      <c r="U887" s="18" t="str">
        <f t="shared" si="514"/>
        <v xml:space="preserve">Ошибка Email</v>
      </c>
      <c r="V887" s="13" t="str">
        <f>IFERROR(VLOOKUP(K887,Справочники!$K$6:$L$13,2,0),K887)</f>
        <v>Архангельск</v>
      </c>
    </row>
    <row r="888" ht="15" customHeight="1">
      <c r="A888" s="10">
        <v>886</v>
      </c>
      <c r="B888" s="11" t="str">
        <f>RAW_Клиенты!A887</f>
        <v>C0886</v>
      </c>
      <c r="C888" s="11" t="str">
        <f>RAW_Клиенты!B887</f>
        <v xml:space="preserve">Сергиенко Екатерина Владимировна</v>
      </c>
      <c r="D888" s="11" t="str">
        <f>RAW_Клиенты!C887</f>
        <v>04.11.1990</v>
      </c>
      <c r="E888" s="11" t="str">
        <f>RAW_Клиенты!D887</f>
        <v>+79031234567</v>
      </c>
      <c r="F888" s="11" t="str">
        <f>RAW_Клиенты!E887</f>
        <v>sergienko@mail</v>
      </c>
      <c r="G888" s="11" t="str">
        <f>RAW_Клиенты!F887</f>
        <v>Благовещенск</v>
      </c>
      <c r="H888" s="11" t="str">
        <f>RAW_Клиенты!G887</f>
        <v>01.08.2046</v>
      </c>
      <c r="I888" s="12" t="str">
        <f t="shared" si="502"/>
        <v>79031234567</v>
      </c>
      <c r="J888" s="12" t="str">
        <f t="shared" si="503"/>
        <v>sergienko@mail</v>
      </c>
      <c r="K888" s="12" t="str">
        <f t="shared" si="504"/>
        <v>Благовещенск</v>
      </c>
      <c r="L888" s="13" t="str">
        <f t="shared" si="505"/>
        <v>C0886</v>
      </c>
      <c r="M888" s="13" t="str">
        <f t="shared" si="506"/>
        <v xml:space="preserve">Сергиенко Екатерина Владимировна</v>
      </c>
      <c r="N888" s="13" t="str">
        <f t="shared" si="507"/>
        <v>OK</v>
      </c>
      <c r="O888" s="19">
        <f t="shared" si="508"/>
        <v>33181</v>
      </c>
      <c r="P888" s="19">
        <f t="shared" si="509"/>
        <v>53540</v>
      </c>
      <c r="Q888" s="13">
        <f t="shared" ca="1" si="510"/>
        <v>35</v>
      </c>
      <c r="R888" s="13" t="str">
        <f t="shared" si="511"/>
        <v>OK</v>
      </c>
      <c r="S888" s="13" t="str">
        <f t="shared" si="512"/>
        <v xml:space="preserve">+7 (903) 123-45-67</v>
      </c>
      <c r="T888" s="13" t="str">
        <f t="shared" si="513"/>
        <v>sergienko@mail</v>
      </c>
      <c r="U888" s="18" t="str">
        <f t="shared" si="514"/>
        <v xml:space="preserve">Ошибка Email</v>
      </c>
      <c r="V888" s="13" t="str">
        <f>IFERROR(VLOOKUP(K888,Справочники!$K$6:$L$13,2,0),K888)</f>
        <v>Благовещенск</v>
      </c>
    </row>
    <row r="889" ht="15" customHeight="1">
      <c r="A889" s="10">
        <v>887</v>
      </c>
      <c r="B889" s="11" t="str">
        <f>RAW_Клиенты!A888</f>
        <v>C0887</v>
      </c>
      <c r="C889" s="11" t="str">
        <f>RAW_Клиенты!B888</f>
        <v xml:space="preserve">Брусницын Илья Александрович</v>
      </c>
      <c r="D889" s="11" t="str">
        <f>RAW_Клиенты!C888</f>
        <v>08.10.1981</v>
      </c>
      <c r="E889" s="11" t="str">
        <f>RAW_Клиенты!D888</f>
        <v>8-903-123-45-67</v>
      </c>
      <c r="F889" s="11" t="str">
        <f>RAW_Клиенты!E888</f>
        <v>brusnitsyn@yandex</v>
      </c>
      <c r="G889" s="11" t="str">
        <f>RAW_Клиенты!F888</f>
        <v>Майкоп</v>
      </c>
      <c r="H889" s="11" t="str">
        <f>RAW_Клиенты!G888</f>
        <v>2046-08-10</v>
      </c>
      <c r="I889" s="12" t="str">
        <f t="shared" si="502"/>
        <v>89031234567</v>
      </c>
      <c r="J889" s="12" t="str">
        <f t="shared" si="503"/>
        <v>brusnitsyn@yandex</v>
      </c>
      <c r="K889" s="12" t="str">
        <f t="shared" si="504"/>
        <v>Майкоп</v>
      </c>
      <c r="L889" s="13" t="str">
        <f t="shared" si="505"/>
        <v>C0887</v>
      </c>
      <c r="M889" s="13" t="str">
        <f t="shared" si="506"/>
        <v xml:space="preserve">Брусницын Илья Александрович</v>
      </c>
      <c r="N889" s="13" t="str">
        <f t="shared" si="507"/>
        <v>OK</v>
      </c>
      <c r="O889" s="19">
        <f t="shared" si="508"/>
        <v>29867</v>
      </c>
      <c r="P889" s="19">
        <f t="shared" si="509"/>
        <v>53549</v>
      </c>
      <c r="Q889" s="13">
        <f t="shared" ca="1" si="510"/>
        <v>44</v>
      </c>
      <c r="R889" s="13" t="str">
        <f t="shared" si="511"/>
        <v>OK</v>
      </c>
      <c r="S889" s="13" t="str">
        <f t="shared" si="512"/>
        <v xml:space="preserve">+7 (903) 123-45-67</v>
      </c>
      <c r="T889" s="13" t="str">
        <f t="shared" si="513"/>
        <v>brusnitsyn@yandex</v>
      </c>
      <c r="U889" s="18" t="str">
        <f t="shared" si="514"/>
        <v xml:space="preserve">Ошибка Email</v>
      </c>
      <c r="V889" s="13" t="str">
        <f>IFERROR(VLOOKUP(K889,Справочники!$K$6:$L$13,2,0),K889)</f>
        <v>Майкоп</v>
      </c>
    </row>
    <row r="890" ht="15" customHeight="1">
      <c r="A890" s="10">
        <v>888</v>
      </c>
      <c r="B890" s="11" t="str">
        <f>RAW_Клиенты!A889</f>
        <v>C0888</v>
      </c>
      <c r="C890" s="11" t="str">
        <f>RAW_Клиенты!B889</f>
        <v xml:space="preserve">Виноградова Мария Павловна</v>
      </c>
      <c r="D890" s="11" t="str">
        <f>RAW_Клиенты!C889</f>
        <v>17.03.1975</v>
      </c>
      <c r="E890" s="11" t="str">
        <f>RAW_Клиенты!D889</f>
        <v xml:space="preserve">8 903 234 56 78</v>
      </c>
      <c r="F890" s="11" t="str">
        <f>RAW_Клиенты!E889</f>
        <v>vinogradova@gmail</v>
      </c>
      <c r="G890" s="11" t="str">
        <f>RAW_Клиенты!F889</f>
        <v>Уссурийск</v>
      </c>
      <c r="H890" s="11" t="str">
        <f>RAW_Клиенты!G889</f>
        <v>10.08.2046</v>
      </c>
      <c r="I890" s="12" t="str">
        <f t="shared" si="502"/>
        <v>89032345678</v>
      </c>
      <c r="J890" s="12" t="str">
        <f t="shared" si="503"/>
        <v>vinogradova@gmail</v>
      </c>
      <c r="K890" s="12" t="str">
        <f t="shared" si="504"/>
        <v>Уссурийск</v>
      </c>
      <c r="L890" s="13" t="str">
        <f t="shared" si="505"/>
        <v>C0888</v>
      </c>
      <c r="M890" s="13" t="str">
        <f t="shared" si="506"/>
        <v xml:space="preserve">Виноградова Мария Павловна</v>
      </c>
      <c r="N890" s="13" t="str">
        <f t="shared" si="507"/>
        <v>OK</v>
      </c>
      <c r="O890" s="19">
        <f t="shared" si="508"/>
        <v>27470</v>
      </c>
      <c r="P890" s="19">
        <f t="shared" si="509"/>
        <v>53549</v>
      </c>
      <c r="Q890" s="13">
        <f t="shared" ca="1" si="510"/>
        <v>51</v>
      </c>
      <c r="R890" s="13" t="str">
        <f t="shared" si="511"/>
        <v>OK</v>
      </c>
      <c r="S890" s="13" t="str">
        <f t="shared" si="512"/>
        <v xml:space="preserve">+7 (903) 234-56-78</v>
      </c>
      <c r="T890" s="13" t="str">
        <f t="shared" si="513"/>
        <v>vinogradova@gmail</v>
      </c>
      <c r="U890" s="18" t="str">
        <f t="shared" si="514"/>
        <v xml:space="preserve">Ошибка Email</v>
      </c>
      <c r="V890" s="13" t="str">
        <f>IFERROR(VLOOKUP(K890,Справочники!$K$6:$L$13,2,0),K890)</f>
        <v>Уссурийск</v>
      </c>
    </row>
    <row r="891" ht="15" customHeight="1">
      <c r="A891" s="10">
        <v>889</v>
      </c>
      <c r="B891" s="11" t="str">
        <f>RAW_Клиенты!A890</f>
        <v>C0889</v>
      </c>
      <c r="C891" s="11" t="str">
        <f>RAW_Клиенты!B890</f>
        <v xml:space="preserve">Грачев Андрей Олегович</v>
      </c>
      <c r="D891" s="11" t="str">
        <f>RAW_Клиенты!C890</f>
        <v>23.07.1988</v>
      </c>
      <c r="E891" s="11" t="str">
        <f>RAW_Клиенты!D890</f>
        <v>+79032345678</v>
      </c>
      <c r="F891" s="11" t="str">
        <f>RAW_Клиенты!E890</f>
        <v>grachev@mail</v>
      </c>
      <c r="G891" s="11" t="str">
        <f>RAW_Клиенты!F890</f>
        <v>Миасс</v>
      </c>
      <c r="H891" s="11" t="str">
        <f>RAW_Клиенты!G890</f>
        <v>01.09.2046</v>
      </c>
      <c r="I891" s="12" t="str">
        <f t="shared" si="502"/>
        <v>79032345678</v>
      </c>
      <c r="J891" s="12" t="str">
        <f t="shared" si="503"/>
        <v>grachev@mail</v>
      </c>
      <c r="K891" s="12" t="str">
        <f t="shared" si="504"/>
        <v>Миасс</v>
      </c>
      <c r="L891" s="13" t="str">
        <f t="shared" si="505"/>
        <v>C0889</v>
      </c>
      <c r="M891" s="13" t="str">
        <f t="shared" si="506"/>
        <v xml:space="preserve">Грачев Андрей Олегович</v>
      </c>
      <c r="N891" s="13" t="str">
        <f t="shared" si="507"/>
        <v>OK</v>
      </c>
      <c r="O891" s="19">
        <f t="shared" si="508"/>
        <v>32347</v>
      </c>
      <c r="P891" s="19">
        <f t="shared" si="509"/>
        <v>53571</v>
      </c>
      <c r="Q891" s="13">
        <f t="shared" ca="1" si="510"/>
        <v>38</v>
      </c>
      <c r="R891" s="13" t="str">
        <f t="shared" si="511"/>
        <v>OK</v>
      </c>
      <c r="S891" s="13" t="str">
        <f t="shared" si="512"/>
        <v xml:space="preserve">+7 (903) 234-56-78</v>
      </c>
      <c r="T891" s="13" t="str">
        <f t="shared" si="513"/>
        <v>grachev@mail</v>
      </c>
      <c r="U891" s="18" t="str">
        <f t="shared" si="514"/>
        <v xml:space="preserve">Ошибка Email</v>
      </c>
      <c r="V891" s="13" t="str">
        <f>IFERROR(VLOOKUP(K891,Справочники!$K$6:$L$13,2,0),K891)</f>
        <v>Миасс</v>
      </c>
    </row>
    <row r="892" ht="15" customHeight="1">
      <c r="A892" s="10">
        <v>890</v>
      </c>
      <c r="B892" s="11" t="str">
        <f>RAW_Клиенты!A891</f>
        <v>C0890</v>
      </c>
      <c r="C892" s="11" t="str">
        <f>RAW_Клиенты!B891</f>
        <v xml:space="preserve">Тимофеева Ольга Сергеевна</v>
      </c>
      <c r="D892" s="11" t="str">
        <f>RAW_Клиенты!C891</f>
        <v>21.01.1983</v>
      </c>
      <c r="E892" s="11" t="str">
        <f>RAW_Клиенты!D891</f>
        <v>8-903-234-56-78</v>
      </c>
      <c r="F892" s="11" t="str">
        <f>RAW_Клиенты!E891</f>
        <v>timofeeva@yandex</v>
      </c>
      <c r="G892" s="11" t="str">
        <f>RAW_Клиенты!F891</f>
        <v>Кызыл</v>
      </c>
      <c r="H892" s="11" t="str">
        <f>RAW_Клиенты!G891</f>
        <v>2046-09-15</v>
      </c>
      <c r="I892" s="12" t="str">
        <f t="shared" si="502"/>
        <v>89032345678</v>
      </c>
      <c r="J892" s="12" t="str">
        <f t="shared" si="503"/>
        <v>timofeeva@yandex</v>
      </c>
      <c r="K892" s="12" t="str">
        <f t="shared" si="504"/>
        <v>Кызыл</v>
      </c>
      <c r="L892" s="13" t="str">
        <f t="shared" si="505"/>
        <v>C0890</v>
      </c>
      <c r="M892" s="13" t="str">
        <f t="shared" si="506"/>
        <v xml:space="preserve">Тимофеева Ольга Сергеевна</v>
      </c>
      <c r="N892" s="13" t="str">
        <f t="shared" si="507"/>
        <v>OK</v>
      </c>
      <c r="O892" s="19">
        <f t="shared" si="508"/>
        <v>30337</v>
      </c>
      <c r="P892" s="19">
        <f t="shared" si="509"/>
        <v>53585</v>
      </c>
      <c r="Q892" s="13">
        <f t="shared" ca="1" si="510"/>
        <v>43</v>
      </c>
      <c r="R892" s="13" t="str">
        <f t="shared" si="511"/>
        <v>OK</v>
      </c>
      <c r="S892" s="13" t="str">
        <f t="shared" si="512"/>
        <v xml:space="preserve">+7 (903) 234-56-78</v>
      </c>
      <c r="T892" s="13" t="str">
        <f t="shared" si="513"/>
        <v>timofeeva@yandex</v>
      </c>
      <c r="U892" s="18" t="str">
        <f t="shared" si="514"/>
        <v xml:space="preserve">Ошибка Email</v>
      </c>
      <c r="V892" s="13" t="str">
        <f>IFERROR(VLOOKUP(K892,Справочники!$K$6:$L$13,2,0),K892)</f>
        <v>Кызыл</v>
      </c>
    </row>
    <row r="893" ht="15" customHeight="1">
      <c r="A893" s="10">
        <v>891</v>
      </c>
      <c r="B893" s="11" t="str">
        <f>RAW_Клиенты!A892</f>
        <v>C0891</v>
      </c>
      <c r="C893" s="11" t="str">
        <f>RAW_Клиенты!B892</f>
        <v xml:space="preserve">Смирнов Денис Викторович</v>
      </c>
      <c r="D893" s="11" t="str">
        <f>RAW_Клиенты!C892</f>
        <v>14.12.1976</v>
      </c>
      <c r="E893" s="11" t="str">
        <f>RAW_Клиенты!D892</f>
        <v xml:space="preserve">8 903 345 67 89</v>
      </c>
      <c r="F893" s="11" t="str">
        <f>RAW_Клиенты!E892</f>
        <v>smirnov@gmail</v>
      </c>
      <c r="G893" s="11" t="str">
        <f>RAW_Клиенты!F892</f>
        <v>Калининград</v>
      </c>
      <c r="H893" s="11" t="str">
        <f>RAW_Клиенты!G892</f>
        <v>15.09.2046</v>
      </c>
      <c r="I893" s="12" t="str">
        <f t="shared" si="502"/>
        <v>89033456789</v>
      </c>
      <c r="J893" s="12" t="str">
        <f t="shared" si="503"/>
        <v>smirnov@gmail</v>
      </c>
      <c r="K893" s="12" t="str">
        <f t="shared" si="504"/>
        <v>Калининград</v>
      </c>
      <c r="L893" s="13" t="str">
        <f t="shared" si="505"/>
        <v>C0891</v>
      </c>
      <c r="M893" s="13" t="str">
        <f t="shared" si="506"/>
        <v xml:space="preserve">Смирнов Денис Викторович</v>
      </c>
      <c r="N893" s="13" t="str">
        <f t="shared" si="507"/>
        <v>OK</v>
      </c>
      <c r="O893" s="19">
        <f t="shared" si="508"/>
        <v>28108</v>
      </c>
      <c r="P893" s="19">
        <f t="shared" si="509"/>
        <v>53585</v>
      </c>
      <c r="Q893" s="13">
        <f t="shared" ca="1" si="510"/>
        <v>49</v>
      </c>
      <c r="R893" s="13" t="str">
        <f t="shared" si="511"/>
        <v>OK</v>
      </c>
      <c r="S893" s="13" t="str">
        <f t="shared" si="512"/>
        <v xml:space="preserve">+7 (903) 345-67-89</v>
      </c>
      <c r="T893" s="13" t="str">
        <f t="shared" si="513"/>
        <v>smirnov@gmail</v>
      </c>
      <c r="U893" s="18" t="str">
        <f t="shared" si="514"/>
        <v xml:space="preserve">Ошибка Email</v>
      </c>
      <c r="V893" s="13" t="str">
        <f>IFERROR(VLOOKUP(K893,Справочники!$K$6:$L$13,2,0),K893)</f>
        <v>Калининград</v>
      </c>
    </row>
    <row r="894" ht="15" customHeight="1">
      <c r="A894" s="10">
        <v>892</v>
      </c>
      <c r="B894" s="11" t="str">
        <f>RAW_Клиенты!A893</f>
        <v>C0892</v>
      </c>
      <c r="C894" s="11" t="str">
        <f>RAW_Клиенты!B893</f>
        <v xml:space="preserve">Ерохина Екатерина Владимировна</v>
      </c>
      <c r="D894" s="11" t="str">
        <f>RAW_Клиенты!C893</f>
        <v>03.04.1984</v>
      </c>
      <c r="E894" s="11" t="str">
        <f>RAW_Клиенты!D893</f>
        <v>+79033456789</v>
      </c>
      <c r="F894" s="11" t="str">
        <f>RAW_Клиенты!E893</f>
        <v>erohina@mail</v>
      </c>
      <c r="G894" s="11" t="str">
        <f>RAW_Клиенты!F893</f>
        <v>Петрозаводск</v>
      </c>
      <c r="H894" s="11" t="str">
        <f>RAW_Клиенты!G893</f>
        <v>01.10.2046</v>
      </c>
      <c r="I894" s="12" t="str">
        <f t="shared" si="502"/>
        <v>79033456789</v>
      </c>
      <c r="J894" s="12" t="str">
        <f t="shared" si="503"/>
        <v>erohina@mail</v>
      </c>
      <c r="K894" s="12" t="str">
        <f t="shared" si="504"/>
        <v>Петрозаводск</v>
      </c>
      <c r="L894" s="13" t="str">
        <f t="shared" si="505"/>
        <v>C0892</v>
      </c>
      <c r="M894" s="13" t="str">
        <f t="shared" si="506"/>
        <v xml:space="preserve">Ерохина Екатерина Владимировна</v>
      </c>
      <c r="N894" s="13" t="str">
        <f t="shared" si="507"/>
        <v>OK</v>
      </c>
      <c r="O894" s="19">
        <f t="shared" si="508"/>
        <v>30775</v>
      </c>
      <c r="P894" s="19">
        <f t="shared" si="509"/>
        <v>53601</v>
      </c>
      <c r="Q894" s="13">
        <f t="shared" ca="1" si="510"/>
        <v>42</v>
      </c>
      <c r="R894" s="13" t="str">
        <f t="shared" si="511"/>
        <v>OK</v>
      </c>
      <c r="S894" s="13" t="str">
        <f t="shared" si="512"/>
        <v xml:space="preserve">+7 (903) 345-67-89</v>
      </c>
      <c r="T894" s="13" t="str">
        <f t="shared" si="513"/>
        <v>erohina@mail</v>
      </c>
      <c r="U894" s="18" t="str">
        <f t="shared" si="514"/>
        <v xml:space="preserve">Ошибка Email</v>
      </c>
      <c r="V894" s="13" t="str">
        <f>IFERROR(VLOOKUP(K894,Справочники!$K$6:$L$13,2,0),K894)</f>
        <v>Петрозаводск</v>
      </c>
    </row>
    <row r="895" ht="15" customHeight="1">
      <c r="A895" s="10">
        <v>893</v>
      </c>
      <c r="B895" s="11" t="str">
        <f>RAW_Клиенты!A894</f>
        <v>C0893</v>
      </c>
      <c r="C895" s="11" t="str">
        <f>RAW_Клиенты!B894</f>
        <v xml:space="preserve">Пелевин Илья Александрович</v>
      </c>
      <c r="D895" s="11" t="str">
        <f>RAW_Клиенты!C894</f>
        <v>06.08.1991</v>
      </c>
      <c r="E895" s="11" t="str">
        <f>RAW_Клиенты!D894</f>
        <v>8-903-345-67-89</v>
      </c>
      <c r="F895" s="11" t="str">
        <f>RAW_Клиенты!E894</f>
        <v>pelevin@yandex</v>
      </c>
      <c r="G895" s="11" t="str">
        <f>RAW_Клиенты!F894</f>
        <v>Рубцовск</v>
      </c>
      <c r="H895" s="11" t="str">
        <f>RAW_Клиенты!G894</f>
        <v>2046-10-10</v>
      </c>
      <c r="I895" s="12" t="str">
        <f t="shared" si="502"/>
        <v>89033456789</v>
      </c>
      <c r="J895" s="12" t="str">
        <f t="shared" si="503"/>
        <v>pelevin@yandex</v>
      </c>
      <c r="K895" s="12" t="str">
        <f t="shared" si="504"/>
        <v>Рубцовск</v>
      </c>
      <c r="L895" s="13" t="str">
        <f t="shared" si="505"/>
        <v>C0893</v>
      </c>
      <c r="M895" s="13" t="str">
        <f t="shared" si="506"/>
        <v xml:space="preserve">Пелевин Илья Александрович</v>
      </c>
      <c r="N895" s="13" t="str">
        <f t="shared" si="507"/>
        <v>OK</v>
      </c>
      <c r="O895" s="19">
        <f t="shared" si="508"/>
        <v>33456</v>
      </c>
      <c r="P895" s="19">
        <f t="shared" si="509"/>
        <v>53610</v>
      </c>
      <c r="Q895" s="13">
        <f t="shared" ca="1" si="510"/>
        <v>35</v>
      </c>
      <c r="R895" s="13" t="str">
        <f t="shared" si="511"/>
        <v>OK</v>
      </c>
      <c r="S895" s="13" t="str">
        <f t="shared" si="512"/>
        <v xml:space="preserve">+7 (903) 345-67-89</v>
      </c>
      <c r="T895" s="13" t="str">
        <f t="shared" si="513"/>
        <v>pelevin@yandex</v>
      </c>
      <c r="U895" s="18" t="str">
        <f t="shared" si="514"/>
        <v xml:space="preserve">Ошибка Email</v>
      </c>
      <c r="V895" s="13" t="str">
        <f>IFERROR(VLOOKUP(K895,Справочники!$K$6:$L$13,2,0),K895)</f>
        <v>Рубцовск</v>
      </c>
    </row>
    <row r="896" ht="15" customHeight="1">
      <c r="A896" s="10">
        <v>894</v>
      </c>
      <c r="B896" s="11" t="str">
        <f>RAW_Клиенты!A895</f>
        <v>C0894</v>
      </c>
      <c r="C896" s="11" t="str">
        <f>RAW_Клиенты!B895</f>
        <v xml:space="preserve">Кирсанова Мария Павловна</v>
      </c>
      <c r="D896" s="11" t="str">
        <f>RAW_Клиенты!C895</f>
        <v>18.06.1972</v>
      </c>
      <c r="E896" s="11" t="str">
        <f>RAW_Клиенты!D895</f>
        <v xml:space="preserve">8 903 456 78 90</v>
      </c>
      <c r="F896" s="11" t="str">
        <f>RAW_Клиенты!E895</f>
        <v>kirsanova@gmail</v>
      </c>
      <c r="G896" s="11" t="str">
        <f>RAW_Клиенты!F895</f>
        <v>Элиста</v>
      </c>
      <c r="H896" s="11" t="str">
        <f>RAW_Клиенты!G895</f>
        <v>10.10.2046</v>
      </c>
      <c r="I896" s="12" t="str">
        <f t="shared" si="502"/>
        <v>89034567890</v>
      </c>
      <c r="J896" s="12" t="str">
        <f t="shared" si="503"/>
        <v>kirsanova@gmail</v>
      </c>
      <c r="K896" s="12" t="str">
        <f t="shared" si="504"/>
        <v>Элиста</v>
      </c>
      <c r="L896" s="13" t="str">
        <f t="shared" si="505"/>
        <v>C0894</v>
      </c>
      <c r="M896" s="13" t="str">
        <f t="shared" si="506"/>
        <v xml:space="preserve">Кирсанова Мария Павловна</v>
      </c>
      <c r="N896" s="13" t="str">
        <f t="shared" si="507"/>
        <v>OK</v>
      </c>
      <c r="O896" s="19">
        <f t="shared" si="508"/>
        <v>26468</v>
      </c>
      <c r="P896" s="19">
        <f t="shared" si="509"/>
        <v>53610</v>
      </c>
      <c r="Q896" s="13">
        <f t="shared" ca="1" si="510"/>
        <v>54</v>
      </c>
      <c r="R896" s="13" t="str">
        <f t="shared" si="511"/>
        <v>OK</v>
      </c>
      <c r="S896" s="13" t="str">
        <f t="shared" si="512"/>
        <v xml:space="preserve">+7 (903) 456-78-90</v>
      </c>
      <c r="T896" s="13" t="str">
        <f t="shared" si="513"/>
        <v>kirsanova@gmail</v>
      </c>
      <c r="U896" s="18" t="str">
        <f t="shared" si="514"/>
        <v xml:space="preserve">Ошибка Email</v>
      </c>
      <c r="V896" s="13" t="str">
        <f>IFERROR(VLOOKUP(K896,Справочники!$K$6:$L$13,2,0),K896)</f>
        <v>Элиста</v>
      </c>
    </row>
    <row r="897" ht="15" customHeight="1">
      <c r="A897" s="10">
        <v>895</v>
      </c>
      <c r="B897" s="11" t="str">
        <f>RAW_Клиенты!A896</f>
        <v>C0895</v>
      </c>
      <c r="C897" s="11" t="str">
        <f>RAW_Клиенты!B896</f>
        <v xml:space="preserve">Белозеров Андрей Олегович</v>
      </c>
      <c r="D897" s="11" t="str">
        <f>RAW_Клиенты!C896</f>
        <v>16.09.1986</v>
      </c>
      <c r="E897" s="11" t="str">
        <f>RAW_Клиенты!D896</f>
        <v>+79034567890</v>
      </c>
      <c r="F897" s="11" t="str">
        <f>RAW_Клиенты!E896</f>
        <v>belozerov@mail</v>
      </c>
      <c r="G897" s="11" t="str">
        <f>RAW_Клиенты!F896</f>
        <v>Орск</v>
      </c>
      <c r="H897" s="11" t="str">
        <f>RAW_Клиенты!G896</f>
        <v>01.11.2046</v>
      </c>
      <c r="I897" s="12" t="str">
        <f t="shared" si="502"/>
        <v>79034567890</v>
      </c>
      <c r="J897" s="12" t="str">
        <f t="shared" si="503"/>
        <v>belozerov@mail</v>
      </c>
      <c r="K897" s="12" t="str">
        <f t="shared" si="504"/>
        <v>Орск</v>
      </c>
      <c r="L897" s="13" t="str">
        <f t="shared" si="505"/>
        <v>C0895</v>
      </c>
      <c r="M897" s="13" t="str">
        <f t="shared" si="506"/>
        <v xml:space="preserve">Белозеров Андрей Олегович</v>
      </c>
      <c r="N897" s="13" t="str">
        <f t="shared" si="507"/>
        <v>OK</v>
      </c>
      <c r="O897" s="19">
        <f t="shared" si="508"/>
        <v>31671</v>
      </c>
      <c r="P897" s="19">
        <f t="shared" si="509"/>
        <v>53632</v>
      </c>
      <c r="Q897" s="13">
        <f t="shared" ca="1" si="510"/>
        <v>40</v>
      </c>
      <c r="R897" s="13" t="str">
        <f t="shared" si="511"/>
        <v>OK</v>
      </c>
      <c r="S897" s="13" t="str">
        <f t="shared" si="512"/>
        <v xml:space="preserve">+7 (903) 456-78-90</v>
      </c>
      <c r="T897" s="13" t="str">
        <f t="shared" si="513"/>
        <v>belozerov@mail</v>
      </c>
      <c r="U897" s="18" t="str">
        <f t="shared" si="514"/>
        <v xml:space="preserve">Ошибка Email</v>
      </c>
      <c r="V897" s="13" t="str">
        <f>IFERROR(VLOOKUP(K897,Справочники!$K$6:$L$13,2,0),K897)</f>
        <v>Орск</v>
      </c>
    </row>
    <row r="898" ht="15" customHeight="1">
      <c r="A898" s="10">
        <v>896</v>
      </c>
      <c r="B898" s="11" t="str">
        <f>RAW_Клиенты!A897</f>
        <v>C0896</v>
      </c>
      <c r="C898" s="11" t="str">
        <f>RAW_Клиенты!B897</f>
        <v xml:space="preserve">Пучкова Ольга Сергеевна</v>
      </c>
      <c r="D898" s="11" t="str">
        <f>RAW_Клиенты!C897</f>
        <v>29.11.1992</v>
      </c>
      <c r="E898" s="11" t="str">
        <f>RAW_Клиенты!D897</f>
        <v>8-903-456-78-90</v>
      </c>
      <c r="F898" s="11" t="str">
        <f>RAW_Клиенты!E897</f>
        <v>puchkova@yandex</v>
      </c>
      <c r="G898" s="11" t="str">
        <f>RAW_Клиенты!F897</f>
        <v>Нижневартовск</v>
      </c>
      <c r="H898" s="11" t="str">
        <f>RAW_Клиенты!G897</f>
        <v>2046-11-15</v>
      </c>
      <c r="I898" s="12" t="str">
        <f t="shared" si="502"/>
        <v>89034567890</v>
      </c>
      <c r="J898" s="12" t="str">
        <f t="shared" si="503"/>
        <v>puchkova@yandex</v>
      </c>
      <c r="K898" s="12" t="str">
        <f t="shared" si="504"/>
        <v>Нижневартовск</v>
      </c>
      <c r="L898" s="13" t="str">
        <f t="shared" si="505"/>
        <v>C0896</v>
      </c>
      <c r="M898" s="13" t="str">
        <f t="shared" si="506"/>
        <v xml:space="preserve">Пучкова Ольга Сергеевна</v>
      </c>
      <c r="N898" s="13" t="str">
        <f t="shared" si="507"/>
        <v>OK</v>
      </c>
      <c r="O898" s="19">
        <f t="shared" si="508"/>
        <v>33937</v>
      </c>
      <c r="P898" s="19">
        <f t="shared" si="509"/>
        <v>53646</v>
      </c>
      <c r="Q898" s="13">
        <f t="shared" ca="1" si="510"/>
        <v>33</v>
      </c>
      <c r="R898" s="13" t="str">
        <f t="shared" si="511"/>
        <v>OK</v>
      </c>
      <c r="S898" s="13" t="str">
        <f t="shared" si="512"/>
        <v xml:space="preserve">+7 (903) 456-78-90</v>
      </c>
      <c r="T898" s="13" t="str">
        <f t="shared" si="513"/>
        <v>puchkova@yandex</v>
      </c>
      <c r="U898" s="18" t="str">
        <f t="shared" si="514"/>
        <v xml:space="preserve">Ошибка Email</v>
      </c>
      <c r="V898" s="13" t="str">
        <f>IFERROR(VLOOKUP(K898,Справочники!$K$6:$L$13,2,0),K898)</f>
        <v>Нижневартовск</v>
      </c>
    </row>
    <row r="899" ht="15" customHeight="1">
      <c r="A899" s="10">
        <v>897</v>
      </c>
      <c r="B899" s="11" t="str">
        <f>RAW_Клиенты!A898</f>
        <v>C0897</v>
      </c>
      <c r="C899" s="11" t="str">
        <f>RAW_Клиенты!B898</f>
        <v xml:space="preserve">Костин Денис Павлович</v>
      </c>
      <c r="D899" s="11" t="str">
        <f>RAW_Клиенты!C898</f>
        <v>12.10.1978</v>
      </c>
      <c r="E899" s="11" t="str">
        <f>RAW_Клиенты!D898</f>
        <v xml:space="preserve">8 903 567 89 01</v>
      </c>
      <c r="F899" s="11" t="str">
        <f>RAW_Клиенты!E898</f>
        <v>kostin@gmail</v>
      </c>
      <c r="G899" s="11" t="str">
        <f>RAW_Клиенты!F898</f>
        <v>Новороссийск</v>
      </c>
      <c r="H899" s="11" t="str">
        <f>RAW_Клиенты!G898</f>
        <v>15.11.2046</v>
      </c>
      <c r="I899" s="12" t="str">
        <f t="shared" si="502"/>
        <v>89035678901</v>
      </c>
      <c r="J899" s="12" t="str">
        <f t="shared" si="503"/>
        <v>kostin@gmail</v>
      </c>
      <c r="K899" s="12" t="str">
        <f t="shared" si="504"/>
        <v>Новороссийск</v>
      </c>
      <c r="L899" s="13" t="str">
        <f t="shared" si="505"/>
        <v>C0897</v>
      </c>
      <c r="M899" s="13" t="str">
        <f t="shared" si="506"/>
        <v xml:space="preserve">Костин Денис Павлович</v>
      </c>
      <c r="N899" s="13" t="str">
        <f t="shared" si="507"/>
        <v>OK</v>
      </c>
      <c r="O899" s="19">
        <f t="shared" si="508"/>
        <v>28775</v>
      </c>
      <c r="P899" s="19">
        <f t="shared" si="509"/>
        <v>53646</v>
      </c>
      <c r="Q899" s="13">
        <f t="shared" ca="1" si="510"/>
        <v>47</v>
      </c>
      <c r="R899" s="13" t="str">
        <f t="shared" si="511"/>
        <v>OK</v>
      </c>
      <c r="S899" s="13" t="str">
        <f t="shared" si="512"/>
        <v xml:space="preserve">+7 (903) 567-89-01</v>
      </c>
      <c r="T899" s="13" t="str">
        <f t="shared" si="513"/>
        <v>kostin@gmail</v>
      </c>
      <c r="U899" s="18" t="str">
        <f t="shared" si="514"/>
        <v xml:space="preserve">Ошибка Email</v>
      </c>
      <c r="V899" s="13" t="str">
        <f>IFERROR(VLOOKUP(K899,Справочники!$K$6:$L$13,2,0),K899)</f>
        <v>Новороссийск</v>
      </c>
    </row>
    <row r="900" ht="15" customHeight="1">
      <c r="A900" s="10">
        <v>898</v>
      </c>
      <c r="B900" s="11" t="str">
        <f>RAW_Клиенты!A899</f>
        <v>C0898</v>
      </c>
      <c r="C900" s="11" t="str">
        <f>RAW_Клиенты!B899</f>
        <v xml:space="preserve">Попова Екатерина Владимировна</v>
      </c>
      <c r="D900" s="11" t="str">
        <f>RAW_Клиенты!C899</f>
        <v>24.08.1982</v>
      </c>
      <c r="E900" s="11" t="str">
        <f>RAW_Клиенты!D899</f>
        <v>+79035678901</v>
      </c>
      <c r="F900" s="11" t="str">
        <f>RAW_Клиенты!E899</f>
        <v>popova@mail</v>
      </c>
      <c r="G900" s="11" t="str">
        <f>RAW_Клиенты!F899</f>
        <v>Химки</v>
      </c>
      <c r="H900" s="11" t="str">
        <f>RAW_Клиенты!G899</f>
        <v>01.12.2046</v>
      </c>
      <c r="I900" s="12" t="str">
        <f t="shared" si="502"/>
        <v>79035678901</v>
      </c>
      <c r="J900" s="12" t="str">
        <f t="shared" si="503"/>
        <v>popova@mail</v>
      </c>
      <c r="K900" s="12" t="str">
        <f t="shared" si="504"/>
        <v>Химки</v>
      </c>
      <c r="L900" s="13" t="str">
        <f t="shared" si="505"/>
        <v>C0898</v>
      </c>
      <c r="M900" s="13" t="str">
        <f t="shared" si="506"/>
        <v xml:space="preserve">Попова Екатерина Владимировна</v>
      </c>
      <c r="N900" s="13" t="str">
        <f t="shared" si="507"/>
        <v>OK</v>
      </c>
      <c r="O900" s="19">
        <f t="shared" si="508"/>
        <v>30187</v>
      </c>
      <c r="P900" s="19">
        <f t="shared" si="509"/>
        <v>53662</v>
      </c>
      <c r="Q900" s="13">
        <f t="shared" ca="1" si="510"/>
        <v>44</v>
      </c>
      <c r="R900" s="13" t="str">
        <f t="shared" si="511"/>
        <v>OK</v>
      </c>
      <c r="S900" s="13" t="str">
        <f t="shared" si="512"/>
        <v xml:space="preserve">+7 (903) 567-89-01</v>
      </c>
      <c r="T900" s="13" t="str">
        <f t="shared" si="513"/>
        <v>popova@mail</v>
      </c>
      <c r="U900" s="18" t="str">
        <f t="shared" si="514"/>
        <v xml:space="preserve">Ошибка Email</v>
      </c>
      <c r="V900" s="13" t="str">
        <f>IFERROR(VLOOKUP(K900,Справочники!$K$6:$L$13,2,0),K900)</f>
        <v>Химки</v>
      </c>
    </row>
    <row r="901" ht="15" customHeight="1">
      <c r="A901" s="10">
        <v>899</v>
      </c>
      <c r="B901" s="11" t="str">
        <f>RAW_Клиенты!A900</f>
        <v>C0899</v>
      </c>
      <c r="C901" s="11" t="str">
        <f>RAW_Клиенты!B900</f>
        <v xml:space="preserve">Сазонов Илья Александрович</v>
      </c>
      <c r="D901" s="11" t="str">
        <f>RAW_Клиенты!C900</f>
        <v>07.12.1989</v>
      </c>
      <c r="E901" s="11" t="str">
        <f>RAW_Клиенты!D900</f>
        <v>8-903-567-89-01</v>
      </c>
      <c r="F901" s="11" t="str">
        <f>RAW_Клиенты!E900</f>
        <v>sazonov@yandex</v>
      </c>
      <c r="G901" s="11" t="str">
        <f>RAW_Клиенты!F900</f>
        <v>Подольск</v>
      </c>
      <c r="H901" s="11" t="str">
        <f>RAW_Клиенты!G900</f>
        <v>2046-12-10</v>
      </c>
      <c r="I901" s="12" t="str">
        <f t="shared" si="502"/>
        <v>89035678901</v>
      </c>
      <c r="J901" s="12" t="str">
        <f t="shared" si="503"/>
        <v>sazonov@yandex</v>
      </c>
      <c r="K901" s="12" t="str">
        <f t="shared" si="504"/>
        <v>Подольск</v>
      </c>
      <c r="L901" s="13" t="str">
        <f t="shared" si="505"/>
        <v>C0899</v>
      </c>
      <c r="M901" s="13" t="str">
        <f t="shared" si="506"/>
        <v xml:space="preserve">Сазонов Илья Александрович</v>
      </c>
      <c r="N901" s="13" t="str">
        <f t="shared" si="507"/>
        <v>OK</v>
      </c>
      <c r="O901" s="19">
        <f t="shared" si="508"/>
        <v>32849</v>
      </c>
      <c r="P901" s="19">
        <f t="shared" si="509"/>
        <v>53671</v>
      </c>
      <c r="Q901" s="13">
        <f t="shared" ca="1" si="510"/>
        <v>36</v>
      </c>
      <c r="R901" s="13" t="str">
        <f t="shared" si="511"/>
        <v>OK</v>
      </c>
      <c r="S901" s="13" t="str">
        <f t="shared" si="512"/>
        <v xml:space="preserve">+7 (903) 567-89-01</v>
      </c>
      <c r="T901" s="13" t="str">
        <f t="shared" si="513"/>
        <v>sazonov@yandex</v>
      </c>
      <c r="U901" s="18" t="str">
        <f t="shared" si="514"/>
        <v xml:space="preserve">Ошибка Email</v>
      </c>
      <c r="V901" s="13" t="str">
        <f>IFERROR(VLOOKUP(K901,Справочники!$K$6:$L$13,2,0),K901)</f>
        <v>Подольск</v>
      </c>
    </row>
    <row r="902" ht="15" customHeight="1">
      <c r="A902" s="10">
        <v>900</v>
      </c>
      <c r="B902" s="11" t="str">
        <f>RAW_Клиенты!A901</f>
        <v>C0900</v>
      </c>
      <c r="C902" s="11" t="str">
        <f>RAW_Клиенты!B901</f>
        <v xml:space="preserve">Кузьменко Андрей Олегович</v>
      </c>
      <c r="D902" s="11" t="str">
        <f>RAW_Клиенты!C901</f>
        <v>05.05.1977</v>
      </c>
      <c r="E902" s="11" t="str">
        <f>RAW_Клиенты!D901</f>
        <v xml:space="preserve">8 903 678 90 12</v>
      </c>
      <c r="F902" s="11" t="str">
        <f>RAW_Клиенты!E901</f>
        <v>kuzmenko@gmail</v>
      </c>
      <c r="G902" s="11" t="str">
        <f>RAW_Клиенты!F901</f>
        <v>Балашиха</v>
      </c>
      <c r="H902" s="11" t="str">
        <f>RAW_Клиенты!G901</f>
        <v>10.12.2046</v>
      </c>
      <c r="I902" s="12" t="str">
        <f t="shared" si="502"/>
        <v>89036789012</v>
      </c>
      <c r="J902" s="12" t="str">
        <f t="shared" si="503"/>
        <v>kuzmenko@gmail</v>
      </c>
      <c r="K902" s="12" t="str">
        <f t="shared" si="504"/>
        <v>Балашиха</v>
      </c>
      <c r="L902" s="13" t="str">
        <f t="shared" si="505"/>
        <v>C0900</v>
      </c>
      <c r="M902" s="13" t="str">
        <f t="shared" si="506"/>
        <v xml:space="preserve">Кузьменко Андрей Олегович</v>
      </c>
      <c r="N902" s="13" t="str">
        <f t="shared" si="507"/>
        <v>OK</v>
      </c>
      <c r="O902" s="19">
        <f t="shared" si="508"/>
        <v>28250</v>
      </c>
      <c r="P902" s="19">
        <f t="shared" si="509"/>
        <v>53671</v>
      </c>
      <c r="Q902" s="13">
        <f t="shared" ca="1" si="510"/>
        <v>49</v>
      </c>
      <c r="R902" s="13" t="str">
        <f t="shared" si="511"/>
        <v>OK</v>
      </c>
      <c r="S902" s="13" t="str">
        <f t="shared" si="512"/>
        <v xml:space="preserve">+7 (903) 678-90-12</v>
      </c>
      <c r="T902" s="13" t="str">
        <f t="shared" si="513"/>
        <v>kuzmenko@gmail</v>
      </c>
      <c r="U902" s="18" t="str">
        <f t="shared" si="514"/>
        <v xml:space="preserve">Ошибка Email</v>
      </c>
      <c r="V902" s="13" t="str">
        <f>IFERROR(VLOOKUP(K902,Справочники!$K$6:$L$13,2,0),K902)</f>
        <v>Балашиха</v>
      </c>
    </row>
    <row r="903" ht="15" customHeight="1">
      <c r="A903" s="10">
        <v>901</v>
      </c>
      <c r="B903" s="11" t="str">
        <f>RAW_Клиенты!A902</f>
        <v>C0901</v>
      </c>
      <c r="C903" s="11" t="str">
        <f>RAW_Клиенты!B902</f>
        <v xml:space="preserve">Герасимов Денис Викторович</v>
      </c>
      <c r="D903" s="11" t="str">
        <f>RAW_Клиенты!C902</f>
        <v>15.07.1985</v>
      </c>
      <c r="E903" s="11" t="str">
        <f>RAW_Клиенты!D902</f>
        <v>+79036789012</v>
      </c>
      <c r="F903" s="11" t="str">
        <f>RAW_Клиенты!E902</f>
        <v>gerasimov@mail</v>
      </c>
      <c r="G903" s="11" t="str">
        <f>RAW_Клиенты!F902</f>
        <v>Сургут</v>
      </c>
      <c r="H903" s="11" t="str">
        <f>RAW_Клиенты!G902</f>
        <v>01.01.2047</v>
      </c>
      <c r="I903" s="12" t="str">
        <f t="shared" si="502"/>
        <v>79036789012</v>
      </c>
      <c r="J903" s="12" t="str">
        <f t="shared" si="503"/>
        <v>gerasimov@mail</v>
      </c>
      <c r="K903" s="12" t="str">
        <f t="shared" si="504"/>
        <v>Сургут</v>
      </c>
      <c r="L903" s="13" t="str">
        <f t="shared" si="505"/>
        <v>C0901</v>
      </c>
      <c r="M903" s="13" t="str">
        <f t="shared" si="506"/>
        <v xml:space="preserve">Герасимов Денис Викторович</v>
      </c>
      <c r="N903" s="13" t="str">
        <f t="shared" si="507"/>
        <v>OK</v>
      </c>
      <c r="O903" s="19">
        <f t="shared" si="508"/>
        <v>31243</v>
      </c>
      <c r="P903" s="19">
        <f t="shared" si="509"/>
        <v>53693</v>
      </c>
      <c r="Q903" s="13">
        <f t="shared" ca="1" si="510"/>
        <v>41</v>
      </c>
      <c r="R903" s="13" t="str">
        <f t="shared" si="511"/>
        <v>OK</v>
      </c>
      <c r="S903" s="13" t="str">
        <f t="shared" si="512"/>
        <v xml:space="preserve">+7 (903) 678-90-12</v>
      </c>
      <c r="T903" s="13" t="str">
        <f t="shared" si="513"/>
        <v>gerasimov@mail</v>
      </c>
      <c r="U903" s="18" t="str">
        <f t="shared" si="514"/>
        <v xml:space="preserve">Ошибка Email</v>
      </c>
      <c r="V903" s="13" t="str">
        <f>IFERROR(VLOOKUP(K903,Справочники!$K$6:$L$13,2,0),K903)</f>
        <v>Сургут</v>
      </c>
    </row>
    <row r="904" ht="15" customHeight="1">
      <c r="A904" s="10">
        <v>902</v>
      </c>
      <c r="B904" s="11" t="str">
        <f>RAW_Клиенты!A903</f>
        <v>C0902</v>
      </c>
      <c r="C904" s="11" t="str">
        <f>RAW_Клиенты!B903</f>
        <v xml:space="preserve">Михайлова Ольга Сергеевна</v>
      </c>
      <c r="D904" s="11" t="str">
        <f>RAW_Клиенты!C903</f>
        <v>27.03.1990</v>
      </c>
      <c r="E904" s="11" t="str">
        <f>RAW_Клиенты!D903</f>
        <v>8-903-678-90-12</v>
      </c>
      <c r="F904" s="11" t="str">
        <f>RAW_Клиенты!E903</f>
        <v>mihaylova@yandex</v>
      </c>
      <c r="G904" s="11" t="str">
        <f>RAW_Клиенты!F903</f>
        <v>Армавир</v>
      </c>
      <c r="H904" s="11" t="str">
        <f>RAW_Клиенты!G903</f>
        <v>2047-01-15</v>
      </c>
      <c r="I904" s="12" t="str">
        <f t="shared" si="502"/>
        <v>89036789012</v>
      </c>
      <c r="J904" s="12" t="str">
        <f t="shared" si="503"/>
        <v>mihaylova@yandex</v>
      </c>
      <c r="K904" s="12" t="str">
        <f t="shared" si="504"/>
        <v>Армавир</v>
      </c>
      <c r="L904" s="13" t="str">
        <f t="shared" si="505"/>
        <v>C0902</v>
      </c>
      <c r="M904" s="13" t="str">
        <f t="shared" si="506"/>
        <v xml:space="preserve">Михайлова Ольга Сергеевна</v>
      </c>
      <c r="N904" s="13" t="str">
        <f t="shared" si="507"/>
        <v>OK</v>
      </c>
      <c r="O904" s="19">
        <f t="shared" si="508"/>
        <v>32959</v>
      </c>
      <c r="P904" s="19">
        <f t="shared" si="509"/>
        <v>53707</v>
      </c>
      <c r="Q904" s="13">
        <f t="shared" ca="1" si="510"/>
        <v>36</v>
      </c>
      <c r="R904" s="13" t="str">
        <f t="shared" si="511"/>
        <v>OK</v>
      </c>
      <c r="S904" s="13" t="str">
        <f t="shared" si="512"/>
        <v xml:space="preserve">+7 (903) 678-90-12</v>
      </c>
      <c r="T904" s="13" t="str">
        <f t="shared" si="513"/>
        <v>mihaylova@yandex</v>
      </c>
      <c r="U904" s="18" t="str">
        <f t="shared" si="514"/>
        <v xml:space="preserve">Ошибка Email</v>
      </c>
      <c r="V904" s="13" t="str">
        <f>IFERROR(VLOOKUP(K904,Справочники!$K$6:$L$13,2,0),K904)</f>
        <v>Армавир</v>
      </c>
    </row>
    <row r="905" ht="15" customHeight="1">
      <c r="A905" s="10">
        <v>903</v>
      </c>
      <c r="B905" s="11" t="str">
        <f>RAW_Клиенты!A904</f>
        <v>C0903</v>
      </c>
      <c r="C905" s="11" t="str">
        <f>RAW_Клиенты!B904</f>
        <v xml:space="preserve">Чеботарева Мария Павловна</v>
      </c>
      <c r="D905" s="11" t="str">
        <f>RAW_Клиенты!C904</f>
        <v>03.08.1974</v>
      </c>
      <c r="E905" s="11" t="str">
        <f>RAW_Клиенты!D904</f>
        <v xml:space="preserve">8 903 789 01 23</v>
      </c>
      <c r="F905" s="11" t="str">
        <f>RAW_Клиенты!E904</f>
        <v>chebotareva@gmail</v>
      </c>
      <c r="G905" s="11" t="str">
        <f>RAW_Клиенты!F904</f>
        <v>Волжский</v>
      </c>
      <c r="H905" s="11" t="str">
        <f>RAW_Клиенты!G904</f>
        <v>15.01.2047</v>
      </c>
      <c r="I905" s="12" t="str">
        <f t="shared" si="502"/>
        <v>89037890123</v>
      </c>
      <c r="J905" s="12" t="str">
        <f t="shared" si="503"/>
        <v>chebotareva@gmail</v>
      </c>
      <c r="K905" s="12" t="str">
        <f t="shared" si="504"/>
        <v>Волжский</v>
      </c>
      <c r="L905" s="13" t="str">
        <f t="shared" si="505"/>
        <v>C0903</v>
      </c>
      <c r="M905" s="13" t="str">
        <f t="shared" si="506"/>
        <v xml:space="preserve">Чеботарева Мария Павловна</v>
      </c>
      <c r="N905" s="13" t="str">
        <f t="shared" si="507"/>
        <v>OK</v>
      </c>
      <c r="O905" s="19">
        <f t="shared" si="508"/>
        <v>27244</v>
      </c>
      <c r="P905" s="19">
        <f t="shared" si="509"/>
        <v>53707</v>
      </c>
      <c r="Q905" s="13">
        <f t="shared" ca="1" si="510"/>
        <v>52</v>
      </c>
      <c r="R905" s="13" t="str">
        <f t="shared" si="511"/>
        <v>OK</v>
      </c>
      <c r="S905" s="13" t="str">
        <f t="shared" si="512"/>
        <v xml:space="preserve">+7 (903) 789-01-23</v>
      </c>
      <c r="T905" s="13" t="str">
        <f t="shared" si="513"/>
        <v>chebotareva@gmail</v>
      </c>
      <c r="U905" s="18" t="str">
        <f t="shared" si="514"/>
        <v xml:space="preserve">Ошибка Email</v>
      </c>
      <c r="V905" s="13" t="str">
        <f>IFERROR(VLOOKUP(K905,Справочники!$K$6:$L$13,2,0),K905)</f>
        <v>Волжский</v>
      </c>
    </row>
    <row r="906" ht="15" customHeight="1">
      <c r="A906" s="10">
        <v>904</v>
      </c>
      <c r="B906" s="11" t="str">
        <f>RAW_Клиенты!A905</f>
        <v>C0904</v>
      </c>
      <c r="C906" s="11" t="str">
        <f>RAW_Клиенты!B905</f>
        <v xml:space="preserve">Стрелков Андрей Олегович</v>
      </c>
      <c r="D906" s="11" t="str">
        <f>RAW_Клиенты!C905</f>
        <v>12.06.1983</v>
      </c>
      <c r="E906" s="11" t="str">
        <f>RAW_Клиенты!D905</f>
        <v>+79037890123</v>
      </c>
      <c r="F906" s="11" t="str">
        <f>RAW_Клиенты!E905</f>
        <v>strelkov@mail</v>
      </c>
      <c r="G906" s="11" t="str">
        <f>RAW_Клиенты!F905</f>
        <v>Шахты</v>
      </c>
      <c r="H906" s="11" t="str">
        <f>RAW_Клиенты!G905</f>
        <v>01.02.2047</v>
      </c>
      <c r="I906" s="12" t="str">
        <f t="shared" si="502"/>
        <v>79037890123</v>
      </c>
      <c r="J906" s="12" t="str">
        <f t="shared" si="503"/>
        <v>strelkov@mail</v>
      </c>
      <c r="K906" s="12" t="str">
        <f t="shared" si="504"/>
        <v>Шахты</v>
      </c>
      <c r="L906" s="13" t="str">
        <f t="shared" si="505"/>
        <v>C0904</v>
      </c>
      <c r="M906" s="13" t="str">
        <f t="shared" si="506"/>
        <v xml:space="preserve">Стрелков Андрей Олегович</v>
      </c>
      <c r="N906" s="13" t="str">
        <f t="shared" si="507"/>
        <v>OK</v>
      </c>
      <c r="O906" s="19">
        <f t="shared" si="508"/>
        <v>30479</v>
      </c>
      <c r="P906" s="19">
        <f t="shared" si="509"/>
        <v>53724</v>
      </c>
      <c r="Q906" s="13">
        <f t="shared" ca="1" si="510"/>
        <v>43</v>
      </c>
      <c r="R906" s="13" t="str">
        <f t="shared" si="511"/>
        <v>OK</v>
      </c>
      <c r="S906" s="13" t="str">
        <f t="shared" si="512"/>
        <v xml:space="preserve">+7 (903) 789-01-23</v>
      </c>
      <c r="T906" s="13" t="str">
        <f t="shared" si="513"/>
        <v>strelkov@mail</v>
      </c>
      <c r="U906" s="18" t="str">
        <f t="shared" si="514"/>
        <v xml:space="preserve">Ошибка Email</v>
      </c>
      <c r="V906" s="13" t="str">
        <f>IFERROR(VLOOKUP(K906,Справочники!$K$6:$L$13,2,0),K906)</f>
        <v>Шахты</v>
      </c>
    </row>
    <row r="907" ht="15" customHeight="1">
      <c r="A907" s="10">
        <v>905</v>
      </c>
      <c r="B907" s="11" t="str">
        <f>RAW_Клиенты!A906</f>
        <v>C0905</v>
      </c>
      <c r="C907" s="11" t="str">
        <f>RAW_Клиенты!B906</f>
        <v xml:space="preserve">Доброва Екатерина Владимировна</v>
      </c>
      <c r="D907" s="11" t="str">
        <f>RAW_Клиенты!C906</f>
        <v>19.10.1988</v>
      </c>
      <c r="E907" s="11" t="str">
        <f>RAW_Клиенты!D906</f>
        <v>8-903-789-01-23</v>
      </c>
      <c r="F907" s="11" t="str">
        <f>RAW_Клиенты!E906</f>
        <v>dobrova@yandex</v>
      </c>
      <c r="G907" s="11" t="str">
        <f>RAW_Клиенты!F906</f>
        <v>Златоуст</v>
      </c>
      <c r="H907" s="11" t="str">
        <f>RAW_Клиенты!G906</f>
        <v>2047-02-10</v>
      </c>
      <c r="I907" s="12" t="str">
        <f t="shared" si="502"/>
        <v>89037890123</v>
      </c>
      <c r="J907" s="12" t="str">
        <f t="shared" si="503"/>
        <v>dobrova@yandex</v>
      </c>
      <c r="K907" s="12" t="str">
        <f t="shared" si="504"/>
        <v>Златоуст</v>
      </c>
      <c r="L907" s="13" t="str">
        <f t="shared" si="505"/>
        <v>C0905</v>
      </c>
      <c r="M907" s="13" t="str">
        <f t="shared" si="506"/>
        <v xml:space="preserve">Доброва Екатерина Владимировна</v>
      </c>
      <c r="N907" s="13" t="str">
        <f t="shared" si="507"/>
        <v>OK</v>
      </c>
      <c r="O907" s="19">
        <f t="shared" si="508"/>
        <v>32435</v>
      </c>
      <c r="P907" s="19">
        <f t="shared" si="509"/>
        <v>53733</v>
      </c>
      <c r="Q907" s="13">
        <f t="shared" ca="1" si="510"/>
        <v>37</v>
      </c>
      <c r="R907" s="13" t="str">
        <f t="shared" si="511"/>
        <v>OK</v>
      </c>
      <c r="S907" s="13" t="str">
        <f t="shared" si="512"/>
        <v xml:space="preserve">+7 (903) 789-01-23</v>
      </c>
      <c r="T907" s="13" t="str">
        <f t="shared" si="513"/>
        <v>dobrova@yandex</v>
      </c>
      <c r="U907" s="18" t="str">
        <f t="shared" si="514"/>
        <v xml:space="preserve">Ошибка Email</v>
      </c>
      <c r="V907" s="13" t="str">
        <f>IFERROR(VLOOKUP(K907,Справочники!$K$6:$L$13,2,0),K907)</f>
        <v>Златоуст</v>
      </c>
    </row>
    <row r="908" ht="15" customHeight="1">
      <c r="A908" s="10">
        <v>906</v>
      </c>
      <c r="B908" s="11" t="str">
        <f>RAW_Клиенты!A907</f>
        <v>C0906</v>
      </c>
      <c r="C908" s="11" t="str">
        <f>RAW_Клиенты!B907</f>
        <v xml:space="preserve">Калачев Илья Александрович</v>
      </c>
      <c r="D908" s="11" t="str">
        <f>RAW_Клиенты!C907</f>
        <v>04.07.1973</v>
      </c>
      <c r="E908" s="11" t="str">
        <f>RAW_Клиенты!D907</f>
        <v xml:space="preserve">8 903 890 12 34</v>
      </c>
      <c r="F908" s="11" t="str">
        <f>RAW_Клиенты!E907</f>
        <v>kalachev@gmail</v>
      </c>
      <c r="G908" s="11" t="str">
        <f>RAW_Клиенты!F907</f>
        <v>Ангарск</v>
      </c>
      <c r="H908" s="11" t="str">
        <f>RAW_Клиенты!G907</f>
        <v>10.02.2047</v>
      </c>
      <c r="I908" s="12" t="str">
        <f t="shared" si="502"/>
        <v>89038901234</v>
      </c>
      <c r="J908" s="12" t="str">
        <f t="shared" si="503"/>
        <v>kalachev@gmail</v>
      </c>
      <c r="K908" s="12" t="str">
        <f t="shared" si="504"/>
        <v>Ангарск</v>
      </c>
      <c r="L908" s="13" t="str">
        <f t="shared" si="505"/>
        <v>C0906</v>
      </c>
      <c r="M908" s="13" t="str">
        <f t="shared" si="506"/>
        <v xml:space="preserve">Калачев Илья Александрович</v>
      </c>
      <c r="N908" s="13" t="str">
        <f t="shared" si="507"/>
        <v>OK</v>
      </c>
      <c r="O908" s="19">
        <f t="shared" si="508"/>
        <v>26849</v>
      </c>
      <c r="P908" s="19">
        <f t="shared" si="509"/>
        <v>53733</v>
      </c>
      <c r="Q908" s="13">
        <f t="shared" ca="1" si="510"/>
        <v>53</v>
      </c>
      <c r="R908" s="13" t="str">
        <f t="shared" si="511"/>
        <v>OK</v>
      </c>
      <c r="S908" s="13" t="str">
        <f t="shared" si="512"/>
        <v xml:space="preserve">+7 (903) 890-12-34</v>
      </c>
      <c r="T908" s="13" t="str">
        <f t="shared" si="513"/>
        <v>kalachev@gmail</v>
      </c>
      <c r="U908" s="18" t="str">
        <f t="shared" si="514"/>
        <v xml:space="preserve">Ошибка Email</v>
      </c>
      <c r="V908" s="13" t="str">
        <f>IFERROR(VLOOKUP(K908,Справочники!$K$6:$L$13,2,0),K908)</f>
        <v>Ангарск</v>
      </c>
    </row>
    <row r="909" ht="15" customHeight="1">
      <c r="A909" s="10">
        <v>907</v>
      </c>
      <c r="B909" s="11" t="str">
        <f>RAW_Клиенты!A908</f>
        <v>C0907</v>
      </c>
      <c r="C909" s="11" t="str">
        <f>RAW_Клиенты!B908</f>
        <v xml:space="preserve">Пахомова Мария Павловна</v>
      </c>
      <c r="D909" s="11" t="str">
        <f>RAW_Клиенты!C908</f>
        <v>23.12.1980</v>
      </c>
      <c r="E909" s="11" t="str">
        <f>RAW_Клиенты!D908</f>
        <v>+79038901234</v>
      </c>
      <c r="F909" s="11" t="str">
        <f>RAW_Клиенты!E908</f>
        <v>pahomova@mail</v>
      </c>
      <c r="G909" s="11" t="str">
        <f>RAW_Клиенты!F908</f>
        <v>Озёрск</v>
      </c>
      <c r="H909" s="11" t="str">
        <f>RAW_Клиенты!G908</f>
        <v>01.03.2047</v>
      </c>
      <c r="I909" s="12" t="str">
        <f t="shared" si="502"/>
        <v>79038901234</v>
      </c>
      <c r="J909" s="12" t="str">
        <f t="shared" si="503"/>
        <v>pahomova@mail</v>
      </c>
      <c r="K909" s="12" t="str">
        <f t="shared" si="504"/>
        <v>Озёрск</v>
      </c>
      <c r="L909" s="13" t="str">
        <f t="shared" si="505"/>
        <v>C0907</v>
      </c>
      <c r="M909" s="13" t="str">
        <f t="shared" si="506"/>
        <v xml:space="preserve">Пахомова Мария Павловна</v>
      </c>
      <c r="N909" s="13" t="str">
        <f t="shared" si="507"/>
        <v>OK</v>
      </c>
      <c r="O909" s="19">
        <f t="shared" si="508"/>
        <v>29578</v>
      </c>
      <c r="P909" s="19">
        <f t="shared" si="509"/>
        <v>53752</v>
      </c>
      <c r="Q909" s="13">
        <f t="shared" ca="1" si="510"/>
        <v>45</v>
      </c>
      <c r="R909" s="13" t="str">
        <f t="shared" si="511"/>
        <v>OK</v>
      </c>
      <c r="S909" s="13" t="str">
        <f t="shared" si="512"/>
        <v xml:space="preserve">+7 (903) 890-12-34</v>
      </c>
      <c r="T909" s="13" t="str">
        <f t="shared" si="513"/>
        <v>pahomova@mail</v>
      </c>
      <c r="U909" s="18" t="str">
        <f t="shared" si="514"/>
        <v xml:space="preserve">Ошибка Email</v>
      </c>
      <c r="V909" s="13" t="str">
        <f>IFERROR(VLOOKUP(K909,Справочники!$K$6:$L$13,2,0),K909)</f>
        <v>Озёрск</v>
      </c>
    </row>
    <row r="910" ht="15" customHeight="1">
      <c r="A910" s="10">
        <v>908</v>
      </c>
      <c r="B910" s="11" t="str">
        <f>RAW_Клиенты!A909</f>
        <v>C0908</v>
      </c>
      <c r="C910" s="11" t="str">
        <f>RAW_Клиенты!B909</f>
        <v xml:space="preserve">Усков Денис Сергеевич</v>
      </c>
      <c r="D910" s="11" t="str">
        <f>RAW_Клиенты!C909</f>
        <v>09.05.1986</v>
      </c>
      <c r="E910" s="11" t="str">
        <f>RAW_Клиенты!D909</f>
        <v>8-903-890-12-34</v>
      </c>
      <c r="F910" s="11" t="str">
        <f>RAW_Клиенты!E909</f>
        <v>uskov@yandex</v>
      </c>
      <c r="G910" s="11" t="str">
        <f>RAW_Клиенты!F909</f>
        <v>Орел</v>
      </c>
      <c r="H910" s="11" t="str">
        <f>RAW_Клиенты!G909</f>
        <v>2047-03-15</v>
      </c>
      <c r="I910" s="12" t="str">
        <f t="shared" si="502"/>
        <v>89038901234</v>
      </c>
      <c r="J910" s="12" t="str">
        <f t="shared" si="503"/>
        <v>uskov@yandex</v>
      </c>
      <c r="K910" s="12" t="str">
        <f t="shared" si="504"/>
        <v>Орел</v>
      </c>
      <c r="L910" s="13" t="str">
        <f t="shared" si="505"/>
        <v>C0908</v>
      </c>
      <c r="M910" s="13" t="str">
        <f t="shared" si="506"/>
        <v xml:space="preserve">Усков Денис Сергеевич</v>
      </c>
      <c r="N910" s="13" t="str">
        <f t="shared" si="507"/>
        <v>OK</v>
      </c>
      <c r="O910" s="19">
        <f t="shared" si="508"/>
        <v>31541</v>
      </c>
      <c r="P910" s="19">
        <f t="shared" si="509"/>
        <v>53766</v>
      </c>
      <c r="Q910" s="13">
        <f t="shared" ca="1" si="510"/>
        <v>40</v>
      </c>
      <c r="R910" s="13" t="str">
        <f t="shared" si="511"/>
        <v>OK</v>
      </c>
      <c r="S910" s="13" t="str">
        <f t="shared" si="512"/>
        <v xml:space="preserve">+7 (903) 890-12-34</v>
      </c>
      <c r="T910" s="13" t="str">
        <f t="shared" si="513"/>
        <v>uskov@yandex</v>
      </c>
      <c r="U910" s="18" t="str">
        <f t="shared" si="514"/>
        <v xml:space="preserve">Ошибка Email</v>
      </c>
      <c r="V910" s="13" t="str">
        <f>IFERROR(VLOOKUP(K910,Справочники!$K$6:$L$13,2,0),K910)</f>
        <v>Орел</v>
      </c>
    </row>
    <row r="911" ht="15" customHeight="1">
      <c r="A911" s="10">
        <v>909</v>
      </c>
      <c r="B911" s="11" t="str">
        <f>RAW_Клиенты!A910</f>
        <v>C0909</v>
      </c>
      <c r="C911" s="11" t="str">
        <f>RAW_Клиенты!B910</f>
        <v xml:space="preserve">Кудрявцева Ольга Владимировна</v>
      </c>
      <c r="D911" s="11" t="str">
        <f>RAW_Клиенты!C910</f>
        <v>11.09.1991</v>
      </c>
      <c r="E911" s="11" t="str">
        <f>RAW_Клиенты!D910</f>
        <v xml:space="preserve">8 903 901 23 45</v>
      </c>
      <c r="F911" s="11" t="str">
        <f>RAW_Клиенты!E910</f>
        <v>kudryavtseva@gmail</v>
      </c>
      <c r="G911" s="11" t="str">
        <f>RAW_Клиенты!F910</f>
        <v>Магнитогорск</v>
      </c>
      <c r="H911" s="11" t="str">
        <f>RAW_Клиенты!G910</f>
        <v>15.03.2047</v>
      </c>
      <c r="I911" s="12" t="str">
        <f t="shared" si="502"/>
        <v>89039012345</v>
      </c>
      <c r="J911" s="12" t="str">
        <f t="shared" si="503"/>
        <v>kudryavtseva@gmail</v>
      </c>
      <c r="K911" s="12" t="str">
        <f t="shared" si="504"/>
        <v>Магнитогорск</v>
      </c>
      <c r="L911" s="13" t="str">
        <f t="shared" si="505"/>
        <v>C0909</v>
      </c>
      <c r="M911" s="13" t="str">
        <f t="shared" si="506"/>
        <v xml:space="preserve">Кудрявцева Ольга Владимировна</v>
      </c>
      <c r="N911" s="13" t="str">
        <f t="shared" si="507"/>
        <v>OK</v>
      </c>
      <c r="O911" s="19">
        <f t="shared" si="508"/>
        <v>33492</v>
      </c>
      <c r="P911" s="19">
        <f t="shared" si="509"/>
        <v>53766</v>
      </c>
      <c r="Q911" s="13">
        <f t="shared" ca="1" si="510"/>
        <v>35</v>
      </c>
      <c r="R911" s="13" t="str">
        <f t="shared" si="511"/>
        <v>OK</v>
      </c>
      <c r="S911" s="13" t="str">
        <f t="shared" si="512"/>
        <v xml:space="preserve">+7 (903) 901-23-45</v>
      </c>
      <c r="T911" s="13" t="str">
        <f t="shared" si="513"/>
        <v>kudryavtseva@gmail</v>
      </c>
      <c r="U911" s="18" t="str">
        <f t="shared" si="514"/>
        <v xml:space="preserve">Ошибка Email</v>
      </c>
      <c r="V911" s="13" t="str">
        <f>IFERROR(VLOOKUP(K911,Справочники!$K$6:$L$13,2,0),K911)</f>
        <v>Магнитогорск</v>
      </c>
    </row>
    <row r="912" ht="15" customHeight="1">
      <c r="A912" s="10">
        <v>910</v>
      </c>
      <c r="B912" s="11" t="str">
        <f>RAW_Клиенты!A911</f>
        <v>C0910</v>
      </c>
      <c r="C912" s="11" t="str">
        <f>RAW_Клиенты!B911</f>
        <v xml:space="preserve">Миллер Андрей Олегович</v>
      </c>
      <c r="D912" s="11" t="str">
        <f>RAW_Клиенты!C911</f>
        <v>18.01.1976</v>
      </c>
      <c r="E912" s="11" t="str">
        <f>RAW_Клиенты!D911</f>
        <v>+79039012345</v>
      </c>
      <c r="F912" s="11" t="str">
        <f>RAW_Клиенты!E911</f>
        <v>miller@mail</v>
      </c>
      <c r="G912" s="11" t="str">
        <f>RAW_Клиенты!F911</f>
        <v>Якутск</v>
      </c>
      <c r="H912" s="11" t="str">
        <f>RAW_Клиенты!G911</f>
        <v>01.04.2047</v>
      </c>
      <c r="I912" s="12" t="str">
        <f t="shared" si="502"/>
        <v>79039012345</v>
      </c>
      <c r="J912" s="12" t="str">
        <f t="shared" si="503"/>
        <v>miller@mail</v>
      </c>
      <c r="K912" s="12" t="str">
        <f t="shared" si="504"/>
        <v>Якутск</v>
      </c>
      <c r="L912" s="13" t="str">
        <f t="shared" si="505"/>
        <v>C0910</v>
      </c>
      <c r="M912" s="13" t="str">
        <f t="shared" si="506"/>
        <v xml:space="preserve">Миллер Андрей Олегович</v>
      </c>
      <c r="N912" s="13" t="str">
        <f t="shared" si="507"/>
        <v>OK</v>
      </c>
      <c r="O912" s="19">
        <f t="shared" si="508"/>
        <v>27777</v>
      </c>
      <c r="P912" s="19">
        <f t="shared" si="509"/>
        <v>53783</v>
      </c>
      <c r="Q912" s="13">
        <f t="shared" ca="1" si="510"/>
        <v>50</v>
      </c>
      <c r="R912" s="13" t="str">
        <f t="shared" si="511"/>
        <v>OK</v>
      </c>
      <c r="S912" s="13" t="str">
        <f t="shared" si="512"/>
        <v xml:space="preserve">+7 (903) 901-23-45</v>
      </c>
      <c r="T912" s="13" t="str">
        <f t="shared" si="513"/>
        <v>miller@mail</v>
      </c>
      <c r="U912" s="18" t="str">
        <f t="shared" si="514"/>
        <v xml:space="preserve">Ошибка Email</v>
      </c>
      <c r="V912" s="13" t="str">
        <f>IFERROR(VLOOKUP(K912,Справочники!$K$6:$L$13,2,0),K912)</f>
        <v>Якутск</v>
      </c>
    </row>
    <row r="913" ht="15" customHeight="1">
      <c r="A913" s="10">
        <v>911</v>
      </c>
      <c r="B913" s="11" t="str">
        <f>RAW_Клиенты!A912</f>
        <v>C0911</v>
      </c>
      <c r="C913" s="11" t="str">
        <f>RAW_Клиенты!B912</f>
        <v xml:space="preserve">Степанова Екатерина Сергеевна</v>
      </c>
      <c r="D913" s="11" t="str">
        <f>RAW_Клиенты!C912</f>
        <v>06.07.1984</v>
      </c>
      <c r="E913" s="11" t="str">
        <f>RAW_Клиенты!D912</f>
        <v>8-903-901-23-45</v>
      </c>
      <c r="F913" s="11" t="str">
        <f>RAW_Клиенты!E912</f>
        <v>stepanova@yandex</v>
      </c>
      <c r="G913" s="11" t="str">
        <f>RAW_Клиенты!F912</f>
        <v>Чебоксары</v>
      </c>
      <c r="H913" s="11" t="str">
        <f>RAW_Клиенты!G912</f>
        <v>2047-04-10</v>
      </c>
      <c r="I913" s="12" t="str">
        <f t="shared" si="502"/>
        <v>89039012345</v>
      </c>
      <c r="J913" s="12" t="str">
        <f t="shared" si="503"/>
        <v>stepanova@yandex</v>
      </c>
      <c r="K913" s="12" t="str">
        <f t="shared" si="504"/>
        <v>Чебоксары</v>
      </c>
      <c r="L913" s="13" t="str">
        <f t="shared" si="505"/>
        <v>C0911</v>
      </c>
      <c r="M913" s="13" t="str">
        <f t="shared" si="506"/>
        <v xml:space="preserve">Степанова Екатерина Сергеевна</v>
      </c>
      <c r="N913" s="13" t="str">
        <f t="shared" si="507"/>
        <v>OK</v>
      </c>
      <c r="O913" s="19">
        <f t="shared" si="508"/>
        <v>30869</v>
      </c>
      <c r="P913" s="19">
        <f t="shared" si="509"/>
        <v>53792</v>
      </c>
      <c r="Q913" s="13">
        <f t="shared" ca="1" si="510"/>
        <v>42</v>
      </c>
      <c r="R913" s="13" t="str">
        <f t="shared" si="511"/>
        <v>OK</v>
      </c>
      <c r="S913" s="13" t="str">
        <f t="shared" si="512"/>
        <v xml:space="preserve">+7 (903) 901-23-45</v>
      </c>
      <c r="T913" s="13" t="str">
        <f t="shared" si="513"/>
        <v>stepanova@yandex</v>
      </c>
      <c r="U913" s="18" t="str">
        <f t="shared" si="514"/>
        <v xml:space="preserve">Ошибка Email</v>
      </c>
      <c r="V913" s="13" t="str">
        <f>IFERROR(VLOOKUP(K913,Справочники!$K$6:$L$13,2,0),K913)</f>
        <v>Чебоксары</v>
      </c>
    </row>
    <row r="914" ht="15" customHeight="1">
      <c r="A914" s="10">
        <v>912</v>
      </c>
      <c r="B914" s="11" t="str">
        <f>RAW_Клиенты!A913</f>
        <v>C0912</v>
      </c>
      <c r="C914" s="11" t="str">
        <f>RAW_Клиенты!B913</f>
        <v xml:space="preserve">Прокопьев Илья Александрович</v>
      </c>
      <c r="D914" s="11" t="str">
        <f>RAW_Клиенты!C913</f>
        <v>01.03.1982</v>
      </c>
      <c r="E914" s="11" t="str">
        <f>RAW_Клиенты!D913</f>
        <v xml:space="preserve">8 903 012 34 56</v>
      </c>
      <c r="F914" s="11" t="str">
        <f>RAW_Клиенты!E913</f>
        <v>prokopyev@gmail</v>
      </c>
      <c r="G914" s="11" t="str">
        <f>RAW_Клиенты!F913</f>
        <v>Мурманск</v>
      </c>
      <c r="H914" s="11" t="str">
        <f>RAW_Клиенты!G913</f>
        <v>10.04.2047</v>
      </c>
      <c r="I914" s="12" t="str">
        <f t="shared" si="502"/>
        <v>89030123456</v>
      </c>
      <c r="J914" s="12" t="str">
        <f t="shared" si="503"/>
        <v>prokopyev@gmail</v>
      </c>
      <c r="K914" s="12" t="str">
        <f t="shared" si="504"/>
        <v>Мурманск</v>
      </c>
      <c r="L914" s="13" t="str">
        <f t="shared" si="505"/>
        <v>C0912</v>
      </c>
      <c r="M914" s="13" t="str">
        <f t="shared" si="506"/>
        <v xml:space="preserve">Прокопьев Илья Александрович</v>
      </c>
      <c r="N914" s="13" t="str">
        <f t="shared" si="507"/>
        <v>OK</v>
      </c>
      <c r="O914" s="19">
        <f t="shared" si="508"/>
        <v>30011</v>
      </c>
      <c r="P914" s="19">
        <f t="shared" si="509"/>
        <v>53792</v>
      </c>
      <c r="Q914" s="13">
        <f t="shared" ca="1" si="510"/>
        <v>44</v>
      </c>
      <c r="R914" s="13" t="str">
        <f t="shared" si="511"/>
        <v>OK</v>
      </c>
      <c r="S914" s="13" t="str">
        <f t="shared" si="512"/>
        <v xml:space="preserve">+7 (903) 012-34-56</v>
      </c>
      <c r="T914" s="13" t="str">
        <f t="shared" si="513"/>
        <v>prokopyev@gmail</v>
      </c>
      <c r="U914" s="18" t="str">
        <f t="shared" si="514"/>
        <v xml:space="preserve">Ошибка Email</v>
      </c>
      <c r="V914" s="13" t="str">
        <f>IFERROR(VLOOKUP(K914,Справочники!$K$6:$L$13,2,0),K914)</f>
        <v>Мурманск</v>
      </c>
    </row>
    <row r="915" ht="15" customHeight="1">
      <c r="A915" s="10">
        <v>913</v>
      </c>
      <c r="B915" s="11" t="str">
        <f>RAW_Клиенты!A914</f>
        <v>C0913</v>
      </c>
      <c r="C915" s="11" t="str">
        <f>RAW_Клиенты!B914</f>
        <v xml:space="preserve">Игнатьева Мария Павловна</v>
      </c>
      <c r="D915" s="11" t="str">
        <f>RAW_Клиенты!C914</f>
        <v>24.08.1978</v>
      </c>
      <c r="E915" s="11" t="str">
        <f>RAW_Клиенты!D914</f>
        <v>+79030123456</v>
      </c>
      <c r="F915" s="11" t="str">
        <f>RAW_Клиенты!E914</f>
        <v>ignatieva@mail</v>
      </c>
      <c r="G915" s="11" t="str">
        <f>RAW_Клиенты!F914</f>
        <v>Смоленск</v>
      </c>
      <c r="H915" s="11" t="str">
        <f>RAW_Клиенты!G914</f>
        <v>01.05.2047</v>
      </c>
      <c r="I915" s="12" t="str">
        <f t="shared" si="502"/>
        <v>79030123456</v>
      </c>
      <c r="J915" s="12" t="str">
        <f t="shared" si="503"/>
        <v>ignatieva@mail</v>
      </c>
      <c r="K915" s="12" t="str">
        <f t="shared" si="504"/>
        <v>Смоленск</v>
      </c>
      <c r="L915" s="13" t="str">
        <f t="shared" si="505"/>
        <v>C0913</v>
      </c>
      <c r="M915" s="13" t="str">
        <f t="shared" si="506"/>
        <v xml:space="preserve">Игнатьева Мария Павловна</v>
      </c>
      <c r="N915" s="13" t="str">
        <f t="shared" si="507"/>
        <v>OK</v>
      </c>
      <c r="O915" s="19">
        <f t="shared" si="508"/>
        <v>28726</v>
      </c>
      <c r="P915" s="19">
        <f t="shared" si="509"/>
        <v>53813</v>
      </c>
      <c r="Q915" s="13">
        <f t="shared" ca="1" si="510"/>
        <v>48</v>
      </c>
      <c r="R915" s="13" t="str">
        <f t="shared" si="511"/>
        <v>OK</v>
      </c>
      <c r="S915" s="13" t="str">
        <f t="shared" si="512"/>
        <v xml:space="preserve">+7 (903) 012-34-56</v>
      </c>
      <c r="T915" s="13" t="str">
        <f t="shared" si="513"/>
        <v>ignatieva@mail</v>
      </c>
      <c r="U915" s="18" t="str">
        <f t="shared" si="514"/>
        <v xml:space="preserve">Ошибка Email</v>
      </c>
      <c r="V915" s="13" t="str">
        <f>IFERROR(VLOOKUP(K915,Справочники!$K$6:$L$13,2,0),K915)</f>
        <v>Смоленск</v>
      </c>
    </row>
    <row r="916" ht="15" customHeight="1">
      <c r="A916" s="10">
        <v>914</v>
      </c>
      <c r="B916" s="11" t="str">
        <f>RAW_Клиенты!A915</f>
        <v>C0914</v>
      </c>
      <c r="C916" s="11" t="str">
        <f>RAW_Клиенты!B915</f>
        <v xml:space="preserve">Сидоров Денис Викторович</v>
      </c>
      <c r="D916" s="11" t="str">
        <f>RAW_Клиенты!C915</f>
        <v>17.12.1987</v>
      </c>
      <c r="E916" s="11" t="str">
        <f>RAW_Клиенты!D915</f>
        <v>8-903-012-34-56</v>
      </c>
      <c r="F916" s="11" t="str">
        <f>RAW_Клиенты!E915</f>
        <v>sidorov@yandex</v>
      </c>
      <c r="G916" s="11" t="str">
        <f>RAW_Клиенты!F915</f>
        <v>Тула</v>
      </c>
      <c r="H916" s="11" t="str">
        <f>RAW_Клиенты!G915</f>
        <v>2047-05-15</v>
      </c>
      <c r="I916" s="12" t="str">
        <f t="shared" si="502"/>
        <v>89030123456</v>
      </c>
      <c r="J916" s="12" t="str">
        <f t="shared" si="503"/>
        <v>sidorov@yandex</v>
      </c>
      <c r="K916" s="12" t="str">
        <f t="shared" si="504"/>
        <v>Тула</v>
      </c>
      <c r="L916" s="13" t="str">
        <f t="shared" si="505"/>
        <v>C0914</v>
      </c>
      <c r="M916" s="13" t="str">
        <f t="shared" si="506"/>
        <v xml:space="preserve">Сидоров Денис Викторович</v>
      </c>
      <c r="N916" s="13" t="str">
        <f t="shared" si="507"/>
        <v>OK</v>
      </c>
      <c r="O916" s="19">
        <f t="shared" si="508"/>
        <v>32128</v>
      </c>
      <c r="P916" s="19">
        <f t="shared" si="509"/>
        <v>53827</v>
      </c>
      <c r="Q916" s="13">
        <f t="shared" ca="1" si="510"/>
        <v>38</v>
      </c>
      <c r="R916" s="13" t="str">
        <f t="shared" si="511"/>
        <v>OK</v>
      </c>
      <c r="S916" s="13" t="str">
        <f t="shared" si="512"/>
        <v xml:space="preserve">+7 (903) 012-34-56</v>
      </c>
      <c r="T916" s="13" t="str">
        <f t="shared" si="513"/>
        <v>sidorov@yandex</v>
      </c>
      <c r="U916" s="18" t="str">
        <f t="shared" si="514"/>
        <v xml:space="preserve">Ошибка Email</v>
      </c>
      <c r="V916" s="13" t="str">
        <f>IFERROR(VLOOKUP(K916,Справочники!$K$6:$L$13,2,0),K916)</f>
        <v>Тула</v>
      </c>
    </row>
    <row r="917" ht="15" customHeight="1">
      <c r="A917" s="10">
        <v>915</v>
      </c>
      <c r="B917" s="11" t="str">
        <f>RAW_Клиенты!A916</f>
        <v>C0915</v>
      </c>
      <c r="C917" s="11" t="str">
        <f>RAW_Клиенты!B916</f>
        <v xml:space="preserve">Петрова Ольга Сергеевна</v>
      </c>
      <c r="D917" s="11" t="str">
        <f>RAW_Клиенты!C916</f>
        <v>28.11.1972</v>
      </c>
      <c r="E917" s="11" t="str">
        <f>RAW_Клиенты!D916</f>
        <v xml:space="preserve">8 903 123 45 67</v>
      </c>
      <c r="F917" s="11" t="str">
        <f>RAW_Клиенты!E916</f>
        <v>petrova@gmail</v>
      </c>
      <c r="G917" s="11" t="str">
        <f>RAW_Клиенты!F916</f>
        <v>Калуга</v>
      </c>
      <c r="H917" s="11" t="str">
        <f>RAW_Клиенты!G916</f>
        <v>15.05.2047</v>
      </c>
      <c r="I917" s="12" t="str">
        <f t="shared" si="502"/>
        <v>89031234567</v>
      </c>
      <c r="J917" s="12" t="str">
        <f t="shared" si="503"/>
        <v>petrova@gmail</v>
      </c>
      <c r="K917" s="12" t="str">
        <f t="shared" si="504"/>
        <v>Калуга</v>
      </c>
      <c r="L917" s="13" t="str">
        <f t="shared" si="505"/>
        <v>C0915</v>
      </c>
      <c r="M917" s="13" t="str">
        <f t="shared" si="506"/>
        <v xml:space="preserve">Петрова Ольга Сергеевна</v>
      </c>
      <c r="N917" s="13" t="str">
        <f t="shared" si="507"/>
        <v>OK</v>
      </c>
      <c r="O917" s="19">
        <f t="shared" si="508"/>
        <v>26631</v>
      </c>
      <c r="P917" s="19">
        <f t="shared" si="509"/>
        <v>53827</v>
      </c>
      <c r="Q917" s="13">
        <f t="shared" ca="1" si="510"/>
        <v>53</v>
      </c>
      <c r="R917" s="13" t="str">
        <f t="shared" si="511"/>
        <v>OK</v>
      </c>
      <c r="S917" s="13" t="str">
        <f t="shared" si="512"/>
        <v xml:space="preserve">+7 (903) 123-45-67</v>
      </c>
      <c r="T917" s="13" t="str">
        <f t="shared" si="513"/>
        <v>petrova@gmail</v>
      </c>
      <c r="U917" s="18" t="str">
        <f t="shared" si="514"/>
        <v xml:space="preserve">Ошибка Email</v>
      </c>
      <c r="V917" s="13" t="str">
        <f>IFERROR(VLOOKUP(K917,Справочники!$K$6:$L$13,2,0),K917)</f>
        <v>Калуга</v>
      </c>
    </row>
    <row r="918" ht="15" customHeight="1">
      <c r="A918" s="10">
        <v>916</v>
      </c>
      <c r="B918" s="11" t="str">
        <f>RAW_Клиенты!A917</f>
        <v>C0916</v>
      </c>
      <c r="C918" s="11" t="str">
        <f>RAW_Клиенты!B917</f>
        <v xml:space="preserve">Ларионов Андрей Олегович</v>
      </c>
      <c r="D918" s="11" t="str">
        <f>RAW_Клиенты!C917</f>
        <v>22.05.1983</v>
      </c>
      <c r="E918" s="11" t="str">
        <f>RAW_Клиенты!D917</f>
        <v>+79031234567</v>
      </c>
      <c r="F918" s="11" t="str">
        <f>RAW_Клиенты!E917</f>
        <v>larionov@mail</v>
      </c>
      <c r="G918" s="11" t="str">
        <f>RAW_Клиенты!F917</f>
        <v>Владикавказ</v>
      </c>
      <c r="H918" s="11" t="str">
        <f>RAW_Клиенты!G917</f>
        <v>01.06.2047</v>
      </c>
      <c r="I918" s="12" t="str">
        <f t="shared" si="502"/>
        <v>79031234567</v>
      </c>
      <c r="J918" s="12" t="str">
        <f t="shared" si="503"/>
        <v>larionov@mail</v>
      </c>
      <c r="K918" s="12" t="str">
        <f t="shared" si="504"/>
        <v>Владикавказ</v>
      </c>
      <c r="L918" s="13" t="str">
        <f t="shared" si="505"/>
        <v>C0916</v>
      </c>
      <c r="M918" s="13" t="str">
        <f t="shared" si="506"/>
        <v xml:space="preserve">Ларионов Андрей Олегович</v>
      </c>
      <c r="N918" s="13" t="str">
        <f t="shared" si="507"/>
        <v>OK</v>
      </c>
      <c r="O918" s="19">
        <f t="shared" si="508"/>
        <v>30458</v>
      </c>
      <c r="P918" s="19">
        <f t="shared" si="509"/>
        <v>53844</v>
      </c>
      <c r="Q918" s="13">
        <f t="shared" ca="1" si="510"/>
        <v>43</v>
      </c>
      <c r="R918" s="13" t="str">
        <f t="shared" si="511"/>
        <v>OK</v>
      </c>
      <c r="S918" s="13" t="str">
        <f t="shared" si="512"/>
        <v xml:space="preserve">+7 (903) 123-45-67</v>
      </c>
      <c r="T918" s="13" t="str">
        <f t="shared" si="513"/>
        <v>larionov@mail</v>
      </c>
      <c r="U918" s="18" t="str">
        <f t="shared" si="514"/>
        <v xml:space="preserve">Ошибка Email</v>
      </c>
      <c r="V918" s="13" t="str">
        <f>IFERROR(VLOOKUP(K918,Справочники!$K$6:$L$13,2,0),K918)</f>
        <v>Владикавказ</v>
      </c>
    </row>
    <row r="919" ht="15" customHeight="1">
      <c r="A919" s="10">
        <v>917</v>
      </c>
      <c r="B919" s="11" t="str">
        <f>RAW_Клиенты!A918</f>
        <v>C0917</v>
      </c>
      <c r="C919" s="11" t="str">
        <f>RAW_Клиенты!B918</f>
        <v xml:space="preserve">Зубова Екатерина Владимировна</v>
      </c>
      <c r="D919" s="11" t="str">
        <f>RAW_Клиенты!C918</f>
        <v>14.07.1990</v>
      </c>
      <c r="E919" s="11" t="str">
        <f>RAW_Клиенты!D918</f>
        <v>8-903-123-45-67</v>
      </c>
      <c r="F919" s="11" t="str">
        <f>RAW_Клиенты!E918</f>
        <v>zubova@yandex</v>
      </c>
      <c r="G919" s="11" t="str">
        <f>RAW_Клиенты!F918</f>
        <v>Смоленск</v>
      </c>
      <c r="H919" s="11" t="str">
        <f>RAW_Клиенты!G918</f>
        <v>2047-06-10</v>
      </c>
      <c r="I919" s="12" t="str">
        <f t="shared" si="502"/>
        <v>89031234567</v>
      </c>
      <c r="J919" s="12" t="str">
        <f t="shared" si="503"/>
        <v>zubova@yandex</v>
      </c>
      <c r="K919" s="12" t="str">
        <f t="shared" si="504"/>
        <v>Смоленск</v>
      </c>
      <c r="L919" s="13" t="str">
        <f t="shared" si="505"/>
        <v>C0917</v>
      </c>
      <c r="M919" s="13" t="str">
        <f t="shared" si="506"/>
        <v xml:space="preserve">Зубова Екатерина Владимировна</v>
      </c>
      <c r="N919" s="13" t="str">
        <f t="shared" si="507"/>
        <v>OK</v>
      </c>
      <c r="O919" s="19">
        <f t="shared" si="508"/>
        <v>33068</v>
      </c>
      <c r="P919" s="19">
        <f t="shared" si="509"/>
        <v>53853</v>
      </c>
      <c r="Q919" s="13">
        <f t="shared" ca="1" si="510"/>
        <v>36</v>
      </c>
      <c r="R919" s="13" t="str">
        <f t="shared" si="511"/>
        <v>OK</v>
      </c>
      <c r="S919" s="13" t="str">
        <f t="shared" si="512"/>
        <v xml:space="preserve">+7 (903) 123-45-67</v>
      </c>
      <c r="T919" s="13" t="str">
        <f t="shared" si="513"/>
        <v>zubova@yandex</v>
      </c>
      <c r="U919" s="18" t="str">
        <f t="shared" si="514"/>
        <v xml:space="preserve">Ошибка Email</v>
      </c>
      <c r="V919" s="13" t="str">
        <f>IFERROR(VLOOKUP(K919,Справочники!$K$6:$L$13,2,0),K919)</f>
        <v>Смоленск</v>
      </c>
    </row>
    <row r="920" ht="15" customHeight="1">
      <c r="A920" s="10">
        <v>918</v>
      </c>
      <c r="B920" s="11" t="str">
        <f>RAW_Клиенты!A919</f>
        <v>C0918</v>
      </c>
      <c r="C920" s="11" t="str">
        <f>RAW_Клиенты!B919</f>
        <v xml:space="preserve">Киреев Денис Сергеевич</v>
      </c>
      <c r="D920" s="11" t="str">
        <f>RAW_Клиенты!C919</f>
        <v>08.09.1975</v>
      </c>
      <c r="E920" s="11" t="str">
        <f>RAW_Клиенты!D919</f>
        <v xml:space="preserve">8 903 234 56 78</v>
      </c>
      <c r="F920" s="11" t="str">
        <f>RAW_Клиенты!E919</f>
        <v>kireev@gmail</v>
      </c>
      <c r="G920" s="11" t="str">
        <f>RAW_Клиенты!F919</f>
        <v>Белгород</v>
      </c>
      <c r="H920" s="11" t="str">
        <f>RAW_Клиенты!G919</f>
        <v>10.06.2047</v>
      </c>
      <c r="I920" s="12" t="str">
        <f t="shared" si="502"/>
        <v>89032345678</v>
      </c>
      <c r="J920" s="12" t="str">
        <f t="shared" si="503"/>
        <v>kireev@gmail</v>
      </c>
      <c r="K920" s="12" t="str">
        <f t="shared" si="504"/>
        <v>Белгород</v>
      </c>
      <c r="L920" s="13" t="str">
        <f t="shared" si="505"/>
        <v>C0918</v>
      </c>
      <c r="M920" s="13" t="str">
        <f t="shared" si="506"/>
        <v xml:space="preserve">Киреев Денис Сергеевич</v>
      </c>
      <c r="N920" s="13" t="str">
        <f t="shared" si="507"/>
        <v>OK</v>
      </c>
      <c r="O920" s="19">
        <f t="shared" si="508"/>
        <v>27645</v>
      </c>
      <c r="P920" s="19">
        <f t="shared" si="509"/>
        <v>53853</v>
      </c>
      <c r="Q920" s="13">
        <f t="shared" ca="1" si="510"/>
        <v>51</v>
      </c>
      <c r="R920" s="13" t="str">
        <f t="shared" si="511"/>
        <v>OK</v>
      </c>
      <c r="S920" s="13" t="str">
        <f t="shared" si="512"/>
        <v xml:space="preserve">+7 (903) 234-56-78</v>
      </c>
      <c r="T920" s="13" t="str">
        <f t="shared" si="513"/>
        <v>kireev@gmail</v>
      </c>
      <c r="U920" s="18" t="str">
        <f t="shared" si="514"/>
        <v xml:space="preserve">Ошибка Email</v>
      </c>
      <c r="V920" s="13" t="str">
        <f>IFERROR(VLOOKUP(K920,Справочники!$K$6:$L$13,2,0),K920)</f>
        <v>Белгород</v>
      </c>
    </row>
    <row r="921" ht="15" customHeight="1">
      <c r="A921" s="10">
        <v>919</v>
      </c>
      <c r="B921" s="11" t="str">
        <f>RAW_Клиенты!A920</f>
        <v>C0919</v>
      </c>
      <c r="C921" s="11" t="str">
        <f>RAW_Клиенты!B920</f>
        <v xml:space="preserve">Крупнова Мария Павловна</v>
      </c>
      <c r="D921" s="11" t="str">
        <f>RAW_Клиенты!C920</f>
        <v>26.03.1981</v>
      </c>
      <c r="E921" s="11" t="str">
        <f>RAW_Клиенты!D920</f>
        <v>+79032345678</v>
      </c>
      <c r="F921" s="11" t="str">
        <f>RAW_Клиенты!E920</f>
        <v>krupnova@mail</v>
      </c>
      <c r="G921" s="11" t="str">
        <f>RAW_Клиенты!F920</f>
        <v>Мурманск</v>
      </c>
      <c r="H921" s="11" t="str">
        <f>RAW_Клиенты!G920</f>
        <v>01.07.2047</v>
      </c>
      <c r="I921" s="12" t="str">
        <f t="shared" si="502"/>
        <v>79032345678</v>
      </c>
      <c r="J921" s="12" t="str">
        <f t="shared" si="503"/>
        <v>krupnova@mail</v>
      </c>
      <c r="K921" s="12" t="str">
        <f t="shared" si="504"/>
        <v>Мурманск</v>
      </c>
      <c r="L921" s="13" t="str">
        <f t="shared" si="505"/>
        <v>C0919</v>
      </c>
      <c r="M921" s="13" t="str">
        <f t="shared" si="506"/>
        <v xml:space="preserve">Крупнова Мария Павловна</v>
      </c>
      <c r="N921" s="13" t="str">
        <f t="shared" si="507"/>
        <v>OK</v>
      </c>
      <c r="O921" s="19">
        <f t="shared" si="508"/>
        <v>29671</v>
      </c>
      <c r="P921" s="19">
        <f t="shared" si="509"/>
        <v>53874</v>
      </c>
      <c r="Q921" s="13">
        <f t="shared" ca="1" si="510"/>
        <v>45</v>
      </c>
      <c r="R921" s="13" t="str">
        <f t="shared" si="511"/>
        <v>OK</v>
      </c>
      <c r="S921" s="13" t="str">
        <f t="shared" si="512"/>
        <v xml:space="preserve">+7 (903) 234-56-78</v>
      </c>
      <c r="T921" s="13" t="str">
        <f t="shared" si="513"/>
        <v>krupnova@mail</v>
      </c>
      <c r="U921" s="18" t="str">
        <f t="shared" si="514"/>
        <v xml:space="preserve">Ошибка Email</v>
      </c>
      <c r="V921" s="13" t="str">
        <f>IFERROR(VLOOKUP(K921,Справочники!$K$6:$L$13,2,0),K921)</f>
        <v>Мурманск</v>
      </c>
    </row>
    <row r="922" ht="15" customHeight="1">
      <c r="A922" s="10">
        <v>920</v>
      </c>
      <c r="B922" s="11" t="str">
        <f>RAW_Клиенты!A921</f>
        <v>C0920</v>
      </c>
      <c r="C922" s="11" t="str">
        <f>RAW_Клиенты!B921</f>
        <v xml:space="preserve">Масленников Илья Александрович</v>
      </c>
      <c r="D922" s="11" t="str">
        <f>RAW_Клиенты!C921</f>
        <v>30.10.1986</v>
      </c>
      <c r="E922" s="11" t="str">
        <f>RAW_Клиенты!D921</f>
        <v>8-903-234-56-78</v>
      </c>
      <c r="F922" s="11" t="str">
        <f>RAW_Клиенты!E921</f>
        <v>maslennikov@yandex</v>
      </c>
      <c r="G922" s="11" t="str">
        <f>RAW_Клиенты!F921</f>
        <v>Ставрополь</v>
      </c>
      <c r="H922" s="11" t="str">
        <f>RAW_Клиенты!G921</f>
        <v>2047-07-15</v>
      </c>
      <c r="I922" s="12" t="str">
        <f t="shared" si="502"/>
        <v>89032345678</v>
      </c>
      <c r="J922" s="12" t="str">
        <f t="shared" si="503"/>
        <v>maslennikov@yandex</v>
      </c>
      <c r="K922" s="12" t="str">
        <f t="shared" si="504"/>
        <v>Ставрополь</v>
      </c>
      <c r="L922" s="13" t="str">
        <f t="shared" si="505"/>
        <v>C0920</v>
      </c>
      <c r="M922" s="13" t="str">
        <f t="shared" si="506"/>
        <v xml:space="preserve">Масленников Илья Александрович</v>
      </c>
      <c r="N922" s="13" t="str">
        <f t="shared" si="507"/>
        <v>OK</v>
      </c>
      <c r="O922" s="19">
        <f t="shared" si="508"/>
        <v>31715</v>
      </c>
      <c r="P922" s="19">
        <f t="shared" si="509"/>
        <v>53888</v>
      </c>
      <c r="Q922" s="13">
        <f t="shared" ca="1" si="510"/>
        <v>39</v>
      </c>
      <c r="R922" s="13" t="str">
        <f t="shared" si="511"/>
        <v>OK</v>
      </c>
      <c r="S922" s="13" t="str">
        <f t="shared" si="512"/>
        <v xml:space="preserve">+7 (903) 234-56-78</v>
      </c>
      <c r="T922" s="13" t="str">
        <f t="shared" si="513"/>
        <v>maslennikov@yandex</v>
      </c>
      <c r="U922" s="18" t="str">
        <f t="shared" si="514"/>
        <v xml:space="preserve">Ошибка Email</v>
      </c>
      <c r="V922" s="13" t="str">
        <f>IFERROR(VLOOKUP(K922,Справочники!$K$6:$L$13,2,0),K922)</f>
        <v>Ставрополь</v>
      </c>
    </row>
    <row r="923" ht="15" customHeight="1">
      <c r="A923" s="10">
        <v>921</v>
      </c>
      <c r="B923" s="11" t="str">
        <f>RAW_Клиенты!A922</f>
        <v>C0921</v>
      </c>
      <c r="C923" s="11" t="str">
        <f>RAW_Клиенты!B922</f>
        <v xml:space="preserve">Широкова Ольга Сергеевна</v>
      </c>
      <c r="D923" s="11" t="str">
        <f>RAW_Клиенты!C922</f>
        <v>17.12.1991</v>
      </c>
      <c r="E923" s="11" t="str">
        <f>RAW_Клиенты!D922</f>
        <v xml:space="preserve">8 903 345 67 89</v>
      </c>
      <c r="F923" s="11" t="str">
        <f>RAW_Клиенты!E922</f>
        <v>shirokova@gmail</v>
      </c>
      <c r="G923" s="11" t="str">
        <f>RAW_Клиенты!F922</f>
        <v>Севастополь</v>
      </c>
      <c r="H923" s="11" t="str">
        <f>RAW_Клиенты!G922</f>
        <v>15.07.2047</v>
      </c>
      <c r="I923" s="12" t="str">
        <f t="shared" si="502"/>
        <v>89033456789</v>
      </c>
      <c r="J923" s="12" t="str">
        <f t="shared" si="503"/>
        <v>shirokova@gmail</v>
      </c>
      <c r="K923" s="12" t="str">
        <f t="shared" si="504"/>
        <v>Севастополь</v>
      </c>
      <c r="L923" s="13" t="str">
        <f t="shared" si="505"/>
        <v>C0921</v>
      </c>
      <c r="M923" s="13" t="str">
        <f t="shared" si="506"/>
        <v xml:space="preserve">Широкова Ольга Сергеевна</v>
      </c>
      <c r="N923" s="13" t="str">
        <f t="shared" si="507"/>
        <v>OK</v>
      </c>
      <c r="O923" s="19">
        <f t="shared" si="508"/>
        <v>33589</v>
      </c>
      <c r="P923" s="19">
        <f t="shared" si="509"/>
        <v>53888</v>
      </c>
      <c r="Q923" s="13">
        <f t="shared" ca="1" si="510"/>
        <v>34</v>
      </c>
      <c r="R923" s="13" t="str">
        <f t="shared" si="511"/>
        <v>OK</v>
      </c>
      <c r="S923" s="13" t="str">
        <f t="shared" si="512"/>
        <v xml:space="preserve">+7 (903) 345-67-89</v>
      </c>
      <c r="T923" s="13" t="str">
        <f t="shared" si="513"/>
        <v>shirokova@gmail</v>
      </c>
      <c r="U923" s="18" t="str">
        <f t="shared" si="514"/>
        <v xml:space="preserve">Ошибка Email</v>
      </c>
      <c r="V923" s="13" t="str">
        <f>IFERROR(VLOOKUP(K923,Справочники!$K$6:$L$13,2,0),K923)</f>
        <v>Севастополь</v>
      </c>
    </row>
    <row r="924" ht="15" customHeight="1">
      <c r="A924" s="10">
        <v>922</v>
      </c>
      <c r="B924" s="11" t="str">
        <f>RAW_Клиенты!A923</f>
        <v>C0922</v>
      </c>
      <c r="C924" s="11" t="str">
        <f>RAW_Клиенты!B923</f>
        <v xml:space="preserve">Рубцов Андрей Олегович</v>
      </c>
      <c r="D924" s="11" t="str">
        <f>RAW_Клиенты!C923</f>
        <v>11.08.1976</v>
      </c>
      <c r="E924" s="11" t="str">
        <f>RAW_Клиенты!D923</f>
        <v>+79033456789</v>
      </c>
      <c r="F924" s="11" t="str">
        <f>RAW_Клиенты!E923</f>
        <v>rubtsov@mail</v>
      </c>
      <c r="G924" s="11" t="str">
        <f>RAW_Клиенты!F923</f>
        <v>Сочи</v>
      </c>
      <c r="H924" s="11" t="str">
        <f>RAW_Клиенты!G923</f>
        <v>01.08.2047</v>
      </c>
      <c r="I924" s="12" t="str">
        <f t="shared" si="502"/>
        <v>79033456789</v>
      </c>
      <c r="J924" s="12" t="str">
        <f t="shared" si="503"/>
        <v>rubtsov@mail</v>
      </c>
      <c r="K924" s="12" t="str">
        <f t="shared" si="504"/>
        <v>Сочи</v>
      </c>
      <c r="L924" s="13" t="str">
        <f t="shared" si="505"/>
        <v>C0922</v>
      </c>
      <c r="M924" s="13" t="str">
        <f t="shared" si="506"/>
        <v xml:space="preserve">Рубцов Андрей Олегович</v>
      </c>
      <c r="N924" s="13" t="str">
        <f t="shared" si="507"/>
        <v>OK</v>
      </c>
      <c r="O924" s="19">
        <f t="shared" si="508"/>
        <v>27983</v>
      </c>
      <c r="P924" s="19">
        <f t="shared" si="509"/>
        <v>53905</v>
      </c>
      <c r="Q924" s="13">
        <f t="shared" ca="1" si="510"/>
        <v>50</v>
      </c>
      <c r="R924" s="13" t="str">
        <f t="shared" si="511"/>
        <v>OK</v>
      </c>
      <c r="S924" s="13" t="str">
        <f t="shared" si="512"/>
        <v xml:space="preserve">+7 (903) 345-67-89</v>
      </c>
      <c r="T924" s="13" t="str">
        <f t="shared" si="513"/>
        <v>rubtsov@mail</v>
      </c>
      <c r="U924" s="18" t="str">
        <f t="shared" si="514"/>
        <v xml:space="preserve">Ошибка Email</v>
      </c>
      <c r="V924" s="13" t="str">
        <f>IFERROR(VLOOKUP(K924,Справочники!$K$6:$L$13,2,0),K924)</f>
        <v>Сочи</v>
      </c>
    </row>
    <row r="925" ht="15" customHeight="1">
      <c r="A925" s="10">
        <v>923</v>
      </c>
      <c r="B925" s="11" t="str">
        <f>RAW_Клиенты!A924</f>
        <v>C0923</v>
      </c>
      <c r="C925" s="11" t="str">
        <f>RAW_Клиенты!B924</f>
        <v xml:space="preserve">Ковалева Екатерина Владимировна</v>
      </c>
      <c r="D925" s="11" t="str">
        <f>RAW_Клиенты!C924</f>
        <v>02.06.1984</v>
      </c>
      <c r="E925" s="11" t="str">
        <f>RAW_Клиенты!D924</f>
        <v>8-903-345-67-89</v>
      </c>
      <c r="F925" s="11" t="str">
        <f>RAW_Клиенты!E924</f>
        <v>kovaleva@yandex</v>
      </c>
      <c r="G925" s="11" t="str">
        <f>RAW_Клиенты!F924</f>
        <v>Симферополь</v>
      </c>
      <c r="H925" s="11" t="str">
        <f>RAW_Клиенты!G924</f>
        <v>2047-08-10</v>
      </c>
      <c r="I925" s="12" t="str">
        <f t="shared" si="502"/>
        <v>89033456789</v>
      </c>
      <c r="J925" s="12" t="str">
        <f t="shared" si="503"/>
        <v>kovaleva@yandex</v>
      </c>
      <c r="K925" s="12" t="str">
        <f t="shared" si="504"/>
        <v>Симферополь</v>
      </c>
      <c r="L925" s="13" t="str">
        <f t="shared" si="505"/>
        <v>C0923</v>
      </c>
      <c r="M925" s="13" t="str">
        <f t="shared" si="506"/>
        <v xml:space="preserve">Ковалева Екатерина Владимировна</v>
      </c>
      <c r="N925" s="13" t="str">
        <f t="shared" si="507"/>
        <v>OK</v>
      </c>
      <c r="O925" s="19">
        <f t="shared" si="508"/>
        <v>30835</v>
      </c>
      <c r="P925" s="19">
        <f t="shared" si="509"/>
        <v>53914</v>
      </c>
      <c r="Q925" s="13">
        <f t="shared" ca="1" si="510"/>
        <v>42</v>
      </c>
      <c r="R925" s="13" t="str">
        <f t="shared" si="511"/>
        <v>OK</v>
      </c>
      <c r="S925" s="13" t="str">
        <f t="shared" si="512"/>
        <v xml:space="preserve">+7 (903) 345-67-89</v>
      </c>
      <c r="T925" s="13" t="str">
        <f t="shared" si="513"/>
        <v>kovaleva@yandex</v>
      </c>
      <c r="U925" s="18" t="str">
        <f t="shared" si="514"/>
        <v xml:space="preserve">Ошибка Email</v>
      </c>
      <c r="V925" s="13" t="str">
        <f>IFERROR(VLOOKUP(K925,Справочники!$K$6:$L$13,2,0),K925)</f>
        <v>Симферополь</v>
      </c>
    </row>
    <row r="926" ht="15" customHeight="1">
      <c r="A926" s="10">
        <v>924</v>
      </c>
      <c r="B926" s="11" t="str">
        <f>RAW_Клиенты!A925</f>
        <v>C0924</v>
      </c>
      <c r="C926" s="11" t="str">
        <f>RAW_Клиенты!B925</f>
        <v xml:space="preserve">Чижиков Илья Александрович</v>
      </c>
      <c r="D926" s="11" t="str">
        <f>RAW_Клиенты!C925</f>
        <v>19.11.1988</v>
      </c>
      <c r="E926" s="11" t="str">
        <f>RAW_Клиенты!D925</f>
        <v xml:space="preserve">8 903 456 78 90</v>
      </c>
      <c r="F926" s="11" t="str">
        <f>RAW_Клиенты!E925</f>
        <v>chizhikov@gmail</v>
      </c>
      <c r="G926" s="11" t="str">
        <f>RAW_Клиенты!F925</f>
        <v>Брянск</v>
      </c>
      <c r="H926" s="11" t="str">
        <f>RAW_Клиенты!G925</f>
        <v>10.08.2047</v>
      </c>
      <c r="I926" s="12" t="str">
        <f t="shared" si="502"/>
        <v>89034567890</v>
      </c>
      <c r="J926" s="12" t="str">
        <f t="shared" si="503"/>
        <v>chizhikov@gmail</v>
      </c>
      <c r="K926" s="12" t="str">
        <f t="shared" si="504"/>
        <v>Брянск</v>
      </c>
      <c r="L926" s="13" t="str">
        <f t="shared" si="505"/>
        <v>C0924</v>
      </c>
      <c r="M926" s="13" t="str">
        <f t="shared" si="506"/>
        <v xml:space="preserve">Чижиков Илья Александрович</v>
      </c>
      <c r="N926" s="13" t="str">
        <f t="shared" si="507"/>
        <v>OK</v>
      </c>
      <c r="O926" s="19">
        <f t="shared" si="508"/>
        <v>32466</v>
      </c>
      <c r="P926" s="19">
        <f t="shared" si="509"/>
        <v>53914</v>
      </c>
      <c r="Q926" s="13">
        <f t="shared" ca="1" si="510"/>
        <v>37</v>
      </c>
      <c r="R926" s="13" t="str">
        <f t="shared" si="511"/>
        <v>OK</v>
      </c>
      <c r="S926" s="13" t="str">
        <f t="shared" si="512"/>
        <v xml:space="preserve">+7 (903) 456-78-90</v>
      </c>
      <c r="T926" s="13" t="str">
        <f t="shared" si="513"/>
        <v>chizhikov@gmail</v>
      </c>
      <c r="U926" s="18" t="str">
        <f t="shared" si="514"/>
        <v xml:space="preserve">Ошибка Email</v>
      </c>
      <c r="V926" s="13" t="str">
        <f>IFERROR(VLOOKUP(K926,Справочники!$K$6:$L$13,2,0),K926)</f>
        <v>Брянск</v>
      </c>
    </row>
    <row r="927" ht="15" customHeight="1">
      <c r="A927" s="10">
        <v>925</v>
      </c>
      <c r="B927" s="11" t="str">
        <f>RAW_Клиенты!A926</f>
        <v>C0925</v>
      </c>
      <c r="C927" s="11" t="str">
        <f>RAW_Клиенты!B926</f>
        <v xml:space="preserve">Борзова Мария Павловна</v>
      </c>
      <c r="D927" s="11" t="str">
        <f>RAW_Клиенты!C926</f>
        <v>13.10.1974</v>
      </c>
      <c r="E927" s="11" t="str">
        <f>RAW_Клиенты!D926</f>
        <v>+79034567890</v>
      </c>
      <c r="F927" s="11" t="str">
        <f>RAW_Клиенты!E926</f>
        <v>borzova@mail</v>
      </c>
      <c r="G927" s="11" t="str">
        <f>RAW_Клиенты!F926</f>
        <v>Абакан</v>
      </c>
      <c r="H927" s="11" t="str">
        <f>RAW_Клиенты!G926</f>
        <v>01.09.2047</v>
      </c>
      <c r="I927" s="12" t="str">
        <f t="shared" si="502"/>
        <v>79034567890</v>
      </c>
      <c r="J927" s="12" t="str">
        <f t="shared" si="503"/>
        <v>borzova@mail</v>
      </c>
      <c r="K927" s="12" t="str">
        <f t="shared" si="504"/>
        <v>Абакан</v>
      </c>
      <c r="L927" s="13" t="str">
        <f t="shared" si="505"/>
        <v>C0925</v>
      </c>
      <c r="M927" s="13" t="str">
        <f t="shared" si="506"/>
        <v xml:space="preserve">Борзова Мария Павловна</v>
      </c>
      <c r="N927" s="13" t="str">
        <f t="shared" si="507"/>
        <v>OK</v>
      </c>
      <c r="O927" s="19">
        <f t="shared" si="508"/>
        <v>27315</v>
      </c>
      <c r="P927" s="19">
        <f t="shared" si="509"/>
        <v>53936</v>
      </c>
      <c r="Q927" s="13">
        <f t="shared" ca="1" si="510"/>
        <v>51</v>
      </c>
      <c r="R927" s="13" t="str">
        <f t="shared" si="511"/>
        <v>OK</v>
      </c>
      <c r="S927" s="13" t="str">
        <f t="shared" si="512"/>
        <v xml:space="preserve">+7 (903) 456-78-90</v>
      </c>
      <c r="T927" s="13" t="str">
        <f t="shared" si="513"/>
        <v>borzova@mail</v>
      </c>
      <c r="U927" s="18" t="str">
        <f t="shared" si="514"/>
        <v xml:space="preserve">Ошибка Email</v>
      </c>
      <c r="V927" s="13" t="str">
        <f>IFERROR(VLOOKUP(K927,Справочники!$K$6:$L$13,2,0),K927)</f>
        <v>Абакан</v>
      </c>
    </row>
    <row r="928" ht="15" customHeight="1">
      <c r="A928" s="10">
        <v>926</v>
      </c>
      <c r="B928" s="11" t="str">
        <f>RAW_Клиенты!A927</f>
        <v>C0926</v>
      </c>
      <c r="C928" s="11" t="str">
        <f>RAW_Клиенты!B927</f>
        <v xml:space="preserve">Трофимов Денис Викторович</v>
      </c>
      <c r="D928" s="11" t="str">
        <f>RAW_Клиенты!C927</f>
        <v>27.03.1985</v>
      </c>
      <c r="E928" s="11" t="str">
        <f>RAW_Клиенты!D927</f>
        <v>8-903-456-78-90</v>
      </c>
      <c r="F928" s="11" t="str">
        <f>RAW_Клиенты!E927</f>
        <v>trofimov@yandex</v>
      </c>
      <c r="G928" s="11" t="str">
        <f>RAW_Клиенты!F927</f>
        <v>Грозный</v>
      </c>
      <c r="H928" s="11" t="str">
        <f>RAW_Клиенты!G927</f>
        <v>2047-09-15</v>
      </c>
      <c r="I928" s="12" t="str">
        <f t="shared" si="502"/>
        <v>89034567890</v>
      </c>
      <c r="J928" s="12" t="str">
        <f t="shared" si="503"/>
        <v>trofimov@yandex</v>
      </c>
      <c r="K928" s="12" t="str">
        <f t="shared" si="504"/>
        <v>Грозный</v>
      </c>
      <c r="L928" s="13" t="str">
        <f t="shared" si="505"/>
        <v>C0926</v>
      </c>
      <c r="M928" s="13" t="str">
        <f t="shared" si="506"/>
        <v xml:space="preserve">Трофимов Денис Викторович</v>
      </c>
      <c r="N928" s="13" t="str">
        <f t="shared" si="507"/>
        <v>OK</v>
      </c>
      <c r="O928" s="19">
        <f t="shared" si="508"/>
        <v>31133</v>
      </c>
      <c r="P928" s="19">
        <f t="shared" si="509"/>
        <v>53950</v>
      </c>
      <c r="Q928" s="13">
        <f t="shared" ca="1" si="510"/>
        <v>41</v>
      </c>
      <c r="R928" s="13" t="str">
        <f t="shared" si="511"/>
        <v>OK</v>
      </c>
      <c r="S928" s="13" t="str">
        <f t="shared" si="512"/>
        <v xml:space="preserve">+7 (903) 456-78-90</v>
      </c>
      <c r="T928" s="13" t="str">
        <f t="shared" si="513"/>
        <v>trofimov@yandex</v>
      </c>
      <c r="U928" s="18" t="str">
        <f t="shared" si="514"/>
        <v xml:space="preserve">Ошибка Email</v>
      </c>
      <c r="V928" s="13" t="str">
        <f>IFERROR(VLOOKUP(K928,Справочники!$K$6:$L$13,2,0),K928)</f>
        <v>Грозный</v>
      </c>
    </row>
    <row r="929" ht="15" customHeight="1">
      <c r="A929" s="10">
        <v>927</v>
      </c>
      <c r="B929" s="11" t="str">
        <f>RAW_Клиенты!A928</f>
        <v>C0927</v>
      </c>
      <c r="C929" s="11" t="str">
        <f>RAW_Клиенты!B928</f>
        <v xml:space="preserve">Кузьмичева Ольга Сергеевна</v>
      </c>
      <c r="D929" s="11" t="str">
        <f>RAW_Клиенты!C928</f>
        <v>05.07.1992</v>
      </c>
      <c r="E929" s="11" t="str">
        <f>RAW_Клиенты!D928</f>
        <v xml:space="preserve">8 903 567 89 01</v>
      </c>
      <c r="F929" s="11" t="str">
        <f>RAW_Клиенты!E928</f>
        <v>kuzmicheva@gmail</v>
      </c>
      <c r="G929" s="11" t="str">
        <f>RAW_Клиенты!F928</f>
        <v>Бийск</v>
      </c>
      <c r="H929" s="11" t="str">
        <f>RAW_Клиенты!G928</f>
        <v>15.09.2047</v>
      </c>
      <c r="I929" s="12" t="str">
        <f t="shared" si="502"/>
        <v>89035678901</v>
      </c>
      <c r="J929" s="12" t="str">
        <f t="shared" si="503"/>
        <v>kuzmicheva@gmail</v>
      </c>
      <c r="K929" s="12" t="str">
        <f t="shared" si="504"/>
        <v>Бийск</v>
      </c>
      <c r="L929" s="13" t="str">
        <f t="shared" si="505"/>
        <v>C0927</v>
      </c>
      <c r="M929" s="13" t="str">
        <f t="shared" si="506"/>
        <v xml:space="preserve">Кузьмичева Ольга Сергеевна</v>
      </c>
      <c r="N929" s="13" t="str">
        <f t="shared" si="507"/>
        <v>OK</v>
      </c>
      <c r="O929" s="19">
        <f t="shared" si="508"/>
        <v>33790</v>
      </c>
      <c r="P929" s="19">
        <f t="shared" si="509"/>
        <v>53950</v>
      </c>
      <c r="Q929" s="13">
        <f t="shared" ca="1" si="510"/>
        <v>34</v>
      </c>
      <c r="R929" s="13" t="str">
        <f t="shared" si="511"/>
        <v>OK</v>
      </c>
      <c r="S929" s="13" t="str">
        <f t="shared" si="512"/>
        <v xml:space="preserve">+7 (903) 567-89-01</v>
      </c>
      <c r="T929" s="13" t="str">
        <f t="shared" si="513"/>
        <v>kuzmicheva@gmail</v>
      </c>
      <c r="U929" s="18" t="str">
        <f t="shared" si="514"/>
        <v xml:space="preserve">Ошибка Email</v>
      </c>
      <c r="V929" s="13" t="str">
        <f>IFERROR(VLOOKUP(K929,Справочники!$K$6:$L$13,2,0),K929)</f>
        <v>Бийск</v>
      </c>
    </row>
    <row r="930" ht="15" customHeight="1">
      <c r="A930" s="10">
        <v>928</v>
      </c>
      <c r="B930" s="11" t="str">
        <f>RAW_Клиенты!A929</f>
        <v>C0928</v>
      </c>
      <c r="C930" s="11" t="str">
        <f>RAW_Клиенты!B929</f>
        <v xml:space="preserve">Голованов Андрей Олегович</v>
      </c>
      <c r="D930" s="11" t="str">
        <f>RAW_Клиенты!C929</f>
        <v>24.02.1973</v>
      </c>
      <c r="E930" s="11" t="str">
        <f>RAW_Клиенты!D929</f>
        <v>+79035678901</v>
      </c>
      <c r="F930" s="11" t="str">
        <f>RAW_Клиенты!E929</f>
        <v>golovanov@mail</v>
      </c>
      <c r="G930" s="11" t="str">
        <f>RAW_Клиенты!F929</f>
        <v>Йошкар-Ола</v>
      </c>
      <c r="H930" s="11" t="str">
        <f>RAW_Клиенты!G929</f>
        <v>01.10.2047</v>
      </c>
      <c r="I930" s="12" t="str">
        <f t="shared" si="502"/>
        <v>79035678901</v>
      </c>
      <c r="J930" s="12" t="str">
        <f t="shared" si="503"/>
        <v>golovanov@mail</v>
      </c>
      <c r="K930" s="12" t="str">
        <f t="shared" si="504"/>
        <v>Йошкар-Ола</v>
      </c>
      <c r="L930" s="13" t="str">
        <f t="shared" si="505"/>
        <v>C0928</v>
      </c>
      <c r="M930" s="13" t="str">
        <f t="shared" si="506"/>
        <v xml:space="preserve">Голованов Андрей Олегович</v>
      </c>
      <c r="N930" s="13" t="str">
        <f t="shared" si="507"/>
        <v>OK</v>
      </c>
      <c r="O930" s="19">
        <f t="shared" si="508"/>
        <v>26719</v>
      </c>
      <c r="P930" s="19">
        <f t="shared" si="509"/>
        <v>53966</v>
      </c>
      <c r="Q930" s="13">
        <f t="shared" ca="1" si="510"/>
        <v>53</v>
      </c>
      <c r="R930" s="13" t="str">
        <f t="shared" si="511"/>
        <v>OK</v>
      </c>
      <c r="S930" s="13" t="str">
        <f t="shared" si="512"/>
        <v xml:space="preserve">+7 (903) 567-89-01</v>
      </c>
      <c r="T930" s="13" t="str">
        <f t="shared" si="513"/>
        <v>golovanov@mail</v>
      </c>
      <c r="U930" s="18" t="str">
        <f t="shared" si="514"/>
        <v xml:space="preserve">Ошибка Email</v>
      </c>
      <c r="V930" s="13" t="str">
        <f>IFERROR(VLOOKUP(K930,Справочники!$K$6:$L$13,2,0),K930)</f>
        <v>Йошкар-Ола</v>
      </c>
    </row>
    <row r="931" ht="15" customHeight="1">
      <c r="A931" s="10">
        <v>929</v>
      </c>
      <c r="B931" s="11" t="str">
        <f>RAW_Клиенты!A930</f>
        <v>C0929</v>
      </c>
      <c r="C931" s="11" t="str">
        <f>RAW_Клиенты!B930</f>
        <v xml:space="preserve">Гущин Илья Александрович</v>
      </c>
      <c r="D931" s="11" t="str">
        <f>RAW_Клиенты!C930</f>
        <v>15.12.1981</v>
      </c>
      <c r="E931" s="11" t="str">
        <f>RAW_Клиенты!D930</f>
        <v>8-903-567-89-01</v>
      </c>
      <c r="F931" s="11" t="str">
        <f>RAW_Клиенты!E930</f>
        <v>guschin@yandex</v>
      </c>
      <c r="G931" s="11" t="str">
        <f>RAW_Клиенты!F930</f>
        <v>Курган</v>
      </c>
      <c r="H931" s="11" t="str">
        <f>RAW_Клиенты!G930</f>
        <v>2047-10-10</v>
      </c>
      <c r="I931" s="12" t="str">
        <f t="shared" si="502"/>
        <v>89035678901</v>
      </c>
      <c r="J931" s="12" t="str">
        <f t="shared" si="503"/>
        <v>guschin@yandex</v>
      </c>
      <c r="K931" s="12" t="str">
        <f t="shared" si="504"/>
        <v>Курган</v>
      </c>
      <c r="L931" s="13" t="str">
        <f t="shared" si="505"/>
        <v>C0929</v>
      </c>
      <c r="M931" s="13" t="str">
        <f t="shared" si="506"/>
        <v xml:space="preserve">Гущин Илья Александрович</v>
      </c>
      <c r="N931" s="13" t="str">
        <f t="shared" si="507"/>
        <v>OK</v>
      </c>
      <c r="O931" s="19">
        <f t="shared" si="508"/>
        <v>29935</v>
      </c>
      <c r="P931" s="19">
        <f t="shared" si="509"/>
        <v>53975</v>
      </c>
      <c r="Q931" s="13">
        <f t="shared" ca="1" si="510"/>
        <v>44</v>
      </c>
      <c r="R931" s="13" t="str">
        <f t="shared" si="511"/>
        <v>OK</v>
      </c>
      <c r="S931" s="13" t="str">
        <f t="shared" si="512"/>
        <v xml:space="preserve">+7 (903) 567-89-01</v>
      </c>
      <c r="T931" s="13" t="str">
        <f t="shared" si="513"/>
        <v>guschin@yandex</v>
      </c>
      <c r="U931" s="18" t="str">
        <f t="shared" si="514"/>
        <v xml:space="preserve">Ошибка Email</v>
      </c>
      <c r="V931" s="13" t="str">
        <f>IFERROR(VLOOKUP(K931,Справочники!$K$6:$L$13,2,0),K931)</f>
        <v>Курган</v>
      </c>
    </row>
    <row r="932" ht="15" customHeight="1">
      <c r="A932" s="10">
        <v>930</v>
      </c>
      <c r="B932" s="11" t="str">
        <f>RAW_Клиенты!A931</f>
        <v>C0930</v>
      </c>
      <c r="C932" s="11" t="str">
        <f>RAW_Клиенты!B931</f>
        <v xml:space="preserve">Кашкаева Екатерина Владимировна</v>
      </c>
      <c r="D932" s="11" t="str">
        <f>RAW_Клиенты!C931</f>
        <v>21.08.1987</v>
      </c>
      <c r="E932" s="11" t="str">
        <f>RAW_Клиенты!D931</f>
        <v xml:space="preserve">8 903 678 90 12</v>
      </c>
      <c r="F932" s="11" t="str">
        <f>RAW_Клиенты!E931</f>
        <v>kashkaeva@gmail</v>
      </c>
      <c r="G932" s="11" t="str">
        <f>RAW_Клиенты!F931</f>
        <v>Архангельск</v>
      </c>
      <c r="H932" s="11" t="str">
        <f>RAW_Клиенты!G931</f>
        <v>10.10.2047</v>
      </c>
      <c r="I932" s="12" t="str">
        <f t="shared" ref="I932:I995" si="515">SUBSTITUTE(SUBSTITUTE(SUBSTITUTE(SUBSTITUTE(SUBSTITUTE(SUBSTITUTE(E932," ",""),"-",""),"+",""),"(",""),")",""),CHAR(160),"")</f>
        <v>89036789012</v>
      </c>
      <c r="J932" s="12" t="str">
        <f t="shared" ref="J932:J995" si="516">SUBSTITUTE(SUBSTITUTE(TRIM(F932)," ",""),CHAR(160),"")</f>
        <v>kashkaeva@gmail</v>
      </c>
      <c r="K932" s="12" t="str">
        <f t="shared" ref="K932:K995" si="517">TRIM(SUBSTITUTE(SUBSTITUTE(TRIM(G932),"г.",""),"г ",""))</f>
        <v>Архангельск</v>
      </c>
      <c r="L932" s="13" t="str">
        <f t="shared" ref="L932:L995" si="518">B932</f>
        <v>C0930</v>
      </c>
      <c r="M932" s="13" t="str">
        <f t="shared" ref="M932:M995" si="519">PROPER(TRIM(C932))</f>
        <v xml:space="preserve">Кашкаева Екатерина Владимировна</v>
      </c>
      <c r="N932" s="13" t="str">
        <f t="shared" ref="N932:N995" si="520">IF(ISNUMBER(FIND(".",C932)),"инициалы: проверить",IF(SUMPRODUCT(--ISNUMBER(FIND(MID("abcdefghijklmnopqrstuvwxyz",ROW(INDIRECT("1:26")),1),LOWER(C932))))&gt;0,"латиница: транслит","OK"))</f>
        <v>OK</v>
      </c>
      <c r="O932" s="19">
        <f t="shared" ref="O932:O995" si="521">IF(ISNUMBER(FIND("-",D932)),DATE(VALUE(LEFT(D932,4)),VALUE(MID(D932,6,2)),VALUE(MID(D932,9,2))),DATE(VALUE(MID(D932,7,4)),VALUE(MID(D932,4,2)),VALUE(LEFT(D932,2))))</f>
        <v>32010</v>
      </c>
      <c r="P932" s="19">
        <f t="shared" ref="P932:P995" si="522">IF(ISNUMBER(FIND("-",H932)),DATE(VALUE(LEFT(H932,4)),VALUE(MID(H932,6,2)),VALUE(MID(H932,9,2))),DATE(VALUE(MID(H932,7,4)),VALUE(MID(H932,4,2)),VALUE(LEFT(H932,2))))</f>
        <v>53975</v>
      </c>
      <c r="Q932" s="13">
        <f t="shared" ref="Q932:Q995" ca="1" si="523">DATEDIF(O932,TODAY(),"Y")</f>
        <v>39</v>
      </c>
      <c r="R932" s="13" t="str">
        <f t="shared" ref="R932:R995" si="524">IF(OR(Q932&lt;18,Q932&gt;120),"Ошибка даты рождения","OK")</f>
        <v>OK</v>
      </c>
      <c r="S932" s="13" t="str">
        <f t="shared" ref="S932:S995" si="525">IF(LEN(I932)&gt;=10,"+7 ("&amp;MID(I932,LEN(I932)-9,3)&amp;") "&amp;MID(I932,LEN(I932)-6,3)&amp;"-"&amp;MID(I932,LEN(I932)-3,2)&amp;"-"&amp;RIGHT(I932,2),"Ошибка телефона")</f>
        <v xml:space="preserve">+7 (903) 678-90-12</v>
      </c>
      <c r="T932" s="13" t="str">
        <f t="shared" ref="T932:T995" si="526">J932</f>
        <v>kashkaeva@gmail</v>
      </c>
      <c r="U932" s="18" t="str">
        <f t="shared" ref="U932:U995" si="527">IF(AND(ISNUMBER(FIND("@",J932)),ISNUMBER(FIND(".",MID(J932,FIND("@",J932),100)))),"OK","Ошибка Email")</f>
        <v xml:space="preserve">Ошибка Email</v>
      </c>
      <c r="V932" s="13" t="str">
        <f>IFERROR(VLOOKUP(K932,Справочники!$K$6:$L$13,2,0),K932)</f>
        <v>Архангельск</v>
      </c>
    </row>
    <row r="933" ht="15" customHeight="1">
      <c r="A933" s="10">
        <v>931</v>
      </c>
      <c r="B933" s="11" t="str">
        <f>RAW_Клиенты!A932</f>
        <v>C0931</v>
      </c>
      <c r="C933" s="11" t="str">
        <f>RAW_Клиенты!B932</f>
        <v xml:space="preserve">Лобачева Мария Павловна</v>
      </c>
      <c r="D933" s="11" t="str">
        <f>RAW_Клиенты!C932</f>
        <v>07.10.1977</v>
      </c>
      <c r="E933" s="11" t="str">
        <f>RAW_Клиенты!D932</f>
        <v>+79036789012</v>
      </c>
      <c r="F933" s="11" t="str">
        <f>RAW_Клиенты!E932</f>
        <v>lobacheva@mail</v>
      </c>
      <c r="G933" s="11" t="str">
        <f>RAW_Клиенты!F932</f>
        <v>Благовещенск</v>
      </c>
      <c r="H933" s="11" t="str">
        <f>RAW_Клиенты!G932</f>
        <v>01.11.2047</v>
      </c>
      <c r="I933" s="12" t="str">
        <f t="shared" si="515"/>
        <v>79036789012</v>
      </c>
      <c r="J933" s="12" t="str">
        <f t="shared" si="516"/>
        <v>lobacheva@mail</v>
      </c>
      <c r="K933" s="12" t="str">
        <f t="shared" si="517"/>
        <v>Благовещенск</v>
      </c>
      <c r="L933" s="13" t="str">
        <f t="shared" si="518"/>
        <v>C0931</v>
      </c>
      <c r="M933" s="13" t="str">
        <f t="shared" si="519"/>
        <v xml:space="preserve">Лобачева Мария Павловна</v>
      </c>
      <c r="N933" s="13" t="str">
        <f t="shared" si="520"/>
        <v>OK</v>
      </c>
      <c r="O933" s="19">
        <f t="shared" si="521"/>
        <v>28405</v>
      </c>
      <c r="P933" s="19">
        <f t="shared" si="522"/>
        <v>53997</v>
      </c>
      <c r="Q933" s="13">
        <f t="shared" ca="1" si="523"/>
        <v>48</v>
      </c>
      <c r="R933" s="13" t="str">
        <f t="shared" si="524"/>
        <v>OK</v>
      </c>
      <c r="S933" s="13" t="str">
        <f t="shared" si="525"/>
        <v xml:space="preserve">+7 (903) 678-90-12</v>
      </c>
      <c r="T933" s="13" t="str">
        <f t="shared" si="526"/>
        <v>lobacheva@mail</v>
      </c>
      <c r="U933" s="18" t="str">
        <f t="shared" si="527"/>
        <v xml:space="preserve">Ошибка Email</v>
      </c>
      <c r="V933" s="13" t="str">
        <f>IFERROR(VLOOKUP(K933,Справочники!$K$6:$L$13,2,0),K933)</f>
        <v>Благовещенск</v>
      </c>
    </row>
    <row r="934" ht="15" customHeight="1">
      <c r="A934" s="10">
        <v>932</v>
      </c>
      <c r="B934" s="11" t="str">
        <f>RAW_Клиенты!A933</f>
        <v>C0932</v>
      </c>
      <c r="C934" s="11" t="str">
        <f>RAW_Клиенты!B933</f>
        <v xml:space="preserve">Ершов Денис Сергеевич</v>
      </c>
      <c r="D934" s="11" t="str">
        <f>RAW_Клиенты!C933</f>
        <v>30.11.1990</v>
      </c>
      <c r="E934" s="11" t="str">
        <f>RAW_Клиенты!D933</f>
        <v>8-903-678-90-12</v>
      </c>
      <c r="F934" s="11" t="str">
        <f>RAW_Клиенты!E933</f>
        <v>ershov@yandex</v>
      </c>
      <c r="G934" s="11" t="str">
        <f>RAW_Клиенты!F933</f>
        <v>Майкоп</v>
      </c>
      <c r="H934" s="11" t="str">
        <f>RAW_Клиенты!G933</f>
        <v>2047-11-15</v>
      </c>
      <c r="I934" s="12" t="str">
        <f t="shared" si="515"/>
        <v>89036789012</v>
      </c>
      <c r="J934" s="12" t="str">
        <f t="shared" si="516"/>
        <v>ershov@yandex</v>
      </c>
      <c r="K934" s="12" t="str">
        <f t="shared" si="517"/>
        <v>Майкоп</v>
      </c>
      <c r="L934" s="13" t="str">
        <f t="shared" si="518"/>
        <v>C0932</v>
      </c>
      <c r="M934" s="13" t="str">
        <f t="shared" si="519"/>
        <v xml:space="preserve">Ершов Денис Сергеевич</v>
      </c>
      <c r="N934" s="13" t="str">
        <f t="shared" si="520"/>
        <v>OK</v>
      </c>
      <c r="O934" s="19">
        <f t="shared" si="521"/>
        <v>33207</v>
      </c>
      <c r="P934" s="19">
        <f t="shared" si="522"/>
        <v>54011</v>
      </c>
      <c r="Q934" s="13">
        <f t="shared" ca="1" si="523"/>
        <v>35</v>
      </c>
      <c r="R934" s="13" t="str">
        <f t="shared" si="524"/>
        <v>OK</v>
      </c>
      <c r="S934" s="13" t="str">
        <f t="shared" si="525"/>
        <v xml:space="preserve">+7 (903) 678-90-12</v>
      </c>
      <c r="T934" s="13" t="str">
        <f t="shared" si="526"/>
        <v>ershov@yandex</v>
      </c>
      <c r="U934" s="18" t="str">
        <f t="shared" si="527"/>
        <v xml:space="preserve">Ошибка Email</v>
      </c>
      <c r="V934" s="13" t="str">
        <f>IFERROR(VLOOKUP(K934,Справочники!$K$6:$L$13,2,0),K934)</f>
        <v>Майкоп</v>
      </c>
    </row>
    <row r="935" ht="15" customHeight="1">
      <c r="A935" s="10">
        <v>933</v>
      </c>
      <c r="B935" s="11" t="str">
        <f>RAW_Клиенты!A934</f>
        <v>C0933</v>
      </c>
      <c r="C935" s="11" t="str">
        <f>RAW_Клиенты!B934</f>
        <v xml:space="preserve">Петухова Ольга Сергеевна</v>
      </c>
      <c r="D935" s="11" t="str">
        <f>RAW_Клиенты!C934</f>
        <v>16.05.1983</v>
      </c>
      <c r="E935" s="11" t="str">
        <f>RAW_Клиенты!D934</f>
        <v xml:space="preserve">8 903 789 01 23</v>
      </c>
      <c r="F935" s="11" t="str">
        <f>RAW_Клиенты!E934</f>
        <v>petuhova@gmail</v>
      </c>
      <c r="G935" s="11" t="str">
        <f>RAW_Клиенты!F934</f>
        <v>Уссурийск</v>
      </c>
      <c r="H935" s="11" t="str">
        <f>RAW_Клиенты!G934</f>
        <v>15.11.2047</v>
      </c>
      <c r="I935" s="12" t="str">
        <f t="shared" si="515"/>
        <v>89037890123</v>
      </c>
      <c r="J935" s="12" t="str">
        <f t="shared" si="516"/>
        <v>petuhova@gmail</v>
      </c>
      <c r="K935" s="12" t="str">
        <f t="shared" si="517"/>
        <v>Уссурийск</v>
      </c>
      <c r="L935" s="13" t="str">
        <f t="shared" si="518"/>
        <v>C0933</v>
      </c>
      <c r="M935" s="13" t="str">
        <f t="shared" si="519"/>
        <v xml:space="preserve">Петухова Ольга Сергеевна</v>
      </c>
      <c r="N935" s="13" t="str">
        <f t="shared" si="520"/>
        <v>OK</v>
      </c>
      <c r="O935" s="19">
        <f t="shared" si="521"/>
        <v>30452</v>
      </c>
      <c r="P935" s="19">
        <f t="shared" si="522"/>
        <v>54011</v>
      </c>
      <c r="Q935" s="13">
        <f t="shared" ca="1" si="523"/>
        <v>43</v>
      </c>
      <c r="R935" s="13" t="str">
        <f t="shared" si="524"/>
        <v>OK</v>
      </c>
      <c r="S935" s="13" t="str">
        <f t="shared" si="525"/>
        <v xml:space="preserve">+7 (903) 789-01-23</v>
      </c>
      <c r="T935" s="13" t="str">
        <f t="shared" si="526"/>
        <v>petuhova@gmail</v>
      </c>
      <c r="U935" s="18" t="str">
        <f t="shared" si="527"/>
        <v xml:space="preserve">Ошибка Email</v>
      </c>
      <c r="V935" s="13" t="str">
        <f>IFERROR(VLOOKUP(K935,Справочники!$K$6:$L$13,2,0),K935)</f>
        <v>Уссурийск</v>
      </c>
    </row>
    <row r="936" ht="15" customHeight="1">
      <c r="A936" s="10">
        <v>934</v>
      </c>
      <c r="B936" s="11" t="str">
        <f>RAW_Клиенты!A935</f>
        <v>C0934</v>
      </c>
      <c r="C936" s="11" t="str">
        <f>RAW_Клиенты!B935</f>
        <v xml:space="preserve">Козлов Андрей Олегович</v>
      </c>
      <c r="D936" s="11" t="str">
        <f>RAW_Клиенты!C935</f>
        <v>09.01.1978</v>
      </c>
      <c r="E936" s="11" t="str">
        <f>RAW_Клиенты!D935</f>
        <v>+79037890123</v>
      </c>
      <c r="F936" s="11" t="str">
        <f>RAW_Клиенты!E935</f>
        <v>kozlov@mail</v>
      </c>
      <c r="G936" s="11" t="str">
        <f>RAW_Клиенты!F935</f>
        <v>Миасс</v>
      </c>
      <c r="H936" s="11" t="str">
        <f>RAW_Клиенты!G935</f>
        <v>01.12.2047</v>
      </c>
      <c r="I936" s="12" t="str">
        <f t="shared" si="515"/>
        <v>79037890123</v>
      </c>
      <c r="J936" s="12" t="str">
        <f t="shared" si="516"/>
        <v>kozlov@mail</v>
      </c>
      <c r="K936" s="12" t="str">
        <f t="shared" si="517"/>
        <v>Миасс</v>
      </c>
      <c r="L936" s="13" t="str">
        <f t="shared" si="518"/>
        <v>C0934</v>
      </c>
      <c r="M936" s="13" t="str">
        <f t="shared" si="519"/>
        <v xml:space="preserve">Козлов Андрей Олегович</v>
      </c>
      <c r="N936" s="13" t="str">
        <f t="shared" si="520"/>
        <v>OK</v>
      </c>
      <c r="O936" s="19">
        <f t="shared" si="521"/>
        <v>28499</v>
      </c>
      <c r="P936" s="19">
        <f t="shared" si="522"/>
        <v>54027</v>
      </c>
      <c r="Q936" s="13">
        <f t="shared" ca="1" si="523"/>
        <v>48</v>
      </c>
      <c r="R936" s="13" t="str">
        <f t="shared" si="524"/>
        <v>OK</v>
      </c>
      <c r="S936" s="13" t="str">
        <f t="shared" si="525"/>
        <v xml:space="preserve">+7 (903) 789-01-23</v>
      </c>
      <c r="T936" s="13" t="str">
        <f t="shared" si="526"/>
        <v>kozlov@mail</v>
      </c>
      <c r="U936" s="18" t="str">
        <f t="shared" si="527"/>
        <v xml:space="preserve">Ошибка Email</v>
      </c>
      <c r="V936" s="13" t="str">
        <f>IFERROR(VLOOKUP(K936,Справочники!$K$6:$L$13,2,0),K936)</f>
        <v>Миасс</v>
      </c>
    </row>
    <row r="937" ht="15" customHeight="1">
      <c r="A937" s="10">
        <v>935</v>
      </c>
      <c r="B937" s="11" t="str">
        <f>RAW_Клиенты!A936</f>
        <v>C0935</v>
      </c>
      <c r="C937" s="11" t="str">
        <f>RAW_Клиенты!B936</f>
        <v xml:space="preserve">Волкова Екатерина Владимировна</v>
      </c>
      <c r="D937" s="11" t="str">
        <f>RAW_Клиенты!C936</f>
        <v>24.07.1985</v>
      </c>
      <c r="E937" s="11" t="str">
        <f>RAW_Клиенты!D936</f>
        <v>8-903-789-01-23</v>
      </c>
      <c r="F937" s="11" t="str">
        <f>RAW_Клиенты!E936</f>
        <v>volkova@yandex</v>
      </c>
      <c r="G937" s="11" t="str">
        <f>RAW_Клиенты!F936</f>
        <v>Кызыл</v>
      </c>
      <c r="H937" s="11" t="str">
        <f>RAW_Клиенты!G936</f>
        <v>2047-12-10</v>
      </c>
      <c r="I937" s="12" t="str">
        <f t="shared" si="515"/>
        <v>89037890123</v>
      </c>
      <c r="J937" s="12" t="str">
        <f t="shared" si="516"/>
        <v>volkova@yandex</v>
      </c>
      <c r="K937" s="12" t="str">
        <f t="shared" si="517"/>
        <v>Кызыл</v>
      </c>
      <c r="L937" s="13" t="str">
        <f t="shared" si="518"/>
        <v>C0935</v>
      </c>
      <c r="M937" s="13" t="str">
        <f t="shared" si="519"/>
        <v xml:space="preserve">Волкова Екатерина Владимировна</v>
      </c>
      <c r="N937" s="13" t="str">
        <f t="shared" si="520"/>
        <v>OK</v>
      </c>
      <c r="O937" s="19">
        <f t="shared" si="521"/>
        <v>31252</v>
      </c>
      <c r="P937" s="19">
        <f t="shared" si="522"/>
        <v>54036</v>
      </c>
      <c r="Q937" s="13">
        <f t="shared" ca="1" si="523"/>
        <v>41</v>
      </c>
      <c r="R937" s="13" t="str">
        <f t="shared" si="524"/>
        <v>OK</v>
      </c>
      <c r="S937" s="13" t="str">
        <f t="shared" si="525"/>
        <v xml:space="preserve">+7 (903) 789-01-23</v>
      </c>
      <c r="T937" s="13" t="str">
        <f t="shared" si="526"/>
        <v>volkova@yandex</v>
      </c>
      <c r="U937" s="18" t="str">
        <f t="shared" si="527"/>
        <v xml:space="preserve">Ошибка Email</v>
      </c>
      <c r="V937" s="13" t="str">
        <f>IFERROR(VLOOKUP(K937,Справочники!$K$6:$L$13,2,0),K937)</f>
        <v>Кызыл</v>
      </c>
    </row>
    <row r="938" ht="15" customHeight="1">
      <c r="A938" s="10">
        <v>936</v>
      </c>
      <c r="B938" s="11" t="str">
        <f>RAW_Клиенты!A937</f>
        <v>C0936</v>
      </c>
      <c r="C938" s="11" t="str">
        <f>RAW_Клиенты!B937</f>
        <v xml:space="preserve">Коробков Илья Александрович</v>
      </c>
      <c r="D938" s="11" t="str">
        <f>RAW_Клиенты!C937</f>
        <v>12.09.1992</v>
      </c>
      <c r="E938" s="11" t="str">
        <f>RAW_Клиенты!D937</f>
        <v xml:space="preserve">8 903 890 12 34</v>
      </c>
      <c r="F938" s="11" t="str">
        <f>RAW_Клиенты!E937</f>
        <v>korobkov@gmail</v>
      </c>
      <c r="G938" s="11" t="str">
        <f>RAW_Клиенты!F937</f>
        <v>Калининград</v>
      </c>
      <c r="H938" s="11" t="str">
        <f>RAW_Клиенты!G937</f>
        <v>10.12.2047</v>
      </c>
      <c r="I938" s="12" t="str">
        <f t="shared" si="515"/>
        <v>89038901234</v>
      </c>
      <c r="J938" s="12" t="str">
        <f t="shared" si="516"/>
        <v>korobkov@gmail</v>
      </c>
      <c r="K938" s="12" t="str">
        <f t="shared" si="517"/>
        <v>Калининград</v>
      </c>
      <c r="L938" s="13" t="str">
        <f t="shared" si="518"/>
        <v>C0936</v>
      </c>
      <c r="M938" s="13" t="str">
        <f t="shared" si="519"/>
        <v xml:space="preserve">Коробков Илья Александрович</v>
      </c>
      <c r="N938" s="13" t="str">
        <f t="shared" si="520"/>
        <v>OK</v>
      </c>
      <c r="O938" s="19">
        <f t="shared" si="521"/>
        <v>33859</v>
      </c>
      <c r="P938" s="19">
        <f t="shared" si="522"/>
        <v>54036</v>
      </c>
      <c r="Q938" s="13">
        <f t="shared" ca="1" si="523"/>
        <v>34</v>
      </c>
      <c r="R938" s="13" t="str">
        <f t="shared" si="524"/>
        <v>OK</v>
      </c>
      <c r="S938" s="13" t="str">
        <f t="shared" si="525"/>
        <v xml:space="preserve">+7 (903) 890-12-34</v>
      </c>
      <c r="T938" s="13" t="str">
        <f t="shared" si="526"/>
        <v>korobkov@gmail</v>
      </c>
      <c r="U938" s="18" t="str">
        <f t="shared" si="527"/>
        <v xml:space="preserve">Ошибка Email</v>
      </c>
      <c r="V938" s="13" t="str">
        <f>IFERROR(VLOOKUP(K938,Справочники!$K$6:$L$13,2,0),K938)</f>
        <v>Калининград</v>
      </c>
    </row>
    <row r="939" ht="15" customHeight="1">
      <c r="A939" s="10">
        <v>937</v>
      </c>
      <c r="B939" s="11" t="str">
        <f>RAW_Клиенты!A938</f>
        <v>C0937</v>
      </c>
      <c r="C939" s="11" t="str">
        <f>RAW_Клиенты!B938</f>
        <v xml:space="preserve">Родионова Мария Павловна</v>
      </c>
      <c r="D939" s="11" t="str">
        <f>RAW_Клиенты!C938</f>
        <v>18.12.1976</v>
      </c>
      <c r="E939" s="11" t="str">
        <f>RAW_Клиенты!D938</f>
        <v>+79038901234</v>
      </c>
      <c r="F939" s="11" t="str">
        <f>RAW_Клиенты!E938</f>
        <v>rodionova@mail</v>
      </c>
      <c r="G939" s="11" t="str">
        <f>RAW_Клиенты!F938</f>
        <v>Петрозаводск</v>
      </c>
      <c r="H939" s="11" t="str">
        <f>RAW_Клиенты!G938</f>
        <v>01.01.2048</v>
      </c>
      <c r="I939" s="12" t="str">
        <f t="shared" si="515"/>
        <v>79038901234</v>
      </c>
      <c r="J939" s="12" t="str">
        <f t="shared" si="516"/>
        <v>rodionova@mail</v>
      </c>
      <c r="K939" s="12" t="str">
        <f t="shared" si="517"/>
        <v>Петрозаводск</v>
      </c>
      <c r="L939" s="13" t="str">
        <f t="shared" si="518"/>
        <v>C0937</v>
      </c>
      <c r="M939" s="13" t="str">
        <f t="shared" si="519"/>
        <v xml:space="preserve">Родионова Мария Павловна</v>
      </c>
      <c r="N939" s="13" t="str">
        <f t="shared" si="520"/>
        <v>OK</v>
      </c>
      <c r="O939" s="19">
        <f t="shared" si="521"/>
        <v>28112</v>
      </c>
      <c r="P939" s="19">
        <f t="shared" si="522"/>
        <v>54058</v>
      </c>
      <c r="Q939" s="13">
        <f t="shared" ca="1" si="523"/>
        <v>49</v>
      </c>
      <c r="R939" s="13" t="str">
        <f t="shared" si="524"/>
        <v>OK</v>
      </c>
      <c r="S939" s="13" t="str">
        <f t="shared" si="525"/>
        <v xml:space="preserve">+7 (903) 890-12-34</v>
      </c>
      <c r="T939" s="13" t="str">
        <f t="shared" si="526"/>
        <v>rodionova@mail</v>
      </c>
      <c r="U939" s="18" t="str">
        <f t="shared" si="527"/>
        <v xml:space="preserve">Ошибка Email</v>
      </c>
      <c r="V939" s="13" t="str">
        <f>IFERROR(VLOOKUP(K939,Справочники!$K$6:$L$13,2,0),K939)</f>
        <v>Петрозаводск</v>
      </c>
    </row>
    <row r="940" ht="15" customHeight="1">
      <c r="A940" s="10">
        <v>938</v>
      </c>
      <c r="B940" s="11" t="str">
        <f>RAW_Клиенты!A939</f>
        <v>C0938</v>
      </c>
      <c r="C940" s="11" t="str">
        <f>RAW_Клиенты!B939</f>
        <v xml:space="preserve">Кириллов Денис Викторович</v>
      </c>
      <c r="D940" s="11" t="str">
        <f>RAW_Клиенты!C939</f>
        <v>03.11.1981</v>
      </c>
      <c r="E940" s="11" t="str">
        <f>RAW_Клиенты!D939</f>
        <v>8-903-890-12-34</v>
      </c>
      <c r="F940" s="11" t="str">
        <f>RAW_Клиенты!E939</f>
        <v>kirillov@yandex</v>
      </c>
      <c r="G940" s="11" t="str">
        <f>RAW_Клиенты!F939</f>
        <v>Рубцовск</v>
      </c>
      <c r="H940" s="11" t="str">
        <f>RAW_Клиенты!G939</f>
        <v>2048-01-15</v>
      </c>
      <c r="I940" s="12" t="str">
        <f t="shared" si="515"/>
        <v>89038901234</v>
      </c>
      <c r="J940" s="12" t="str">
        <f t="shared" si="516"/>
        <v>kirillov@yandex</v>
      </c>
      <c r="K940" s="12" t="str">
        <f t="shared" si="517"/>
        <v>Рубцовск</v>
      </c>
      <c r="L940" s="13" t="str">
        <f t="shared" si="518"/>
        <v>C0938</v>
      </c>
      <c r="M940" s="13" t="str">
        <f t="shared" si="519"/>
        <v xml:space="preserve">Кириллов Денис Викторович</v>
      </c>
      <c r="N940" s="13" t="str">
        <f t="shared" si="520"/>
        <v>OK</v>
      </c>
      <c r="O940" s="19">
        <f t="shared" si="521"/>
        <v>29893</v>
      </c>
      <c r="P940" s="19">
        <f t="shared" si="522"/>
        <v>54072</v>
      </c>
      <c r="Q940" s="13">
        <f t="shared" ca="1" si="523"/>
        <v>44</v>
      </c>
      <c r="R940" s="13" t="str">
        <f t="shared" si="524"/>
        <v>OK</v>
      </c>
      <c r="S940" s="13" t="str">
        <f t="shared" si="525"/>
        <v xml:space="preserve">+7 (903) 890-12-34</v>
      </c>
      <c r="T940" s="13" t="str">
        <f t="shared" si="526"/>
        <v>kirillov@yandex</v>
      </c>
      <c r="U940" s="18" t="str">
        <f t="shared" si="527"/>
        <v xml:space="preserve">Ошибка Email</v>
      </c>
      <c r="V940" s="13" t="str">
        <f>IFERROR(VLOOKUP(K940,Справочники!$K$6:$L$13,2,0),K940)</f>
        <v>Рубцовск</v>
      </c>
    </row>
    <row r="941" ht="15" customHeight="1">
      <c r="A941" s="10">
        <v>939</v>
      </c>
      <c r="B941" s="11" t="str">
        <f>RAW_Клиенты!A940</f>
        <v>C0939</v>
      </c>
      <c r="C941" s="11" t="str">
        <f>RAW_Клиенты!B940</f>
        <v xml:space="preserve">Жукова Ольга Сергеевна</v>
      </c>
      <c r="D941" s="11" t="str">
        <f>RAW_Клиенты!C940</f>
        <v>25.06.1989</v>
      </c>
      <c r="E941" s="11" t="str">
        <f>RAW_Клиенты!D940</f>
        <v xml:space="preserve">8 903 901 23 45</v>
      </c>
      <c r="F941" s="11" t="str">
        <f>RAW_Клиенты!E940</f>
        <v>zhukova@gmail</v>
      </c>
      <c r="G941" s="11" t="str">
        <f>RAW_Клиенты!F940</f>
        <v>Элиста</v>
      </c>
      <c r="H941" s="11" t="str">
        <f>RAW_Клиенты!G940</f>
        <v>15.01.2048</v>
      </c>
      <c r="I941" s="12" t="str">
        <f t="shared" si="515"/>
        <v>89039012345</v>
      </c>
      <c r="J941" s="12" t="str">
        <f t="shared" si="516"/>
        <v>zhukova@gmail</v>
      </c>
      <c r="K941" s="12" t="str">
        <f t="shared" si="517"/>
        <v>Элиста</v>
      </c>
      <c r="L941" s="13" t="str">
        <f t="shared" si="518"/>
        <v>C0939</v>
      </c>
      <c r="M941" s="13" t="str">
        <f t="shared" si="519"/>
        <v xml:space="preserve">Жукова Ольга Сергеевна</v>
      </c>
      <c r="N941" s="13" t="str">
        <f t="shared" si="520"/>
        <v>OK</v>
      </c>
      <c r="O941" s="19">
        <f t="shared" si="521"/>
        <v>32684</v>
      </c>
      <c r="P941" s="19">
        <f t="shared" si="522"/>
        <v>54072</v>
      </c>
      <c r="Q941" s="13">
        <f t="shared" ca="1" si="523"/>
        <v>37</v>
      </c>
      <c r="R941" s="13" t="str">
        <f t="shared" si="524"/>
        <v>OK</v>
      </c>
      <c r="S941" s="13" t="str">
        <f t="shared" si="525"/>
        <v xml:space="preserve">+7 (903) 901-23-45</v>
      </c>
      <c r="T941" s="13" t="str">
        <f t="shared" si="526"/>
        <v>zhukova@gmail</v>
      </c>
      <c r="U941" s="18" t="str">
        <f t="shared" si="527"/>
        <v xml:space="preserve">Ошибка Email</v>
      </c>
      <c r="V941" s="13" t="str">
        <f>IFERROR(VLOOKUP(K941,Справочники!$K$6:$L$13,2,0),K941)</f>
        <v>Элиста</v>
      </c>
    </row>
    <row r="942" ht="15" customHeight="1">
      <c r="A942" s="10">
        <v>940</v>
      </c>
      <c r="B942" s="11" t="str">
        <f>RAW_Клиенты!A941</f>
        <v>C0940</v>
      </c>
      <c r="C942" s="11" t="str">
        <f>RAW_Клиенты!B941</f>
        <v xml:space="preserve">Чесноков Андрей Олегович</v>
      </c>
      <c r="D942" s="11" t="str">
        <f>RAW_Клиенты!C941</f>
        <v>15.03.1975</v>
      </c>
      <c r="E942" s="11" t="str">
        <f>RAW_Клиенты!D941</f>
        <v>+79039012345</v>
      </c>
      <c r="F942" s="11" t="str">
        <f>RAW_Клиенты!E941</f>
        <v>chesnokov@mail</v>
      </c>
      <c r="G942" s="11" t="str">
        <f>RAW_Клиенты!F941</f>
        <v>Орск</v>
      </c>
      <c r="H942" s="11" t="str">
        <f>RAW_Клиенты!G941</f>
        <v>01.02.2048</v>
      </c>
      <c r="I942" s="12" t="str">
        <f t="shared" si="515"/>
        <v>79039012345</v>
      </c>
      <c r="J942" s="12" t="str">
        <f t="shared" si="516"/>
        <v>chesnokov@mail</v>
      </c>
      <c r="K942" s="12" t="str">
        <f t="shared" si="517"/>
        <v>Орск</v>
      </c>
      <c r="L942" s="13" t="str">
        <f t="shared" si="518"/>
        <v>C0940</v>
      </c>
      <c r="M942" s="13" t="str">
        <f t="shared" si="519"/>
        <v xml:space="preserve">Чесноков Андрей Олегович</v>
      </c>
      <c r="N942" s="13" t="str">
        <f t="shared" si="520"/>
        <v>OK</v>
      </c>
      <c r="O942" s="19">
        <f t="shared" si="521"/>
        <v>27468</v>
      </c>
      <c r="P942" s="19">
        <f t="shared" si="522"/>
        <v>54089</v>
      </c>
      <c r="Q942" s="13">
        <f t="shared" ca="1" si="523"/>
        <v>51</v>
      </c>
      <c r="R942" s="13" t="str">
        <f t="shared" si="524"/>
        <v>OK</v>
      </c>
      <c r="S942" s="13" t="str">
        <f t="shared" si="525"/>
        <v xml:space="preserve">+7 (903) 901-23-45</v>
      </c>
      <c r="T942" s="13" t="str">
        <f t="shared" si="526"/>
        <v>chesnokov@mail</v>
      </c>
      <c r="U942" s="18" t="str">
        <f t="shared" si="527"/>
        <v xml:space="preserve">Ошибка Email</v>
      </c>
      <c r="V942" s="13" t="str">
        <f>IFERROR(VLOOKUP(K942,Справочники!$K$6:$L$13,2,0),K942)</f>
        <v>Орск</v>
      </c>
    </row>
    <row r="943" ht="15" customHeight="1">
      <c r="A943" s="10">
        <v>941</v>
      </c>
      <c r="B943" s="11" t="str">
        <f>RAW_Клиенты!A942</f>
        <v>C0941</v>
      </c>
      <c r="C943" s="11" t="str">
        <f>RAW_Клиенты!B942</f>
        <v xml:space="preserve">Дьякова Екатерина Владимировна</v>
      </c>
      <c r="D943" s="11" t="str">
        <f>RAW_Клиенты!C942</f>
        <v>05.07.1982</v>
      </c>
      <c r="E943" s="11" t="str">
        <f>RAW_Клиенты!D942</f>
        <v>8-903-901-23-45</v>
      </c>
      <c r="F943" s="11" t="str">
        <f>RAW_Клиенты!E942</f>
        <v>dyakova@yandex</v>
      </c>
      <c r="G943" s="11" t="str">
        <f>RAW_Клиенты!F942</f>
        <v>Нижневартовск</v>
      </c>
      <c r="H943" s="11" t="str">
        <f>RAW_Клиенты!G942</f>
        <v>2048-02-10</v>
      </c>
      <c r="I943" s="12" t="str">
        <f t="shared" si="515"/>
        <v>89039012345</v>
      </c>
      <c r="J943" s="12" t="str">
        <f t="shared" si="516"/>
        <v>dyakova@yandex</v>
      </c>
      <c r="K943" s="12" t="str">
        <f t="shared" si="517"/>
        <v>Нижневартовск</v>
      </c>
      <c r="L943" s="13" t="str">
        <f t="shared" si="518"/>
        <v>C0941</v>
      </c>
      <c r="M943" s="13" t="str">
        <f t="shared" si="519"/>
        <v xml:space="preserve">Дьякова Екатерина Владимировна</v>
      </c>
      <c r="N943" s="13" t="str">
        <f t="shared" si="520"/>
        <v>OK</v>
      </c>
      <c r="O943" s="19">
        <f t="shared" si="521"/>
        <v>30137</v>
      </c>
      <c r="P943" s="19">
        <f t="shared" si="522"/>
        <v>54098</v>
      </c>
      <c r="Q943" s="13">
        <f t="shared" ca="1" si="523"/>
        <v>44</v>
      </c>
      <c r="R943" s="13" t="str">
        <f t="shared" si="524"/>
        <v>OK</v>
      </c>
      <c r="S943" s="13" t="str">
        <f t="shared" si="525"/>
        <v xml:space="preserve">+7 (903) 901-23-45</v>
      </c>
      <c r="T943" s="13" t="str">
        <f t="shared" si="526"/>
        <v>dyakova@yandex</v>
      </c>
      <c r="U943" s="18" t="str">
        <f t="shared" si="527"/>
        <v xml:space="preserve">Ошибка Email</v>
      </c>
      <c r="V943" s="13" t="str">
        <f>IFERROR(VLOOKUP(K943,Справочники!$K$6:$L$13,2,0),K943)</f>
        <v>Нижневартовск</v>
      </c>
    </row>
    <row r="944" ht="15" customHeight="1">
      <c r="A944" s="10">
        <v>942</v>
      </c>
      <c r="B944" s="11" t="str">
        <f>RAW_Клиенты!A943</f>
        <v>C0942</v>
      </c>
      <c r="C944" s="11" t="str">
        <f>RAW_Клиенты!B943</f>
        <v xml:space="preserve">Лесин Илья Александрович</v>
      </c>
      <c r="D944" s="11" t="str">
        <f>RAW_Клиенты!C943</f>
        <v>27.10.1990</v>
      </c>
      <c r="E944" s="11" t="str">
        <f>RAW_Клиенты!D943</f>
        <v xml:space="preserve">8 903 012 34 56</v>
      </c>
      <c r="F944" s="11" t="str">
        <f>RAW_Клиенты!E943</f>
        <v>lesin@gmail</v>
      </c>
      <c r="G944" s="11" t="str">
        <f>RAW_Клиенты!F943</f>
        <v>Новороссийск</v>
      </c>
      <c r="H944" s="11" t="str">
        <f>RAW_Клиенты!G943</f>
        <v>10.02.2048</v>
      </c>
      <c r="I944" s="12" t="str">
        <f t="shared" si="515"/>
        <v>89030123456</v>
      </c>
      <c r="J944" s="12" t="str">
        <f t="shared" si="516"/>
        <v>lesin@gmail</v>
      </c>
      <c r="K944" s="12" t="str">
        <f t="shared" si="517"/>
        <v>Новороссийск</v>
      </c>
      <c r="L944" s="13" t="str">
        <f t="shared" si="518"/>
        <v>C0942</v>
      </c>
      <c r="M944" s="13" t="str">
        <f t="shared" si="519"/>
        <v xml:space="preserve">Лесин Илья Александрович</v>
      </c>
      <c r="N944" s="13" t="str">
        <f t="shared" si="520"/>
        <v>OK</v>
      </c>
      <c r="O944" s="19">
        <f t="shared" si="521"/>
        <v>33173</v>
      </c>
      <c r="P944" s="19">
        <f t="shared" si="522"/>
        <v>54098</v>
      </c>
      <c r="Q944" s="13">
        <f t="shared" ca="1" si="523"/>
        <v>35</v>
      </c>
      <c r="R944" s="13" t="str">
        <f t="shared" si="524"/>
        <v>OK</v>
      </c>
      <c r="S944" s="13" t="str">
        <f t="shared" si="525"/>
        <v xml:space="preserve">+7 (903) 012-34-56</v>
      </c>
      <c r="T944" s="13" t="str">
        <f t="shared" si="526"/>
        <v>lesin@gmail</v>
      </c>
      <c r="U944" s="18" t="str">
        <f t="shared" si="527"/>
        <v xml:space="preserve">Ошибка Email</v>
      </c>
      <c r="V944" s="13" t="str">
        <f>IFERROR(VLOOKUP(K944,Справочники!$K$6:$L$13,2,0),K944)</f>
        <v>Новороссийск</v>
      </c>
    </row>
    <row r="945" ht="15" customHeight="1">
      <c r="A945" s="10">
        <v>943</v>
      </c>
      <c r="B945" s="11" t="str">
        <f>RAW_Клиенты!A944</f>
        <v>C0943</v>
      </c>
      <c r="C945" s="11" t="str">
        <f>RAW_Клиенты!B944</f>
        <v xml:space="preserve">Матвеева Мария Павловна</v>
      </c>
      <c r="D945" s="11" t="str">
        <f>RAW_Клиенты!C944</f>
        <v>17.12.1984</v>
      </c>
      <c r="E945" s="11" t="str">
        <f>RAW_Клиенты!D944</f>
        <v>+79030123456</v>
      </c>
      <c r="F945" s="11" t="str">
        <f>RAW_Клиенты!E944</f>
        <v>matveeva@mail</v>
      </c>
      <c r="G945" s="11" t="str">
        <f>RAW_Клиенты!F944</f>
        <v>Химки</v>
      </c>
      <c r="H945" s="11" t="str">
        <f>RAW_Клиенты!G944</f>
        <v>01.03.2048</v>
      </c>
      <c r="I945" s="12" t="str">
        <f t="shared" si="515"/>
        <v>79030123456</v>
      </c>
      <c r="J945" s="12" t="str">
        <f t="shared" si="516"/>
        <v>matveeva@mail</v>
      </c>
      <c r="K945" s="12" t="str">
        <f t="shared" si="517"/>
        <v>Химки</v>
      </c>
      <c r="L945" s="13" t="str">
        <f t="shared" si="518"/>
        <v>C0943</v>
      </c>
      <c r="M945" s="13" t="str">
        <f t="shared" si="519"/>
        <v xml:space="preserve">Матвеева Мария Павловна</v>
      </c>
      <c r="N945" s="13" t="str">
        <f t="shared" si="520"/>
        <v>OK</v>
      </c>
      <c r="O945" s="19">
        <f t="shared" si="521"/>
        <v>31033</v>
      </c>
      <c r="P945" s="19">
        <f t="shared" si="522"/>
        <v>54118</v>
      </c>
      <c r="Q945" s="13">
        <f t="shared" ca="1" si="523"/>
        <v>41</v>
      </c>
      <c r="R945" s="13" t="str">
        <f t="shared" si="524"/>
        <v>OK</v>
      </c>
      <c r="S945" s="13" t="str">
        <f t="shared" si="525"/>
        <v xml:space="preserve">+7 (903) 012-34-56</v>
      </c>
      <c r="T945" s="13" t="str">
        <f t="shared" si="526"/>
        <v>matveeva@mail</v>
      </c>
      <c r="U945" s="18" t="str">
        <f t="shared" si="527"/>
        <v xml:space="preserve">Ошибка Email</v>
      </c>
      <c r="V945" s="13" t="str">
        <f>IFERROR(VLOOKUP(K945,Справочники!$K$6:$L$13,2,0),K945)</f>
        <v>Химки</v>
      </c>
    </row>
    <row r="946" ht="15" customHeight="1">
      <c r="A946" s="10">
        <v>944</v>
      </c>
      <c r="B946" s="11" t="str">
        <f>RAW_Клиенты!A945</f>
        <v>C0944</v>
      </c>
      <c r="C946" s="11" t="str">
        <f>RAW_Клиенты!B945</f>
        <v xml:space="preserve">Смирнова Ольга Сергеевна</v>
      </c>
      <c r="D946" s="11" t="str">
        <f>RAW_Клиенты!C945</f>
        <v>22.04.1973</v>
      </c>
      <c r="E946" s="11" t="str">
        <f>RAW_Клиенты!D945</f>
        <v>8-903-012-34-56</v>
      </c>
      <c r="F946" s="11" t="str">
        <f>RAW_Клиенты!E945</f>
        <v>smirnova@yandex</v>
      </c>
      <c r="G946" s="11" t="str">
        <f>RAW_Клиенты!F945</f>
        <v>Подольск</v>
      </c>
      <c r="H946" s="11" t="str">
        <f>RAW_Клиенты!G945</f>
        <v>2048-03-15</v>
      </c>
      <c r="I946" s="12" t="str">
        <f t="shared" si="515"/>
        <v>89030123456</v>
      </c>
      <c r="J946" s="12" t="str">
        <f t="shared" si="516"/>
        <v>smirnova@yandex</v>
      </c>
      <c r="K946" s="12" t="str">
        <f t="shared" si="517"/>
        <v>Подольск</v>
      </c>
      <c r="L946" s="13" t="str">
        <f t="shared" si="518"/>
        <v>C0944</v>
      </c>
      <c r="M946" s="13" t="str">
        <f t="shared" si="519"/>
        <v xml:space="preserve">Смирнова Ольга Сергеевна</v>
      </c>
      <c r="N946" s="13" t="str">
        <f t="shared" si="520"/>
        <v>OK</v>
      </c>
      <c r="O946" s="19">
        <f t="shared" si="521"/>
        <v>26776</v>
      </c>
      <c r="P946" s="19">
        <f t="shared" si="522"/>
        <v>54132</v>
      </c>
      <c r="Q946" s="13">
        <f t="shared" ca="1" si="523"/>
        <v>53</v>
      </c>
      <c r="R946" s="13" t="str">
        <f t="shared" si="524"/>
        <v>OK</v>
      </c>
      <c r="S946" s="13" t="str">
        <f t="shared" si="525"/>
        <v xml:space="preserve">+7 (903) 012-34-56</v>
      </c>
      <c r="T946" s="13" t="str">
        <f t="shared" si="526"/>
        <v>smirnova@yandex</v>
      </c>
      <c r="U946" s="18" t="str">
        <f t="shared" si="527"/>
        <v xml:space="preserve">Ошибка Email</v>
      </c>
      <c r="V946" s="13" t="str">
        <f>IFERROR(VLOOKUP(K946,Справочники!$K$6:$L$13,2,0),K946)</f>
        <v>Подольск</v>
      </c>
    </row>
    <row r="947" ht="15" customHeight="1">
      <c r="A947" s="10">
        <v>945</v>
      </c>
      <c r="B947" s="11" t="str">
        <f>RAW_Клиенты!A946</f>
        <v>C0945</v>
      </c>
      <c r="C947" s="11" t="str">
        <f>RAW_Клиенты!B946</f>
        <v xml:space="preserve">Букин Денис Викторович</v>
      </c>
      <c r="D947" s="11" t="str">
        <f>RAW_Клиенты!C946</f>
        <v>14.09.1988</v>
      </c>
      <c r="E947" s="11" t="str">
        <f>RAW_Клиенты!D946</f>
        <v xml:space="preserve">8 903 123 45 67</v>
      </c>
      <c r="F947" s="11" t="str">
        <f>RAW_Клиенты!E946</f>
        <v>bukin@gmail</v>
      </c>
      <c r="G947" s="11" t="str">
        <f>RAW_Клиенты!F946</f>
        <v>Балашиха</v>
      </c>
      <c r="H947" s="11" t="str">
        <f>RAW_Клиенты!G946</f>
        <v>15.03.2048</v>
      </c>
      <c r="I947" s="12" t="str">
        <f t="shared" si="515"/>
        <v>89031234567</v>
      </c>
      <c r="J947" s="12" t="str">
        <f t="shared" si="516"/>
        <v>bukin@gmail</v>
      </c>
      <c r="K947" s="12" t="str">
        <f t="shared" si="517"/>
        <v>Балашиха</v>
      </c>
      <c r="L947" s="13" t="str">
        <f t="shared" si="518"/>
        <v>C0945</v>
      </c>
      <c r="M947" s="13" t="str">
        <f t="shared" si="519"/>
        <v xml:space="preserve">Букин Денис Викторович</v>
      </c>
      <c r="N947" s="13" t="str">
        <f t="shared" si="520"/>
        <v>OK</v>
      </c>
      <c r="O947" s="19">
        <f t="shared" si="521"/>
        <v>32400</v>
      </c>
      <c r="P947" s="19">
        <f t="shared" si="522"/>
        <v>54132</v>
      </c>
      <c r="Q947" s="13">
        <f t="shared" ca="1" si="523"/>
        <v>38</v>
      </c>
      <c r="R947" s="13" t="str">
        <f t="shared" si="524"/>
        <v>OK</v>
      </c>
      <c r="S947" s="13" t="str">
        <f t="shared" si="525"/>
        <v xml:space="preserve">+7 (903) 123-45-67</v>
      </c>
      <c r="T947" s="13" t="str">
        <f t="shared" si="526"/>
        <v>bukin@gmail</v>
      </c>
      <c r="U947" s="18" t="str">
        <f t="shared" si="527"/>
        <v xml:space="preserve">Ошибка Email</v>
      </c>
      <c r="V947" s="13" t="str">
        <f>IFERROR(VLOOKUP(K947,Справочники!$K$6:$L$13,2,0),K947)</f>
        <v>Балашиха</v>
      </c>
    </row>
    <row r="948" ht="15" customHeight="1">
      <c r="A948" s="10">
        <v>946</v>
      </c>
      <c r="B948" s="11" t="str">
        <f>RAW_Клиенты!A947</f>
        <v>C0946</v>
      </c>
      <c r="C948" s="11" t="str">
        <f>RAW_Клиенты!B947</f>
        <v xml:space="preserve">Стрельцова Екатерина Владимировна</v>
      </c>
      <c r="D948" s="11" t="str">
        <f>RAW_Клиенты!C947</f>
        <v>02.02.1991</v>
      </c>
      <c r="E948" s="11" t="str">
        <f>RAW_Клиенты!D947</f>
        <v>+79031234567</v>
      </c>
      <c r="F948" s="11" t="str">
        <f>RAW_Клиенты!E947</f>
        <v>streltsova@mail</v>
      </c>
      <c r="G948" s="11" t="str">
        <f>RAW_Клиенты!F947</f>
        <v>Сургут</v>
      </c>
      <c r="H948" s="11" t="str">
        <f>RAW_Клиенты!G947</f>
        <v>01.04.2048</v>
      </c>
      <c r="I948" s="12" t="str">
        <f t="shared" si="515"/>
        <v>79031234567</v>
      </c>
      <c r="J948" s="12" t="str">
        <f t="shared" si="516"/>
        <v>streltsova@mail</v>
      </c>
      <c r="K948" s="12" t="str">
        <f t="shared" si="517"/>
        <v>Сургут</v>
      </c>
      <c r="L948" s="13" t="str">
        <f t="shared" si="518"/>
        <v>C0946</v>
      </c>
      <c r="M948" s="13" t="str">
        <f t="shared" si="519"/>
        <v xml:space="preserve">Стрельцова Екатерина Владимировна</v>
      </c>
      <c r="N948" s="13" t="str">
        <f t="shared" si="520"/>
        <v>OK</v>
      </c>
      <c r="O948" s="19">
        <f t="shared" si="521"/>
        <v>33271</v>
      </c>
      <c r="P948" s="19">
        <f t="shared" si="522"/>
        <v>54149</v>
      </c>
      <c r="Q948" s="13">
        <f t="shared" ca="1" si="523"/>
        <v>35</v>
      </c>
      <c r="R948" s="13" t="str">
        <f t="shared" si="524"/>
        <v>OK</v>
      </c>
      <c r="S948" s="13" t="str">
        <f t="shared" si="525"/>
        <v xml:space="preserve">+7 (903) 123-45-67</v>
      </c>
      <c r="T948" s="13" t="str">
        <f t="shared" si="526"/>
        <v>streltsova@mail</v>
      </c>
      <c r="U948" s="18" t="str">
        <f t="shared" si="527"/>
        <v xml:space="preserve">Ошибка Email</v>
      </c>
      <c r="V948" s="13" t="str">
        <f>IFERROR(VLOOKUP(K948,Справочники!$K$6:$L$13,2,0),K948)</f>
        <v>Сургут</v>
      </c>
    </row>
    <row r="949" ht="15" customHeight="1">
      <c r="A949" s="10">
        <v>947</v>
      </c>
      <c r="B949" s="11" t="str">
        <f>RAW_Клиенты!A948</f>
        <v>C0947</v>
      </c>
      <c r="C949" s="11" t="str">
        <f>RAW_Клиенты!B948</f>
        <v xml:space="preserve">Марков Андрей Олегович</v>
      </c>
      <c r="D949" s="11" t="str">
        <f>RAW_Клиенты!C948</f>
        <v>28.05.1987</v>
      </c>
      <c r="E949" s="11" t="str">
        <f>RAW_Клиенты!D948</f>
        <v>8-903-123-45-67</v>
      </c>
      <c r="F949" s="11" t="str">
        <f>RAW_Клиенты!E948</f>
        <v>markov@yandex</v>
      </c>
      <c r="G949" s="11" t="str">
        <f>RAW_Клиенты!F948</f>
        <v>Армавир</v>
      </c>
      <c r="H949" s="11" t="str">
        <f>RAW_Клиенты!G948</f>
        <v>2048-04-10</v>
      </c>
      <c r="I949" s="12" t="str">
        <f t="shared" si="515"/>
        <v>89031234567</v>
      </c>
      <c r="J949" s="12" t="str">
        <f t="shared" si="516"/>
        <v>markov@yandex</v>
      </c>
      <c r="K949" s="12" t="str">
        <f t="shared" si="517"/>
        <v>Армавир</v>
      </c>
      <c r="L949" s="13" t="str">
        <f t="shared" si="518"/>
        <v>C0947</v>
      </c>
      <c r="M949" s="13" t="str">
        <f t="shared" si="519"/>
        <v xml:space="preserve">Марков Андрей Олегович</v>
      </c>
      <c r="N949" s="13" t="str">
        <f t="shared" si="520"/>
        <v>OK</v>
      </c>
      <c r="O949" s="19">
        <f t="shared" si="521"/>
        <v>31925</v>
      </c>
      <c r="P949" s="19">
        <f t="shared" si="522"/>
        <v>54158</v>
      </c>
      <c r="Q949" s="13">
        <f t="shared" ca="1" si="523"/>
        <v>39</v>
      </c>
      <c r="R949" s="13" t="str">
        <f t="shared" si="524"/>
        <v>OK</v>
      </c>
      <c r="S949" s="13" t="str">
        <f t="shared" si="525"/>
        <v xml:space="preserve">+7 (903) 123-45-67</v>
      </c>
      <c r="T949" s="13" t="str">
        <f t="shared" si="526"/>
        <v>markov@yandex</v>
      </c>
      <c r="U949" s="18" t="str">
        <f t="shared" si="527"/>
        <v xml:space="preserve">Ошибка Email</v>
      </c>
      <c r="V949" s="13" t="str">
        <f>IFERROR(VLOOKUP(K949,Справочники!$K$6:$L$13,2,0),K949)</f>
        <v>Армавир</v>
      </c>
    </row>
    <row r="950" ht="15" customHeight="1">
      <c r="A950" s="10">
        <v>948</v>
      </c>
      <c r="B950" s="11" t="str">
        <f>RAW_Клиенты!A949</f>
        <v>C0948</v>
      </c>
      <c r="C950" s="11" t="str">
        <f>RAW_Клиенты!B949</f>
        <v xml:space="preserve">Позднякова Мария Павловна</v>
      </c>
      <c r="D950" s="11" t="str">
        <f>RAW_Клиенты!C949</f>
        <v>19.06.1975</v>
      </c>
      <c r="E950" s="11" t="str">
        <f>RAW_Клиенты!D949</f>
        <v xml:space="preserve">8 903 234 56 78</v>
      </c>
      <c r="F950" s="11" t="str">
        <f>RAW_Клиенты!E949</f>
        <v>pozdnyakova@gmail</v>
      </c>
      <c r="G950" s="11" t="str">
        <f>RAW_Клиенты!F949</f>
        <v>Волжский</v>
      </c>
      <c r="H950" s="11" t="str">
        <f>RAW_Клиенты!G949</f>
        <v>10.04.2048</v>
      </c>
      <c r="I950" s="12" t="str">
        <f t="shared" si="515"/>
        <v>89032345678</v>
      </c>
      <c r="J950" s="12" t="str">
        <f t="shared" si="516"/>
        <v>pozdnyakova@gmail</v>
      </c>
      <c r="K950" s="12" t="str">
        <f t="shared" si="517"/>
        <v>Волжский</v>
      </c>
      <c r="L950" s="13" t="str">
        <f t="shared" si="518"/>
        <v>C0948</v>
      </c>
      <c r="M950" s="13" t="str">
        <f t="shared" si="519"/>
        <v xml:space="preserve">Позднякова Мария Павловна</v>
      </c>
      <c r="N950" s="13" t="str">
        <f t="shared" si="520"/>
        <v>OK</v>
      </c>
      <c r="O950" s="19">
        <f t="shared" si="521"/>
        <v>27564</v>
      </c>
      <c r="P950" s="19">
        <f t="shared" si="522"/>
        <v>54158</v>
      </c>
      <c r="Q950" s="13">
        <f t="shared" ca="1" si="523"/>
        <v>51</v>
      </c>
      <c r="R950" s="13" t="str">
        <f t="shared" si="524"/>
        <v>OK</v>
      </c>
      <c r="S950" s="13" t="str">
        <f t="shared" si="525"/>
        <v xml:space="preserve">+7 (903) 234-56-78</v>
      </c>
      <c r="T950" s="13" t="str">
        <f t="shared" si="526"/>
        <v>pozdnyakova@gmail</v>
      </c>
      <c r="U950" s="18" t="str">
        <f t="shared" si="527"/>
        <v xml:space="preserve">Ошибка Email</v>
      </c>
      <c r="V950" s="13" t="str">
        <f>IFERROR(VLOOKUP(K950,Справочники!$K$6:$L$13,2,0),K950)</f>
        <v>Волжский</v>
      </c>
    </row>
    <row r="951" ht="15" customHeight="1">
      <c r="A951" s="10">
        <v>949</v>
      </c>
      <c r="B951" s="11" t="str">
        <f>RAW_Клиенты!A950</f>
        <v>C0949</v>
      </c>
      <c r="C951" s="11" t="str">
        <f>RAW_Клиенты!B950</f>
        <v xml:space="preserve">Левченко Денис Сергеевич</v>
      </c>
      <c r="D951" s="11" t="str">
        <f>RAW_Клиенты!C950</f>
        <v>07.08.1982</v>
      </c>
      <c r="E951" s="11" t="str">
        <f>RAW_Клиенты!D950</f>
        <v>+79032345678</v>
      </c>
      <c r="F951" s="11" t="str">
        <f>RAW_Клиенты!E950</f>
        <v>levchenko@mail</v>
      </c>
      <c r="G951" s="11" t="str">
        <f>RAW_Клиенты!F950</f>
        <v>Шахты</v>
      </c>
      <c r="H951" s="11" t="str">
        <f>RAW_Клиенты!G950</f>
        <v>01.05.2048</v>
      </c>
      <c r="I951" s="12" t="str">
        <f t="shared" si="515"/>
        <v>79032345678</v>
      </c>
      <c r="J951" s="12" t="str">
        <f t="shared" si="516"/>
        <v>levchenko@mail</v>
      </c>
      <c r="K951" s="12" t="str">
        <f t="shared" si="517"/>
        <v>Шахты</v>
      </c>
      <c r="L951" s="13" t="str">
        <f t="shared" si="518"/>
        <v>C0949</v>
      </c>
      <c r="M951" s="13" t="str">
        <f t="shared" si="519"/>
        <v xml:space="preserve">Левченко Денис Сергеевич</v>
      </c>
      <c r="N951" s="13" t="str">
        <f t="shared" si="520"/>
        <v>OK</v>
      </c>
      <c r="O951" s="19">
        <f t="shared" si="521"/>
        <v>30170</v>
      </c>
      <c r="P951" s="19">
        <f t="shared" si="522"/>
        <v>54179</v>
      </c>
      <c r="Q951" s="13">
        <f t="shared" ca="1" si="523"/>
        <v>44</v>
      </c>
      <c r="R951" s="13" t="str">
        <f t="shared" si="524"/>
        <v>OK</v>
      </c>
      <c r="S951" s="13" t="str">
        <f t="shared" si="525"/>
        <v xml:space="preserve">+7 (903) 234-56-78</v>
      </c>
      <c r="T951" s="13" t="str">
        <f t="shared" si="526"/>
        <v>levchenko@mail</v>
      </c>
      <c r="U951" s="18" t="str">
        <f t="shared" si="527"/>
        <v xml:space="preserve">Ошибка Email</v>
      </c>
      <c r="V951" s="13" t="str">
        <f>IFERROR(VLOOKUP(K951,Справочники!$K$6:$L$13,2,0),K951)</f>
        <v>Шахты</v>
      </c>
    </row>
    <row r="952" ht="15" customHeight="1">
      <c r="A952" s="10">
        <v>950</v>
      </c>
      <c r="B952" s="11" t="str">
        <f>RAW_Клиенты!A951</f>
        <v>C0950</v>
      </c>
      <c r="C952" s="11" t="str">
        <f>RAW_Клиенты!B951</f>
        <v xml:space="preserve">Андреева Ольга Владимировна</v>
      </c>
      <c r="D952" s="11" t="str">
        <f>RAW_Клиенты!C951</f>
        <v>15.11.1989</v>
      </c>
      <c r="E952" s="11" t="str">
        <f>RAW_Клиенты!D951</f>
        <v>8-903-234-56-78</v>
      </c>
      <c r="F952" s="11" t="str">
        <f>RAW_Клиенты!E951</f>
        <v>andreeva@yandex</v>
      </c>
      <c r="G952" s="11" t="str">
        <f>RAW_Клиенты!F951</f>
        <v>Златоуст</v>
      </c>
      <c r="H952" s="11" t="str">
        <f>RAW_Клиенты!G951</f>
        <v>2048-05-15</v>
      </c>
      <c r="I952" s="12" t="str">
        <f t="shared" si="515"/>
        <v>89032345678</v>
      </c>
      <c r="J952" s="12" t="str">
        <f t="shared" si="516"/>
        <v>andreeva@yandex</v>
      </c>
      <c r="K952" s="12" t="str">
        <f t="shared" si="517"/>
        <v>Златоуст</v>
      </c>
      <c r="L952" s="13" t="str">
        <f t="shared" si="518"/>
        <v>C0950</v>
      </c>
      <c r="M952" s="13" t="str">
        <f t="shared" si="519"/>
        <v xml:space="preserve">Андреева Ольга Владимировна</v>
      </c>
      <c r="N952" s="13" t="str">
        <f t="shared" si="520"/>
        <v>OK</v>
      </c>
      <c r="O952" s="19">
        <f t="shared" si="521"/>
        <v>32827</v>
      </c>
      <c r="P952" s="19">
        <f t="shared" si="522"/>
        <v>54193</v>
      </c>
      <c r="Q952" s="13">
        <f t="shared" ca="1" si="523"/>
        <v>36</v>
      </c>
      <c r="R952" s="13" t="str">
        <f t="shared" si="524"/>
        <v>OK</v>
      </c>
      <c r="S952" s="13" t="str">
        <f t="shared" si="525"/>
        <v xml:space="preserve">+7 (903) 234-56-78</v>
      </c>
      <c r="T952" s="13" t="str">
        <f t="shared" si="526"/>
        <v>andreeva@yandex</v>
      </c>
      <c r="U952" s="18" t="str">
        <f t="shared" si="527"/>
        <v xml:space="preserve">Ошибка Email</v>
      </c>
      <c r="V952" s="13" t="str">
        <f>IFERROR(VLOOKUP(K952,Справочники!$K$6:$L$13,2,0),K952)</f>
        <v>Златоуст</v>
      </c>
    </row>
    <row r="953" ht="15" customHeight="1">
      <c r="A953" s="10">
        <v>951</v>
      </c>
      <c r="B953" s="11" t="str">
        <f>RAW_Клиенты!A952</f>
        <v>C0951</v>
      </c>
      <c r="C953" s="11" t="str">
        <f>RAW_Клиенты!B952</f>
        <v xml:space="preserve">Севастьянов Илья Александрович</v>
      </c>
      <c r="D953" s="11" t="str">
        <f>RAW_Клиенты!C952</f>
        <v>22.03.1976</v>
      </c>
      <c r="E953" s="11" t="str">
        <f>RAW_Клиенты!D952</f>
        <v xml:space="preserve">8 903 345 67 89</v>
      </c>
      <c r="F953" s="11" t="str">
        <f>RAW_Клиенты!E952</f>
        <v>sevastyanov@gmail</v>
      </c>
      <c r="G953" s="11" t="str">
        <f>RAW_Клиенты!F952</f>
        <v>Ангарск</v>
      </c>
      <c r="H953" s="11" t="str">
        <f>RAW_Клиенты!G952</f>
        <v>15.05.2048</v>
      </c>
      <c r="I953" s="12" t="str">
        <f t="shared" si="515"/>
        <v>89033456789</v>
      </c>
      <c r="J953" s="12" t="str">
        <f t="shared" si="516"/>
        <v>sevastyanov@gmail</v>
      </c>
      <c r="K953" s="12" t="str">
        <f t="shared" si="517"/>
        <v>Ангарск</v>
      </c>
      <c r="L953" s="13" t="str">
        <f t="shared" si="518"/>
        <v>C0951</v>
      </c>
      <c r="M953" s="13" t="str">
        <f t="shared" si="519"/>
        <v xml:space="preserve">Севастьянов Илья Александрович</v>
      </c>
      <c r="N953" s="13" t="str">
        <f t="shared" si="520"/>
        <v>OK</v>
      </c>
      <c r="O953" s="19">
        <f t="shared" si="521"/>
        <v>27841</v>
      </c>
      <c r="P953" s="19">
        <f t="shared" si="522"/>
        <v>54193</v>
      </c>
      <c r="Q953" s="13">
        <f t="shared" ca="1" si="523"/>
        <v>50</v>
      </c>
      <c r="R953" s="13" t="str">
        <f t="shared" si="524"/>
        <v>OK</v>
      </c>
      <c r="S953" s="13" t="str">
        <f t="shared" si="525"/>
        <v xml:space="preserve">+7 (903) 345-67-89</v>
      </c>
      <c r="T953" s="13" t="str">
        <f t="shared" si="526"/>
        <v>sevastyanov@gmail</v>
      </c>
      <c r="U953" s="18" t="str">
        <f t="shared" si="527"/>
        <v xml:space="preserve">Ошибка Email</v>
      </c>
      <c r="V953" s="13" t="str">
        <f>IFERROR(VLOOKUP(K953,Справочники!$K$6:$L$13,2,0),K953)</f>
        <v>Ангарск</v>
      </c>
    </row>
    <row r="954" ht="15" customHeight="1">
      <c r="A954" s="10">
        <v>952</v>
      </c>
      <c r="B954" s="11" t="str">
        <f>RAW_Клиенты!A953</f>
        <v>C0952</v>
      </c>
      <c r="C954" s="11" t="str">
        <f>RAW_Клиенты!B953</f>
        <v xml:space="preserve">Кузьмина Екатерина Сергеевна</v>
      </c>
      <c r="D954" s="11" t="str">
        <f>RAW_Клиенты!C953</f>
        <v>12.09.1984</v>
      </c>
      <c r="E954" s="11" t="str">
        <f>RAW_Клиенты!D953</f>
        <v>+79033456789</v>
      </c>
      <c r="F954" s="11" t="str">
        <f>RAW_Клиенты!E953</f>
        <v>kuzmina@mail</v>
      </c>
      <c r="G954" s="11" t="str">
        <f>RAW_Клиенты!F953</f>
        <v>Озёрск</v>
      </c>
      <c r="H954" s="11" t="str">
        <f>RAW_Клиенты!G953</f>
        <v>01.06.2048</v>
      </c>
      <c r="I954" s="12" t="str">
        <f t="shared" si="515"/>
        <v>79033456789</v>
      </c>
      <c r="J954" s="12" t="str">
        <f t="shared" si="516"/>
        <v>kuzmina@mail</v>
      </c>
      <c r="K954" s="12" t="str">
        <f t="shared" si="517"/>
        <v>Озёрск</v>
      </c>
      <c r="L954" s="13" t="str">
        <f t="shared" si="518"/>
        <v>C0952</v>
      </c>
      <c r="M954" s="13" t="str">
        <f t="shared" si="519"/>
        <v xml:space="preserve">Кузьмина Екатерина Сергеевна</v>
      </c>
      <c r="N954" s="13" t="str">
        <f t="shared" si="520"/>
        <v>OK</v>
      </c>
      <c r="O954" s="19">
        <f t="shared" si="521"/>
        <v>30937</v>
      </c>
      <c r="P954" s="19">
        <f t="shared" si="522"/>
        <v>54210</v>
      </c>
      <c r="Q954" s="13">
        <f t="shared" ca="1" si="523"/>
        <v>42</v>
      </c>
      <c r="R954" s="13" t="str">
        <f t="shared" si="524"/>
        <v>OK</v>
      </c>
      <c r="S954" s="13" t="str">
        <f t="shared" si="525"/>
        <v xml:space="preserve">+7 (903) 345-67-89</v>
      </c>
      <c r="T954" s="13" t="str">
        <f t="shared" si="526"/>
        <v>kuzmina@mail</v>
      </c>
      <c r="U954" s="18" t="str">
        <f t="shared" si="527"/>
        <v xml:space="preserve">Ошибка Email</v>
      </c>
      <c r="V954" s="13" t="str">
        <f>IFERROR(VLOOKUP(K954,Справочники!$K$6:$L$13,2,0),K954)</f>
        <v>Озёрск</v>
      </c>
    </row>
    <row r="955" ht="15" customHeight="1">
      <c r="A955" s="10">
        <v>953</v>
      </c>
      <c r="B955" s="11" t="str">
        <f>RAW_Клиенты!A954</f>
        <v>C0953</v>
      </c>
      <c r="C955" s="11" t="str">
        <f>RAW_Клиенты!B954</f>
        <v xml:space="preserve">Матвеев Андрей Олегович</v>
      </c>
      <c r="D955" s="11" t="str">
        <f>RAW_Клиенты!C954</f>
        <v>27.06.1991</v>
      </c>
      <c r="E955" s="11" t="str">
        <f>RAW_Клиенты!D954</f>
        <v>8-903-345-67-89</v>
      </c>
      <c r="F955" s="11" t="str">
        <f>RAW_Клиенты!E954</f>
        <v>matveev@yandex</v>
      </c>
      <c r="G955" s="11" t="str">
        <f>RAW_Клиенты!F954</f>
        <v>Орел</v>
      </c>
      <c r="H955" s="11" t="str">
        <f>RAW_Клиенты!G954</f>
        <v>2048-06-10</v>
      </c>
      <c r="I955" s="12" t="str">
        <f t="shared" si="515"/>
        <v>89033456789</v>
      </c>
      <c r="J955" s="12" t="str">
        <f t="shared" si="516"/>
        <v>matveev@yandex</v>
      </c>
      <c r="K955" s="12" t="str">
        <f t="shared" si="517"/>
        <v>Орел</v>
      </c>
      <c r="L955" s="13" t="str">
        <f t="shared" si="518"/>
        <v>C0953</v>
      </c>
      <c r="M955" s="13" t="str">
        <f t="shared" si="519"/>
        <v xml:space="preserve">Матвеев Андрей Олегович</v>
      </c>
      <c r="N955" s="13" t="str">
        <f t="shared" si="520"/>
        <v>OK</v>
      </c>
      <c r="O955" s="19">
        <f t="shared" si="521"/>
        <v>33416</v>
      </c>
      <c r="P955" s="19">
        <f t="shared" si="522"/>
        <v>54219</v>
      </c>
      <c r="Q955" s="13">
        <f t="shared" ca="1" si="523"/>
        <v>35</v>
      </c>
      <c r="R955" s="13" t="str">
        <f t="shared" si="524"/>
        <v>OK</v>
      </c>
      <c r="S955" s="13" t="str">
        <f t="shared" si="525"/>
        <v xml:space="preserve">+7 (903) 345-67-89</v>
      </c>
      <c r="T955" s="13" t="str">
        <f t="shared" si="526"/>
        <v>matveev@yandex</v>
      </c>
      <c r="U955" s="18" t="str">
        <f t="shared" si="527"/>
        <v xml:space="preserve">Ошибка Email</v>
      </c>
      <c r="V955" s="13" t="str">
        <f>IFERROR(VLOOKUP(K955,Справочники!$K$6:$L$13,2,0),K955)</f>
        <v>Орел</v>
      </c>
    </row>
    <row r="956" ht="15" customHeight="1">
      <c r="A956" s="10">
        <v>954</v>
      </c>
      <c r="B956" s="11" t="str">
        <f>RAW_Клиенты!A955</f>
        <v>C0954</v>
      </c>
      <c r="C956" s="11" t="str">
        <f>RAW_Клиенты!B955</f>
        <v xml:space="preserve">Удальцова Мария Павловна</v>
      </c>
      <c r="D956" s="11" t="str">
        <f>RAW_Клиенты!C955</f>
        <v>20.01.1977</v>
      </c>
      <c r="E956" s="11" t="str">
        <f>RAW_Клиенты!D955</f>
        <v xml:space="preserve">8 903 456 78 90</v>
      </c>
      <c r="F956" s="11" t="str">
        <f>RAW_Клиенты!E955</f>
        <v>udaltsova@gmail</v>
      </c>
      <c r="G956" s="11" t="str">
        <f>RAW_Клиенты!F955</f>
        <v>Магнитогорск</v>
      </c>
      <c r="H956" s="11" t="str">
        <f>RAW_Клиенты!G955</f>
        <v>10.06.2048</v>
      </c>
      <c r="I956" s="12" t="str">
        <f t="shared" si="515"/>
        <v>89034567890</v>
      </c>
      <c r="J956" s="12" t="str">
        <f t="shared" si="516"/>
        <v>udaltsova@gmail</v>
      </c>
      <c r="K956" s="12" t="str">
        <f t="shared" si="517"/>
        <v>Магнитогорск</v>
      </c>
      <c r="L956" s="13" t="str">
        <f t="shared" si="518"/>
        <v>C0954</v>
      </c>
      <c r="M956" s="13" t="str">
        <f t="shared" si="519"/>
        <v xml:space="preserve">Удальцова Мария Павловна</v>
      </c>
      <c r="N956" s="13" t="str">
        <f t="shared" si="520"/>
        <v>OK</v>
      </c>
      <c r="O956" s="19">
        <f t="shared" si="521"/>
        <v>28145</v>
      </c>
      <c r="P956" s="19">
        <f t="shared" si="522"/>
        <v>54219</v>
      </c>
      <c r="Q956" s="13">
        <f t="shared" ca="1" si="523"/>
        <v>49</v>
      </c>
      <c r="R956" s="13" t="str">
        <f t="shared" si="524"/>
        <v>OK</v>
      </c>
      <c r="S956" s="13" t="str">
        <f t="shared" si="525"/>
        <v xml:space="preserve">+7 (903) 456-78-90</v>
      </c>
      <c r="T956" s="13" t="str">
        <f t="shared" si="526"/>
        <v>udaltsova@gmail</v>
      </c>
      <c r="U956" s="18" t="str">
        <f t="shared" si="527"/>
        <v xml:space="preserve">Ошибка Email</v>
      </c>
      <c r="V956" s="13" t="str">
        <f>IFERROR(VLOOKUP(K956,Справочники!$K$6:$L$13,2,0),K956)</f>
        <v>Магнитогорск</v>
      </c>
    </row>
    <row r="957" ht="15" customHeight="1">
      <c r="A957" s="10">
        <v>955</v>
      </c>
      <c r="B957" s="11" t="str">
        <f>RAW_Клиенты!A956</f>
        <v>C0955</v>
      </c>
      <c r="C957" s="11" t="str">
        <f>RAW_Клиенты!B956</f>
        <v xml:space="preserve">Хабаров Денис Викторович</v>
      </c>
      <c r="D957" s="11" t="str">
        <f>RAW_Клиенты!C956</f>
        <v>16.12.1985</v>
      </c>
      <c r="E957" s="11" t="str">
        <f>RAW_Клиенты!D956</f>
        <v>+79034567890</v>
      </c>
      <c r="F957" s="11" t="str">
        <f>RAW_Клиенты!E956</f>
        <v>habarov@mail</v>
      </c>
      <c r="G957" s="11" t="str">
        <f>RAW_Клиенты!F956</f>
        <v>Якутск</v>
      </c>
      <c r="H957" s="11" t="str">
        <f>RAW_Клиенты!G956</f>
        <v>01.07.2048</v>
      </c>
      <c r="I957" s="12" t="str">
        <f t="shared" si="515"/>
        <v>79034567890</v>
      </c>
      <c r="J957" s="12" t="str">
        <f t="shared" si="516"/>
        <v>habarov@mail</v>
      </c>
      <c r="K957" s="12" t="str">
        <f t="shared" si="517"/>
        <v>Якутск</v>
      </c>
      <c r="L957" s="13" t="str">
        <f t="shared" si="518"/>
        <v>C0955</v>
      </c>
      <c r="M957" s="13" t="str">
        <f t="shared" si="519"/>
        <v xml:space="preserve">Хабаров Денис Викторович</v>
      </c>
      <c r="N957" s="13" t="str">
        <f t="shared" si="520"/>
        <v>OK</v>
      </c>
      <c r="O957" s="19">
        <f t="shared" si="521"/>
        <v>31397</v>
      </c>
      <c r="P957" s="19">
        <f t="shared" si="522"/>
        <v>54240</v>
      </c>
      <c r="Q957" s="13">
        <f t="shared" ca="1" si="523"/>
        <v>40</v>
      </c>
      <c r="R957" s="13" t="str">
        <f t="shared" si="524"/>
        <v>OK</v>
      </c>
      <c r="S957" s="13" t="str">
        <f t="shared" si="525"/>
        <v xml:space="preserve">+7 (903) 456-78-90</v>
      </c>
      <c r="T957" s="13" t="str">
        <f t="shared" si="526"/>
        <v>habarov@mail</v>
      </c>
      <c r="U957" s="18" t="str">
        <f t="shared" si="527"/>
        <v xml:space="preserve">Ошибка Email</v>
      </c>
      <c r="V957" s="13" t="str">
        <f>IFERROR(VLOOKUP(K957,Справочники!$K$6:$L$13,2,0),K957)</f>
        <v>Якутск</v>
      </c>
    </row>
    <row r="958" ht="15" customHeight="1">
      <c r="A958" s="10">
        <v>956</v>
      </c>
      <c r="B958" s="11" t="str">
        <f>RAW_Клиенты!A957</f>
        <v>C0956</v>
      </c>
      <c r="C958" s="11" t="str">
        <f>RAW_Клиенты!B957</f>
        <v xml:space="preserve">Гуренкова Ольга Сергеевна</v>
      </c>
      <c r="D958" s="11" t="str">
        <f>RAW_Клиенты!C957</f>
        <v>28.05.1980</v>
      </c>
      <c r="E958" s="11" t="str">
        <f>RAW_Клиенты!D957</f>
        <v>8-903-456-78-90</v>
      </c>
      <c r="F958" s="11" t="str">
        <f>RAW_Клиенты!E957</f>
        <v>gurenkova@yandex</v>
      </c>
      <c r="G958" s="11" t="str">
        <f>RAW_Клиенты!F957</f>
        <v>Чебоксары</v>
      </c>
      <c r="H958" s="11" t="str">
        <f>RAW_Клиенты!G957</f>
        <v>2048-07-15</v>
      </c>
      <c r="I958" s="12" t="str">
        <f t="shared" si="515"/>
        <v>89034567890</v>
      </c>
      <c r="J958" s="12" t="str">
        <f t="shared" si="516"/>
        <v>gurenkova@yandex</v>
      </c>
      <c r="K958" s="12" t="str">
        <f t="shared" si="517"/>
        <v>Чебоксары</v>
      </c>
      <c r="L958" s="13" t="str">
        <f t="shared" si="518"/>
        <v>C0956</v>
      </c>
      <c r="M958" s="13" t="str">
        <f t="shared" si="519"/>
        <v xml:space="preserve">Гуренкова Ольга Сергеевна</v>
      </c>
      <c r="N958" s="13" t="str">
        <f t="shared" si="520"/>
        <v>OK</v>
      </c>
      <c r="O958" s="19">
        <f t="shared" si="521"/>
        <v>29369</v>
      </c>
      <c r="P958" s="19">
        <f t="shared" si="522"/>
        <v>54254</v>
      </c>
      <c r="Q958" s="13">
        <f t="shared" ca="1" si="523"/>
        <v>46</v>
      </c>
      <c r="R958" s="13" t="str">
        <f t="shared" si="524"/>
        <v>OK</v>
      </c>
      <c r="S958" s="13" t="str">
        <f t="shared" si="525"/>
        <v xml:space="preserve">+7 (903) 456-78-90</v>
      </c>
      <c r="T958" s="13" t="str">
        <f t="shared" si="526"/>
        <v>gurenkova@yandex</v>
      </c>
      <c r="U958" s="18" t="str">
        <f t="shared" si="527"/>
        <v xml:space="preserve">Ошибка Email</v>
      </c>
      <c r="V958" s="13" t="str">
        <f>IFERROR(VLOOKUP(K958,Справочники!$K$6:$L$13,2,0),K958)</f>
        <v>Чебоксары</v>
      </c>
    </row>
    <row r="959" ht="15" customHeight="1">
      <c r="A959" s="10">
        <v>957</v>
      </c>
      <c r="B959" s="11" t="str">
        <f>RAW_Клиенты!A958</f>
        <v>C0957</v>
      </c>
      <c r="C959" s="11" t="str">
        <f>RAW_Клиенты!B958</f>
        <v xml:space="preserve">Щепин Илья Александрович</v>
      </c>
      <c r="D959" s="11" t="str">
        <f>RAW_Клиенты!C958</f>
        <v>02.10.1974</v>
      </c>
      <c r="E959" s="11" t="str">
        <f>RAW_Клиенты!D958</f>
        <v xml:space="preserve">8 903 567 89 01</v>
      </c>
      <c r="F959" s="11" t="str">
        <f>RAW_Клиенты!E958</f>
        <v>schepin@gmail</v>
      </c>
      <c r="G959" s="11" t="str">
        <f>RAW_Клиенты!F958</f>
        <v>Мурманск</v>
      </c>
      <c r="H959" s="11" t="str">
        <f>RAW_Клиенты!G958</f>
        <v>15.07.2048</v>
      </c>
      <c r="I959" s="12" t="str">
        <f t="shared" si="515"/>
        <v>89035678901</v>
      </c>
      <c r="J959" s="12" t="str">
        <f t="shared" si="516"/>
        <v>schepin@gmail</v>
      </c>
      <c r="K959" s="12" t="str">
        <f t="shared" si="517"/>
        <v>Мурманск</v>
      </c>
      <c r="L959" s="13" t="str">
        <f t="shared" si="518"/>
        <v>C0957</v>
      </c>
      <c r="M959" s="13" t="str">
        <f t="shared" si="519"/>
        <v xml:space="preserve">Щепин Илья Александрович</v>
      </c>
      <c r="N959" s="13" t="str">
        <f t="shared" si="520"/>
        <v>OK</v>
      </c>
      <c r="O959" s="19">
        <f t="shared" si="521"/>
        <v>27304</v>
      </c>
      <c r="P959" s="19">
        <f t="shared" si="522"/>
        <v>54254</v>
      </c>
      <c r="Q959" s="13">
        <f t="shared" ca="1" si="523"/>
        <v>51</v>
      </c>
      <c r="R959" s="13" t="str">
        <f t="shared" si="524"/>
        <v>OK</v>
      </c>
      <c r="S959" s="13" t="str">
        <f t="shared" si="525"/>
        <v xml:space="preserve">+7 (903) 567-89-01</v>
      </c>
      <c r="T959" s="13" t="str">
        <f t="shared" si="526"/>
        <v>schepin@gmail</v>
      </c>
      <c r="U959" s="18" t="str">
        <f t="shared" si="527"/>
        <v xml:space="preserve">Ошибка Email</v>
      </c>
      <c r="V959" s="13" t="str">
        <f>IFERROR(VLOOKUP(K959,Справочники!$K$6:$L$13,2,0),K959)</f>
        <v>Мурманск</v>
      </c>
    </row>
    <row r="960" ht="15" customHeight="1">
      <c r="A960" s="10">
        <v>958</v>
      </c>
      <c r="B960" s="11" t="str">
        <f>RAW_Клиенты!A959</f>
        <v>C0958</v>
      </c>
      <c r="C960" s="11" t="str">
        <f>RAW_Клиенты!B959</f>
        <v xml:space="preserve">Ахметова Екатерина Владимировна</v>
      </c>
      <c r="D960" s="11" t="str">
        <f>RAW_Клиенты!C959</f>
        <v>11.07.1986</v>
      </c>
      <c r="E960" s="11" t="str">
        <f>RAW_Клиенты!D959</f>
        <v>+79035678901</v>
      </c>
      <c r="F960" s="11" t="str">
        <f>RAW_Клиенты!E959</f>
        <v>ahmetova@mail</v>
      </c>
      <c r="G960" s="11" t="str">
        <f>RAW_Клиенты!F959</f>
        <v>Смоленск</v>
      </c>
      <c r="H960" s="11" t="str">
        <f>RAW_Клиенты!G959</f>
        <v>01.08.2048</v>
      </c>
      <c r="I960" s="12" t="str">
        <f t="shared" si="515"/>
        <v>79035678901</v>
      </c>
      <c r="J960" s="12" t="str">
        <f t="shared" si="516"/>
        <v>ahmetova@mail</v>
      </c>
      <c r="K960" s="12" t="str">
        <f t="shared" si="517"/>
        <v>Смоленск</v>
      </c>
      <c r="L960" s="13" t="str">
        <f t="shared" si="518"/>
        <v>C0958</v>
      </c>
      <c r="M960" s="13" t="str">
        <f t="shared" si="519"/>
        <v xml:space="preserve">Ахметова Екатерина Владимировна</v>
      </c>
      <c r="N960" s="13" t="str">
        <f t="shared" si="520"/>
        <v>OK</v>
      </c>
      <c r="O960" s="19">
        <f t="shared" si="521"/>
        <v>31604</v>
      </c>
      <c r="P960" s="19">
        <f t="shared" si="522"/>
        <v>54271</v>
      </c>
      <c r="Q960" s="13">
        <f t="shared" ca="1" si="523"/>
        <v>40</v>
      </c>
      <c r="R960" s="13" t="str">
        <f t="shared" si="524"/>
        <v>OK</v>
      </c>
      <c r="S960" s="13" t="str">
        <f t="shared" si="525"/>
        <v xml:space="preserve">+7 (903) 567-89-01</v>
      </c>
      <c r="T960" s="13" t="str">
        <f t="shared" si="526"/>
        <v>ahmetova@mail</v>
      </c>
      <c r="U960" s="18" t="str">
        <f t="shared" si="527"/>
        <v xml:space="preserve">Ошибка Email</v>
      </c>
      <c r="V960" s="13" t="str">
        <f>IFERROR(VLOOKUP(K960,Справочники!$K$6:$L$13,2,0),K960)</f>
        <v>Смоленск</v>
      </c>
    </row>
    <row r="961" ht="15" customHeight="1">
      <c r="A961" s="10">
        <v>959</v>
      </c>
      <c r="B961" s="11" t="str">
        <f>RAW_Клиенты!A960</f>
        <v>C0959</v>
      </c>
      <c r="C961" s="11" t="str">
        <f>RAW_Клиенты!B960</f>
        <v xml:space="preserve">Кузьмин Денис Павлович</v>
      </c>
      <c r="D961" s="11" t="str">
        <f>RAW_Клиенты!C960</f>
        <v>18.08.1992</v>
      </c>
      <c r="E961" s="11" t="str">
        <f>RAW_Клиенты!D960</f>
        <v>8-903-567-89-01</v>
      </c>
      <c r="F961" s="11" t="str">
        <f>RAW_Клиенты!E960</f>
        <v>kuzmin@yandex</v>
      </c>
      <c r="G961" s="11" t="str">
        <f>RAW_Клиенты!F960</f>
        <v>Тула</v>
      </c>
      <c r="H961" s="11" t="str">
        <f>RAW_Клиенты!G960</f>
        <v>2048-08-10</v>
      </c>
      <c r="I961" s="12" t="str">
        <f t="shared" si="515"/>
        <v>89035678901</v>
      </c>
      <c r="J961" s="12" t="str">
        <f t="shared" si="516"/>
        <v>kuzmin@yandex</v>
      </c>
      <c r="K961" s="12" t="str">
        <f t="shared" si="517"/>
        <v>Тула</v>
      </c>
      <c r="L961" s="13" t="str">
        <f t="shared" si="518"/>
        <v>C0959</v>
      </c>
      <c r="M961" s="13" t="str">
        <f t="shared" si="519"/>
        <v xml:space="preserve">Кузьмин Денис Павлович</v>
      </c>
      <c r="N961" s="13" t="str">
        <f t="shared" si="520"/>
        <v>OK</v>
      </c>
      <c r="O961" s="19">
        <f t="shared" si="521"/>
        <v>33834</v>
      </c>
      <c r="P961" s="19">
        <f t="shared" si="522"/>
        <v>54280</v>
      </c>
      <c r="Q961" s="13">
        <f t="shared" ca="1" si="523"/>
        <v>34</v>
      </c>
      <c r="R961" s="13" t="str">
        <f t="shared" si="524"/>
        <v>OK</v>
      </c>
      <c r="S961" s="13" t="str">
        <f t="shared" si="525"/>
        <v xml:space="preserve">+7 (903) 567-89-01</v>
      </c>
      <c r="T961" s="13" t="str">
        <f t="shared" si="526"/>
        <v>kuzmin@yandex</v>
      </c>
      <c r="U961" s="18" t="str">
        <f t="shared" si="527"/>
        <v xml:space="preserve">Ошибка Email</v>
      </c>
      <c r="V961" s="13" t="str">
        <f>IFERROR(VLOOKUP(K961,Справочники!$K$6:$L$13,2,0),K961)</f>
        <v>Тула</v>
      </c>
    </row>
    <row r="962" ht="15" customHeight="1">
      <c r="A962" s="10">
        <v>960</v>
      </c>
      <c r="B962" s="11" t="str">
        <f>RAW_Клиенты!A961</f>
        <v>C0960</v>
      </c>
      <c r="C962" s="11" t="str">
        <f>RAW_Клиенты!B961</f>
        <v xml:space="preserve">Кирпичева Ольга Сергеевна</v>
      </c>
      <c r="D962" s="11" t="str">
        <f>RAW_Клиенты!C961</f>
        <v>04.03.1978</v>
      </c>
      <c r="E962" s="11" t="str">
        <f>RAW_Клиенты!D961</f>
        <v xml:space="preserve">8 903 678 90 12</v>
      </c>
      <c r="F962" s="11" t="str">
        <f>RAW_Клиенты!E961</f>
        <v>kirpicheva@gmail</v>
      </c>
      <c r="G962" s="11" t="str">
        <f>RAW_Клиенты!F961</f>
        <v>Калуга</v>
      </c>
      <c r="H962" s="11" t="str">
        <f>RAW_Клиенты!G961</f>
        <v>10.08.2048</v>
      </c>
      <c r="I962" s="12" t="str">
        <f t="shared" si="515"/>
        <v>89036789012</v>
      </c>
      <c r="J962" s="12" t="str">
        <f t="shared" si="516"/>
        <v>kirpicheva@gmail</v>
      </c>
      <c r="K962" s="12" t="str">
        <f t="shared" si="517"/>
        <v>Калуга</v>
      </c>
      <c r="L962" s="13" t="str">
        <f t="shared" si="518"/>
        <v>C0960</v>
      </c>
      <c r="M962" s="13" t="str">
        <f t="shared" si="519"/>
        <v xml:space="preserve">Кирпичева Ольга Сергеевна</v>
      </c>
      <c r="N962" s="13" t="str">
        <f t="shared" si="520"/>
        <v>OK</v>
      </c>
      <c r="O962" s="19">
        <f t="shared" si="521"/>
        <v>28553</v>
      </c>
      <c r="P962" s="19">
        <f t="shared" si="522"/>
        <v>54280</v>
      </c>
      <c r="Q962" s="13">
        <f t="shared" ca="1" si="523"/>
        <v>48</v>
      </c>
      <c r="R962" s="13" t="str">
        <f t="shared" si="524"/>
        <v>OK</v>
      </c>
      <c r="S962" s="13" t="str">
        <f t="shared" si="525"/>
        <v xml:space="preserve">+7 (903) 678-90-12</v>
      </c>
      <c r="T962" s="13" t="str">
        <f t="shared" si="526"/>
        <v>kirpicheva@gmail</v>
      </c>
      <c r="U962" s="18" t="str">
        <f t="shared" si="527"/>
        <v xml:space="preserve">Ошибка Email</v>
      </c>
      <c r="V962" s="13" t="str">
        <f>IFERROR(VLOOKUP(K962,Справочники!$K$6:$L$13,2,0),K962)</f>
        <v>Калуга</v>
      </c>
    </row>
    <row r="963" ht="15" customHeight="1">
      <c r="A963" s="10">
        <v>961</v>
      </c>
      <c r="B963" s="11" t="str">
        <f>RAW_Клиенты!A962</f>
        <v>C0961</v>
      </c>
      <c r="C963" s="11" t="str">
        <f>RAW_Клиенты!B962</f>
        <v xml:space="preserve">Ефимов Андрей Олегович</v>
      </c>
      <c r="D963" s="11" t="str">
        <f>RAW_Клиенты!C962</f>
        <v>24.11.1983</v>
      </c>
      <c r="E963" s="11" t="str">
        <f>RAW_Клиенты!D962</f>
        <v>+79036789012</v>
      </c>
      <c r="F963" s="11" t="str">
        <f>RAW_Клиенты!E962</f>
        <v>efimov@mail</v>
      </c>
      <c r="G963" s="11" t="str">
        <f>RAW_Клиенты!F962</f>
        <v>Владикавказ</v>
      </c>
      <c r="H963" s="11" t="str">
        <f>RAW_Клиенты!G962</f>
        <v>01.09.2048</v>
      </c>
      <c r="I963" s="12" t="str">
        <f t="shared" si="515"/>
        <v>79036789012</v>
      </c>
      <c r="J963" s="12" t="str">
        <f t="shared" si="516"/>
        <v>efimov@mail</v>
      </c>
      <c r="K963" s="12" t="str">
        <f t="shared" si="517"/>
        <v>Владикавказ</v>
      </c>
      <c r="L963" s="13" t="str">
        <f t="shared" si="518"/>
        <v>C0961</v>
      </c>
      <c r="M963" s="13" t="str">
        <f t="shared" si="519"/>
        <v xml:space="preserve">Ефимов Андрей Олегович</v>
      </c>
      <c r="N963" s="13" t="str">
        <f t="shared" si="520"/>
        <v>OK</v>
      </c>
      <c r="O963" s="19">
        <f t="shared" si="521"/>
        <v>30644</v>
      </c>
      <c r="P963" s="19">
        <f t="shared" si="522"/>
        <v>54302</v>
      </c>
      <c r="Q963" s="13">
        <f t="shared" ca="1" si="523"/>
        <v>42</v>
      </c>
      <c r="R963" s="13" t="str">
        <f t="shared" si="524"/>
        <v>OK</v>
      </c>
      <c r="S963" s="13" t="str">
        <f t="shared" si="525"/>
        <v xml:space="preserve">+7 (903) 678-90-12</v>
      </c>
      <c r="T963" s="13" t="str">
        <f t="shared" si="526"/>
        <v>efimov@mail</v>
      </c>
      <c r="U963" s="18" t="str">
        <f t="shared" si="527"/>
        <v xml:space="preserve">Ошибка Email</v>
      </c>
      <c r="V963" s="13" t="str">
        <f>IFERROR(VLOOKUP(K963,Справочники!$K$6:$L$13,2,0),K963)</f>
        <v>Владикавказ</v>
      </c>
    </row>
    <row r="964" ht="15" customHeight="1">
      <c r="A964" s="10">
        <v>962</v>
      </c>
      <c r="B964" s="11" t="str">
        <f>RAW_Клиенты!A963</f>
        <v>C0962</v>
      </c>
      <c r="C964" s="11" t="str">
        <f>RAW_Клиенты!B963</f>
        <v xml:space="preserve">Светлова Мария Павловна</v>
      </c>
      <c r="D964" s="11" t="str">
        <f>RAW_Клиенты!C963</f>
        <v>08.12.1989</v>
      </c>
      <c r="E964" s="11" t="str">
        <f>RAW_Клиенты!D963</f>
        <v>8-903-678-90-12</v>
      </c>
      <c r="F964" s="11" t="str">
        <f>RAW_Клиенты!E963</f>
        <v>svetlova@yandex</v>
      </c>
      <c r="G964" s="11" t="str">
        <f>RAW_Клиенты!F963</f>
        <v>Смоленск</v>
      </c>
      <c r="H964" s="11" t="str">
        <f>RAW_Клиенты!G963</f>
        <v>2048-09-15</v>
      </c>
      <c r="I964" s="12" t="str">
        <f t="shared" si="515"/>
        <v>89036789012</v>
      </c>
      <c r="J964" s="12" t="str">
        <f t="shared" si="516"/>
        <v>svetlova@yandex</v>
      </c>
      <c r="K964" s="12" t="str">
        <f t="shared" si="517"/>
        <v>Смоленск</v>
      </c>
      <c r="L964" s="13" t="str">
        <f t="shared" si="518"/>
        <v>C0962</v>
      </c>
      <c r="M964" s="13" t="str">
        <f t="shared" si="519"/>
        <v xml:space="preserve">Светлова Мария Павловна</v>
      </c>
      <c r="N964" s="13" t="str">
        <f t="shared" si="520"/>
        <v>OK</v>
      </c>
      <c r="O964" s="19">
        <f t="shared" si="521"/>
        <v>32850</v>
      </c>
      <c r="P964" s="19">
        <f t="shared" si="522"/>
        <v>54316</v>
      </c>
      <c r="Q964" s="13">
        <f t="shared" ca="1" si="523"/>
        <v>36</v>
      </c>
      <c r="R964" s="13" t="str">
        <f t="shared" si="524"/>
        <v>OK</v>
      </c>
      <c r="S964" s="13" t="str">
        <f t="shared" si="525"/>
        <v xml:space="preserve">+7 (903) 678-90-12</v>
      </c>
      <c r="T964" s="13" t="str">
        <f t="shared" si="526"/>
        <v>svetlova@yandex</v>
      </c>
      <c r="U964" s="18" t="str">
        <f t="shared" si="527"/>
        <v xml:space="preserve">Ошибка Email</v>
      </c>
      <c r="V964" s="13" t="str">
        <f>IFERROR(VLOOKUP(K964,Справочники!$K$6:$L$13,2,0),K964)</f>
        <v>Смоленск</v>
      </c>
    </row>
    <row r="965" ht="15" customHeight="1">
      <c r="A965" s="10">
        <v>963</v>
      </c>
      <c r="B965" s="11" t="str">
        <f>RAW_Клиенты!A964</f>
        <v>C0963</v>
      </c>
      <c r="C965" s="11" t="str">
        <f>RAW_Клиенты!B964</f>
        <v xml:space="preserve">Тихомиров Денис Сергеевич</v>
      </c>
      <c r="D965" s="11" t="str">
        <f>RAW_Клиенты!C964</f>
        <v>17.09.1975</v>
      </c>
      <c r="E965" s="11" t="str">
        <f>RAW_Клиенты!D964</f>
        <v xml:space="preserve">8 903 789 01 23</v>
      </c>
      <c r="F965" s="11" t="str">
        <f>RAW_Клиенты!E964</f>
        <v>tihomirov@gmail</v>
      </c>
      <c r="G965" s="11" t="str">
        <f>RAW_Клиенты!F964</f>
        <v>Белгород</v>
      </c>
      <c r="H965" s="11" t="str">
        <f>RAW_Клиенты!G964</f>
        <v>15.09.2048</v>
      </c>
      <c r="I965" s="12" t="str">
        <f t="shared" si="515"/>
        <v>89037890123</v>
      </c>
      <c r="J965" s="12" t="str">
        <f t="shared" si="516"/>
        <v>tihomirov@gmail</v>
      </c>
      <c r="K965" s="12" t="str">
        <f t="shared" si="517"/>
        <v>Белгород</v>
      </c>
      <c r="L965" s="13" t="str">
        <f t="shared" si="518"/>
        <v>C0963</v>
      </c>
      <c r="M965" s="13" t="str">
        <f t="shared" si="519"/>
        <v xml:space="preserve">Тихомиров Денис Сергеевич</v>
      </c>
      <c r="N965" s="13" t="str">
        <f t="shared" si="520"/>
        <v>OK</v>
      </c>
      <c r="O965" s="19">
        <f t="shared" si="521"/>
        <v>27654</v>
      </c>
      <c r="P965" s="19">
        <f t="shared" si="522"/>
        <v>54316</v>
      </c>
      <c r="Q965" s="13">
        <f t="shared" ca="1" si="523"/>
        <v>51</v>
      </c>
      <c r="R965" s="13" t="str">
        <f t="shared" si="524"/>
        <v>OK</v>
      </c>
      <c r="S965" s="13" t="str">
        <f t="shared" si="525"/>
        <v xml:space="preserve">+7 (903) 789-01-23</v>
      </c>
      <c r="T965" s="13" t="str">
        <f t="shared" si="526"/>
        <v>tihomirov@gmail</v>
      </c>
      <c r="U965" s="18" t="str">
        <f t="shared" si="527"/>
        <v xml:space="preserve">Ошибка Email</v>
      </c>
      <c r="V965" s="13" t="str">
        <f>IFERROR(VLOOKUP(K965,Справочники!$K$6:$L$13,2,0),K965)</f>
        <v>Белгород</v>
      </c>
    </row>
    <row r="966" ht="15" customHeight="1">
      <c r="A966" s="10">
        <v>964</v>
      </c>
      <c r="B966" s="11" t="str">
        <f>RAW_Клиенты!A965</f>
        <v>C0964</v>
      </c>
      <c r="C966" s="11" t="str">
        <f>RAW_Клиенты!B965</f>
        <v xml:space="preserve">Козыренко Ольга Владимировна</v>
      </c>
      <c r="D966" s="11" t="str">
        <f>RAW_Клиенты!C965</f>
        <v>28.04.1984</v>
      </c>
      <c r="E966" s="11" t="str">
        <f>RAW_Клиенты!D965</f>
        <v>+79037890123</v>
      </c>
      <c r="F966" s="11" t="str">
        <f>RAW_Клиенты!E965</f>
        <v>kozyrenko@mail</v>
      </c>
      <c r="G966" s="11" t="str">
        <f>RAW_Клиенты!F965</f>
        <v>Мурманск</v>
      </c>
      <c r="H966" s="11" t="str">
        <f>RAW_Клиенты!G965</f>
        <v>01.10.2048</v>
      </c>
      <c r="I966" s="12" t="str">
        <f t="shared" si="515"/>
        <v>79037890123</v>
      </c>
      <c r="J966" s="12" t="str">
        <f t="shared" si="516"/>
        <v>kozyrenko@mail</v>
      </c>
      <c r="K966" s="12" t="str">
        <f t="shared" si="517"/>
        <v>Мурманск</v>
      </c>
      <c r="L966" s="13" t="str">
        <f t="shared" si="518"/>
        <v>C0964</v>
      </c>
      <c r="M966" s="13" t="str">
        <f t="shared" si="519"/>
        <v xml:space="preserve">Козыренко Ольга Владимировна</v>
      </c>
      <c r="N966" s="13" t="str">
        <f t="shared" si="520"/>
        <v>OK</v>
      </c>
      <c r="O966" s="19">
        <f t="shared" si="521"/>
        <v>30800</v>
      </c>
      <c r="P966" s="19">
        <f t="shared" si="522"/>
        <v>54332</v>
      </c>
      <c r="Q966" s="13">
        <f t="shared" ca="1" si="523"/>
        <v>42</v>
      </c>
      <c r="R966" s="13" t="str">
        <f t="shared" si="524"/>
        <v>OK</v>
      </c>
      <c r="S966" s="13" t="str">
        <f t="shared" si="525"/>
        <v xml:space="preserve">+7 (903) 789-01-23</v>
      </c>
      <c r="T966" s="13" t="str">
        <f t="shared" si="526"/>
        <v>kozyrenko@mail</v>
      </c>
      <c r="U966" s="18" t="str">
        <f t="shared" si="527"/>
        <v xml:space="preserve">Ошибка Email</v>
      </c>
      <c r="V966" s="13" t="str">
        <f>IFERROR(VLOOKUP(K966,Справочники!$K$6:$L$13,2,0),K966)</f>
        <v>Мурманск</v>
      </c>
    </row>
    <row r="967" ht="15" customHeight="1">
      <c r="A967" s="10">
        <v>965</v>
      </c>
      <c r="B967" s="11" t="str">
        <f>RAW_Клиенты!A966</f>
        <v>C0965</v>
      </c>
      <c r="C967" s="11" t="str">
        <f>RAW_Клиенты!B966</f>
        <v xml:space="preserve">Чистякова Екатерина Сергеевна</v>
      </c>
      <c r="D967" s="11" t="str">
        <f>RAW_Клиенты!C966</f>
        <v>14.10.1991</v>
      </c>
      <c r="E967" s="11" t="str">
        <f>RAW_Клиенты!D966</f>
        <v>8-903-789-01-23</v>
      </c>
      <c r="F967" s="11" t="str">
        <f>RAW_Клиенты!E966</f>
        <v>chistyakova@yandex</v>
      </c>
      <c r="G967" s="11" t="str">
        <f>RAW_Клиенты!F966</f>
        <v>Ставрополь</v>
      </c>
      <c r="H967" s="11" t="str">
        <f>RAW_Клиенты!G966</f>
        <v>2048-10-10</v>
      </c>
      <c r="I967" s="12" t="str">
        <f t="shared" si="515"/>
        <v>89037890123</v>
      </c>
      <c r="J967" s="12" t="str">
        <f t="shared" si="516"/>
        <v>chistyakova@yandex</v>
      </c>
      <c r="K967" s="12" t="str">
        <f t="shared" si="517"/>
        <v>Ставрополь</v>
      </c>
      <c r="L967" s="13" t="str">
        <f t="shared" si="518"/>
        <v>C0965</v>
      </c>
      <c r="M967" s="13" t="str">
        <f t="shared" si="519"/>
        <v xml:space="preserve">Чистякова Екатерина Сергеевна</v>
      </c>
      <c r="N967" s="13" t="str">
        <f t="shared" si="520"/>
        <v>OK</v>
      </c>
      <c r="O967" s="19">
        <f t="shared" si="521"/>
        <v>33525</v>
      </c>
      <c r="P967" s="19">
        <f t="shared" si="522"/>
        <v>54341</v>
      </c>
      <c r="Q967" s="13">
        <f t="shared" ca="1" si="523"/>
        <v>34</v>
      </c>
      <c r="R967" s="13" t="str">
        <f t="shared" si="524"/>
        <v>OK</v>
      </c>
      <c r="S967" s="13" t="str">
        <f t="shared" si="525"/>
        <v xml:space="preserve">+7 (903) 789-01-23</v>
      </c>
      <c r="T967" s="13" t="str">
        <f t="shared" si="526"/>
        <v>chistyakova@yandex</v>
      </c>
      <c r="U967" s="18" t="str">
        <f t="shared" si="527"/>
        <v xml:space="preserve">Ошибка Email</v>
      </c>
      <c r="V967" s="13" t="str">
        <f>IFERROR(VLOOKUP(K967,Справочники!$K$6:$L$13,2,0),K967)</f>
        <v>Ставрополь</v>
      </c>
    </row>
    <row r="968" ht="15" customHeight="1">
      <c r="A968" s="10">
        <v>966</v>
      </c>
      <c r="B968" s="11" t="str">
        <f>RAW_Клиенты!A967</f>
        <v>C0966</v>
      </c>
      <c r="C968" s="11" t="str">
        <f>RAW_Клиенты!B967</f>
        <v xml:space="preserve">Караваев Илья Александрович</v>
      </c>
      <c r="D968" s="11" t="str">
        <f>RAW_Клиенты!C967</f>
        <v>03.02.1976</v>
      </c>
      <c r="E968" s="11" t="str">
        <f>RAW_Клиенты!D967</f>
        <v xml:space="preserve">8 903 890 12 34</v>
      </c>
      <c r="F968" s="11" t="str">
        <f>RAW_Клиенты!E967</f>
        <v>karavaev@gmail</v>
      </c>
      <c r="G968" s="11" t="str">
        <f>RAW_Клиенты!F967</f>
        <v>Севастополь</v>
      </c>
      <c r="H968" s="11" t="str">
        <f>RAW_Клиенты!G967</f>
        <v>10.10.2048</v>
      </c>
      <c r="I968" s="12" t="str">
        <f t="shared" si="515"/>
        <v>89038901234</v>
      </c>
      <c r="J968" s="12" t="str">
        <f t="shared" si="516"/>
        <v>karavaev@gmail</v>
      </c>
      <c r="K968" s="12" t="str">
        <f t="shared" si="517"/>
        <v>Севастополь</v>
      </c>
      <c r="L968" s="13" t="str">
        <f t="shared" si="518"/>
        <v>C0966</v>
      </c>
      <c r="M968" s="13" t="str">
        <f t="shared" si="519"/>
        <v xml:space="preserve">Караваев Илья Александрович</v>
      </c>
      <c r="N968" s="13" t="str">
        <f t="shared" si="520"/>
        <v>OK</v>
      </c>
      <c r="O968" s="19">
        <f t="shared" si="521"/>
        <v>27793</v>
      </c>
      <c r="P968" s="19">
        <f t="shared" si="522"/>
        <v>54341</v>
      </c>
      <c r="Q968" s="13">
        <f t="shared" ca="1" si="523"/>
        <v>50</v>
      </c>
      <c r="R968" s="13" t="str">
        <f t="shared" si="524"/>
        <v>OK</v>
      </c>
      <c r="S968" s="13" t="str">
        <f t="shared" si="525"/>
        <v xml:space="preserve">+7 (903) 890-12-34</v>
      </c>
      <c r="T968" s="13" t="str">
        <f t="shared" si="526"/>
        <v>karavaev@gmail</v>
      </c>
      <c r="U968" s="18" t="str">
        <f t="shared" si="527"/>
        <v xml:space="preserve">Ошибка Email</v>
      </c>
      <c r="V968" s="13" t="str">
        <f>IFERROR(VLOOKUP(K968,Справочники!$K$6:$L$13,2,0),K968)</f>
        <v>Севастополь</v>
      </c>
    </row>
    <row r="969" ht="15" customHeight="1">
      <c r="A969" s="10">
        <v>967</v>
      </c>
      <c r="B969" s="11" t="str">
        <f>RAW_Клиенты!A968</f>
        <v>C0967</v>
      </c>
      <c r="C969" s="11" t="str">
        <f>RAW_Клиенты!B968</f>
        <v xml:space="preserve">Бородина Мария Павловна</v>
      </c>
      <c r="D969" s="11" t="str">
        <f>RAW_Клиенты!C968</f>
        <v>25.07.1982</v>
      </c>
      <c r="E969" s="11" t="str">
        <f>RAW_Клиенты!D968</f>
        <v>+79038901234</v>
      </c>
      <c r="F969" s="11" t="str">
        <f>RAW_Клиенты!E968</f>
        <v>borodina@mail</v>
      </c>
      <c r="G969" s="11" t="str">
        <f>RAW_Клиенты!F968</f>
        <v>Сочи</v>
      </c>
      <c r="H969" s="11" t="str">
        <f>RAW_Клиенты!G968</f>
        <v>01.11.2048</v>
      </c>
      <c r="I969" s="12" t="str">
        <f t="shared" si="515"/>
        <v>79038901234</v>
      </c>
      <c r="J969" s="12" t="str">
        <f t="shared" si="516"/>
        <v>borodina@mail</v>
      </c>
      <c r="K969" s="12" t="str">
        <f t="shared" si="517"/>
        <v>Сочи</v>
      </c>
      <c r="L969" s="13" t="str">
        <f t="shared" si="518"/>
        <v>C0967</v>
      </c>
      <c r="M969" s="13" t="str">
        <f t="shared" si="519"/>
        <v xml:space="preserve">Бородина Мария Павловна</v>
      </c>
      <c r="N969" s="13" t="str">
        <f t="shared" si="520"/>
        <v>OK</v>
      </c>
      <c r="O969" s="19">
        <f t="shared" si="521"/>
        <v>30157</v>
      </c>
      <c r="P969" s="19">
        <f t="shared" si="522"/>
        <v>54363</v>
      </c>
      <c r="Q969" s="13">
        <f t="shared" ca="1" si="523"/>
        <v>44</v>
      </c>
      <c r="R969" s="13" t="str">
        <f t="shared" si="524"/>
        <v>OK</v>
      </c>
      <c r="S969" s="13" t="str">
        <f t="shared" si="525"/>
        <v xml:space="preserve">+7 (903) 890-12-34</v>
      </c>
      <c r="T969" s="13" t="str">
        <f t="shared" si="526"/>
        <v>borodina@mail</v>
      </c>
      <c r="U969" s="18" t="str">
        <f t="shared" si="527"/>
        <v xml:space="preserve">Ошибка Email</v>
      </c>
      <c r="V969" s="13" t="str">
        <f>IFERROR(VLOOKUP(K969,Справочники!$K$6:$L$13,2,0),K969)</f>
        <v>Сочи</v>
      </c>
    </row>
    <row r="970" ht="15" customHeight="1">
      <c r="A970" s="10">
        <v>968</v>
      </c>
      <c r="B970" s="11" t="str">
        <f>RAW_Клиенты!A969</f>
        <v>C0968</v>
      </c>
      <c r="C970" s="11" t="str">
        <f>RAW_Клиенты!B969</f>
        <v xml:space="preserve">Стрелков Денис Викторович</v>
      </c>
      <c r="D970" s="11" t="str">
        <f>RAW_Клиенты!C969</f>
        <v>05.01.1987</v>
      </c>
      <c r="E970" s="11" t="str">
        <f>RAW_Клиенты!D969</f>
        <v>8-903-890-12-34</v>
      </c>
      <c r="F970" s="11" t="str">
        <f>RAW_Клиенты!E969</f>
        <v>strelkov@yandex</v>
      </c>
      <c r="G970" s="11" t="str">
        <f>RAW_Клиенты!F969</f>
        <v>Симферополь</v>
      </c>
      <c r="H970" s="11" t="str">
        <f>RAW_Клиенты!G969</f>
        <v>2048-11-15</v>
      </c>
      <c r="I970" s="12" t="str">
        <f t="shared" si="515"/>
        <v>89038901234</v>
      </c>
      <c r="J970" s="12" t="str">
        <f t="shared" si="516"/>
        <v>strelkov@yandex</v>
      </c>
      <c r="K970" s="12" t="str">
        <f t="shared" si="517"/>
        <v>Симферополь</v>
      </c>
      <c r="L970" s="13" t="str">
        <f t="shared" si="518"/>
        <v>C0968</v>
      </c>
      <c r="M970" s="13" t="str">
        <f t="shared" si="519"/>
        <v xml:space="preserve">Стрелков Денис Викторович</v>
      </c>
      <c r="N970" s="13" t="str">
        <f t="shared" si="520"/>
        <v>OK</v>
      </c>
      <c r="O970" s="19">
        <f t="shared" si="521"/>
        <v>31782</v>
      </c>
      <c r="P970" s="19">
        <f t="shared" si="522"/>
        <v>54377</v>
      </c>
      <c r="Q970" s="13">
        <f t="shared" ca="1" si="523"/>
        <v>39</v>
      </c>
      <c r="R970" s="13" t="str">
        <f t="shared" si="524"/>
        <v>OK</v>
      </c>
      <c r="S970" s="13" t="str">
        <f t="shared" si="525"/>
        <v xml:space="preserve">+7 (903) 890-12-34</v>
      </c>
      <c r="T970" s="13" t="str">
        <f t="shared" si="526"/>
        <v>strelkov@yandex</v>
      </c>
      <c r="U970" s="18" t="str">
        <f t="shared" si="527"/>
        <v xml:space="preserve">Ошибка Email</v>
      </c>
      <c r="V970" s="13" t="str">
        <f>IFERROR(VLOOKUP(K970,Справочники!$K$6:$L$13,2,0),K970)</f>
        <v>Симферополь</v>
      </c>
    </row>
    <row r="971" ht="15" customHeight="1">
      <c r="A971" s="10">
        <v>969</v>
      </c>
      <c r="B971" s="11" t="str">
        <f>RAW_Клиенты!A970</f>
        <v>C0969</v>
      </c>
      <c r="C971" s="11" t="str">
        <f>RAW_Клиенты!B970</f>
        <v xml:space="preserve">Киселева Ольга Сергеевна</v>
      </c>
      <c r="D971" s="11" t="str">
        <f>RAW_Клиенты!C970</f>
        <v>12.08.1972</v>
      </c>
      <c r="E971" s="11" t="str">
        <f>RAW_Клиенты!D970</f>
        <v xml:space="preserve">8 903 901 23 45</v>
      </c>
      <c r="F971" s="11" t="str">
        <f>RAW_Клиенты!E970</f>
        <v>kiseleva@gmail</v>
      </c>
      <c r="G971" s="11" t="str">
        <f>RAW_Клиенты!F970</f>
        <v>Брянск</v>
      </c>
      <c r="H971" s="11" t="str">
        <f>RAW_Клиенты!G970</f>
        <v>15.11.2048</v>
      </c>
      <c r="I971" s="12" t="str">
        <f t="shared" si="515"/>
        <v>89039012345</v>
      </c>
      <c r="J971" s="12" t="str">
        <f t="shared" si="516"/>
        <v>kiseleva@gmail</v>
      </c>
      <c r="K971" s="12" t="str">
        <f t="shared" si="517"/>
        <v>Брянск</v>
      </c>
      <c r="L971" s="13" t="str">
        <f t="shared" si="518"/>
        <v>C0969</v>
      </c>
      <c r="M971" s="13" t="str">
        <f t="shared" si="519"/>
        <v xml:space="preserve">Киселева Ольга Сергеевна</v>
      </c>
      <c r="N971" s="13" t="str">
        <f t="shared" si="520"/>
        <v>OK</v>
      </c>
      <c r="O971" s="19">
        <f t="shared" si="521"/>
        <v>26523</v>
      </c>
      <c r="P971" s="19">
        <f t="shared" si="522"/>
        <v>54377</v>
      </c>
      <c r="Q971" s="13">
        <f t="shared" ca="1" si="523"/>
        <v>54</v>
      </c>
      <c r="R971" s="13" t="str">
        <f t="shared" si="524"/>
        <v>OK</v>
      </c>
      <c r="S971" s="13" t="str">
        <f t="shared" si="525"/>
        <v xml:space="preserve">+7 (903) 901-23-45</v>
      </c>
      <c r="T971" s="13" t="str">
        <f t="shared" si="526"/>
        <v>kiseleva@gmail</v>
      </c>
      <c r="U971" s="18" t="str">
        <f t="shared" si="527"/>
        <v xml:space="preserve">Ошибка Email</v>
      </c>
      <c r="V971" s="13" t="str">
        <f>IFERROR(VLOOKUP(K971,Справочники!$K$6:$L$13,2,0),K971)</f>
        <v>Брянск</v>
      </c>
    </row>
    <row r="972" ht="15" customHeight="1">
      <c r="A972" s="10">
        <v>970</v>
      </c>
      <c r="B972" s="11" t="str">
        <f>RAW_Клиенты!A971</f>
        <v>C0970</v>
      </c>
      <c r="C972" s="11" t="str">
        <f>RAW_Клиенты!B971</f>
        <v xml:space="preserve">Гусев Андрей Олегович</v>
      </c>
      <c r="D972" s="11" t="str">
        <f>RAW_Клиенты!C971</f>
        <v>09.12.1985</v>
      </c>
      <c r="E972" s="11" t="str">
        <f>RAW_Клиенты!D971</f>
        <v>+79039012345</v>
      </c>
      <c r="F972" s="11" t="str">
        <f>RAW_Клиенты!E971</f>
        <v>gusev@mail</v>
      </c>
      <c r="G972" s="11" t="str">
        <f>RAW_Клиенты!F971</f>
        <v>Абакан</v>
      </c>
      <c r="H972" s="11" t="str">
        <f>RAW_Клиенты!G971</f>
        <v>01.12.2048</v>
      </c>
      <c r="I972" s="12" t="str">
        <f t="shared" si="515"/>
        <v>79039012345</v>
      </c>
      <c r="J972" s="12" t="str">
        <f t="shared" si="516"/>
        <v>gusev@mail</v>
      </c>
      <c r="K972" s="12" t="str">
        <f t="shared" si="517"/>
        <v>Абакан</v>
      </c>
      <c r="L972" s="13" t="str">
        <f t="shared" si="518"/>
        <v>C0970</v>
      </c>
      <c r="M972" s="13" t="str">
        <f t="shared" si="519"/>
        <v xml:space="preserve">Гусев Андрей Олегович</v>
      </c>
      <c r="N972" s="13" t="str">
        <f t="shared" si="520"/>
        <v>OK</v>
      </c>
      <c r="O972" s="19">
        <f t="shared" si="521"/>
        <v>31390</v>
      </c>
      <c r="P972" s="19">
        <f t="shared" si="522"/>
        <v>54393</v>
      </c>
      <c r="Q972" s="13">
        <f t="shared" ca="1" si="523"/>
        <v>40</v>
      </c>
      <c r="R972" s="13" t="str">
        <f t="shared" si="524"/>
        <v>OK</v>
      </c>
      <c r="S972" s="13" t="str">
        <f t="shared" si="525"/>
        <v xml:space="preserve">+7 (903) 901-23-45</v>
      </c>
      <c r="T972" s="13" t="str">
        <f t="shared" si="526"/>
        <v>gusev@mail</v>
      </c>
      <c r="U972" s="18" t="str">
        <f t="shared" si="527"/>
        <v xml:space="preserve">Ошибка Email</v>
      </c>
      <c r="V972" s="13" t="str">
        <f>IFERROR(VLOOKUP(K972,Справочники!$K$6:$L$13,2,0),K972)</f>
        <v>Абакан</v>
      </c>
    </row>
    <row r="973" ht="15" customHeight="1">
      <c r="A973" s="10">
        <v>971</v>
      </c>
      <c r="B973" s="11" t="str">
        <f>RAW_Клиенты!A972</f>
        <v>C0971</v>
      </c>
      <c r="C973" s="11" t="str">
        <f>RAW_Клиенты!B972</f>
        <v xml:space="preserve">Федосеева Екатерина Владимировна</v>
      </c>
      <c r="D973" s="11" t="str">
        <f>RAW_Клиенты!C972</f>
        <v>16.04.1990</v>
      </c>
      <c r="E973" s="11" t="str">
        <f>RAW_Клиенты!D972</f>
        <v>8-903-901-23-45</v>
      </c>
      <c r="F973" s="11" t="str">
        <f>RAW_Клиенты!E972</f>
        <v>fedoseeva@yandex</v>
      </c>
      <c r="G973" s="11" t="str">
        <f>RAW_Клиенты!F972</f>
        <v>Грозный</v>
      </c>
      <c r="H973" s="11" t="str">
        <f>RAW_Клиенты!G972</f>
        <v>2048-12-10</v>
      </c>
      <c r="I973" s="12" t="str">
        <f t="shared" si="515"/>
        <v>89039012345</v>
      </c>
      <c r="J973" s="12" t="str">
        <f t="shared" si="516"/>
        <v>fedoseeva@yandex</v>
      </c>
      <c r="K973" s="12" t="str">
        <f t="shared" si="517"/>
        <v>Грозный</v>
      </c>
      <c r="L973" s="13" t="str">
        <f t="shared" si="518"/>
        <v>C0971</v>
      </c>
      <c r="M973" s="13" t="str">
        <f t="shared" si="519"/>
        <v xml:space="preserve">Федосеева Екатерина Владимировна</v>
      </c>
      <c r="N973" s="13" t="str">
        <f t="shared" si="520"/>
        <v>OK</v>
      </c>
      <c r="O973" s="19">
        <f t="shared" si="521"/>
        <v>32979</v>
      </c>
      <c r="P973" s="19">
        <f t="shared" si="522"/>
        <v>54402</v>
      </c>
      <c r="Q973" s="13">
        <f t="shared" ca="1" si="523"/>
        <v>36</v>
      </c>
      <c r="R973" s="13" t="str">
        <f t="shared" si="524"/>
        <v>OK</v>
      </c>
      <c r="S973" s="13" t="str">
        <f t="shared" si="525"/>
        <v xml:space="preserve">+7 (903) 901-23-45</v>
      </c>
      <c r="T973" s="13" t="str">
        <f t="shared" si="526"/>
        <v>fedoseeva@yandex</v>
      </c>
      <c r="U973" s="18" t="str">
        <f t="shared" si="527"/>
        <v xml:space="preserve">Ошибка Email</v>
      </c>
      <c r="V973" s="13" t="str">
        <f>IFERROR(VLOOKUP(K973,Справочники!$K$6:$L$13,2,0),K973)</f>
        <v>Грозный</v>
      </c>
    </row>
    <row r="974" ht="15" customHeight="1">
      <c r="A974" s="10">
        <v>972</v>
      </c>
      <c r="B974" s="11" t="str">
        <f>RAW_Клиенты!A973</f>
        <v>C0972</v>
      </c>
      <c r="C974" s="11" t="str">
        <f>RAW_Клиенты!B973</f>
        <v xml:space="preserve">Балашов Илья Александрович</v>
      </c>
      <c r="D974" s="11" t="str">
        <f>RAW_Клиенты!C973</f>
        <v>06.06.1974</v>
      </c>
      <c r="E974" s="11" t="str">
        <f>RAW_Клиенты!D973</f>
        <v xml:space="preserve">8 903 012 34 56</v>
      </c>
      <c r="F974" s="11" t="str">
        <f>RAW_Клиенты!E973</f>
        <v>balashov@gmail</v>
      </c>
      <c r="G974" s="11" t="str">
        <f>RAW_Клиенты!F973</f>
        <v>Бийск</v>
      </c>
      <c r="H974" s="11" t="str">
        <f>RAW_Клиенты!G973</f>
        <v>10.12.2048</v>
      </c>
      <c r="I974" s="12" t="str">
        <f t="shared" si="515"/>
        <v>89030123456</v>
      </c>
      <c r="J974" s="12" t="str">
        <f t="shared" si="516"/>
        <v>balashov@gmail</v>
      </c>
      <c r="K974" s="12" t="str">
        <f t="shared" si="517"/>
        <v>Бийск</v>
      </c>
      <c r="L974" s="13" t="str">
        <f t="shared" si="518"/>
        <v>C0972</v>
      </c>
      <c r="M974" s="13" t="str">
        <f t="shared" si="519"/>
        <v xml:space="preserve">Балашов Илья Александрович</v>
      </c>
      <c r="N974" s="13" t="str">
        <f t="shared" si="520"/>
        <v>OK</v>
      </c>
      <c r="O974" s="19">
        <f t="shared" si="521"/>
        <v>27186</v>
      </c>
      <c r="P974" s="19">
        <f t="shared" si="522"/>
        <v>54402</v>
      </c>
      <c r="Q974" s="13">
        <f t="shared" ca="1" si="523"/>
        <v>52</v>
      </c>
      <c r="R974" s="13" t="str">
        <f t="shared" si="524"/>
        <v>OK</v>
      </c>
      <c r="S974" s="13" t="str">
        <f t="shared" si="525"/>
        <v xml:space="preserve">+7 (903) 012-34-56</v>
      </c>
      <c r="T974" s="13" t="str">
        <f t="shared" si="526"/>
        <v>balashov@gmail</v>
      </c>
      <c r="U974" s="18" t="str">
        <f t="shared" si="527"/>
        <v xml:space="preserve">Ошибка Email</v>
      </c>
      <c r="V974" s="13" t="str">
        <f>IFERROR(VLOOKUP(K974,Справочники!$K$6:$L$13,2,0),K974)</f>
        <v>Бийск</v>
      </c>
    </row>
    <row r="975" ht="15" customHeight="1">
      <c r="A975" s="10">
        <v>973</v>
      </c>
      <c r="B975" s="11" t="str">
        <f>RAW_Клиенты!A974</f>
        <v>C0973</v>
      </c>
      <c r="C975" s="11" t="str">
        <f>RAW_Клиенты!B974</f>
        <v xml:space="preserve">Панова Мария Павловна</v>
      </c>
      <c r="D975" s="11" t="str">
        <f>RAW_Клиенты!C974</f>
        <v>30.10.1981</v>
      </c>
      <c r="E975" s="11" t="str">
        <f>RAW_Клиенты!D974</f>
        <v>+79030123456</v>
      </c>
      <c r="F975" s="11" t="str">
        <f>RAW_Клиенты!E974</f>
        <v>panova@mail</v>
      </c>
      <c r="G975" s="11" t="str">
        <f>RAW_Клиенты!F974</f>
        <v>Йошкар-Ола</v>
      </c>
      <c r="H975" s="11" t="str">
        <f>RAW_Клиенты!G974</f>
        <v>01.01.2049</v>
      </c>
      <c r="I975" s="12" t="str">
        <f t="shared" si="515"/>
        <v>79030123456</v>
      </c>
      <c r="J975" s="12" t="str">
        <f t="shared" si="516"/>
        <v>panova@mail</v>
      </c>
      <c r="K975" s="12" t="str">
        <f t="shared" si="517"/>
        <v>Йошкар-Ола</v>
      </c>
      <c r="L975" s="13" t="str">
        <f t="shared" si="518"/>
        <v>C0973</v>
      </c>
      <c r="M975" s="13" t="str">
        <f t="shared" si="519"/>
        <v xml:space="preserve">Панова Мария Павловна</v>
      </c>
      <c r="N975" s="13" t="str">
        <f t="shared" si="520"/>
        <v>OK</v>
      </c>
      <c r="O975" s="19">
        <f t="shared" si="521"/>
        <v>29889</v>
      </c>
      <c r="P975" s="19">
        <f t="shared" si="522"/>
        <v>54424</v>
      </c>
      <c r="Q975" s="13">
        <f t="shared" ca="1" si="523"/>
        <v>44</v>
      </c>
      <c r="R975" s="13" t="str">
        <f t="shared" si="524"/>
        <v>OK</v>
      </c>
      <c r="S975" s="13" t="str">
        <f t="shared" si="525"/>
        <v xml:space="preserve">+7 (903) 012-34-56</v>
      </c>
      <c r="T975" s="13" t="str">
        <f t="shared" si="526"/>
        <v>panova@mail</v>
      </c>
      <c r="U975" s="18" t="str">
        <f t="shared" si="527"/>
        <v xml:space="preserve">Ошибка Email</v>
      </c>
      <c r="V975" s="13" t="str">
        <f>IFERROR(VLOOKUP(K975,Справочники!$K$6:$L$13,2,0),K975)</f>
        <v>Йошкар-Ола</v>
      </c>
    </row>
    <row r="976" ht="15" customHeight="1">
      <c r="A976" s="10">
        <v>974</v>
      </c>
      <c r="B976" s="11" t="str">
        <f>RAW_Клиенты!A975</f>
        <v>C0974</v>
      </c>
      <c r="C976" s="11" t="str">
        <f>RAW_Клиенты!B975</f>
        <v xml:space="preserve">Сафонов Денис Сергеевич</v>
      </c>
      <c r="D976" s="11" t="str">
        <f>RAW_Клиенты!C975</f>
        <v>21.09.1988</v>
      </c>
      <c r="E976" s="11" t="str">
        <f>RAW_Клиенты!D975</f>
        <v>8-903-012-34-56</v>
      </c>
      <c r="F976" s="11" t="str">
        <f>RAW_Клиенты!E975</f>
        <v>safonov@yandex</v>
      </c>
      <c r="G976" s="11" t="str">
        <f>RAW_Клиенты!F975</f>
        <v>Курган</v>
      </c>
      <c r="H976" s="11" t="str">
        <f>RAW_Клиенты!G975</f>
        <v>2049-01-15</v>
      </c>
      <c r="I976" s="12" t="str">
        <f t="shared" si="515"/>
        <v>89030123456</v>
      </c>
      <c r="J976" s="12" t="str">
        <f t="shared" si="516"/>
        <v>safonov@yandex</v>
      </c>
      <c r="K976" s="12" t="str">
        <f t="shared" si="517"/>
        <v>Курган</v>
      </c>
      <c r="L976" s="13" t="str">
        <f t="shared" si="518"/>
        <v>C0974</v>
      </c>
      <c r="M976" s="13" t="str">
        <f t="shared" si="519"/>
        <v xml:space="preserve">Сафонов Денис Сергеевич</v>
      </c>
      <c r="N976" s="13" t="str">
        <f t="shared" si="520"/>
        <v>OK</v>
      </c>
      <c r="O976" s="19">
        <f t="shared" si="521"/>
        <v>32407</v>
      </c>
      <c r="P976" s="19">
        <f t="shared" si="522"/>
        <v>54438</v>
      </c>
      <c r="Q976" s="13">
        <f t="shared" ca="1" si="523"/>
        <v>38</v>
      </c>
      <c r="R976" s="13" t="str">
        <f t="shared" si="524"/>
        <v>OK</v>
      </c>
      <c r="S976" s="13" t="str">
        <f t="shared" si="525"/>
        <v xml:space="preserve">+7 (903) 012-34-56</v>
      </c>
      <c r="T976" s="13" t="str">
        <f t="shared" si="526"/>
        <v>safonov@yandex</v>
      </c>
      <c r="U976" s="18" t="str">
        <f t="shared" si="527"/>
        <v xml:space="preserve">Ошибка Email</v>
      </c>
      <c r="V976" s="13" t="str">
        <f>IFERROR(VLOOKUP(K976,Справочники!$K$6:$L$13,2,0),K976)</f>
        <v>Курган</v>
      </c>
    </row>
    <row r="977" ht="15" customHeight="1">
      <c r="A977" s="10">
        <v>975</v>
      </c>
      <c r="B977" s="11" t="str">
        <f>RAW_Клиенты!A976</f>
        <v>C0975</v>
      </c>
      <c r="C977" s="11" t="str">
        <f>RAW_Клиенты!B976</f>
        <v xml:space="preserve">Кузьмина Ольга Владимировна</v>
      </c>
      <c r="D977" s="11" t="str">
        <f>RAW_Клиенты!C976</f>
        <v>14.07.1977</v>
      </c>
      <c r="E977" s="11" t="str">
        <f>RAW_Клиенты!D976</f>
        <v xml:space="preserve">8 903 123 45 67</v>
      </c>
      <c r="F977" s="11" t="str">
        <f>RAW_Клиенты!E976</f>
        <v>kuzmina@gmail</v>
      </c>
      <c r="G977" s="11" t="str">
        <f>RAW_Клиенты!F976</f>
        <v>Архангельск</v>
      </c>
      <c r="H977" s="11" t="str">
        <f>RAW_Клиенты!G976</f>
        <v>15.01.2049</v>
      </c>
      <c r="I977" s="12" t="str">
        <f t="shared" si="515"/>
        <v>89031234567</v>
      </c>
      <c r="J977" s="12" t="str">
        <f t="shared" si="516"/>
        <v>kuzmina@gmail</v>
      </c>
      <c r="K977" s="12" t="str">
        <f t="shared" si="517"/>
        <v>Архангельск</v>
      </c>
      <c r="L977" s="13" t="str">
        <f t="shared" si="518"/>
        <v>C0975</v>
      </c>
      <c r="M977" s="13" t="str">
        <f t="shared" si="519"/>
        <v xml:space="preserve">Кузьмина Ольга Владимировна</v>
      </c>
      <c r="N977" s="13" t="str">
        <f t="shared" si="520"/>
        <v>OK</v>
      </c>
      <c r="O977" s="19">
        <f t="shared" si="521"/>
        <v>28320</v>
      </c>
      <c r="P977" s="19">
        <f t="shared" si="522"/>
        <v>54438</v>
      </c>
      <c r="Q977" s="13">
        <f t="shared" ca="1" si="523"/>
        <v>49</v>
      </c>
      <c r="R977" s="13" t="str">
        <f t="shared" si="524"/>
        <v>OK</v>
      </c>
      <c r="S977" s="13" t="str">
        <f t="shared" si="525"/>
        <v xml:space="preserve">+7 (903) 123-45-67</v>
      </c>
      <c r="T977" s="13" t="str">
        <f t="shared" si="526"/>
        <v>kuzmina@gmail</v>
      </c>
      <c r="U977" s="18" t="str">
        <f t="shared" si="527"/>
        <v xml:space="preserve">Ошибка Email</v>
      </c>
      <c r="V977" s="13" t="str">
        <f>IFERROR(VLOOKUP(K977,Справочники!$K$6:$L$13,2,0),K977)</f>
        <v>Архангельск</v>
      </c>
    </row>
    <row r="978" ht="15" customHeight="1">
      <c r="A978" s="10">
        <v>976</v>
      </c>
      <c r="B978" s="11" t="str">
        <f>RAW_Клиенты!A977</f>
        <v>C0976</v>
      </c>
      <c r="C978" s="11" t="str">
        <f>RAW_Клиенты!B977</f>
        <v xml:space="preserve">Мандрыка Андрей Олегович</v>
      </c>
      <c r="D978" s="11" t="str">
        <f>RAW_Клиенты!C977</f>
        <v>09.02.1985</v>
      </c>
      <c r="E978" s="11" t="str">
        <f>RAW_Клиенты!D977</f>
        <v>+79031234567</v>
      </c>
      <c r="F978" s="11" t="str">
        <f>RAW_Клиенты!E977</f>
        <v>mandryka@mail</v>
      </c>
      <c r="G978" s="11" t="str">
        <f>RAW_Клиенты!F977</f>
        <v>Благовещенск</v>
      </c>
      <c r="H978" s="11" t="str">
        <f>RAW_Клиенты!G977</f>
        <v>01.02.2049</v>
      </c>
      <c r="I978" s="12" t="str">
        <f t="shared" si="515"/>
        <v>79031234567</v>
      </c>
      <c r="J978" s="12" t="str">
        <f t="shared" si="516"/>
        <v>mandryka@mail</v>
      </c>
      <c r="K978" s="12" t="str">
        <f t="shared" si="517"/>
        <v>Благовещенск</v>
      </c>
      <c r="L978" s="13" t="str">
        <f t="shared" si="518"/>
        <v>C0976</v>
      </c>
      <c r="M978" s="13" t="str">
        <f t="shared" si="519"/>
        <v xml:space="preserve">Мандрыка Андрей Олегович</v>
      </c>
      <c r="N978" s="13" t="str">
        <f t="shared" si="520"/>
        <v>OK</v>
      </c>
      <c r="O978" s="19">
        <f t="shared" si="521"/>
        <v>31087</v>
      </c>
      <c r="P978" s="19">
        <f t="shared" si="522"/>
        <v>54455</v>
      </c>
      <c r="Q978" s="13">
        <f t="shared" ca="1" si="523"/>
        <v>41</v>
      </c>
      <c r="R978" s="13" t="str">
        <f t="shared" si="524"/>
        <v>OK</v>
      </c>
      <c r="S978" s="13" t="str">
        <f t="shared" si="525"/>
        <v xml:space="preserve">+7 (903) 123-45-67</v>
      </c>
      <c r="T978" s="13" t="str">
        <f t="shared" si="526"/>
        <v>mandryka@mail</v>
      </c>
      <c r="U978" s="18" t="str">
        <f t="shared" si="527"/>
        <v xml:space="preserve">Ошибка Email</v>
      </c>
      <c r="V978" s="13" t="str">
        <f>IFERROR(VLOOKUP(K978,Справочники!$K$6:$L$13,2,0),K978)</f>
        <v>Благовещенск</v>
      </c>
    </row>
    <row r="979" ht="15" customHeight="1">
      <c r="A979" s="10">
        <v>977</v>
      </c>
      <c r="B979" s="11" t="str">
        <f>RAW_Клиенты!A978</f>
        <v>C0977</v>
      </c>
      <c r="C979" s="11" t="str">
        <f>RAW_Клиенты!B978</f>
        <v xml:space="preserve">Варламова Екатерина Сергеевна</v>
      </c>
      <c r="D979" s="11" t="str">
        <f>RAW_Клиенты!C978</f>
        <v>01.05.1992</v>
      </c>
      <c r="E979" s="11" t="str">
        <f>RAW_Клиенты!D978</f>
        <v>8-903-123-45-67</v>
      </c>
      <c r="F979" s="11" t="str">
        <f>RAW_Клиенты!E978</f>
        <v>varlamova@yandex</v>
      </c>
      <c r="G979" s="11" t="str">
        <f>RAW_Клиенты!F978</f>
        <v>Майкоп</v>
      </c>
      <c r="H979" s="11" t="str">
        <f>RAW_Клиенты!G978</f>
        <v>2049-02-10</v>
      </c>
      <c r="I979" s="12" t="str">
        <f t="shared" si="515"/>
        <v>89031234567</v>
      </c>
      <c r="J979" s="12" t="str">
        <f t="shared" si="516"/>
        <v>varlamova@yandex</v>
      </c>
      <c r="K979" s="12" t="str">
        <f t="shared" si="517"/>
        <v>Майкоп</v>
      </c>
      <c r="L979" s="13" t="str">
        <f t="shared" si="518"/>
        <v>C0977</v>
      </c>
      <c r="M979" s="13" t="str">
        <f t="shared" si="519"/>
        <v xml:space="preserve">Варламова Екатерина Сергеевна</v>
      </c>
      <c r="N979" s="13" t="str">
        <f t="shared" si="520"/>
        <v>OK</v>
      </c>
      <c r="O979" s="19">
        <f t="shared" si="521"/>
        <v>33725</v>
      </c>
      <c r="P979" s="19">
        <f t="shared" si="522"/>
        <v>54464</v>
      </c>
      <c r="Q979" s="13">
        <f t="shared" ca="1" si="523"/>
        <v>34</v>
      </c>
      <c r="R979" s="13" t="str">
        <f t="shared" si="524"/>
        <v>OK</v>
      </c>
      <c r="S979" s="13" t="str">
        <f t="shared" si="525"/>
        <v xml:space="preserve">+7 (903) 123-45-67</v>
      </c>
      <c r="T979" s="13" t="str">
        <f t="shared" si="526"/>
        <v>varlamova@yandex</v>
      </c>
      <c r="U979" s="18" t="str">
        <f t="shared" si="527"/>
        <v xml:space="preserve">Ошибка Email</v>
      </c>
      <c r="V979" s="13" t="str">
        <f>IFERROR(VLOOKUP(K979,Справочники!$K$6:$L$13,2,0),K979)</f>
        <v>Майкоп</v>
      </c>
    </row>
    <row r="980" ht="15" customHeight="1">
      <c r="A980" s="10">
        <v>978</v>
      </c>
      <c r="B980" s="11" t="str">
        <f>RAW_Клиенты!A979</f>
        <v>C0978</v>
      </c>
      <c r="C980" s="11" t="str">
        <f>RAW_Клиенты!B979</f>
        <v xml:space="preserve">Просвирнин Илья Александрович</v>
      </c>
      <c r="D980" s="11" t="str">
        <f>RAW_Клиенты!C979</f>
        <v>19.11.1973</v>
      </c>
      <c r="E980" s="11" t="str">
        <f>RAW_Клиенты!D979</f>
        <v xml:space="preserve">8 903 234 56 78</v>
      </c>
      <c r="F980" s="11" t="str">
        <f>RAW_Клиенты!E979</f>
        <v>prosvirnin@gmail</v>
      </c>
      <c r="G980" s="11" t="str">
        <f>RAW_Клиенты!F979</f>
        <v>Уссурийск</v>
      </c>
      <c r="H980" s="11" t="str">
        <f>RAW_Клиенты!G979</f>
        <v>10.02.2049</v>
      </c>
      <c r="I980" s="12" t="str">
        <f t="shared" si="515"/>
        <v>89032345678</v>
      </c>
      <c r="J980" s="12" t="str">
        <f t="shared" si="516"/>
        <v>prosvirnin@gmail</v>
      </c>
      <c r="K980" s="12" t="str">
        <f t="shared" si="517"/>
        <v>Уссурийск</v>
      </c>
      <c r="L980" s="13" t="str">
        <f t="shared" si="518"/>
        <v>C0978</v>
      </c>
      <c r="M980" s="13" t="str">
        <f t="shared" si="519"/>
        <v xml:space="preserve">Просвирнин Илья Александрович</v>
      </c>
      <c r="N980" s="13" t="str">
        <f t="shared" si="520"/>
        <v>OK</v>
      </c>
      <c r="O980" s="19">
        <f t="shared" si="521"/>
        <v>26987</v>
      </c>
      <c r="P980" s="19">
        <f t="shared" si="522"/>
        <v>54464</v>
      </c>
      <c r="Q980" s="13">
        <f t="shared" ca="1" si="523"/>
        <v>52</v>
      </c>
      <c r="R980" s="13" t="str">
        <f t="shared" si="524"/>
        <v>OK</v>
      </c>
      <c r="S980" s="13" t="str">
        <f t="shared" si="525"/>
        <v xml:space="preserve">+7 (903) 234-56-78</v>
      </c>
      <c r="T980" s="13" t="str">
        <f t="shared" si="526"/>
        <v>prosvirnin@gmail</v>
      </c>
      <c r="U980" s="18" t="str">
        <f t="shared" si="527"/>
        <v xml:space="preserve">Ошибка Email</v>
      </c>
      <c r="V980" s="13" t="str">
        <f>IFERROR(VLOOKUP(K980,Справочники!$K$6:$L$13,2,0),K980)</f>
        <v>Уссурийск</v>
      </c>
    </row>
    <row r="981" ht="15" customHeight="1">
      <c r="A981" s="10">
        <v>979</v>
      </c>
      <c r="B981" s="11" t="str">
        <f>RAW_Клиенты!A980</f>
        <v>C0979</v>
      </c>
      <c r="C981" s="11" t="str">
        <f>RAW_Клиенты!B980</f>
        <v xml:space="preserve">Анищенко Мария Павловна</v>
      </c>
      <c r="D981" s="11" t="str">
        <f>RAW_Клиенты!C980</f>
        <v>25.08.1986</v>
      </c>
      <c r="E981" s="11" t="str">
        <f>RAW_Клиенты!D980</f>
        <v>+79032345678</v>
      </c>
      <c r="F981" s="11" t="str">
        <f>RAW_Клиенты!E980</f>
        <v>anischenko@mail</v>
      </c>
      <c r="G981" s="11" t="str">
        <f>RAW_Клиенты!F980</f>
        <v>Миасс</v>
      </c>
      <c r="H981" s="11" t="str">
        <f>RAW_Клиенты!G980</f>
        <v>01.03.2049</v>
      </c>
      <c r="I981" s="12" t="str">
        <f t="shared" si="515"/>
        <v>79032345678</v>
      </c>
      <c r="J981" s="12" t="str">
        <f t="shared" si="516"/>
        <v>anischenko@mail</v>
      </c>
      <c r="K981" s="12" t="str">
        <f t="shared" si="517"/>
        <v>Миасс</v>
      </c>
      <c r="L981" s="13" t="str">
        <f t="shared" si="518"/>
        <v>C0979</v>
      </c>
      <c r="M981" s="13" t="str">
        <f t="shared" si="519"/>
        <v xml:space="preserve">Анищенко Мария Павловна</v>
      </c>
      <c r="N981" s="13" t="str">
        <f t="shared" si="520"/>
        <v>OK</v>
      </c>
      <c r="O981" s="19">
        <f t="shared" si="521"/>
        <v>31649</v>
      </c>
      <c r="P981" s="19">
        <f t="shared" si="522"/>
        <v>54483</v>
      </c>
      <c r="Q981" s="13">
        <f t="shared" ca="1" si="523"/>
        <v>40</v>
      </c>
      <c r="R981" s="13" t="str">
        <f t="shared" si="524"/>
        <v>OK</v>
      </c>
      <c r="S981" s="13" t="str">
        <f t="shared" si="525"/>
        <v xml:space="preserve">+7 (903) 234-56-78</v>
      </c>
      <c r="T981" s="13" t="str">
        <f t="shared" si="526"/>
        <v>anischenko@mail</v>
      </c>
      <c r="U981" s="18" t="str">
        <f t="shared" si="527"/>
        <v xml:space="preserve">Ошибка Email</v>
      </c>
      <c r="V981" s="13" t="str">
        <f>IFERROR(VLOOKUP(K981,Справочники!$K$6:$L$13,2,0),K981)</f>
        <v>Миасс</v>
      </c>
    </row>
    <row r="982" ht="15" customHeight="1">
      <c r="A982" s="10">
        <v>980</v>
      </c>
      <c r="B982" s="11" t="str">
        <f>RAW_Клиенты!A981</f>
        <v>C0980</v>
      </c>
      <c r="C982" s="11" t="str">
        <f>RAW_Клиенты!B981</f>
        <v xml:space="preserve">Романенко Денис Викторович</v>
      </c>
      <c r="D982" s="11" t="str">
        <f>RAW_Клиенты!C981</f>
        <v>07.03.1983</v>
      </c>
      <c r="E982" s="11" t="str">
        <f>RAW_Клиенты!D981</f>
        <v>8-903-234-56-78</v>
      </c>
      <c r="F982" s="11" t="str">
        <f>RAW_Клиенты!E981</f>
        <v>romanenko@yandex</v>
      </c>
      <c r="G982" s="11" t="str">
        <f>RAW_Клиенты!F981</f>
        <v>Кызыл</v>
      </c>
      <c r="H982" s="11" t="str">
        <f>RAW_Клиенты!G981</f>
        <v>2049-03-15</v>
      </c>
      <c r="I982" s="12" t="str">
        <f t="shared" si="515"/>
        <v>89032345678</v>
      </c>
      <c r="J982" s="12" t="str">
        <f t="shared" si="516"/>
        <v>romanenko@yandex</v>
      </c>
      <c r="K982" s="12" t="str">
        <f t="shared" si="517"/>
        <v>Кызыл</v>
      </c>
      <c r="L982" s="13" t="str">
        <f t="shared" si="518"/>
        <v>C0980</v>
      </c>
      <c r="M982" s="13" t="str">
        <f t="shared" si="519"/>
        <v xml:space="preserve">Романенко Денис Викторович</v>
      </c>
      <c r="N982" s="13" t="str">
        <f t="shared" si="520"/>
        <v>OK</v>
      </c>
      <c r="O982" s="19">
        <f t="shared" si="521"/>
        <v>30382</v>
      </c>
      <c r="P982" s="19">
        <f t="shared" si="522"/>
        <v>54497</v>
      </c>
      <c r="Q982" s="13">
        <f t="shared" ca="1" si="523"/>
        <v>43</v>
      </c>
      <c r="R982" s="13" t="str">
        <f t="shared" si="524"/>
        <v>OK</v>
      </c>
      <c r="S982" s="13" t="str">
        <f t="shared" si="525"/>
        <v xml:space="preserve">+7 (903) 234-56-78</v>
      </c>
      <c r="T982" s="13" t="str">
        <f t="shared" si="526"/>
        <v>romanenko@yandex</v>
      </c>
      <c r="U982" s="18" t="str">
        <f t="shared" si="527"/>
        <v xml:space="preserve">Ошибка Email</v>
      </c>
      <c r="V982" s="13" t="str">
        <f>IFERROR(VLOOKUP(K982,Справочники!$K$6:$L$13,2,0),K982)</f>
        <v>Кызыл</v>
      </c>
    </row>
    <row r="983" ht="15" customHeight="1">
      <c r="A983" s="10">
        <v>981</v>
      </c>
      <c r="B983" s="11" t="str">
        <f>RAW_Клиенты!A982</f>
        <v>C0981</v>
      </c>
      <c r="C983" s="11" t="str">
        <f>RAW_Клиенты!B982</f>
        <v xml:space="preserve">Сергеева Ольга Сергеевна</v>
      </c>
      <c r="D983" s="11" t="str">
        <f>RAW_Клиенты!C982</f>
        <v>11.12.1991</v>
      </c>
      <c r="E983" s="11" t="str">
        <f>RAW_Клиенты!D982</f>
        <v xml:space="preserve">8 903 345 67 89</v>
      </c>
      <c r="F983" s="11" t="str">
        <f>RAW_Клиенты!E982</f>
        <v>sergeeva@gmail</v>
      </c>
      <c r="G983" s="11" t="str">
        <f>RAW_Клиенты!F982</f>
        <v>Калининград</v>
      </c>
      <c r="H983" s="11" t="str">
        <f>RAW_Клиенты!G982</f>
        <v>15.03.2049</v>
      </c>
      <c r="I983" s="12" t="str">
        <f t="shared" si="515"/>
        <v>89033456789</v>
      </c>
      <c r="J983" s="12" t="str">
        <f t="shared" si="516"/>
        <v>sergeeva@gmail</v>
      </c>
      <c r="K983" s="12" t="str">
        <f t="shared" si="517"/>
        <v>Калининград</v>
      </c>
      <c r="L983" s="13" t="str">
        <f t="shared" si="518"/>
        <v>C0981</v>
      </c>
      <c r="M983" s="13" t="str">
        <f t="shared" si="519"/>
        <v xml:space="preserve">Сергеева Ольга Сергеевна</v>
      </c>
      <c r="N983" s="13" t="str">
        <f t="shared" si="520"/>
        <v>OK</v>
      </c>
      <c r="O983" s="19">
        <f t="shared" si="521"/>
        <v>33583</v>
      </c>
      <c r="P983" s="19">
        <f t="shared" si="522"/>
        <v>54497</v>
      </c>
      <c r="Q983" s="13">
        <f t="shared" ca="1" si="523"/>
        <v>34</v>
      </c>
      <c r="R983" s="13" t="str">
        <f t="shared" si="524"/>
        <v>OK</v>
      </c>
      <c r="S983" s="13" t="str">
        <f t="shared" si="525"/>
        <v xml:space="preserve">+7 (903) 345-67-89</v>
      </c>
      <c r="T983" s="13" t="str">
        <f t="shared" si="526"/>
        <v>sergeeva@gmail</v>
      </c>
      <c r="U983" s="18" t="str">
        <f t="shared" si="527"/>
        <v xml:space="preserve">Ошибка Email</v>
      </c>
      <c r="V983" s="13" t="str">
        <f>IFERROR(VLOOKUP(K983,Справочники!$K$6:$L$13,2,0),K983)</f>
        <v>Калининград</v>
      </c>
    </row>
    <row r="984" ht="15" customHeight="1">
      <c r="A984" s="10">
        <v>982</v>
      </c>
      <c r="B984" s="11" t="str">
        <f>RAW_Клиенты!A983</f>
        <v>C0982</v>
      </c>
      <c r="C984" s="11" t="str">
        <f>RAW_Клиенты!B983</f>
        <v xml:space="preserve">Долгов Андрей Олегович</v>
      </c>
      <c r="D984" s="11" t="str">
        <f>RAW_Клиенты!C983</f>
        <v>29.04.1976</v>
      </c>
      <c r="E984" s="11" t="str">
        <f>RAW_Клиенты!D983</f>
        <v>+79033456789</v>
      </c>
      <c r="F984" s="11" t="str">
        <f>RAW_Клиенты!E983</f>
        <v>dolgov@mail</v>
      </c>
      <c r="G984" s="11" t="str">
        <f>RAW_Клиенты!F983</f>
        <v>Петрозаводск</v>
      </c>
      <c r="H984" s="11" t="str">
        <f>RAW_Клиенты!G983</f>
        <v>01.04.2049</v>
      </c>
      <c r="I984" s="12" t="str">
        <f t="shared" si="515"/>
        <v>79033456789</v>
      </c>
      <c r="J984" s="12" t="str">
        <f t="shared" si="516"/>
        <v>dolgov@mail</v>
      </c>
      <c r="K984" s="12" t="str">
        <f t="shared" si="517"/>
        <v>Петрозаводск</v>
      </c>
      <c r="L984" s="13" t="str">
        <f t="shared" si="518"/>
        <v>C0982</v>
      </c>
      <c r="M984" s="13" t="str">
        <f t="shared" si="519"/>
        <v xml:space="preserve">Долгов Андрей Олегович</v>
      </c>
      <c r="N984" s="13" t="str">
        <f t="shared" si="520"/>
        <v>OK</v>
      </c>
      <c r="O984" s="19">
        <f t="shared" si="521"/>
        <v>27879</v>
      </c>
      <c r="P984" s="19">
        <f t="shared" si="522"/>
        <v>54514</v>
      </c>
      <c r="Q984" s="13">
        <f t="shared" ca="1" si="523"/>
        <v>50</v>
      </c>
      <c r="R984" s="13" t="str">
        <f t="shared" si="524"/>
        <v>OK</v>
      </c>
      <c r="S984" s="13" t="str">
        <f t="shared" si="525"/>
        <v xml:space="preserve">+7 (903) 345-67-89</v>
      </c>
      <c r="T984" s="13" t="str">
        <f t="shared" si="526"/>
        <v>dolgov@mail</v>
      </c>
      <c r="U984" s="18" t="str">
        <f t="shared" si="527"/>
        <v xml:space="preserve">Ошибка Email</v>
      </c>
      <c r="V984" s="13" t="str">
        <f>IFERROR(VLOOKUP(K984,Справочники!$K$6:$L$13,2,0),K984)</f>
        <v>Петрозаводск</v>
      </c>
    </row>
    <row r="985" ht="15" customHeight="1">
      <c r="A985" s="10">
        <v>983</v>
      </c>
      <c r="B985" s="11" t="str">
        <f>RAW_Клиенты!A984</f>
        <v>C0983</v>
      </c>
      <c r="C985" s="11" t="str">
        <f>RAW_Клиенты!B984</f>
        <v xml:space="preserve">Костина Екатерина Владимировна</v>
      </c>
      <c r="D985" s="11" t="str">
        <f>RAW_Клиенты!C984</f>
        <v>16.10.1982</v>
      </c>
      <c r="E985" s="11" t="str">
        <f>RAW_Клиенты!D984</f>
        <v>8-903-345-67-89</v>
      </c>
      <c r="F985" s="11" t="str">
        <f>RAW_Клиенты!E984</f>
        <v>kostina@yandex</v>
      </c>
      <c r="G985" s="11" t="str">
        <f>RAW_Клиенты!F984</f>
        <v>Рубцовск</v>
      </c>
      <c r="H985" s="11" t="str">
        <f>RAW_Клиенты!G984</f>
        <v>2049-04-10</v>
      </c>
      <c r="I985" s="12" t="str">
        <f t="shared" si="515"/>
        <v>89033456789</v>
      </c>
      <c r="J985" s="12" t="str">
        <f t="shared" si="516"/>
        <v>kostina@yandex</v>
      </c>
      <c r="K985" s="12" t="str">
        <f t="shared" si="517"/>
        <v>Рубцовск</v>
      </c>
      <c r="L985" s="13" t="str">
        <f t="shared" si="518"/>
        <v>C0983</v>
      </c>
      <c r="M985" s="13" t="str">
        <f t="shared" si="519"/>
        <v xml:space="preserve">Костина Екатерина Владимировна</v>
      </c>
      <c r="N985" s="13" t="str">
        <f t="shared" si="520"/>
        <v>OK</v>
      </c>
      <c r="O985" s="19">
        <f t="shared" si="521"/>
        <v>30240</v>
      </c>
      <c r="P985" s="19">
        <f t="shared" si="522"/>
        <v>54523</v>
      </c>
      <c r="Q985" s="13">
        <f t="shared" ca="1" si="523"/>
        <v>43</v>
      </c>
      <c r="R985" s="13" t="str">
        <f t="shared" si="524"/>
        <v>OK</v>
      </c>
      <c r="S985" s="13" t="str">
        <f t="shared" si="525"/>
        <v xml:space="preserve">+7 (903) 345-67-89</v>
      </c>
      <c r="T985" s="13" t="str">
        <f t="shared" si="526"/>
        <v>kostina@yandex</v>
      </c>
      <c r="U985" s="18" t="str">
        <f t="shared" si="527"/>
        <v xml:space="preserve">Ошибка Email</v>
      </c>
      <c r="V985" s="13" t="str">
        <f>IFERROR(VLOOKUP(K985,Справочники!$K$6:$L$13,2,0),K985)</f>
        <v>Рубцовск</v>
      </c>
    </row>
    <row r="986" ht="15" customHeight="1">
      <c r="A986" s="10">
        <v>984</v>
      </c>
      <c r="B986" s="11" t="str">
        <f>RAW_Клиенты!A985</f>
        <v>C0984</v>
      </c>
      <c r="C986" s="11" t="str">
        <f>RAW_Клиенты!B985</f>
        <v xml:space="preserve">Скворцов Илья Александрович</v>
      </c>
      <c r="D986" s="11" t="str">
        <f>RAW_Клиенты!C985</f>
        <v>08.08.1989</v>
      </c>
      <c r="E986" s="11" t="str">
        <f>RAW_Клиенты!D985</f>
        <v xml:space="preserve">8 903 456 78 90</v>
      </c>
      <c r="F986" s="11" t="str">
        <f>RAW_Клиенты!E985</f>
        <v>skvortsov@gmail</v>
      </c>
      <c r="G986" s="11" t="str">
        <f>RAW_Клиенты!F985</f>
        <v>Элиста</v>
      </c>
      <c r="H986" s="11" t="str">
        <f>RAW_Клиенты!G985</f>
        <v>10.04.2049</v>
      </c>
      <c r="I986" s="12" t="str">
        <f t="shared" si="515"/>
        <v>89034567890</v>
      </c>
      <c r="J986" s="12" t="str">
        <f t="shared" si="516"/>
        <v>skvortsov@gmail</v>
      </c>
      <c r="K986" s="12" t="str">
        <f t="shared" si="517"/>
        <v>Элиста</v>
      </c>
      <c r="L986" s="13" t="str">
        <f t="shared" si="518"/>
        <v>C0984</v>
      </c>
      <c r="M986" s="13" t="str">
        <f t="shared" si="519"/>
        <v xml:space="preserve">Скворцов Илья Александрович</v>
      </c>
      <c r="N986" s="13" t="str">
        <f t="shared" si="520"/>
        <v>OK</v>
      </c>
      <c r="O986" s="19">
        <f t="shared" si="521"/>
        <v>32728</v>
      </c>
      <c r="P986" s="19">
        <f t="shared" si="522"/>
        <v>54523</v>
      </c>
      <c r="Q986" s="13">
        <f t="shared" ca="1" si="523"/>
        <v>37</v>
      </c>
      <c r="R986" s="13" t="str">
        <f t="shared" si="524"/>
        <v>OK</v>
      </c>
      <c r="S986" s="13" t="str">
        <f t="shared" si="525"/>
        <v xml:space="preserve">+7 (903) 456-78-90</v>
      </c>
      <c r="T986" s="13" t="str">
        <f t="shared" si="526"/>
        <v>skvortsov@gmail</v>
      </c>
      <c r="U986" s="18" t="str">
        <f t="shared" si="527"/>
        <v xml:space="preserve">Ошибка Email</v>
      </c>
      <c r="V986" s="13" t="str">
        <f>IFERROR(VLOOKUP(K986,Справочники!$K$6:$L$13,2,0),K986)</f>
        <v>Элиста</v>
      </c>
    </row>
    <row r="987" ht="15" customHeight="1">
      <c r="A987" s="10">
        <v>985</v>
      </c>
      <c r="B987" s="11" t="str">
        <f>RAW_Клиенты!A986</f>
        <v>C0985</v>
      </c>
      <c r="C987" s="11" t="str">
        <f>RAW_Клиенты!B986</f>
        <v xml:space="preserve">Копылова Мария Павловна</v>
      </c>
      <c r="D987" s="11" t="str">
        <f>RAW_Клиенты!C986</f>
        <v>24.06.1975</v>
      </c>
      <c r="E987" s="11" t="str">
        <f>RAW_Клиенты!D986</f>
        <v>+79034567890</v>
      </c>
      <c r="F987" s="11" t="str">
        <f>RAW_Клиенты!E986</f>
        <v>kopylova@mail</v>
      </c>
      <c r="G987" s="11" t="str">
        <f>RAW_Клиенты!F986</f>
        <v>Орск</v>
      </c>
      <c r="H987" s="11" t="str">
        <f>RAW_Клиенты!G986</f>
        <v>01.05.2049</v>
      </c>
      <c r="I987" s="12" t="str">
        <f t="shared" si="515"/>
        <v>79034567890</v>
      </c>
      <c r="J987" s="12" t="str">
        <f t="shared" si="516"/>
        <v>kopylova@mail</v>
      </c>
      <c r="K987" s="12" t="str">
        <f t="shared" si="517"/>
        <v>Орск</v>
      </c>
      <c r="L987" s="13" t="str">
        <f t="shared" si="518"/>
        <v>C0985</v>
      </c>
      <c r="M987" s="13" t="str">
        <f t="shared" si="519"/>
        <v xml:space="preserve">Копылова Мария Павловна</v>
      </c>
      <c r="N987" s="13" t="str">
        <f t="shared" si="520"/>
        <v>OK</v>
      </c>
      <c r="O987" s="19">
        <f t="shared" si="521"/>
        <v>27569</v>
      </c>
      <c r="P987" s="19">
        <f t="shared" si="522"/>
        <v>54544</v>
      </c>
      <c r="Q987" s="13">
        <f t="shared" ca="1" si="523"/>
        <v>51</v>
      </c>
      <c r="R987" s="13" t="str">
        <f t="shared" si="524"/>
        <v>OK</v>
      </c>
      <c r="S987" s="13" t="str">
        <f t="shared" si="525"/>
        <v xml:space="preserve">+7 (903) 456-78-90</v>
      </c>
      <c r="T987" s="13" t="str">
        <f t="shared" si="526"/>
        <v>kopylova@mail</v>
      </c>
      <c r="U987" s="18" t="str">
        <f t="shared" si="527"/>
        <v xml:space="preserve">Ошибка Email</v>
      </c>
      <c r="V987" s="13" t="str">
        <f>IFERROR(VLOOKUP(K987,Справочники!$K$6:$L$13,2,0),K987)</f>
        <v>Орск</v>
      </c>
    </row>
    <row r="988" ht="15" customHeight="1">
      <c r="A988" s="10">
        <v>986</v>
      </c>
      <c r="B988" s="11" t="str">
        <f>RAW_Клиенты!A987</f>
        <v>C0986</v>
      </c>
      <c r="C988" s="11" t="str">
        <f>RAW_Клиенты!B987</f>
        <v xml:space="preserve">Харитонов Денис Сергеевич</v>
      </c>
      <c r="D988" s="11" t="str">
        <f>RAW_Клиенты!C987</f>
        <v>13.01.1986</v>
      </c>
      <c r="E988" s="11" t="str">
        <f>RAW_Клиенты!D987</f>
        <v>8-903-456-78-90</v>
      </c>
      <c r="F988" s="11" t="str">
        <f>RAW_Клиенты!E987</f>
        <v>haritonov@yandex</v>
      </c>
      <c r="G988" s="11" t="str">
        <f>RAW_Клиенты!F987</f>
        <v>Нижневартовск</v>
      </c>
      <c r="H988" s="11" t="str">
        <f>RAW_Клиенты!G987</f>
        <v>2049-05-15</v>
      </c>
      <c r="I988" s="12" t="str">
        <f t="shared" si="515"/>
        <v>89034567890</v>
      </c>
      <c r="J988" s="12" t="str">
        <f t="shared" si="516"/>
        <v>haritonov@yandex</v>
      </c>
      <c r="K988" s="12" t="str">
        <f t="shared" si="517"/>
        <v>Нижневартовск</v>
      </c>
      <c r="L988" s="13" t="str">
        <f t="shared" si="518"/>
        <v>C0986</v>
      </c>
      <c r="M988" s="13" t="str">
        <f t="shared" si="519"/>
        <v xml:space="preserve">Харитонов Денис Сергеевич</v>
      </c>
      <c r="N988" s="13" t="str">
        <f t="shared" si="520"/>
        <v>OK</v>
      </c>
      <c r="O988" s="19">
        <f t="shared" si="521"/>
        <v>31425</v>
      </c>
      <c r="P988" s="19">
        <f t="shared" si="522"/>
        <v>54558</v>
      </c>
      <c r="Q988" s="13">
        <f t="shared" ca="1" si="523"/>
        <v>40</v>
      </c>
      <c r="R988" s="13" t="str">
        <f t="shared" si="524"/>
        <v>OK</v>
      </c>
      <c r="S988" s="13" t="str">
        <f t="shared" si="525"/>
        <v xml:space="preserve">+7 (903) 456-78-90</v>
      </c>
      <c r="T988" s="13" t="str">
        <f t="shared" si="526"/>
        <v>haritonov@yandex</v>
      </c>
      <c r="U988" s="18" t="str">
        <f t="shared" si="527"/>
        <v xml:space="preserve">Ошибка Email</v>
      </c>
      <c r="V988" s="13" t="str">
        <f>IFERROR(VLOOKUP(K988,Справочники!$K$6:$L$13,2,0),K988)</f>
        <v>Нижневартовск</v>
      </c>
    </row>
    <row r="989" ht="15" customHeight="1">
      <c r="A989" s="10">
        <v>987</v>
      </c>
      <c r="B989" s="11" t="str">
        <f>RAW_Клиенты!A988</f>
        <v>C0987</v>
      </c>
      <c r="C989" s="11" t="str">
        <f>RAW_Клиенты!B988</f>
        <v xml:space="preserve">Александрова Ольга Владимировна</v>
      </c>
      <c r="D989" s="11" t="str">
        <f>RAW_Клиенты!C988</f>
        <v>27.05.1990</v>
      </c>
      <c r="E989" s="11" t="str">
        <f>RAW_Клиенты!D988</f>
        <v xml:space="preserve">8 903 567 89 01</v>
      </c>
      <c r="F989" s="11" t="str">
        <f>RAW_Клиенты!E988</f>
        <v>aleksandrova@gmail</v>
      </c>
      <c r="G989" s="11" t="str">
        <f>RAW_Клиенты!F988</f>
        <v>Новороссийск</v>
      </c>
      <c r="H989" s="11" t="str">
        <f>RAW_Клиенты!G988</f>
        <v>15.05.2049</v>
      </c>
      <c r="I989" s="12" t="str">
        <f t="shared" si="515"/>
        <v>89035678901</v>
      </c>
      <c r="J989" s="12" t="str">
        <f t="shared" si="516"/>
        <v>aleksandrova@gmail</v>
      </c>
      <c r="K989" s="12" t="str">
        <f t="shared" si="517"/>
        <v>Новороссийск</v>
      </c>
      <c r="L989" s="13" t="str">
        <f t="shared" si="518"/>
        <v>C0987</v>
      </c>
      <c r="M989" s="13" t="str">
        <f t="shared" si="519"/>
        <v xml:space="preserve">Александрова Ольга Владимировна</v>
      </c>
      <c r="N989" s="13" t="str">
        <f t="shared" si="520"/>
        <v>OK</v>
      </c>
      <c r="O989" s="19">
        <f t="shared" si="521"/>
        <v>33020</v>
      </c>
      <c r="P989" s="19">
        <f t="shared" si="522"/>
        <v>54558</v>
      </c>
      <c r="Q989" s="13">
        <f t="shared" ca="1" si="523"/>
        <v>36</v>
      </c>
      <c r="R989" s="13" t="str">
        <f t="shared" si="524"/>
        <v>OK</v>
      </c>
      <c r="S989" s="13" t="str">
        <f t="shared" si="525"/>
        <v xml:space="preserve">+7 (903) 567-89-01</v>
      </c>
      <c r="T989" s="13" t="str">
        <f t="shared" si="526"/>
        <v>aleksandrova@gmail</v>
      </c>
      <c r="U989" s="18" t="str">
        <f t="shared" si="527"/>
        <v xml:space="preserve">Ошибка Email</v>
      </c>
      <c r="V989" s="13" t="str">
        <f>IFERROR(VLOOKUP(K989,Справочники!$K$6:$L$13,2,0),K989)</f>
        <v>Новороссийск</v>
      </c>
    </row>
    <row r="990" ht="15" customHeight="1">
      <c r="A990" s="10">
        <v>988</v>
      </c>
      <c r="B990" s="11" t="str">
        <f>RAW_Клиенты!A989</f>
        <v>C0988</v>
      </c>
      <c r="C990" s="11" t="str">
        <f>RAW_Клиенты!B989</f>
        <v xml:space="preserve">Стрельцов Андрей Олегович</v>
      </c>
      <c r="D990" s="11" t="str">
        <f>RAW_Клиенты!C989</f>
        <v>19.09.1981</v>
      </c>
      <c r="E990" s="11" t="str">
        <f>RAW_Клиенты!D989</f>
        <v>+79035678901</v>
      </c>
      <c r="F990" s="11" t="str">
        <f>RAW_Клиенты!E989</f>
        <v>streltsov@mail</v>
      </c>
      <c r="G990" s="11" t="str">
        <f>RAW_Клиенты!F989</f>
        <v>Химки</v>
      </c>
      <c r="H990" s="11" t="str">
        <f>RAW_Клиенты!G989</f>
        <v>01.06.2049</v>
      </c>
      <c r="I990" s="12" t="str">
        <f t="shared" si="515"/>
        <v>79035678901</v>
      </c>
      <c r="J990" s="12" t="str">
        <f t="shared" si="516"/>
        <v>streltsov@mail</v>
      </c>
      <c r="K990" s="12" t="str">
        <f t="shared" si="517"/>
        <v>Химки</v>
      </c>
      <c r="L990" s="13" t="str">
        <f t="shared" si="518"/>
        <v>C0988</v>
      </c>
      <c r="M990" s="13" t="str">
        <f t="shared" si="519"/>
        <v xml:space="preserve">Стрельцов Андрей Олегович</v>
      </c>
      <c r="N990" s="13" t="str">
        <f t="shared" si="520"/>
        <v>OK</v>
      </c>
      <c r="O990" s="19">
        <f t="shared" si="521"/>
        <v>29848</v>
      </c>
      <c r="P990" s="19">
        <f t="shared" si="522"/>
        <v>54575</v>
      </c>
      <c r="Q990" s="13">
        <f t="shared" ca="1" si="523"/>
        <v>45</v>
      </c>
      <c r="R990" s="13" t="str">
        <f t="shared" si="524"/>
        <v>OK</v>
      </c>
      <c r="S990" s="13" t="str">
        <f t="shared" si="525"/>
        <v xml:space="preserve">+7 (903) 567-89-01</v>
      </c>
      <c r="T990" s="13" t="str">
        <f t="shared" si="526"/>
        <v>streltsov@mail</v>
      </c>
      <c r="U990" s="18" t="str">
        <f t="shared" si="527"/>
        <v xml:space="preserve">Ошибка Email</v>
      </c>
      <c r="V990" s="13" t="str">
        <f>IFERROR(VLOOKUP(K990,Справочники!$K$6:$L$13,2,0),K990)</f>
        <v>Химки</v>
      </c>
    </row>
    <row r="991" ht="15" customHeight="1">
      <c r="A991" s="10">
        <v>989</v>
      </c>
      <c r="B991" s="11" t="str">
        <f>RAW_Клиенты!A990</f>
        <v>C0989</v>
      </c>
      <c r="C991" s="11" t="str">
        <f>RAW_Клиенты!B990</f>
        <v xml:space="preserve">Бугрова Екатерина Сергеевна</v>
      </c>
      <c r="D991" s="11" t="str">
        <f>RAW_Клиенты!C990</f>
        <v>04.07.1987</v>
      </c>
      <c r="E991" s="11" t="str">
        <f>RAW_Клиенты!D990</f>
        <v>8-903-567-89-01</v>
      </c>
      <c r="F991" s="11" t="str">
        <f>RAW_Клиенты!E990</f>
        <v>bugrova@yandex</v>
      </c>
      <c r="G991" s="11" t="str">
        <f>RAW_Клиенты!F990</f>
        <v>Подольск</v>
      </c>
      <c r="H991" s="11" t="str">
        <f>RAW_Клиенты!G990</f>
        <v>2049-06-10</v>
      </c>
      <c r="I991" s="12" t="str">
        <f t="shared" si="515"/>
        <v>89035678901</v>
      </c>
      <c r="J991" s="12" t="str">
        <f t="shared" si="516"/>
        <v>bugrova@yandex</v>
      </c>
      <c r="K991" s="12" t="str">
        <f t="shared" si="517"/>
        <v>Подольск</v>
      </c>
      <c r="L991" s="13" t="str">
        <f t="shared" si="518"/>
        <v>C0989</v>
      </c>
      <c r="M991" s="13" t="str">
        <f t="shared" si="519"/>
        <v xml:space="preserve">Бугрова Екатерина Сергеевна</v>
      </c>
      <c r="N991" s="13" t="str">
        <f t="shared" si="520"/>
        <v>OK</v>
      </c>
      <c r="O991" s="19">
        <f t="shared" si="521"/>
        <v>31962</v>
      </c>
      <c r="P991" s="19">
        <f t="shared" si="522"/>
        <v>54584</v>
      </c>
      <c r="Q991" s="13">
        <f t="shared" ca="1" si="523"/>
        <v>39</v>
      </c>
      <c r="R991" s="13" t="str">
        <f t="shared" si="524"/>
        <v>OK</v>
      </c>
      <c r="S991" s="13" t="str">
        <f t="shared" si="525"/>
        <v xml:space="preserve">+7 (903) 567-89-01</v>
      </c>
      <c r="T991" s="13" t="str">
        <f t="shared" si="526"/>
        <v>bugrova@yandex</v>
      </c>
      <c r="U991" s="18" t="str">
        <f t="shared" si="527"/>
        <v xml:space="preserve">Ошибка Email</v>
      </c>
      <c r="V991" s="13" t="str">
        <f>IFERROR(VLOOKUP(K991,Справочники!$K$6:$L$13,2,0),K991)</f>
        <v>Подольск</v>
      </c>
    </row>
    <row r="992" ht="15" customHeight="1">
      <c r="A992" s="10">
        <v>990</v>
      </c>
      <c r="B992" s="11" t="str">
        <f>RAW_Клиенты!A991</f>
        <v>C0990</v>
      </c>
      <c r="C992" s="11" t="str">
        <f>RAW_Клиенты!B991</f>
        <v xml:space="preserve">Чумак Илья Александрович</v>
      </c>
      <c r="D992" s="11" t="str">
        <f>RAW_Клиенты!C991</f>
        <v>12.11.1972</v>
      </c>
      <c r="E992" s="11" t="str">
        <f>RAW_Клиенты!D991</f>
        <v xml:space="preserve">8 903 678 90 12</v>
      </c>
      <c r="F992" s="11" t="str">
        <f>RAW_Клиенты!E991</f>
        <v>chumak@gmail</v>
      </c>
      <c r="G992" s="11" t="str">
        <f>RAW_Клиенты!F991</f>
        <v>Балашиха</v>
      </c>
      <c r="H992" s="11" t="str">
        <f>RAW_Клиенты!G991</f>
        <v>10.06.2049</v>
      </c>
      <c r="I992" s="12" t="str">
        <f t="shared" si="515"/>
        <v>89036789012</v>
      </c>
      <c r="J992" s="12" t="str">
        <f t="shared" si="516"/>
        <v>chumak@gmail</v>
      </c>
      <c r="K992" s="12" t="str">
        <f t="shared" si="517"/>
        <v>Балашиха</v>
      </c>
      <c r="L992" s="13" t="str">
        <f t="shared" si="518"/>
        <v>C0990</v>
      </c>
      <c r="M992" s="13" t="str">
        <f t="shared" si="519"/>
        <v xml:space="preserve">Чумак Илья Александрович</v>
      </c>
      <c r="N992" s="13" t="str">
        <f t="shared" si="520"/>
        <v>OK</v>
      </c>
      <c r="O992" s="19">
        <f t="shared" si="521"/>
        <v>26615</v>
      </c>
      <c r="P992" s="19">
        <f t="shared" si="522"/>
        <v>54584</v>
      </c>
      <c r="Q992" s="13">
        <f t="shared" ca="1" si="523"/>
        <v>53</v>
      </c>
      <c r="R992" s="13" t="str">
        <f t="shared" si="524"/>
        <v>OK</v>
      </c>
      <c r="S992" s="13" t="str">
        <f t="shared" si="525"/>
        <v xml:space="preserve">+7 (903) 678-90-12</v>
      </c>
      <c r="T992" s="13" t="str">
        <f t="shared" si="526"/>
        <v>chumak@gmail</v>
      </c>
      <c r="U992" s="18" t="str">
        <f t="shared" si="527"/>
        <v xml:space="preserve">Ошибка Email</v>
      </c>
      <c r="V992" s="13" t="str">
        <f>IFERROR(VLOOKUP(K992,Справочники!$K$6:$L$13,2,0),K992)</f>
        <v>Балашиха</v>
      </c>
    </row>
    <row r="993" ht="15" customHeight="1">
      <c r="A993" s="10">
        <v>991</v>
      </c>
      <c r="B993" s="11" t="str">
        <f>RAW_Клиенты!A992</f>
        <v>C0991</v>
      </c>
      <c r="C993" s="11" t="str">
        <f>RAW_Клиенты!B992</f>
        <v xml:space="preserve">Майорова Мария Павловна</v>
      </c>
      <c r="D993" s="11" t="str">
        <f>RAW_Клиенты!C992</f>
        <v>21.03.1984</v>
      </c>
      <c r="E993" s="11" t="str">
        <f>RAW_Клиенты!D992</f>
        <v>+79036789012</v>
      </c>
      <c r="F993" s="11" t="str">
        <f>RAW_Клиенты!E992</f>
        <v>mayorova@mail</v>
      </c>
      <c r="G993" s="11" t="str">
        <f>RAW_Клиенты!F992</f>
        <v>Сургут</v>
      </c>
      <c r="H993" s="11" t="str">
        <f>RAW_Клиенты!G992</f>
        <v>01.07.2049</v>
      </c>
      <c r="I993" s="12" t="str">
        <f t="shared" si="515"/>
        <v>79036789012</v>
      </c>
      <c r="J993" s="12" t="str">
        <f t="shared" si="516"/>
        <v>mayorova@mail</v>
      </c>
      <c r="K993" s="12" t="str">
        <f t="shared" si="517"/>
        <v>Сургут</v>
      </c>
      <c r="L993" s="13" t="str">
        <f t="shared" si="518"/>
        <v>C0991</v>
      </c>
      <c r="M993" s="13" t="str">
        <f t="shared" si="519"/>
        <v xml:space="preserve">Майорова Мария Павловна</v>
      </c>
      <c r="N993" s="13" t="str">
        <f t="shared" si="520"/>
        <v>OK</v>
      </c>
      <c r="O993" s="19">
        <f t="shared" si="521"/>
        <v>30762</v>
      </c>
      <c r="P993" s="19">
        <f t="shared" si="522"/>
        <v>54605</v>
      </c>
      <c r="Q993" s="13">
        <f t="shared" ca="1" si="523"/>
        <v>42</v>
      </c>
      <c r="R993" s="13" t="str">
        <f t="shared" si="524"/>
        <v>OK</v>
      </c>
      <c r="S993" s="13" t="str">
        <f t="shared" si="525"/>
        <v xml:space="preserve">+7 (903) 678-90-12</v>
      </c>
      <c r="T993" s="13" t="str">
        <f t="shared" si="526"/>
        <v>mayorova@mail</v>
      </c>
      <c r="U993" s="18" t="str">
        <f t="shared" si="527"/>
        <v xml:space="preserve">Ошибка Email</v>
      </c>
      <c r="V993" s="13" t="str">
        <f>IFERROR(VLOOKUP(K993,Справочники!$K$6:$L$13,2,0),K993)</f>
        <v>Сургут</v>
      </c>
    </row>
    <row r="994" ht="15" customHeight="1">
      <c r="A994" s="10">
        <v>992</v>
      </c>
      <c r="B994" s="11" t="str">
        <f>RAW_Клиенты!A993</f>
        <v>C0992</v>
      </c>
      <c r="C994" s="11" t="str">
        <f>RAW_Клиенты!B993</f>
        <v xml:space="preserve">Крылов Денис Викторович</v>
      </c>
      <c r="D994" s="11" t="str">
        <f>RAW_Клиенты!C993</f>
        <v>20.12.1992</v>
      </c>
      <c r="E994" s="11" t="str">
        <f>RAW_Клиенты!D993</f>
        <v>8-903-678-90-12</v>
      </c>
      <c r="F994" s="11" t="str">
        <f>RAW_Клиенты!E993</f>
        <v>krylov@yandex</v>
      </c>
      <c r="G994" s="11" t="str">
        <f>RAW_Клиенты!F993</f>
        <v>Армавир</v>
      </c>
      <c r="H994" s="11" t="str">
        <f>RAW_Клиенты!G993</f>
        <v>2049-07-15</v>
      </c>
      <c r="I994" s="12" t="str">
        <f t="shared" si="515"/>
        <v>89036789012</v>
      </c>
      <c r="J994" s="12" t="str">
        <f t="shared" si="516"/>
        <v>krylov@yandex</v>
      </c>
      <c r="K994" s="12" t="str">
        <f t="shared" si="517"/>
        <v>Армавир</v>
      </c>
      <c r="L994" s="13" t="str">
        <f t="shared" si="518"/>
        <v>C0992</v>
      </c>
      <c r="M994" s="13" t="str">
        <f t="shared" si="519"/>
        <v xml:space="preserve">Крылов Денис Викторович</v>
      </c>
      <c r="N994" s="13" t="str">
        <f t="shared" si="520"/>
        <v>OK</v>
      </c>
      <c r="O994" s="19">
        <f t="shared" si="521"/>
        <v>33958</v>
      </c>
      <c r="P994" s="19">
        <f t="shared" si="522"/>
        <v>54619</v>
      </c>
      <c r="Q994" s="13">
        <f t="shared" ca="1" si="523"/>
        <v>33</v>
      </c>
      <c r="R994" s="13" t="str">
        <f t="shared" si="524"/>
        <v>OK</v>
      </c>
      <c r="S994" s="13" t="str">
        <f t="shared" si="525"/>
        <v xml:space="preserve">+7 (903) 678-90-12</v>
      </c>
      <c r="T994" s="13" t="str">
        <f t="shared" si="526"/>
        <v>krylov@yandex</v>
      </c>
      <c r="U994" s="18" t="str">
        <f t="shared" si="527"/>
        <v xml:space="preserve">Ошибка Email</v>
      </c>
      <c r="V994" s="13" t="str">
        <f>IFERROR(VLOOKUP(K994,Справочники!$K$6:$L$13,2,0),K994)</f>
        <v>Армавир</v>
      </c>
    </row>
    <row r="995" ht="15" customHeight="1">
      <c r="A995" s="10">
        <v>993</v>
      </c>
      <c r="B995" s="11" t="str">
        <f>RAW_Клиенты!A994</f>
        <v>C0993</v>
      </c>
      <c r="C995" s="11" t="str">
        <f>RAW_Клиенты!B994</f>
        <v xml:space="preserve">Королева Ольга Сергеевна</v>
      </c>
      <c r="D995" s="11" t="str">
        <f>RAW_Клиенты!C994</f>
        <v>28.08.1978</v>
      </c>
      <c r="E995" s="11" t="str">
        <f>RAW_Клиенты!D994</f>
        <v xml:space="preserve">8 903 789 01 23</v>
      </c>
      <c r="F995" s="11" t="str">
        <f>RAW_Клиенты!E994</f>
        <v>koroleva@gmail</v>
      </c>
      <c r="G995" s="11" t="str">
        <f>RAW_Клиенты!F994</f>
        <v>Волжский</v>
      </c>
      <c r="H995" s="11" t="str">
        <f>RAW_Клиенты!G994</f>
        <v>15.07.2049</v>
      </c>
      <c r="I995" s="12" t="str">
        <f t="shared" si="515"/>
        <v>89037890123</v>
      </c>
      <c r="J995" s="12" t="str">
        <f t="shared" si="516"/>
        <v>koroleva@gmail</v>
      </c>
      <c r="K995" s="12" t="str">
        <f t="shared" si="517"/>
        <v>Волжский</v>
      </c>
      <c r="L995" s="13" t="str">
        <f t="shared" si="518"/>
        <v>C0993</v>
      </c>
      <c r="M995" s="13" t="str">
        <f t="shared" si="519"/>
        <v xml:space="preserve">Королева Ольга Сергеевна</v>
      </c>
      <c r="N995" s="13" t="str">
        <f t="shared" si="520"/>
        <v>OK</v>
      </c>
      <c r="O995" s="19">
        <f t="shared" si="521"/>
        <v>28730</v>
      </c>
      <c r="P995" s="19">
        <f t="shared" si="522"/>
        <v>54619</v>
      </c>
      <c r="Q995" s="13">
        <f t="shared" ca="1" si="523"/>
        <v>48</v>
      </c>
      <c r="R995" s="13" t="str">
        <f t="shared" si="524"/>
        <v>OK</v>
      </c>
      <c r="S995" s="13" t="str">
        <f t="shared" si="525"/>
        <v xml:space="preserve">+7 (903) 789-01-23</v>
      </c>
      <c r="T995" s="13" t="str">
        <f t="shared" si="526"/>
        <v>koroleva@gmail</v>
      </c>
      <c r="U995" s="18" t="str">
        <f t="shared" si="527"/>
        <v xml:space="preserve">Ошибка Email</v>
      </c>
      <c r="V995" s="13" t="str">
        <f>IFERROR(VLOOKUP(K995,Справочники!$K$6:$L$13,2,0),K995)</f>
        <v>Волжский</v>
      </c>
    </row>
    <row r="996" ht="15" customHeight="1">
      <c r="A996" s="10">
        <v>994</v>
      </c>
      <c r="B996" s="11" t="str">
        <f>RAW_Клиенты!A995</f>
        <v>C0994</v>
      </c>
      <c r="C996" s="11" t="str">
        <f>RAW_Клиенты!B995</f>
        <v xml:space="preserve">Кузьмин Андрей Олегович</v>
      </c>
      <c r="D996" s="11" t="str">
        <f>RAW_Клиенты!C995</f>
        <v>17.10.1985</v>
      </c>
      <c r="E996" s="11" t="str">
        <f>RAW_Клиенты!D995</f>
        <v>+79037890123</v>
      </c>
      <c r="F996" s="11" t="str">
        <f>RAW_Клиенты!E995</f>
        <v>kuzmin@mail</v>
      </c>
      <c r="G996" s="11" t="str">
        <f>RAW_Клиенты!F995</f>
        <v>Шахты</v>
      </c>
      <c r="H996" s="11" t="str">
        <f>RAW_Клиенты!G995</f>
        <v>01.08.2049</v>
      </c>
      <c r="I996" s="12" t="str">
        <f t="shared" ref="I996:I999" si="528">SUBSTITUTE(SUBSTITUTE(SUBSTITUTE(SUBSTITUTE(SUBSTITUTE(SUBSTITUTE(E996," ",""),"-",""),"+",""),"(",""),")",""),CHAR(160),"")</f>
        <v>79037890123</v>
      </c>
      <c r="J996" s="12" t="str">
        <f t="shared" ref="J996:J999" si="529">SUBSTITUTE(SUBSTITUTE(TRIM(F996)," ",""),CHAR(160),"")</f>
        <v>kuzmin@mail</v>
      </c>
      <c r="K996" s="12" t="str">
        <f t="shared" ref="K996:K999" si="530">TRIM(SUBSTITUTE(SUBSTITUTE(TRIM(G996),"г.",""),"г ",""))</f>
        <v>Шахты</v>
      </c>
      <c r="L996" s="13" t="str">
        <f t="shared" ref="L996:L999" si="531">B996</f>
        <v>C0994</v>
      </c>
      <c r="M996" s="13" t="str">
        <f t="shared" ref="M996:M999" si="532">PROPER(TRIM(C996))</f>
        <v xml:space="preserve">Кузьмин Андрей Олегович</v>
      </c>
      <c r="N996" s="13" t="str">
        <f t="shared" ref="N996:N999" si="533">IF(ISNUMBER(FIND(".",C996)),"инициалы: проверить",IF(SUMPRODUCT(--ISNUMBER(FIND(MID("abcdefghijklmnopqrstuvwxyz",ROW(INDIRECT("1:26")),1),LOWER(C996))))&gt;0,"латиница: транслит","OK"))</f>
        <v>OK</v>
      </c>
      <c r="O996" s="19">
        <f t="shared" ref="O996:O999" si="534">IF(ISNUMBER(FIND("-",D996)),DATE(VALUE(LEFT(D996,4)),VALUE(MID(D996,6,2)),VALUE(MID(D996,9,2))),DATE(VALUE(MID(D996,7,4)),VALUE(MID(D996,4,2)),VALUE(LEFT(D996,2))))</f>
        <v>31337</v>
      </c>
      <c r="P996" s="19">
        <f t="shared" ref="P996:P999" si="535">IF(ISNUMBER(FIND("-",H996)),DATE(VALUE(LEFT(H996,4)),VALUE(MID(H996,6,2)),VALUE(MID(H996,9,2))),DATE(VALUE(MID(H996,7,4)),VALUE(MID(H996,4,2)),VALUE(LEFT(H996,2))))</f>
        <v>54636</v>
      </c>
      <c r="Q996" s="13">
        <f t="shared" ref="Q996:Q999" ca="1" si="536">DATEDIF(O996,TODAY(),"Y")</f>
        <v>40</v>
      </c>
      <c r="R996" s="13" t="str">
        <f t="shared" ref="R996:R999" si="537">IF(OR(Q996&lt;18,Q996&gt;120),"Ошибка даты рождения","OK")</f>
        <v>OK</v>
      </c>
      <c r="S996" s="13" t="str">
        <f t="shared" ref="S996:S999" si="538">IF(LEN(I996)&gt;=10,"+7 ("&amp;MID(I996,LEN(I996)-9,3)&amp;") "&amp;MID(I996,LEN(I996)-6,3)&amp;"-"&amp;MID(I996,LEN(I996)-3,2)&amp;"-"&amp;RIGHT(I996,2),"Ошибка телефона")</f>
        <v xml:space="preserve">+7 (903) 789-01-23</v>
      </c>
      <c r="T996" s="13" t="str">
        <f t="shared" ref="T996:T999" si="539">J996</f>
        <v>kuzmin@mail</v>
      </c>
      <c r="U996" s="18" t="str">
        <f t="shared" ref="U996:U999" si="540">IF(AND(ISNUMBER(FIND("@",J996)),ISNUMBER(FIND(".",MID(J996,FIND("@",J996),100)))),"OK","Ошибка Email")</f>
        <v xml:space="preserve">Ошибка Email</v>
      </c>
      <c r="V996" s="13" t="str">
        <f>IFERROR(VLOOKUP(K996,Справочники!$K$6:$L$13,2,0),K996)</f>
        <v>Шахты</v>
      </c>
    </row>
    <row r="997" ht="15" customHeight="1">
      <c r="A997" s="10">
        <v>995</v>
      </c>
      <c r="B997" s="11" t="str">
        <f>RAW_Клиенты!A996</f>
        <v>C0995</v>
      </c>
      <c r="C997" s="11" t="str">
        <f>RAW_Клиенты!B996</f>
        <v xml:space="preserve">Егорова Екатерина Владимировна</v>
      </c>
      <c r="D997" s="11" t="str">
        <f>RAW_Клиенты!C996</f>
        <v>06.12.1991</v>
      </c>
      <c r="E997" s="11" t="str">
        <f>RAW_Клиенты!D996</f>
        <v>8-903-789-01-23</v>
      </c>
      <c r="F997" s="11" t="str">
        <f>RAW_Клиенты!E996</f>
        <v>egorova@yandex</v>
      </c>
      <c r="G997" s="11" t="str">
        <f>RAW_Клиенты!F996</f>
        <v>Златоуст</v>
      </c>
      <c r="H997" s="11" t="str">
        <f>RAW_Клиенты!G996</f>
        <v>2049-08-10</v>
      </c>
      <c r="I997" s="12" t="str">
        <f t="shared" si="528"/>
        <v>89037890123</v>
      </c>
      <c r="J997" s="12" t="str">
        <f t="shared" si="529"/>
        <v>egorova@yandex</v>
      </c>
      <c r="K997" s="12" t="str">
        <f t="shared" si="530"/>
        <v>Златоуст</v>
      </c>
      <c r="L997" s="13" t="str">
        <f t="shared" si="531"/>
        <v>C0995</v>
      </c>
      <c r="M997" s="13" t="str">
        <f t="shared" si="532"/>
        <v xml:space="preserve">Егорова Екатерина Владимировна</v>
      </c>
      <c r="N997" s="13" t="str">
        <f t="shared" si="533"/>
        <v>OK</v>
      </c>
      <c r="O997" s="19">
        <f t="shared" si="534"/>
        <v>33578</v>
      </c>
      <c r="P997" s="19">
        <f t="shared" si="535"/>
        <v>54645</v>
      </c>
      <c r="Q997" s="13">
        <f t="shared" ca="1" si="536"/>
        <v>34</v>
      </c>
      <c r="R997" s="13" t="str">
        <f t="shared" si="537"/>
        <v>OK</v>
      </c>
      <c r="S997" s="13" t="str">
        <f t="shared" si="538"/>
        <v xml:space="preserve">+7 (903) 789-01-23</v>
      </c>
      <c r="T997" s="13" t="str">
        <f t="shared" si="539"/>
        <v>egorova@yandex</v>
      </c>
      <c r="U997" s="18" t="str">
        <f t="shared" si="540"/>
        <v xml:space="preserve">Ошибка Email</v>
      </c>
      <c r="V997" s="13" t="str">
        <f>IFERROR(VLOOKUP(K997,Справочники!$K$6:$L$13,2,0),K997)</f>
        <v>Златоуст</v>
      </c>
    </row>
    <row r="998" ht="15" customHeight="1">
      <c r="A998" s="10">
        <v>996</v>
      </c>
      <c r="B998" s="11" t="str">
        <f>RAW_Клиенты!A997</f>
        <v>C0996</v>
      </c>
      <c r="C998" s="11" t="str">
        <f>RAW_Клиенты!B997</f>
        <v xml:space="preserve">Пешехонов Илья Александрович</v>
      </c>
      <c r="D998" s="11" t="str">
        <f>RAW_Клиенты!C997</f>
        <v>15.07.1973</v>
      </c>
      <c r="E998" s="11" t="str">
        <f>RAW_Клиенты!D997</f>
        <v xml:space="preserve">8 903 890 12 34</v>
      </c>
      <c r="F998" s="11" t="str">
        <f>RAW_Клиенты!E997</f>
        <v>peshehonov@gmail</v>
      </c>
      <c r="G998" s="11" t="str">
        <f>RAW_Клиенты!F997</f>
        <v>Ангарск</v>
      </c>
      <c r="H998" s="11" t="str">
        <f>RAW_Клиенты!G997</f>
        <v>10.08.2049</v>
      </c>
      <c r="I998" s="12" t="str">
        <f t="shared" si="528"/>
        <v>89038901234</v>
      </c>
      <c r="J998" s="12" t="str">
        <f t="shared" si="529"/>
        <v>peshehonov@gmail</v>
      </c>
      <c r="K998" s="12" t="str">
        <f t="shared" si="530"/>
        <v>Ангарск</v>
      </c>
      <c r="L998" s="13" t="str">
        <f t="shared" si="531"/>
        <v>C0996</v>
      </c>
      <c r="M998" s="13" t="str">
        <f t="shared" si="532"/>
        <v xml:space="preserve">Пешехонов Илья Александрович</v>
      </c>
      <c r="N998" s="13" t="str">
        <f t="shared" si="533"/>
        <v>OK</v>
      </c>
      <c r="O998" s="19">
        <f t="shared" si="534"/>
        <v>26860</v>
      </c>
      <c r="P998" s="19">
        <f t="shared" si="535"/>
        <v>54645</v>
      </c>
      <c r="Q998" s="13">
        <f t="shared" ca="1" si="536"/>
        <v>53</v>
      </c>
      <c r="R998" s="13" t="str">
        <f t="shared" si="537"/>
        <v>OK</v>
      </c>
      <c r="S998" s="13" t="str">
        <f t="shared" si="538"/>
        <v xml:space="preserve">+7 (903) 890-12-34</v>
      </c>
      <c r="T998" s="13" t="str">
        <f t="shared" si="539"/>
        <v>peshehonov@gmail</v>
      </c>
      <c r="U998" s="18" t="str">
        <f t="shared" si="540"/>
        <v xml:space="preserve">Ошибка Email</v>
      </c>
      <c r="V998" s="13" t="str">
        <f>IFERROR(VLOOKUP(K998,Справочники!$K$6:$L$13,2,0),K998)</f>
        <v>Ангарск</v>
      </c>
    </row>
    <row r="999" ht="15" customHeight="1">
      <c r="A999" s="10">
        <v>997</v>
      </c>
      <c r="B999" s="11" t="str">
        <f>RAW_Клиенты!A998</f>
        <v>C0997</v>
      </c>
      <c r="C999" s="11" t="str">
        <f>RAW_Клиенты!B998</f>
        <v xml:space="preserve">Терёхина Мария Павловна</v>
      </c>
      <c r="D999" s="11" t="str">
        <f>RAW_Клиенты!C998</f>
        <v>23.04.1980</v>
      </c>
      <c r="E999" s="11" t="str">
        <f>RAW_Клиенты!D998</f>
        <v>+79038901234</v>
      </c>
      <c r="F999" s="11" t="str">
        <f>RAW_Клиенты!E998</f>
        <v>teryohina@mail</v>
      </c>
      <c r="G999" s="11" t="str">
        <f>RAW_Клиенты!F998</f>
        <v>Озёрск</v>
      </c>
      <c r="H999" s="11" t="str">
        <f>RAW_Клиенты!G998</f>
        <v>01.09.2049</v>
      </c>
      <c r="I999" s="12" t="str">
        <f t="shared" si="528"/>
        <v>79038901234</v>
      </c>
      <c r="J999" s="12" t="str">
        <f t="shared" si="529"/>
        <v>teryohina@mail</v>
      </c>
      <c r="K999" s="12" t="str">
        <f t="shared" si="530"/>
        <v>Озёрск</v>
      </c>
      <c r="L999" s="13" t="str">
        <f t="shared" si="531"/>
        <v>C0997</v>
      </c>
      <c r="M999" s="13" t="str">
        <f t="shared" si="532"/>
        <v xml:space="preserve">Терёхина Мария Павловна</v>
      </c>
      <c r="N999" s="13" t="str">
        <f t="shared" si="533"/>
        <v>OK</v>
      </c>
      <c r="O999" s="19">
        <f t="shared" si="534"/>
        <v>29334</v>
      </c>
      <c r="P999" s="19">
        <f t="shared" si="535"/>
        <v>54667</v>
      </c>
      <c r="Q999" s="13">
        <f t="shared" ca="1" si="536"/>
        <v>46</v>
      </c>
      <c r="R999" s="13" t="str">
        <f t="shared" si="537"/>
        <v>OK</v>
      </c>
      <c r="S999" s="13" t="str">
        <f t="shared" si="538"/>
        <v xml:space="preserve">+7 (903) 890-12-34</v>
      </c>
      <c r="T999" s="13" t="str">
        <f t="shared" si="539"/>
        <v>teryohina@mail</v>
      </c>
      <c r="U999" s="18" t="str">
        <f t="shared" si="540"/>
        <v xml:space="preserve">Ошибка Email</v>
      </c>
      <c r="V999" s="13" t="str">
        <f>IFERROR(VLOOKUP(K999,Справочники!$K$6:$L$13,2,0),K999)</f>
        <v>Озёрск</v>
      </c>
    </row>
    <row r="1000" ht="15" customHeight="1">
      <c r="A1000" s="10">
        <v>998</v>
      </c>
      <c r="B1000" s="11" t="str">
        <f>RAW_Клиенты!A999</f>
        <v>C0998</v>
      </c>
      <c r="C1000" s="11" t="str">
        <f>RAW_Клиенты!B999</f>
        <v xml:space="preserve">Белоусов Денис Сергеевич</v>
      </c>
      <c r="D1000" s="11" t="str">
        <f>RAW_Клиенты!C999</f>
        <v>14.09.1989</v>
      </c>
      <c r="E1000" s="11" t="str">
        <f>RAW_Клиенты!D999</f>
        <v>8-903-890-12-34</v>
      </c>
      <c r="F1000" s="11" t="str">
        <f>RAW_Клиенты!E999</f>
        <v>belousov@yandex</v>
      </c>
      <c r="G1000" s="11" t="str">
        <f>RAW_Клиенты!F999</f>
        <v>Орел</v>
      </c>
      <c r="H1000" s="11" t="str">
        <f>RAW_Клиенты!G999</f>
        <v>2049-09-15</v>
      </c>
      <c r="I1000" s="12" t="str">
        <f t="shared" ref="I1000:I1002" si="541">SUBSTITUTE(SUBSTITUTE(SUBSTITUTE(SUBSTITUTE(SUBSTITUTE(SUBSTITUTE(E1000," ",""),"-",""),"+",""),"(",""),")",""),CHAR(160),"")</f>
        <v>89038901234</v>
      </c>
      <c r="J1000" s="12" t="str">
        <f t="shared" ref="J1000:J1002" si="542">SUBSTITUTE(SUBSTITUTE(TRIM(F1000)," ",""),CHAR(160),"")</f>
        <v>belousov@yandex</v>
      </c>
      <c r="K1000" s="12" t="str">
        <f t="shared" ref="K1000:K1002" si="543">TRIM(SUBSTITUTE(SUBSTITUTE(TRIM(G1000),"г.",""),"г ",""))</f>
        <v>Орел</v>
      </c>
      <c r="L1000" s="13" t="str">
        <f t="shared" ref="L1000:L1002" si="544">B1000</f>
        <v>C0998</v>
      </c>
      <c r="M1000" s="13" t="str">
        <f t="shared" ref="M1000:M1002" si="545">PROPER(TRIM(C1000))</f>
        <v xml:space="preserve">Белоусов Денис Сергеевич</v>
      </c>
      <c r="N1000" s="13" t="str">
        <f t="shared" ref="N1000:N1002" si="546">IF(ISNUMBER(FIND(".",C1000)),"инициалы: проверить",IF(SUMPRODUCT(--ISNUMBER(FIND(MID("abcdefghijklmnopqrstuvwxyz",ROW(INDIRECT("1:26")),1),LOWER(C1000))))&gt;0,"латиница: транслит","OK"))</f>
        <v>OK</v>
      </c>
      <c r="O1000" s="19">
        <f t="shared" ref="O1000:O1002" si="547">IF(ISNUMBER(FIND("-",D1000)),DATE(VALUE(LEFT(D1000,4)),VALUE(MID(D1000,6,2)),VALUE(MID(D1000,9,2))),DATE(VALUE(MID(D1000,7,4)),VALUE(MID(D1000,4,2)),VALUE(LEFT(D1000,2))))</f>
        <v>32765</v>
      </c>
      <c r="P1000" s="19">
        <f t="shared" ref="P1000:P1002" si="548">IF(ISNUMBER(FIND("-",H1000)),DATE(VALUE(LEFT(H1000,4)),VALUE(MID(H1000,6,2)),VALUE(MID(H1000,9,2))),DATE(VALUE(MID(H1000,7,4)),VALUE(MID(H1000,4,2)),VALUE(LEFT(H1000,2))))</f>
        <v>54681</v>
      </c>
      <c r="Q1000" s="13">
        <f t="shared" ref="Q1000:Q1002" ca="1" si="549">DATEDIF(O1000,TODAY(),"Y")</f>
        <v>37</v>
      </c>
      <c r="R1000" s="13" t="str">
        <f t="shared" ref="R1000:R1002" si="550">IF(OR(Q1000&lt;18,Q1000&gt;120),"Ошибка даты рождения","OK")</f>
        <v>OK</v>
      </c>
      <c r="S1000" s="13" t="str">
        <f t="shared" ref="S1000:S1002" si="551">IF(LEN(I1000)&gt;=10,"+7 ("&amp;MID(I1000,LEN(I1000)-9,3)&amp;") "&amp;MID(I1000,LEN(I1000)-6,3)&amp;"-"&amp;MID(I1000,LEN(I1000)-3,2)&amp;"-"&amp;RIGHT(I1000,2),"Ошибка телефона")</f>
        <v xml:space="preserve">+7 (903) 890-12-34</v>
      </c>
      <c r="T1000" s="13" t="str">
        <f t="shared" ref="T1000:T1002" si="552">J1000</f>
        <v>belousov@yandex</v>
      </c>
      <c r="U1000" s="18" t="str">
        <f t="shared" ref="U1000:U1002" si="553">IF(AND(ISNUMBER(FIND("@",J1000)),ISNUMBER(FIND(".",MID(J1000,FIND("@",J1000),100)))),"OK","Ошибка Email")</f>
        <v xml:space="preserve">Ошибка Email</v>
      </c>
      <c r="V1000" s="13" t="str">
        <f>IFERROR(VLOOKUP(K1000,Справочники!$K$6:$L$13,2,0),K1000)</f>
        <v>Орел</v>
      </c>
    </row>
    <row r="1001" ht="15" customHeight="1">
      <c r="A1001" s="10">
        <v>999</v>
      </c>
      <c r="B1001" s="11" t="str">
        <f>RAW_Клиенты!A1000</f>
        <v>C0999</v>
      </c>
      <c r="C1001" s="11" t="str">
        <f>RAW_Клиенты!B1000</f>
        <v xml:space="preserve">Бабушкина Ольга Владимировна</v>
      </c>
      <c r="D1001" s="11" t="str">
        <f>RAW_Клиенты!C1000</f>
        <v>31.05.1976</v>
      </c>
      <c r="E1001" s="11" t="str">
        <f>RAW_Клиенты!D1000</f>
        <v xml:space="preserve">8 903 901 23 45</v>
      </c>
      <c r="F1001" s="11" t="str">
        <f>RAW_Клиенты!E1000</f>
        <v>babushkina@gmail</v>
      </c>
      <c r="G1001" s="11" t="str">
        <f>RAW_Клиенты!F1000</f>
        <v>Магнитогорск</v>
      </c>
      <c r="H1001" s="11" t="str">
        <f>RAW_Клиенты!G1000</f>
        <v>15.09.2049</v>
      </c>
      <c r="I1001" s="12" t="str">
        <f t="shared" si="541"/>
        <v>89039012345</v>
      </c>
      <c r="J1001" s="12" t="str">
        <f t="shared" si="542"/>
        <v>babushkina@gmail</v>
      </c>
      <c r="K1001" s="12" t="str">
        <f t="shared" si="543"/>
        <v>Магнитогорск</v>
      </c>
      <c r="L1001" s="13" t="str">
        <f t="shared" si="544"/>
        <v>C0999</v>
      </c>
      <c r="M1001" s="13" t="str">
        <f t="shared" si="545"/>
        <v xml:space="preserve">Бабушкина Ольга Владимировна</v>
      </c>
      <c r="N1001" s="13" t="str">
        <f t="shared" si="546"/>
        <v>OK</v>
      </c>
      <c r="O1001" s="19">
        <f t="shared" si="547"/>
        <v>27911</v>
      </c>
      <c r="P1001" s="19">
        <f t="shared" si="548"/>
        <v>54681</v>
      </c>
      <c r="Q1001" s="13">
        <f t="shared" ca="1" si="549"/>
        <v>50</v>
      </c>
      <c r="R1001" s="13" t="str">
        <f t="shared" si="550"/>
        <v>OK</v>
      </c>
      <c r="S1001" s="13" t="str">
        <f t="shared" si="551"/>
        <v xml:space="preserve">+7 (903) 901-23-45</v>
      </c>
      <c r="T1001" s="13" t="str">
        <f t="shared" si="552"/>
        <v>babushkina@gmail</v>
      </c>
      <c r="U1001" s="18" t="str">
        <f t="shared" si="553"/>
        <v xml:space="preserve">Ошибка Email</v>
      </c>
      <c r="V1001" s="13" t="str">
        <f>IFERROR(VLOOKUP(K1001,Справочники!$K$6:$L$13,2,0),K1001)</f>
        <v>Магнитогорск</v>
      </c>
    </row>
    <row r="1002" ht="15" customHeight="1">
      <c r="A1002" s="10">
        <v>1000</v>
      </c>
      <c r="B1002" s="11" t="str">
        <f>RAW_Клиенты!A1001</f>
        <v>C1000</v>
      </c>
      <c r="C1002" s="11" t="str">
        <f>RAW_Клиенты!B1001</f>
        <v xml:space="preserve">Толстых Андрей Олегович</v>
      </c>
      <c r="D1002" s="11" t="str">
        <f>RAW_Клиенты!C1001</f>
        <v>10.08.1984</v>
      </c>
      <c r="E1002" s="11" t="str">
        <f>RAW_Клиенты!D1001</f>
        <v>+79039012345</v>
      </c>
      <c r="F1002" s="11" t="str">
        <f>RAW_Клиенты!E1001</f>
        <v>tolstyh@mail</v>
      </c>
      <c r="G1002" s="11" t="str">
        <f>RAW_Клиенты!F1001</f>
        <v>Якутск</v>
      </c>
      <c r="H1002" s="11" t="str">
        <f>RAW_Клиенты!G1001</f>
        <v>01.10.2049</v>
      </c>
      <c r="I1002" s="12" t="str">
        <f t="shared" si="541"/>
        <v>79039012345</v>
      </c>
      <c r="J1002" s="12" t="str">
        <f t="shared" si="542"/>
        <v>tolstyh@mail</v>
      </c>
      <c r="K1002" s="12" t="str">
        <f t="shared" si="543"/>
        <v>Якутск</v>
      </c>
      <c r="L1002" s="13" t="str">
        <f t="shared" si="544"/>
        <v>C1000</v>
      </c>
      <c r="M1002" s="13" t="str">
        <f t="shared" si="545"/>
        <v xml:space="preserve">Толстых Андрей Олегович</v>
      </c>
      <c r="N1002" s="13" t="str">
        <f t="shared" si="546"/>
        <v>OK</v>
      </c>
      <c r="O1002" s="19">
        <f t="shared" si="547"/>
        <v>30904</v>
      </c>
      <c r="P1002" s="19">
        <f t="shared" si="548"/>
        <v>54697</v>
      </c>
      <c r="Q1002" s="13">
        <f t="shared" ca="1" si="549"/>
        <v>42</v>
      </c>
      <c r="R1002" s="13" t="str">
        <f t="shared" si="550"/>
        <v>OK</v>
      </c>
      <c r="S1002" s="13" t="str">
        <f t="shared" si="551"/>
        <v xml:space="preserve">+7 (903) 901-23-45</v>
      </c>
      <c r="T1002" s="13" t="str">
        <f t="shared" si="552"/>
        <v>tolstyh@mail</v>
      </c>
      <c r="U1002" s="18" t="str">
        <f t="shared" si="553"/>
        <v xml:space="preserve">Ошибка Email</v>
      </c>
      <c r="V1002" s="13" t="str">
        <f>IFERROR(VLOOKUP(K1002,Справочники!$K$6:$L$13,2,0),K1002)</f>
        <v>Якутск</v>
      </c>
    </row>
  </sheetData>
  <printOptions headings="0" gridLines="0"/>
  <pageMargins left="0.75" right="0.75" top="1" bottom="1" header="0.51181102362204689" footer="0.51181102362204689"/>
  <pageSetup paperSize="9" scale="100" fitToWidth="1" fitToHeight="1" pageOrder="downThenOver" orientation="portrait" usePrinterDefaults="1" blackAndWhite="0" draft="0" cellComments="none" useFirstPageNumber="0" errors="displayed" horizontalDpi="300" verticalDpi="300" copies="1"/>
  <headerFooter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filterMode="0">
    <outlinePr applyStyles="0" summaryBelow="1" summaryRight="1" showOutlineSymbols="1"/>
    <pageSetUpPr autoPageBreaks="1" fitToPage="0"/>
  </sheetPr>
  <sheetViews>
    <sheetView showFormulas="0" showGridLines="0" showRowColHeaders="1" showZeros="1" showRuler="1" view="normal" topLeftCell="A1" zoomScale="100" workbookViewId="0">
      <selection activeCell="A1" activeCellId="0" sqref="A1"/>
    </sheetView>
  </sheetViews>
  <sheetFormatPr defaultColWidth="8.6796875" defaultRowHeight="14.25"/>
  <cols>
    <col customWidth="1" min="1" max="2" style="1" width="20"/>
    <col customWidth="1" min="3" max="3" style="1" width="2"/>
    <col customWidth="1" min="4" max="4" style="1" width="18"/>
    <col customWidth="1" min="5" max="5" style="1" width="16"/>
    <col customWidth="1" min="6" max="6" style="1" width="2"/>
    <col customWidth="1" min="7" max="8" style="1" width="10"/>
    <col customWidth="1" min="9" max="9" style="1" width="12"/>
    <col customWidth="1" min="10" max="10" style="1" width="2"/>
    <col customWidth="1" min="11" max="11" style="1" width="18"/>
    <col customWidth="1" min="12" max="12" style="1" width="20"/>
  </cols>
  <sheetData>
    <row r="1" ht="17.25" customHeight="1">
      <c r="A1" s="22" t="s">
        <v>154</v>
      </c>
    </row>
    <row r="2" ht="15" customHeight="1">
      <c r="A2" s="16" t="s">
        <v>155</v>
      </c>
    </row>
    <row r="4" ht="15" customHeight="1">
      <c r="A4" s="23" t="s">
        <v>156</v>
      </c>
      <c r="D4" s="23" t="s">
        <v>157</v>
      </c>
      <c r="G4" s="23" t="s">
        <v>158</v>
      </c>
      <c r="K4" s="23" t="s">
        <v>159</v>
      </c>
    </row>
    <row r="5" ht="15" customHeight="1">
      <c r="A5" s="24"/>
      <c r="B5" s="24"/>
      <c r="D5" s="24" t="s">
        <v>160</v>
      </c>
      <c r="E5" s="24" t="s">
        <v>161</v>
      </c>
      <c r="G5" s="24" t="s">
        <v>162</v>
      </c>
      <c r="H5" s="24" t="s">
        <v>132</v>
      </c>
      <c r="I5" s="24" t="s">
        <v>163</v>
      </c>
      <c r="K5" s="24" t="s">
        <v>164</v>
      </c>
      <c r="L5" s="24" t="s">
        <v>165</v>
      </c>
    </row>
    <row r="6" ht="15" customHeight="1">
      <c r="A6" s="25" t="s">
        <v>166</v>
      </c>
      <c r="B6" s="25" t="s">
        <v>166</v>
      </c>
      <c r="D6" s="25" t="s">
        <v>167</v>
      </c>
      <c r="E6" s="25" t="s">
        <v>167</v>
      </c>
      <c r="G6" s="25" t="s">
        <v>168</v>
      </c>
      <c r="H6" s="25" t="s">
        <v>169</v>
      </c>
      <c r="I6" s="25">
        <v>95</v>
      </c>
      <c r="K6" s="25" t="s">
        <v>170</v>
      </c>
      <c r="L6" s="25" t="s">
        <v>171</v>
      </c>
    </row>
    <row r="7" ht="15" customHeight="1">
      <c r="A7" s="25" t="s">
        <v>29</v>
      </c>
      <c r="B7" s="25" t="s">
        <v>166</v>
      </c>
      <c r="D7" s="25" t="s">
        <v>172</v>
      </c>
      <c r="E7" s="25" t="s">
        <v>167</v>
      </c>
      <c r="G7" s="25" t="s">
        <v>173</v>
      </c>
      <c r="H7" s="25" t="s">
        <v>174</v>
      </c>
      <c r="I7" s="25">
        <v>100</v>
      </c>
      <c r="K7" s="25" t="s">
        <v>175</v>
      </c>
      <c r="L7" s="25" t="s">
        <v>171</v>
      </c>
    </row>
    <row r="8" ht="15" customHeight="1">
      <c r="A8" s="25" t="s">
        <v>176</v>
      </c>
      <c r="B8" s="25" t="s">
        <v>166</v>
      </c>
      <c r="D8" s="25" t="s">
        <v>177</v>
      </c>
      <c r="E8" s="25" t="s">
        <v>167</v>
      </c>
      <c r="G8" s="25" t="s">
        <v>178</v>
      </c>
      <c r="H8" s="25" t="s">
        <v>179</v>
      </c>
      <c r="I8" s="25">
        <v>1</v>
      </c>
      <c r="K8" s="25" t="s">
        <v>180</v>
      </c>
      <c r="L8" s="25" t="s">
        <v>181</v>
      </c>
    </row>
    <row r="9" ht="15" customHeight="1">
      <c r="A9" s="25" t="s">
        <v>182</v>
      </c>
      <c r="B9" s="25" t="s">
        <v>182</v>
      </c>
      <c r="D9" s="25" t="s">
        <v>183</v>
      </c>
      <c r="E9" s="25" t="s">
        <v>167</v>
      </c>
      <c r="K9" s="25" t="s">
        <v>184</v>
      </c>
      <c r="L9" s="25" t="s">
        <v>181</v>
      </c>
    </row>
    <row r="10" ht="15" customHeight="1">
      <c r="A10" s="25" t="s">
        <v>185</v>
      </c>
      <c r="B10" s="25" t="s">
        <v>182</v>
      </c>
      <c r="D10" s="25" t="s">
        <v>186</v>
      </c>
      <c r="E10" s="25" t="s">
        <v>186</v>
      </c>
      <c r="K10" s="25" t="s">
        <v>187</v>
      </c>
      <c r="L10" s="25" t="s">
        <v>181</v>
      </c>
    </row>
    <row r="11" ht="15" customHeight="1">
      <c r="A11" s="25" t="s">
        <v>188</v>
      </c>
      <c r="B11" s="25" t="s">
        <v>188</v>
      </c>
      <c r="D11" s="25" t="s">
        <v>189</v>
      </c>
      <c r="E11" s="25" t="s">
        <v>186</v>
      </c>
      <c r="K11" s="25" t="s">
        <v>190</v>
      </c>
      <c r="L11" s="25" t="s">
        <v>191</v>
      </c>
    </row>
    <row r="12" ht="15" customHeight="1">
      <c r="A12" s="25" t="s">
        <v>192</v>
      </c>
      <c r="B12" s="25" t="s">
        <v>192</v>
      </c>
      <c r="D12" s="25" t="s">
        <v>193</v>
      </c>
      <c r="E12" s="25" t="s">
        <v>186</v>
      </c>
      <c r="K12" s="25" t="s">
        <v>194</v>
      </c>
      <c r="L12" s="25" t="s">
        <v>191</v>
      </c>
    </row>
    <row r="13" ht="15" customHeight="1">
      <c r="A13" s="25" t="s">
        <v>195</v>
      </c>
      <c r="B13" s="25" t="s">
        <v>195</v>
      </c>
      <c r="D13" s="25" t="s">
        <v>196</v>
      </c>
      <c r="E13" s="25" t="s">
        <v>196</v>
      </c>
      <c r="K13" s="25" t="s">
        <v>197</v>
      </c>
      <c r="L13" s="25" t="s">
        <v>198</v>
      </c>
    </row>
    <row r="14" ht="15" customHeight="1">
      <c r="A14" s="25" t="s">
        <v>199</v>
      </c>
      <c r="B14" s="25" t="s">
        <v>199</v>
      </c>
      <c r="D14" s="25" t="s">
        <v>200</v>
      </c>
      <c r="E14" s="25" t="s">
        <v>196</v>
      </c>
    </row>
    <row r="15" ht="15" customHeight="1">
      <c r="A15" s="25" t="s">
        <v>201</v>
      </c>
      <c r="B15" s="25" t="s">
        <v>201</v>
      </c>
      <c r="K15" s="16" t="s">
        <v>202</v>
      </c>
    </row>
    <row r="16" ht="15" customHeight="1">
      <c r="A16" s="25" t="s">
        <v>203</v>
      </c>
      <c r="B16" s="25" t="s">
        <v>203</v>
      </c>
    </row>
  </sheetData>
  <printOptions headings="0" gridLines="0"/>
  <pageMargins left="0.75" right="0.75" top="1" bottom="1" header="0.51181102362204689" footer="0.51181102362204689"/>
  <pageSetup paperSize="9" scale="100" fitToWidth="1" fitToHeight="1" pageOrder="downThenOver" orientation="portrait" usePrinterDefaults="1" blackAndWhite="0" draft="0" cellComments="none" useFirstPageNumber="0" errors="displayed" horizontalDpi="300" verticalDpi="300" copies="1"/>
  <headerFooter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filterMode="0">
    <outlinePr applyStyles="0" summaryBelow="1" summaryRight="1" showOutlineSymbols="1"/>
    <pageSetUpPr autoPageBreaks="1" fitToPage="0"/>
  </sheetPr>
  <sheetViews>
    <sheetView showFormulas="0" showGridLines="0" showRowColHeaders="1" showZeros="1" showRuler="1" view="normal" topLeftCell="A1" zoomScale="100" workbookViewId="0">
      <selection activeCell="A1" activeCellId="0" sqref="A1"/>
    </sheetView>
  </sheetViews>
  <sheetFormatPr defaultColWidth="8.6796875" defaultRowHeight="14.25"/>
  <cols>
    <col customWidth="1" min="1" max="1" style="1" width="38"/>
    <col customWidth="1" min="2" max="2" style="1" width="20"/>
    <col customWidth="1" min="3" max="3" style="1" width="22"/>
    <col customWidth="1" min="4" max="4" style="1" width="14"/>
  </cols>
  <sheetData>
    <row r="1" ht="19.5" customHeight="1">
      <c r="A1" s="2" t="s">
        <v>204</v>
      </c>
    </row>
    <row r="2" ht="15" customHeight="1">
      <c r="A2" s="16" t="s">
        <v>205</v>
      </c>
    </row>
    <row r="4" ht="15" customHeight="1">
      <c r="A4" s="4" t="s">
        <v>206</v>
      </c>
    </row>
    <row r="5" ht="15" customHeight="1">
      <c r="A5" s="24" t="s">
        <v>207</v>
      </c>
      <c r="B5" s="24" t="s">
        <v>208</v>
      </c>
      <c r="C5" s="24" t="s">
        <v>209</v>
      </c>
      <c r="D5" s="24" t="s">
        <v>210</v>
      </c>
    </row>
    <row r="6" ht="15" customHeight="1">
      <c r="A6" s="26" t="s">
        <v>211</v>
      </c>
      <c r="B6" s="27">
        <f>COUNTA(RAW_Товары!A2:A502)</f>
        <v>501</v>
      </c>
      <c r="C6" s="27">
        <f>COUNTA(Товары_очищенные!L3:L503)</f>
        <v>501</v>
      </c>
      <c r="D6" s="27">
        <f t="shared" ref="D6:D9" si="554">C6-B6</f>
        <v>0</v>
      </c>
    </row>
    <row r="7" ht="15" customHeight="1">
      <c r="A7" s="26" t="s">
        <v>212</v>
      </c>
      <c r="B7" s="27">
        <f>COUNTA(RAW_Поставщики!A2:A51)</f>
        <v>50</v>
      </c>
      <c r="C7" s="27">
        <f>COUNTA(Поставщики_очищенные!M3:M52)</f>
        <v>50</v>
      </c>
      <c r="D7" s="27">
        <f t="shared" si="554"/>
        <v>0</v>
      </c>
    </row>
    <row r="8" ht="15" customHeight="1">
      <c r="A8" s="26" t="s">
        <v>213</v>
      </c>
      <c r="B8" s="27">
        <f>COUNTA(RAW_Продажи!A2:A1001)</f>
        <v>1000</v>
      </c>
      <c r="C8" s="27">
        <f>COUNTA(Продажи_очищенные!M3:M1002)</f>
        <v>1000</v>
      </c>
      <c r="D8" s="27">
        <f t="shared" si="554"/>
        <v>0</v>
      </c>
    </row>
    <row r="9" ht="15" customHeight="1">
      <c r="A9" s="26" t="s">
        <v>214</v>
      </c>
      <c r="B9" s="27">
        <f>COUNTA(RAW_Клиенты!A2:A1001)</f>
        <v>1000</v>
      </c>
      <c r="C9" s="27">
        <f>COUNTA(Клиенты_очищенные!L3:L1002)</f>
        <v>1000</v>
      </c>
      <c r="D9" s="27">
        <f t="shared" si="554"/>
        <v>0</v>
      </c>
    </row>
    <row r="11" ht="15" customHeight="1">
      <c r="A11" s="4" t="s">
        <v>215</v>
      </c>
    </row>
    <row r="12" ht="15" customHeight="1">
      <c r="A12" s="24" t="s">
        <v>216</v>
      </c>
      <c r="B12" s="24" t="s">
        <v>207</v>
      </c>
      <c r="C12" s="24" t="s">
        <v>38</v>
      </c>
    </row>
    <row r="13" ht="15" customHeight="1">
      <c r="A13" s="28" t="s">
        <v>217</v>
      </c>
      <c r="B13" s="25" t="s">
        <v>212</v>
      </c>
      <c r="C13" s="27">
        <f>COUNTIF(Поставщики_очищенные!P3:P52,"Ошибка ИНН")</f>
        <v>16</v>
      </c>
    </row>
    <row r="14" ht="15" customHeight="1">
      <c r="A14" s="28" t="s">
        <v>218</v>
      </c>
      <c r="B14" s="25" t="s">
        <v>212</v>
      </c>
      <c r="C14" s="27">
        <f>COUNTIF(Поставщики_очищенные!T3:T52,"Ошибка Email")</f>
        <v>46</v>
      </c>
    </row>
    <row r="15" ht="15" customHeight="1">
      <c r="A15" s="28" t="s">
        <v>218</v>
      </c>
      <c r="B15" s="25" t="s">
        <v>214</v>
      </c>
      <c r="C15" s="27">
        <f>COUNTIF(Клиенты_очищенные!U3:U1002,"Ошибка Email")</f>
        <v>998</v>
      </c>
    </row>
    <row r="16" ht="15" customHeight="1">
      <c r="A16" s="28" t="s">
        <v>219</v>
      </c>
      <c r="B16" s="25" t="s">
        <v>214</v>
      </c>
      <c r="C16" s="27">
        <f>COUNTIF(Клиенты_очищенные!R3:R1002,"Ошибка даты рождения")</f>
        <v>0</v>
      </c>
    </row>
    <row r="17" ht="15" customHeight="1">
      <c r="A17" s="28" t="s">
        <v>220</v>
      </c>
      <c r="B17" s="25" t="s">
        <v>212</v>
      </c>
      <c r="C17" s="27">
        <f>COUNTIF(Поставщики_очищенные!R3:R52,"Ошибка телефона")</f>
        <v>0</v>
      </c>
    </row>
    <row r="18" ht="15" customHeight="1">
      <c r="A18" s="28" t="s">
        <v>221</v>
      </c>
      <c r="B18" s="25" t="s">
        <v>211</v>
      </c>
      <c r="C18" s="27">
        <f>COUNTIF(Товары_очищенные!S3:S503,"*ОШИБКА*")</f>
        <v>0</v>
      </c>
    </row>
    <row r="19" ht="15" customHeight="1">
      <c r="A19" s="28" t="s">
        <v>222</v>
      </c>
      <c r="B19" s="25" t="s">
        <v>213</v>
      </c>
      <c r="C19" s="27">
        <f>COUNTIF(Продажи_очищенные!Q3:Q1002,"НЕИЗВЕСТНО")</f>
        <v>0</v>
      </c>
    </row>
    <row r="22" ht="15" customHeight="1">
      <c r="A22" s="4" t="s">
        <v>223</v>
      </c>
    </row>
    <row r="23" ht="15" customHeight="1">
      <c r="A23" s="25" t="s">
        <v>224</v>
      </c>
      <c r="C23" s="29">
        <f>COUNTIF(Продажи_очищенные!V3:V1002,"ДУБЛЬ")</f>
        <v>0</v>
      </c>
    </row>
    <row r="25" ht="15" customHeight="1">
      <c r="A25" s="4" t="s">
        <v>225</v>
      </c>
    </row>
    <row r="26" ht="15" customHeight="1">
      <c r="A26" s="24" t="s">
        <v>226</v>
      </c>
      <c r="B26" s="24" t="s">
        <v>38</v>
      </c>
    </row>
    <row r="27" ht="15" customHeight="1">
      <c r="A27" s="30" t="s">
        <v>167</v>
      </c>
      <c r="B27" s="27">
        <f>COUNTIF(Продажи_очищенные!Q3:Q1002,"Завершен")</f>
        <v>539</v>
      </c>
    </row>
    <row r="28" ht="15" customHeight="1">
      <c r="A28" s="30" t="s">
        <v>186</v>
      </c>
      <c r="B28" s="27">
        <f>COUNTIF(Продажи_очищенные!Q3:Q1002,"Отменен")</f>
        <v>307</v>
      </c>
    </row>
    <row r="29" ht="15" customHeight="1">
      <c r="A29" s="30" t="s">
        <v>196</v>
      </c>
      <c r="B29" s="27">
        <f>COUNTIF(Продажи_очищенные!Q3:Q1002,"Возврат")</f>
        <v>154</v>
      </c>
    </row>
    <row r="31" ht="15" customHeight="1">
      <c r="A31" s="4" t="s">
        <v>227</v>
      </c>
    </row>
    <row r="32" ht="15" customHeight="1">
      <c r="A32" s="24" t="s">
        <v>228</v>
      </c>
      <c r="B32" s="24" t="s">
        <v>229</v>
      </c>
    </row>
    <row r="33" ht="15" customHeight="1">
      <c r="A33" s="26" t="s">
        <v>166</v>
      </c>
      <c r="B33" s="31">
        <f>SUMIFS(Продажи_очищенные!P3:P1002,Продажи_очищенные!S3:S1002,A33,Продажи_очищенные!Q3:Q1002,"Завершен")</f>
        <v>706450</v>
      </c>
    </row>
    <row r="34" ht="15" customHeight="1">
      <c r="A34" s="26" t="s">
        <v>182</v>
      </c>
      <c r="B34" s="31">
        <f>SUMIFS(Продажи_очищенные!P3:P1002,Продажи_очищенные!S3:S1002,A34,Продажи_очищенные!Q3:Q1002,"Завершен")</f>
        <v>523750</v>
      </c>
    </row>
    <row r="35" ht="15" customHeight="1">
      <c r="A35" s="26" t="s">
        <v>188</v>
      </c>
      <c r="B35" s="31">
        <f>SUMIFS(Продажи_очищенные!P3:P1002,Продажи_очищенные!S3:S1002,A35,Продажи_очищенные!Q3:Q1002,"Завершен")</f>
        <v>468000</v>
      </c>
    </row>
    <row r="36" ht="15" customHeight="1">
      <c r="A36" s="26" t="s">
        <v>192</v>
      </c>
      <c r="B36" s="31">
        <f>SUMIFS(Продажи_очищенные!P3:P1002,Продажи_очищенные!S3:S1002,A36,Продажи_очищенные!Q3:Q1002,"Завершен")</f>
        <v>674300</v>
      </c>
    </row>
    <row r="37" ht="15" customHeight="1">
      <c r="A37" s="26" t="s">
        <v>195</v>
      </c>
      <c r="B37" s="31">
        <f>SUMIFS(Продажи_очищенные!P3:P1002,Продажи_очищенные!S3:S1002,A37,Продажи_очищенные!Q3:Q1002,"Завершен")</f>
        <v>711025</v>
      </c>
    </row>
    <row r="38" ht="15" customHeight="1">
      <c r="A38" s="26" t="s">
        <v>199</v>
      </c>
      <c r="B38" s="31">
        <f>SUMIFS(Продажи_очищенные!P3:P1002,Продажи_очищенные!S3:S1002,A38,Продажи_очищенные!Q3:Q1002,"Завершен")</f>
        <v>683475</v>
      </c>
    </row>
    <row r="39" ht="15" customHeight="1">
      <c r="A39" s="26" t="s">
        <v>201</v>
      </c>
      <c r="B39" s="31">
        <f>SUMIFS(Продажи_очищенные!P3:P1002,Продажи_очищенные!S3:S1002,A39,Продажи_очищенные!Q3:Q1002,"Завершен")</f>
        <v>609475</v>
      </c>
    </row>
    <row r="40" ht="15" customHeight="1">
      <c r="A40" s="26" t="s">
        <v>203</v>
      </c>
      <c r="B40" s="31">
        <f>SUMIFS(Продажи_очищенные!P3:P1002,Продажи_очищенные!S3:S1002,A40,Продажи_очищенные!Q3:Q1002,"Завершен")</f>
        <v>375100</v>
      </c>
    </row>
  </sheetData>
  <printOptions headings="0" gridLines="0"/>
  <pageMargins left="0.75" right="0.75" top="1" bottom="1" header="0.51181102362204689" footer="0.51181102362204689"/>
  <pageSetup paperSize="9" scale="100" fitToWidth="1" fitToHeight="1" pageOrder="downThenOver" orientation="portrait" usePrinterDefaults="1" blackAndWhite="0" draft="0" cellComments="none" useFirstPageNumber="0" errors="displayed" horizontalDpi="300" verticalDpi="300" copies="1"/>
  <headerFooter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filterMode="0">
    <outlinePr applyStyles="0" summaryBelow="1" summaryRight="1" showOutlineSymbols="1"/>
    <pageSetUpPr autoPageBreaks="1" fitToPage="0"/>
  </sheetPr>
  <sheetViews>
    <sheetView showFormulas="0" showGridLines="0" showRowColHeaders="1" showZeros="1" showRuler="1" view="normal" zoomScale="100" workbookViewId="0">
      <selection activeCell="A1" activeCellId="0" sqref="A1"/>
    </sheetView>
  </sheetViews>
  <sheetFormatPr defaultColWidth="8.6796875" defaultRowHeight="14.25"/>
  <cols>
    <col customWidth="1" min="1" max="1" style="0" width="4"/>
    <col customWidth="1" min="2" max="2" style="0" width="110"/>
  </cols>
  <sheetData>
    <row r="1" ht="19.5">
      <c r="B1" s="2" t="s">
        <v>230</v>
      </c>
      <c r="C1" t="s">
        <v>231</v>
      </c>
    </row>
    <row r="2" ht="22.5">
      <c r="B2" s="3" t="s">
        <v>232</v>
      </c>
    </row>
    <row r="4" ht="15">
      <c r="B4" s="4" t="s">
        <v>233</v>
      </c>
    </row>
    <row r="5" ht="38.25">
      <c r="B5" s="6" t="s">
        <v>234</v>
      </c>
    </row>
    <row r="6" ht="15">
      <c r="B6" s="32" t="s">
        <v>235</v>
      </c>
    </row>
    <row r="8" ht="15">
      <c r="B8" s="4" t="s">
        <v>236</v>
      </c>
    </row>
    <row r="9" ht="25.5">
      <c r="B9" s="6" t="s">
        <v>237</v>
      </c>
    </row>
    <row r="11" ht="15">
      <c r="B11" s="4" t="s">
        <v>238</v>
      </c>
    </row>
    <row r="12" ht="15">
      <c r="B12" s="33" t="s">
        <v>239</v>
      </c>
    </row>
    <row r="13" ht="15">
      <c r="B13" s="34" t="s">
        <v>240</v>
      </c>
    </row>
    <row r="14" ht="15">
      <c r="B14" s="34" t="s">
        <v>241</v>
      </c>
    </row>
    <row r="15" ht="15">
      <c r="B15" s="34" t="s">
        <v>242</v>
      </c>
    </row>
    <row r="16" ht="15">
      <c r="B16" s="34" t="s">
        <v>243</v>
      </c>
    </row>
    <row r="17" ht="15">
      <c r="B17" s="34" t="s">
        <v>244</v>
      </c>
    </row>
    <row r="18" ht="15">
      <c r="B18" s="34" t="s">
        <v>245</v>
      </c>
    </row>
    <row r="19" ht="15">
      <c r="B19" s="34" t="s">
        <v>246</v>
      </c>
    </row>
    <row r="20" ht="15">
      <c r="B20" s="34" t="s">
        <v>247</v>
      </c>
    </row>
    <row r="21" ht="15">
      <c r="B21" s="34" t="s">
        <v>248</v>
      </c>
    </row>
    <row r="22" ht="15">
      <c r="B22" s="34" t="s">
        <v>249</v>
      </c>
    </row>
    <row r="23" ht="15">
      <c r="B23" s="34" t="s">
        <v>245</v>
      </c>
    </row>
    <row r="24" ht="15">
      <c r="B24" s="34" t="s">
        <v>250</v>
      </c>
    </row>
    <row r="25" ht="15">
      <c r="B25" s="34" t="s">
        <v>251</v>
      </c>
    </row>
    <row r="26" ht="15">
      <c r="B26" s="34" t="s">
        <v>252</v>
      </c>
    </row>
    <row r="27" ht="15">
      <c r="B27" s="34" t="s">
        <v>253</v>
      </c>
    </row>
    <row r="28" ht="15">
      <c r="B28" s="34" t="s">
        <v>254</v>
      </c>
    </row>
    <row r="29" ht="15">
      <c r="B29" s="34" t="s">
        <v>255</v>
      </c>
    </row>
    <row r="30" ht="15">
      <c r="B30" s="34" t="s">
        <v>256</v>
      </c>
    </row>
    <row r="31" ht="15">
      <c r="B31" s="34" t="s">
        <v>257</v>
      </c>
    </row>
    <row r="32" ht="15">
      <c r="B32" s="34" t="s">
        <v>258</v>
      </c>
    </row>
    <row r="33" ht="15">
      <c r="B33" s="34" t="s">
        <v>259</v>
      </c>
    </row>
    <row r="34" ht="15">
      <c r="B34" s="34" t="s">
        <v>245</v>
      </c>
    </row>
    <row r="35" ht="15">
      <c r="B35" s="34" t="s">
        <v>260</v>
      </c>
    </row>
    <row r="36" ht="15">
      <c r="B36" s="34" t="s">
        <v>261</v>
      </c>
    </row>
    <row r="37" ht="15">
      <c r="B37" s="35" t="s">
        <v>262</v>
      </c>
    </row>
  </sheetData>
  <printOptions headings="0" gridLines="0"/>
  <pageMargins left="0.75" right="0.75" top="1" bottom="1" header="0.51181102362204689" footer="0.51181102362204689"/>
  <pageSetup paperSize="9" scale="100" fitToWidth="1" fitToHeight="1" pageOrder="downThenOver" orientation="portrait" usePrinterDefaults="1" blackAndWhite="0" draft="0" cellComments="none" useFirstPageNumber="0" errors="displayed" horizontalDpi="300" verticalDpi="300" copies="1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filterMode="0">
    <outlinePr applyStyles="0" summaryBelow="1" summaryRight="1" showOutlineSymbols="1"/>
    <pageSetUpPr autoPageBreaks="1" fitToPage="0"/>
  </sheetPr>
  <sheetViews>
    <sheetView showFormulas="0" showGridLines="0" showRowColHeaders="1" showZeros="1" showRuler="1" view="normal" topLeftCell="A1" zoomScale="100" workbookViewId="0">
      <pane ySplit="1" topLeftCell="A2" activePane="bottomLeft" state="frozen"/>
      <selection activeCell="A1" activeCellId="0" sqref="A1"/>
    </sheetView>
  </sheetViews>
  <sheetFormatPr defaultColWidth="8.6796875" defaultRowHeight="14.25"/>
  <cols>
    <col customWidth="1" min="1" max="1" style="1" width="14"/>
    <col customWidth="1" min="2" max="2" style="1" width="42"/>
    <col customWidth="1" min="3" max="3" style="1" width="20"/>
    <col customWidth="1" min="4" max="4" style="1" width="16"/>
    <col customWidth="1" min="5" max="6" style="1" width="14"/>
    <col customWidth="1" min="7" max="7" style="1" width="16"/>
  </cols>
  <sheetData>
    <row r="1" ht="23.25" customHeight="1">
      <c r="A1" s="24" t="s">
        <v>263</v>
      </c>
      <c r="B1" s="24" t="s">
        <v>264</v>
      </c>
      <c r="C1" s="24" t="s">
        <v>228</v>
      </c>
      <c r="D1" s="24" t="s">
        <v>265</v>
      </c>
      <c r="E1" s="24" t="s">
        <v>266</v>
      </c>
      <c r="F1" s="24" t="s">
        <v>267</v>
      </c>
      <c r="G1" s="24" t="s">
        <v>268</v>
      </c>
    </row>
    <row r="2" ht="15" customHeight="1">
      <c r="A2" s="25" t="s">
        <v>269</v>
      </c>
      <c r="B2" s="25" t="s">
        <v>270</v>
      </c>
      <c r="C2" s="25" t="s">
        <v>166</v>
      </c>
      <c r="D2" s="25" t="s">
        <v>271</v>
      </c>
      <c r="E2" s="25" t="s">
        <v>272</v>
      </c>
      <c r="F2" s="25" t="s">
        <v>273</v>
      </c>
      <c r="G2" s="25" t="s">
        <v>274</v>
      </c>
    </row>
    <row r="3" ht="15" customHeight="1">
      <c r="A3" s="25" t="s">
        <v>275</v>
      </c>
      <c r="B3" s="25" t="s">
        <v>276</v>
      </c>
      <c r="C3" s="25" t="s">
        <v>29</v>
      </c>
      <c r="D3" s="25" t="s">
        <v>271</v>
      </c>
      <c r="E3" s="25" t="s">
        <v>277</v>
      </c>
      <c r="F3" s="25" t="s">
        <v>278</v>
      </c>
      <c r="G3" s="25" t="s">
        <v>279</v>
      </c>
    </row>
    <row r="4" ht="15" customHeight="1">
      <c r="A4" s="25" t="s">
        <v>280</v>
      </c>
      <c r="B4" s="25" t="s">
        <v>281</v>
      </c>
      <c r="C4" s="25" t="s">
        <v>176</v>
      </c>
      <c r="D4" s="25" t="s">
        <v>282</v>
      </c>
      <c r="E4" s="25" t="s">
        <v>283</v>
      </c>
      <c r="F4" s="25" t="s">
        <v>284</v>
      </c>
      <c r="G4" s="25" t="s">
        <v>285</v>
      </c>
    </row>
    <row r="5" ht="15" customHeight="1">
      <c r="A5" s="25" t="s">
        <v>286</v>
      </c>
      <c r="B5" s="25" t="s">
        <v>287</v>
      </c>
      <c r="C5" s="25" t="s">
        <v>182</v>
      </c>
      <c r="D5" s="25" t="s">
        <v>288</v>
      </c>
      <c r="E5" s="25" t="s">
        <v>289</v>
      </c>
      <c r="F5" s="25" t="s">
        <v>290</v>
      </c>
      <c r="G5" s="25" t="s">
        <v>291</v>
      </c>
    </row>
    <row r="6" ht="15" customHeight="1">
      <c r="A6" s="25" t="s">
        <v>292</v>
      </c>
      <c r="B6" s="25" t="s">
        <v>293</v>
      </c>
      <c r="C6" s="25" t="s">
        <v>185</v>
      </c>
      <c r="D6" s="25" t="s">
        <v>294</v>
      </c>
      <c r="E6" s="25" t="s">
        <v>295</v>
      </c>
      <c r="F6" s="25" t="s">
        <v>296</v>
      </c>
      <c r="G6" s="25" t="s">
        <v>274</v>
      </c>
    </row>
    <row r="7" ht="15" customHeight="1">
      <c r="A7" s="25" t="s">
        <v>297</v>
      </c>
      <c r="B7" s="25" t="s">
        <v>298</v>
      </c>
      <c r="C7" s="25" t="s">
        <v>182</v>
      </c>
      <c r="D7" s="25" t="s">
        <v>288</v>
      </c>
      <c r="E7" s="25" t="s">
        <v>299</v>
      </c>
      <c r="F7" s="25" t="s">
        <v>300</v>
      </c>
      <c r="G7" s="25" t="s">
        <v>279</v>
      </c>
    </row>
    <row r="8" ht="15" customHeight="1">
      <c r="A8" s="25" t="s">
        <v>301</v>
      </c>
      <c r="B8" s="25" t="s">
        <v>302</v>
      </c>
      <c r="C8" s="25" t="s">
        <v>166</v>
      </c>
      <c r="D8" s="25" t="s">
        <v>303</v>
      </c>
      <c r="E8" s="25" t="s">
        <v>304</v>
      </c>
      <c r="F8" s="25" t="s">
        <v>305</v>
      </c>
      <c r="G8" s="25" t="s">
        <v>291</v>
      </c>
    </row>
    <row r="9" ht="15" customHeight="1">
      <c r="A9" s="25" t="s">
        <v>306</v>
      </c>
      <c r="B9" s="25" t="s">
        <v>307</v>
      </c>
      <c r="C9" s="25" t="s">
        <v>29</v>
      </c>
      <c r="D9" s="25" t="s">
        <v>308</v>
      </c>
      <c r="E9" s="25" t="s">
        <v>309</v>
      </c>
      <c r="F9" s="25" t="s">
        <v>310</v>
      </c>
      <c r="G9" s="25" t="s">
        <v>285</v>
      </c>
    </row>
    <row r="10" ht="15" customHeight="1">
      <c r="A10" s="25" t="s">
        <v>311</v>
      </c>
      <c r="B10" s="25" t="s">
        <v>312</v>
      </c>
      <c r="C10" s="25" t="s">
        <v>176</v>
      </c>
      <c r="D10" s="25" t="s">
        <v>303</v>
      </c>
      <c r="E10" s="25" t="s">
        <v>313</v>
      </c>
      <c r="F10" s="25" t="s">
        <v>314</v>
      </c>
      <c r="G10" s="25" t="s">
        <v>274</v>
      </c>
    </row>
    <row r="11" ht="15" customHeight="1">
      <c r="A11" s="25" t="s">
        <v>315</v>
      </c>
      <c r="B11" s="25" t="s">
        <v>316</v>
      </c>
      <c r="C11" s="25" t="s">
        <v>188</v>
      </c>
      <c r="D11" s="25" t="s">
        <v>271</v>
      </c>
      <c r="E11" s="25" t="s">
        <v>317</v>
      </c>
      <c r="F11" s="25" t="s">
        <v>318</v>
      </c>
      <c r="G11" s="25" t="s">
        <v>291</v>
      </c>
    </row>
    <row r="12" ht="15" customHeight="1">
      <c r="A12" s="25" t="s">
        <v>319</v>
      </c>
      <c r="B12" s="25" t="s">
        <v>320</v>
      </c>
      <c r="C12" s="25" t="s">
        <v>188</v>
      </c>
      <c r="D12" s="25" t="s">
        <v>321</v>
      </c>
      <c r="E12" s="25" t="s">
        <v>322</v>
      </c>
      <c r="F12" s="25" t="s">
        <v>323</v>
      </c>
      <c r="G12" s="25" t="s">
        <v>279</v>
      </c>
    </row>
    <row r="13" ht="15" customHeight="1">
      <c r="A13" s="25" t="s">
        <v>324</v>
      </c>
      <c r="B13" s="25" t="s">
        <v>325</v>
      </c>
      <c r="C13" s="25" t="s">
        <v>188</v>
      </c>
      <c r="D13" s="25" t="s">
        <v>271</v>
      </c>
      <c r="E13" s="25" t="s">
        <v>326</v>
      </c>
      <c r="F13" s="25" t="s">
        <v>327</v>
      </c>
      <c r="G13" s="25" t="s">
        <v>274</v>
      </c>
    </row>
    <row r="14" ht="15" customHeight="1">
      <c r="A14" s="25" t="s">
        <v>328</v>
      </c>
      <c r="B14" s="25" t="s">
        <v>329</v>
      </c>
      <c r="C14" s="25" t="s">
        <v>192</v>
      </c>
      <c r="D14" s="25" t="s">
        <v>330</v>
      </c>
      <c r="E14" s="25" t="s">
        <v>331</v>
      </c>
      <c r="F14" s="25" t="s">
        <v>332</v>
      </c>
      <c r="G14" s="25" t="s">
        <v>291</v>
      </c>
    </row>
    <row r="15" ht="15" customHeight="1">
      <c r="A15" s="25" t="s">
        <v>333</v>
      </c>
      <c r="B15" s="25" t="s">
        <v>334</v>
      </c>
      <c r="C15" s="25" t="s">
        <v>192</v>
      </c>
      <c r="D15" s="25" t="s">
        <v>335</v>
      </c>
      <c r="E15" s="25" t="s">
        <v>336</v>
      </c>
      <c r="F15" s="25" t="s">
        <v>337</v>
      </c>
      <c r="G15" s="25" t="s">
        <v>285</v>
      </c>
    </row>
    <row r="16" ht="15" customHeight="1">
      <c r="A16" s="25" t="s">
        <v>338</v>
      </c>
      <c r="B16" s="25" t="s">
        <v>339</v>
      </c>
      <c r="C16" s="25" t="s">
        <v>192</v>
      </c>
      <c r="D16" s="25" t="s">
        <v>330</v>
      </c>
      <c r="E16" s="25" t="s">
        <v>340</v>
      </c>
      <c r="F16" s="25" t="s">
        <v>341</v>
      </c>
      <c r="G16" s="25" t="s">
        <v>274</v>
      </c>
    </row>
    <row r="17" ht="15" customHeight="1">
      <c r="A17" s="25" t="s">
        <v>342</v>
      </c>
      <c r="B17" s="25" t="s">
        <v>343</v>
      </c>
      <c r="C17" s="25" t="s">
        <v>195</v>
      </c>
      <c r="D17" s="25" t="s">
        <v>344</v>
      </c>
      <c r="E17" s="25" t="s">
        <v>345</v>
      </c>
      <c r="F17" s="25" t="s">
        <v>346</v>
      </c>
      <c r="G17" s="25" t="s">
        <v>291</v>
      </c>
    </row>
    <row r="18" ht="15" customHeight="1">
      <c r="A18" s="25" t="s">
        <v>347</v>
      </c>
      <c r="B18" s="25" t="s">
        <v>348</v>
      </c>
      <c r="C18" s="25" t="s">
        <v>195</v>
      </c>
      <c r="D18" s="25" t="s">
        <v>349</v>
      </c>
      <c r="E18" s="25" t="s">
        <v>350</v>
      </c>
      <c r="F18" s="25" t="s">
        <v>351</v>
      </c>
      <c r="G18" s="25" t="s">
        <v>279</v>
      </c>
    </row>
    <row r="19" ht="15" customHeight="1">
      <c r="A19" s="25" t="s">
        <v>352</v>
      </c>
      <c r="B19" s="25" t="s">
        <v>353</v>
      </c>
      <c r="C19" s="25" t="s">
        <v>195</v>
      </c>
      <c r="D19" s="25" t="s">
        <v>344</v>
      </c>
      <c r="E19" s="25" t="s">
        <v>354</v>
      </c>
      <c r="F19" s="25" t="s">
        <v>355</v>
      </c>
      <c r="G19" s="25" t="s">
        <v>274</v>
      </c>
    </row>
    <row r="20" ht="15" customHeight="1">
      <c r="A20" s="25" t="s">
        <v>356</v>
      </c>
      <c r="B20" s="25" t="s">
        <v>357</v>
      </c>
      <c r="C20" s="25" t="s">
        <v>182</v>
      </c>
      <c r="D20" s="25" t="s">
        <v>358</v>
      </c>
      <c r="E20" s="25" t="s">
        <v>359</v>
      </c>
      <c r="F20" s="25" t="s">
        <v>360</v>
      </c>
      <c r="G20" s="25" t="s">
        <v>291</v>
      </c>
    </row>
    <row r="21" ht="15" customHeight="1">
      <c r="A21" s="25" t="s">
        <v>361</v>
      </c>
      <c r="B21" s="25" t="s">
        <v>362</v>
      </c>
      <c r="C21" s="25" t="s">
        <v>185</v>
      </c>
      <c r="D21" s="25" t="s">
        <v>363</v>
      </c>
      <c r="E21" s="25" t="s">
        <v>364</v>
      </c>
      <c r="F21" s="25" t="s">
        <v>365</v>
      </c>
      <c r="G21" s="25" t="s">
        <v>285</v>
      </c>
    </row>
    <row r="22" ht="15" customHeight="1">
      <c r="A22" s="25" t="s">
        <v>366</v>
      </c>
      <c r="B22" s="25" t="s">
        <v>367</v>
      </c>
      <c r="C22" s="25" t="s">
        <v>182</v>
      </c>
      <c r="D22" s="25" t="s">
        <v>368</v>
      </c>
      <c r="E22" s="25" t="s">
        <v>369</v>
      </c>
      <c r="F22" s="25" t="s">
        <v>370</v>
      </c>
      <c r="G22" s="25" t="s">
        <v>274</v>
      </c>
    </row>
    <row r="23" ht="15" customHeight="1">
      <c r="A23" s="25" t="s">
        <v>371</v>
      </c>
      <c r="B23" s="25" t="s">
        <v>372</v>
      </c>
      <c r="C23" s="25" t="s">
        <v>166</v>
      </c>
      <c r="D23" s="25" t="s">
        <v>373</v>
      </c>
      <c r="E23" s="25" t="s">
        <v>374</v>
      </c>
      <c r="F23" s="25" t="s">
        <v>375</v>
      </c>
      <c r="G23" s="25" t="s">
        <v>291</v>
      </c>
    </row>
    <row r="24" ht="15" customHeight="1">
      <c r="A24" s="25" t="s">
        <v>376</v>
      </c>
      <c r="B24" s="25" t="s">
        <v>377</v>
      </c>
      <c r="C24" s="25" t="s">
        <v>29</v>
      </c>
      <c r="D24" s="25" t="s">
        <v>378</v>
      </c>
      <c r="E24" s="25" t="s">
        <v>379</v>
      </c>
      <c r="F24" s="25" t="s">
        <v>380</v>
      </c>
      <c r="G24" s="25" t="s">
        <v>279</v>
      </c>
    </row>
    <row r="25" ht="15" customHeight="1">
      <c r="A25" s="25" t="s">
        <v>381</v>
      </c>
      <c r="B25" s="25" t="s">
        <v>382</v>
      </c>
      <c r="C25" s="25" t="s">
        <v>176</v>
      </c>
      <c r="D25" s="25" t="s">
        <v>383</v>
      </c>
      <c r="E25" s="25" t="s">
        <v>384</v>
      </c>
      <c r="F25" s="25" t="s">
        <v>385</v>
      </c>
      <c r="G25" s="25" t="s">
        <v>274</v>
      </c>
    </row>
    <row r="26" ht="15" customHeight="1">
      <c r="A26" s="25" t="s">
        <v>386</v>
      </c>
      <c r="B26" s="25" t="s">
        <v>387</v>
      </c>
      <c r="C26" s="25" t="s">
        <v>199</v>
      </c>
      <c r="D26" s="25" t="s">
        <v>303</v>
      </c>
      <c r="E26" s="25" t="s">
        <v>388</v>
      </c>
      <c r="F26" s="25" t="s">
        <v>389</v>
      </c>
      <c r="G26" s="25" t="s">
        <v>291</v>
      </c>
    </row>
    <row r="27" ht="15" customHeight="1">
      <c r="A27" s="25" t="s">
        <v>390</v>
      </c>
      <c r="B27" s="25" t="s">
        <v>391</v>
      </c>
      <c r="C27" s="25" t="s">
        <v>199</v>
      </c>
      <c r="D27" s="25" t="s">
        <v>392</v>
      </c>
      <c r="E27" s="25" t="s">
        <v>393</v>
      </c>
      <c r="F27" s="25" t="s">
        <v>394</v>
      </c>
      <c r="G27" s="25" t="s">
        <v>285</v>
      </c>
    </row>
    <row r="28" ht="15" customHeight="1">
      <c r="A28" s="25" t="s">
        <v>395</v>
      </c>
      <c r="B28" s="25" t="s">
        <v>396</v>
      </c>
      <c r="C28" s="25" t="s">
        <v>199</v>
      </c>
      <c r="D28" s="25" t="s">
        <v>303</v>
      </c>
      <c r="E28" s="25" t="s">
        <v>397</v>
      </c>
      <c r="F28" s="25" t="s">
        <v>398</v>
      </c>
      <c r="G28" s="25" t="s">
        <v>274</v>
      </c>
    </row>
    <row r="29" ht="15" customHeight="1">
      <c r="A29" s="25" t="s">
        <v>399</v>
      </c>
      <c r="B29" s="25" t="s">
        <v>400</v>
      </c>
      <c r="C29" s="25" t="s">
        <v>201</v>
      </c>
      <c r="D29" s="25" t="s">
        <v>401</v>
      </c>
      <c r="E29" s="25" t="s">
        <v>402</v>
      </c>
      <c r="F29" s="25" t="s">
        <v>403</v>
      </c>
      <c r="G29" s="25" t="s">
        <v>291</v>
      </c>
    </row>
    <row r="30" ht="15" customHeight="1">
      <c r="A30" s="25" t="s">
        <v>404</v>
      </c>
      <c r="B30" s="25" t="s">
        <v>405</v>
      </c>
      <c r="C30" s="25" t="s">
        <v>201</v>
      </c>
      <c r="D30" s="25" t="s">
        <v>406</v>
      </c>
      <c r="E30" s="25" t="s">
        <v>407</v>
      </c>
      <c r="F30" s="25" t="s">
        <v>408</v>
      </c>
      <c r="G30" s="25" t="s">
        <v>279</v>
      </c>
    </row>
    <row r="31" ht="15" customHeight="1">
      <c r="A31" s="25" t="s">
        <v>409</v>
      </c>
      <c r="B31" s="25" t="s">
        <v>410</v>
      </c>
      <c r="C31" s="25" t="s">
        <v>201</v>
      </c>
      <c r="D31" s="25" t="s">
        <v>411</v>
      </c>
      <c r="E31" s="25" t="s">
        <v>412</v>
      </c>
      <c r="F31" s="25" t="s">
        <v>413</v>
      </c>
      <c r="G31" s="25" t="s">
        <v>274</v>
      </c>
    </row>
    <row r="32" ht="15" customHeight="1">
      <c r="A32" s="25" t="s">
        <v>414</v>
      </c>
      <c r="B32" s="25" t="s">
        <v>415</v>
      </c>
      <c r="C32" s="25" t="s">
        <v>201</v>
      </c>
      <c r="D32" s="25" t="s">
        <v>401</v>
      </c>
      <c r="E32" s="25" t="s">
        <v>416</v>
      </c>
      <c r="F32" s="25" t="s">
        <v>417</v>
      </c>
      <c r="G32" s="25" t="s">
        <v>291</v>
      </c>
    </row>
    <row r="33" ht="15" customHeight="1">
      <c r="A33" s="25" t="s">
        <v>418</v>
      </c>
      <c r="B33" s="25" t="s">
        <v>419</v>
      </c>
      <c r="C33" s="25" t="s">
        <v>201</v>
      </c>
      <c r="D33" s="25" t="s">
        <v>406</v>
      </c>
      <c r="E33" s="25" t="s">
        <v>420</v>
      </c>
      <c r="F33" s="25" t="s">
        <v>421</v>
      </c>
      <c r="G33" s="25" t="s">
        <v>285</v>
      </c>
    </row>
    <row r="34" ht="15" customHeight="1">
      <c r="A34" s="25" t="s">
        <v>422</v>
      </c>
      <c r="B34" s="25" t="s">
        <v>423</v>
      </c>
      <c r="C34" s="25" t="s">
        <v>201</v>
      </c>
      <c r="D34" s="25" t="s">
        <v>411</v>
      </c>
      <c r="E34" s="25" t="s">
        <v>424</v>
      </c>
      <c r="F34" s="25" t="s">
        <v>425</v>
      </c>
      <c r="G34" s="25" t="s">
        <v>274</v>
      </c>
    </row>
    <row r="35" ht="15" customHeight="1">
      <c r="A35" s="25" t="s">
        <v>426</v>
      </c>
      <c r="B35" s="25" t="s">
        <v>427</v>
      </c>
      <c r="C35" s="25" t="s">
        <v>188</v>
      </c>
      <c r="D35" s="25" t="s">
        <v>428</v>
      </c>
      <c r="E35" s="25" t="s">
        <v>429</v>
      </c>
      <c r="F35" s="25" t="s">
        <v>430</v>
      </c>
      <c r="G35" s="25" t="s">
        <v>291</v>
      </c>
    </row>
    <row r="36" ht="15" customHeight="1">
      <c r="A36" s="25" t="s">
        <v>431</v>
      </c>
      <c r="B36" s="25" t="s">
        <v>432</v>
      </c>
      <c r="C36" s="25" t="s">
        <v>188</v>
      </c>
      <c r="D36" s="25" t="s">
        <v>433</v>
      </c>
      <c r="E36" s="25" t="s">
        <v>434</v>
      </c>
      <c r="F36" s="25" t="s">
        <v>435</v>
      </c>
      <c r="G36" s="25" t="s">
        <v>279</v>
      </c>
    </row>
    <row r="37" ht="15" customHeight="1">
      <c r="A37" s="25" t="s">
        <v>436</v>
      </c>
      <c r="B37" s="25" t="s">
        <v>437</v>
      </c>
      <c r="C37" s="25" t="s">
        <v>188</v>
      </c>
      <c r="D37" s="25" t="s">
        <v>438</v>
      </c>
      <c r="E37" s="25" t="s">
        <v>439</v>
      </c>
      <c r="F37" s="25" t="s">
        <v>397</v>
      </c>
      <c r="G37" s="25" t="s">
        <v>274</v>
      </c>
    </row>
    <row r="38" ht="15" customHeight="1">
      <c r="A38" s="25" t="s">
        <v>440</v>
      </c>
      <c r="B38" s="25" t="s">
        <v>441</v>
      </c>
      <c r="C38" s="25" t="s">
        <v>203</v>
      </c>
      <c r="D38" s="25" t="s">
        <v>271</v>
      </c>
      <c r="E38" s="25" t="s">
        <v>442</v>
      </c>
      <c r="F38" s="25" t="s">
        <v>443</v>
      </c>
      <c r="G38" s="25" t="s">
        <v>291</v>
      </c>
    </row>
    <row r="39" ht="15" customHeight="1">
      <c r="A39" s="25" t="s">
        <v>444</v>
      </c>
      <c r="B39" s="25" t="s">
        <v>445</v>
      </c>
      <c r="C39" s="25" t="s">
        <v>203</v>
      </c>
      <c r="D39" s="25" t="s">
        <v>321</v>
      </c>
      <c r="E39" s="25" t="s">
        <v>446</v>
      </c>
      <c r="F39" s="25" t="s">
        <v>447</v>
      </c>
      <c r="G39" s="25" t="s">
        <v>285</v>
      </c>
    </row>
    <row r="40" ht="15" customHeight="1">
      <c r="A40" s="25" t="s">
        <v>448</v>
      </c>
      <c r="B40" s="25" t="s">
        <v>449</v>
      </c>
      <c r="C40" s="25" t="s">
        <v>203</v>
      </c>
      <c r="D40" s="25" t="s">
        <v>282</v>
      </c>
      <c r="E40" s="25" t="s">
        <v>450</v>
      </c>
      <c r="F40" s="25" t="s">
        <v>451</v>
      </c>
      <c r="G40" s="25" t="s">
        <v>274</v>
      </c>
    </row>
    <row r="41" ht="15" customHeight="1">
      <c r="A41" s="25" t="s">
        <v>452</v>
      </c>
      <c r="B41" s="25" t="s">
        <v>453</v>
      </c>
      <c r="C41" s="25" t="s">
        <v>182</v>
      </c>
      <c r="D41" s="25" t="s">
        <v>454</v>
      </c>
      <c r="E41" s="25" t="s">
        <v>331</v>
      </c>
      <c r="F41" s="25" t="s">
        <v>455</v>
      </c>
      <c r="G41" s="25" t="s">
        <v>291</v>
      </c>
    </row>
    <row r="42" ht="15" customHeight="1">
      <c r="A42" s="25" t="s">
        <v>456</v>
      </c>
      <c r="B42" s="25" t="s">
        <v>457</v>
      </c>
      <c r="C42" s="25" t="s">
        <v>185</v>
      </c>
      <c r="D42" s="25" t="s">
        <v>458</v>
      </c>
      <c r="E42" s="25" t="s">
        <v>336</v>
      </c>
      <c r="F42" s="25" t="s">
        <v>459</v>
      </c>
      <c r="G42" s="25" t="s">
        <v>279</v>
      </c>
    </row>
    <row r="43" ht="15" customHeight="1">
      <c r="A43" s="25" t="s">
        <v>460</v>
      </c>
      <c r="B43" s="25" t="s">
        <v>461</v>
      </c>
      <c r="C43" s="25" t="s">
        <v>182</v>
      </c>
      <c r="D43" s="25" t="s">
        <v>462</v>
      </c>
      <c r="E43" s="25" t="s">
        <v>340</v>
      </c>
      <c r="F43" s="25" t="s">
        <v>463</v>
      </c>
      <c r="G43" s="25" t="s">
        <v>274</v>
      </c>
    </row>
    <row r="44" ht="15" customHeight="1">
      <c r="A44" s="25" t="s">
        <v>464</v>
      </c>
      <c r="B44" s="25" t="s">
        <v>465</v>
      </c>
      <c r="C44" s="25" t="s">
        <v>192</v>
      </c>
      <c r="D44" s="25" t="s">
        <v>466</v>
      </c>
      <c r="E44" s="25" t="s">
        <v>467</v>
      </c>
      <c r="F44" s="25" t="s">
        <v>468</v>
      </c>
      <c r="G44" s="25" t="s">
        <v>291</v>
      </c>
    </row>
    <row r="45" ht="15" customHeight="1">
      <c r="A45" s="25" t="s">
        <v>469</v>
      </c>
      <c r="B45" s="25" t="s">
        <v>470</v>
      </c>
      <c r="C45" s="25" t="s">
        <v>192</v>
      </c>
      <c r="D45" s="25" t="s">
        <v>349</v>
      </c>
      <c r="E45" s="25" t="s">
        <v>471</v>
      </c>
      <c r="F45" s="25" t="s">
        <v>472</v>
      </c>
      <c r="G45" s="25" t="s">
        <v>285</v>
      </c>
    </row>
    <row r="46" ht="15" customHeight="1">
      <c r="A46" s="25" t="s">
        <v>473</v>
      </c>
      <c r="B46" s="25" t="s">
        <v>474</v>
      </c>
      <c r="C46" s="25" t="s">
        <v>192</v>
      </c>
      <c r="D46" s="25" t="s">
        <v>344</v>
      </c>
      <c r="E46" s="25" t="s">
        <v>475</v>
      </c>
      <c r="F46" s="25" t="s">
        <v>370</v>
      </c>
      <c r="G46" s="25" t="s">
        <v>274</v>
      </c>
    </row>
    <row r="47" ht="15" customHeight="1">
      <c r="A47" s="25" t="s">
        <v>476</v>
      </c>
      <c r="B47" s="25" t="s">
        <v>477</v>
      </c>
      <c r="C47" s="25" t="s">
        <v>195</v>
      </c>
      <c r="D47" s="25" t="s">
        <v>271</v>
      </c>
      <c r="E47" s="25" t="s">
        <v>478</v>
      </c>
      <c r="F47" s="25" t="s">
        <v>479</v>
      </c>
      <c r="G47" s="25" t="s">
        <v>291</v>
      </c>
    </row>
    <row r="48" ht="15" customHeight="1">
      <c r="A48" s="25" t="s">
        <v>480</v>
      </c>
      <c r="B48" s="25" t="s">
        <v>481</v>
      </c>
      <c r="C48" s="25" t="s">
        <v>195</v>
      </c>
      <c r="D48" s="25" t="s">
        <v>321</v>
      </c>
      <c r="E48" s="25" t="s">
        <v>482</v>
      </c>
      <c r="F48" s="25" t="s">
        <v>483</v>
      </c>
      <c r="G48" s="25" t="s">
        <v>279</v>
      </c>
    </row>
    <row r="49" ht="15" customHeight="1">
      <c r="A49" s="25" t="s">
        <v>484</v>
      </c>
      <c r="B49" s="25" t="s">
        <v>485</v>
      </c>
      <c r="C49" s="25" t="s">
        <v>195</v>
      </c>
      <c r="D49" s="25" t="s">
        <v>282</v>
      </c>
      <c r="E49" s="25" t="s">
        <v>486</v>
      </c>
      <c r="F49" s="25" t="s">
        <v>487</v>
      </c>
      <c r="G49" s="25" t="s">
        <v>274</v>
      </c>
    </row>
    <row r="50" ht="15" customHeight="1">
      <c r="A50" s="25" t="s">
        <v>488</v>
      </c>
      <c r="B50" s="25" t="s">
        <v>489</v>
      </c>
      <c r="C50" s="25" t="s">
        <v>166</v>
      </c>
      <c r="D50" s="25" t="s">
        <v>490</v>
      </c>
      <c r="E50" s="25" t="s">
        <v>491</v>
      </c>
      <c r="F50" s="25" t="s">
        <v>492</v>
      </c>
      <c r="G50" s="25" t="s">
        <v>291</v>
      </c>
    </row>
    <row r="51" ht="15" customHeight="1">
      <c r="A51" s="25" t="s">
        <v>493</v>
      </c>
      <c r="B51" s="25" t="s">
        <v>494</v>
      </c>
      <c r="C51" s="25" t="s">
        <v>29</v>
      </c>
      <c r="D51" s="25" t="s">
        <v>495</v>
      </c>
      <c r="E51" s="25" t="s">
        <v>496</v>
      </c>
      <c r="F51" s="25" t="s">
        <v>497</v>
      </c>
      <c r="G51" s="25" t="s">
        <v>285</v>
      </c>
    </row>
    <row r="52" ht="15" customHeight="1">
      <c r="A52" s="25" t="s">
        <v>498</v>
      </c>
      <c r="B52" s="25" t="s">
        <v>499</v>
      </c>
      <c r="C52" s="25" t="s">
        <v>176</v>
      </c>
      <c r="D52" s="25" t="s">
        <v>500</v>
      </c>
      <c r="E52" s="25" t="s">
        <v>501</v>
      </c>
      <c r="F52" s="25" t="s">
        <v>326</v>
      </c>
      <c r="G52" s="25" t="s">
        <v>274</v>
      </c>
    </row>
    <row r="53" ht="15" customHeight="1">
      <c r="A53" s="25" t="s">
        <v>502</v>
      </c>
      <c r="B53" s="25" t="s">
        <v>503</v>
      </c>
      <c r="C53" s="25" t="s">
        <v>199</v>
      </c>
      <c r="D53" s="25" t="s">
        <v>330</v>
      </c>
      <c r="E53" s="25" t="s">
        <v>442</v>
      </c>
      <c r="F53" s="25" t="s">
        <v>504</v>
      </c>
      <c r="G53" s="25" t="s">
        <v>291</v>
      </c>
    </row>
    <row r="54" ht="15" customHeight="1">
      <c r="A54" s="25" t="s">
        <v>505</v>
      </c>
      <c r="B54" s="25" t="s">
        <v>506</v>
      </c>
      <c r="C54" s="25" t="s">
        <v>199</v>
      </c>
      <c r="D54" s="25" t="s">
        <v>335</v>
      </c>
      <c r="E54" s="25" t="s">
        <v>446</v>
      </c>
      <c r="F54" s="25" t="s">
        <v>507</v>
      </c>
      <c r="G54" s="25" t="s">
        <v>279</v>
      </c>
    </row>
    <row r="55" ht="15" customHeight="1">
      <c r="A55" s="25" t="s">
        <v>508</v>
      </c>
      <c r="B55" s="25" t="s">
        <v>509</v>
      </c>
      <c r="C55" s="25" t="s">
        <v>199</v>
      </c>
      <c r="D55" s="25" t="s">
        <v>330</v>
      </c>
      <c r="E55" s="25" t="s">
        <v>510</v>
      </c>
      <c r="F55" s="25" t="s">
        <v>511</v>
      </c>
      <c r="G55" s="25" t="s">
        <v>274</v>
      </c>
    </row>
    <row r="56" ht="15" customHeight="1">
      <c r="A56" s="25" t="s">
        <v>512</v>
      </c>
      <c r="B56" s="25" t="s">
        <v>513</v>
      </c>
      <c r="C56" s="25" t="s">
        <v>201</v>
      </c>
      <c r="D56" s="25" t="s">
        <v>514</v>
      </c>
      <c r="E56" s="25" t="s">
        <v>515</v>
      </c>
      <c r="F56" s="25" t="s">
        <v>516</v>
      </c>
      <c r="G56" s="25" t="s">
        <v>291</v>
      </c>
    </row>
    <row r="57" ht="15" customHeight="1">
      <c r="A57" s="25" t="s">
        <v>517</v>
      </c>
      <c r="B57" s="25" t="s">
        <v>518</v>
      </c>
      <c r="C57" s="25" t="s">
        <v>201</v>
      </c>
      <c r="D57" s="25" t="s">
        <v>519</v>
      </c>
      <c r="E57" s="25" t="s">
        <v>520</v>
      </c>
      <c r="F57" s="25" t="s">
        <v>413</v>
      </c>
      <c r="G57" s="25" t="s">
        <v>285</v>
      </c>
    </row>
    <row r="58" ht="15" customHeight="1">
      <c r="A58" s="25" t="s">
        <v>521</v>
      </c>
      <c r="B58" s="25" t="s">
        <v>522</v>
      </c>
      <c r="C58" s="25" t="s">
        <v>201</v>
      </c>
      <c r="D58" s="25" t="s">
        <v>514</v>
      </c>
      <c r="E58" s="25" t="s">
        <v>523</v>
      </c>
      <c r="F58" s="25" t="s">
        <v>524</v>
      </c>
      <c r="G58" s="25" t="s">
        <v>274</v>
      </c>
    </row>
    <row r="59" ht="15" customHeight="1">
      <c r="A59" s="25" t="s">
        <v>525</v>
      </c>
      <c r="B59" s="25" t="s">
        <v>526</v>
      </c>
      <c r="C59" s="25" t="s">
        <v>188</v>
      </c>
      <c r="D59" s="25" t="s">
        <v>303</v>
      </c>
      <c r="E59" s="25" t="s">
        <v>527</v>
      </c>
      <c r="F59" s="25" t="s">
        <v>528</v>
      </c>
      <c r="G59" s="25" t="s">
        <v>291</v>
      </c>
    </row>
    <row r="60" ht="15" customHeight="1">
      <c r="A60" s="25" t="s">
        <v>529</v>
      </c>
      <c r="B60" s="25" t="s">
        <v>530</v>
      </c>
      <c r="C60" s="25" t="s">
        <v>188</v>
      </c>
      <c r="D60" s="25" t="s">
        <v>392</v>
      </c>
      <c r="E60" s="25" t="s">
        <v>439</v>
      </c>
      <c r="F60" s="25" t="s">
        <v>531</v>
      </c>
      <c r="G60" s="25" t="s">
        <v>279</v>
      </c>
    </row>
    <row r="61" ht="15" customHeight="1">
      <c r="A61" s="25" t="s">
        <v>532</v>
      </c>
      <c r="B61" s="25" t="s">
        <v>533</v>
      </c>
      <c r="C61" s="25" t="s">
        <v>188</v>
      </c>
      <c r="D61" s="25" t="s">
        <v>308</v>
      </c>
      <c r="E61" s="25" t="s">
        <v>534</v>
      </c>
      <c r="F61" s="25" t="s">
        <v>535</v>
      </c>
      <c r="G61" s="25" t="s">
        <v>274</v>
      </c>
    </row>
    <row r="62" ht="15" customHeight="1">
      <c r="A62" s="25" t="s">
        <v>536</v>
      </c>
      <c r="B62" s="25" t="s">
        <v>537</v>
      </c>
      <c r="C62" s="25" t="s">
        <v>182</v>
      </c>
      <c r="D62" s="25" t="s">
        <v>538</v>
      </c>
      <c r="E62" s="25" t="s">
        <v>539</v>
      </c>
      <c r="F62" s="25" t="s">
        <v>540</v>
      </c>
      <c r="G62" s="25" t="s">
        <v>291</v>
      </c>
    </row>
    <row r="63" ht="15" customHeight="1">
      <c r="A63" s="25" t="s">
        <v>541</v>
      </c>
      <c r="B63" s="25" t="s">
        <v>542</v>
      </c>
      <c r="C63" s="25" t="s">
        <v>185</v>
      </c>
      <c r="D63" s="25" t="s">
        <v>543</v>
      </c>
      <c r="E63" s="25" t="s">
        <v>544</v>
      </c>
      <c r="F63" s="25" t="s">
        <v>545</v>
      </c>
      <c r="G63" s="25" t="s">
        <v>285</v>
      </c>
    </row>
    <row r="64" ht="15" customHeight="1">
      <c r="A64" s="25" t="s">
        <v>546</v>
      </c>
      <c r="B64" s="25" t="s">
        <v>547</v>
      </c>
      <c r="C64" s="25" t="s">
        <v>182</v>
      </c>
      <c r="D64" s="25" t="s">
        <v>538</v>
      </c>
      <c r="E64" s="25" t="s">
        <v>548</v>
      </c>
      <c r="F64" s="25" t="s">
        <v>549</v>
      </c>
      <c r="G64" s="25" t="s">
        <v>274</v>
      </c>
    </row>
    <row r="65" ht="15" customHeight="1">
      <c r="A65" s="25" t="s">
        <v>550</v>
      </c>
      <c r="B65" s="25" t="s">
        <v>551</v>
      </c>
      <c r="C65" s="25" t="s">
        <v>166</v>
      </c>
      <c r="D65" s="25" t="s">
        <v>552</v>
      </c>
      <c r="E65" s="25" t="s">
        <v>553</v>
      </c>
      <c r="F65" s="25" t="s">
        <v>554</v>
      </c>
      <c r="G65" s="25" t="s">
        <v>291</v>
      </c>
    </row>
    <row r="66" ht="15" customHeight="1">
      <c r="A66" s="25" t="s">
        <v>555</v>
      </c>
      <c r="B66" s="25" t="s">
        <v>556</v>
      </c>
      <c r="C66" s="25" t="s">
        <v>29</v>
      </c>
      <c r="D66" s="25" t="s">
        <v>557</v>
      </c>
      <c r="E66" s="25" t="s">
        <v>558</v>
      </c>
      <c r="F66" s="25" t="s">
        <v>559</v>
      </c>
      <c r="G66" s="25" t="s">
        <v>279</v>
      </c>
    </row>
    <row r="67" ht="15" customHeight="1">
      <c r="A67" s="25" t="s">
        <v>560</v>
      </c>
      <c r="B67" s="25" t="s">
        <v>561</v>
      </c>
      <c r="C67" s="25" t="s">
        <v>176</v>
      </c>
      <c r="D67" s="25" t="s">
        <v>562</v>
      </c>
      <c r="E67" s="25" t="s">
        <v>563</v>
      </c>
      <c r="F67" s="25" t="s">
        <v>564</v>
      </c>
      <c r="G67" s="25" t="s">
        <v>274</v>
      </c>
    </row>
    <row r="68" ht="15" customHeight="1">
      <c r="A68" s="25" t="s">
        <v>565</v>
      </c>
      <c r="B68" s="25" t="s">
        <v>566</v>
      </c>
      <c r="C68" s="25" t="s">
        <v>192</v>
      </c>
      <c r="D68" s="25" t="s">
        <v>567</v>
      </c>
      <c r="E68" s="25" t="s">
        <v>568</v>
      </c>
      <c r="F68" s="25" t="s">
        <v>569</v>
      </c>
      <c r="G68" s="25" t="s">
        <v>291</v>
      </c>
    </row>
    <row r="69" ht="15" customHeight="1">
      <c r="A69" s="25" t="s">
        <v>570</v>
      </c>
      <c r="B69" s="25" t="s">
        <v>571</v>
      </c>
      <c r="C69" s="25" t="s">
        <v>192</v>
      </c>
      <c r="D69" s="25" t="s">
        <v>572</v>
      </c>
      <c r="E69" s="25" t="s">
        <v>447</v>
      </c>
      <c r="F69" s="25" t="s">
        <v>573</v>
      </c>
      <c r="G69" s="25" t="s">
        <v>285</v>
      </c>
    </row>
    <row r="70" ht="15" customHeight="1">
      <c r="A70" s="25" t="s">
        <v>574</v>
      </c>
      <c r="B70" s="25" t="s">
        <v>575</v>
      </c>
      <c r="C70" s="25" t="s">
        <v>192</v>
      </c>
      <c r="D70" s="25" t="s">
        <v>567</v>
      </c>
      <c r="E70" s="25" t="s">
        <v>511</v>
      </c>
      <c r="F70" s="25" t="s">
        <v>576</v>
      </c>
      <c r="G70" s="25" t="s">
        <v>274</v>
      </c>
    </row>
    <row r="71" ht="15" customHeight="1">
      <c r="A71" s="25" t="s">
        <v>577</v>
      </c>
      <c r="B71" s="25" t="s">
        <v>578</v>
      </c>
      <c r="C71" s="25" t="s">
        <v>195</v>
      </c>
      <c r="D71" s="25" t="s">
        <v>579</v>
      </c>
      <c r="E71" s="25" t="s">
        <v>580</v>
      </c>
      <c r="F71" s="25" t="s">
        <v>581</v>
      </c>
      <c r="G71" s="25" t="s">
        <v>291</v>
      </c>
    </row>
    <row r="72" ht="15" customHeight="1">
      <c r="A72" s="25" t="s">
        <v>582</v>
      </c>
      <c r="B72" s="25" t="s">
        <v>583</v>
      </c>
      <c r="C72" s="25" t="s">
        <v>195</v>
      </c>
      <c r="D72" s="25" t="s">
        <v>584</v>
      </c>
      <c r="E72" s="25" t="s">
        <v>585</v>
      </c>
      <c r="F72" s="25" t="s">
        <v>586</v>
      </c>
      <c r="G72" s="25" t="s">
        <v>279</v>
      </c>
    </row>
    <row r="73" ht="15" customHeight="1">
      <c r="A73" s="25" t="s">
        <v>587</v>
      </c>
      <c r="B73" s="25" t="s">
        <v>588</v>
      </c>
      <c r="C73" s="25" t="s">
        <v>195</v>
      </c>
      <c r="D73" s="25" t="s">
        <v>589</v>
      </c>
      <c r="E73" s="25" t="s">
        <v>590</v>
      </c>
      <c r="F73" s="25" t="s">
        <v>591</v>
      </c>
      <c r="G73" s="25" t="s">
        <v>274</v>
      </c>
    </row>
    <row r="74" ht="15" customHeight="1">
      <c r="A74" s="25" t="s">
        <v>592</v>
      </c>
      <c r="B74" s="25" t="s">
        <v>593</v>
      </c>
      <c r="C74" s="25" t="s">
        <v>199</v>
      </c>
      <c r="D74" s="25" t="s">
        <v>594</v>
      </c>
      <c r="E74" s="25" t="s">
        <v>595</v>
      </c>
      <c r="F74" s="25" t="s">
        <v>596</v>
      </c>
      <c r="G74" s="25" t="s">
        <v>291</v>
      </c>
    </row>
    <row r="75" ht="15" customHeight="1">
      <c r="A75" s="25" t="s">
        <v>597</v>
      </c>
      <c r="B75" s="25" t="s">
        <v>598</v>
      </c>
      <c r="C75" s="25" t="s">
        <v>199</v>
      </c>
      <c r="D75" s="25" t="s">
        <v>599</v>
      </c>
      <c r="E75" s="25" t="s">
        <v>600</v>
      </c>
      <c r="F75" s="25" t="s">
        <v>601</v>
      </c>
      <c r="G75" s="25" t="s">
        <v>285</v>
      </c>
    </row>
    <row r="76" ht="15" customHeight="1">
      <c r="A76" s="25" t="s">
        <v>602</v>
      </c>
      <c r="B76" s="25" t="s">
        <v>603</v>
      </c>
      <c r="C76" s="25" t="s">
        <v>199</v>
      </c>
      <c r="D76" s="25" t="s">
        <v>604</v>
      </c>
      <c r="E76" s="25" t="s">
        <v>497</v>
      </c>
      <c r="F76" s="25" t="s">
        <v>539</v>
      </c>
      <c r="G76" s="25" t="s">
        <v>274</v>
      </c>
    </row>
    <row r="77" ht="15" customHeight="1">
      <c r="A77" s="25" t="s">
        <v>605</v>
      </c>
      <c r="B77" s="25" t="s">
        <v>606</v>
      </c>
      <c r="C77" s="25" t="s">
        <v>201</v>
      </c>
      <c r="D77" s="25" t="s">
        <v>607</v>
      </c>
      <c r="E77" s="25" t="s">
        <v>608</v>
      </c>
      <c r="F77" s="25" t="s">
        <v>609</v>
      </c>
      <c r="G77" s="25" t="s">
        <v>291</v>
      </c>
    </row>
    <row r="78" ht="15" customHeight="1">
      <c r="A78" s="25" t="s">
        <v>610</v>
      </c>
      <c r="B78" s="25" t="s">
        <v>611</v>
      </c>
      <c r="C78" s="25" t="s">
        <v>201</v>
      </c>
      <c r="D78" s="25" t="s">
        <v>612</v>
      </c>
      <c r="E78" s="25" t="s">
        <v>613</v>
      </c>
      <c r="F78" s="25" t="s">
        <v>590</v>
      </c>
      <c r="G78" s="25" t="s">
        <v>279</v>
      </c>
    </row>
    <row r="79" ht="15" customHeight="1">
      <c r="A79" s="25" t="s">
        <v>614</v>
      </c>
      <c r="B79" s="25" t="s">
        <v>615</v>
      </c>
      <c r="C79" s="25" t="s">
        <v>201</v>
      </c>
      <c r="D79" s="25" t="s">
        <v>616</v>
      </c>
      <c r="E79" s="25" t="s">
        <v>617</v>
      </c>
      <c r="F79" s="25" t="s">
        <v>618</v>
      </c>
      <c r="G79" s="25" t="s">
        <v>274</v>
      </c>
    </row>
    <row r="80" ht="15" customHeight="1">
      <c r="A80" s="25" t="s">
        <v>619</v>
      </c>
      <c r="B80" s="25" t="s">
        <v>620</v>
      </c>
      <c r="C80" s="25" t="s">
        <v>188</v>
      </c>
      <c r="D80" s="25" t="s">
        <v>358</v>
      </c>
      <c r="E80" s="25" t="s">
        <v>621</v>
      </c>
      <c r="F80" s="25" t="s">
        <v>622</v>
      </c>
      <c r="G80" s="25" t="s">
        <v>291</v>
      </c>
    </row>
    <row r="81" ht="15" customHeight="1">
      <c r="A81" s="25" t="s">
        <v>623</v>
      </c>
      <c r="B81" s="25" t="s">
        <v>624</v>
      </c>
      <c r="C81" s="25" t="s">
        <v>188</v>
      </c>
      <c r="D81" s="25" t="s">
        <v>363</v>
      </c>
      <c r="E81" s="25" t="s">
        <v>625</v>
      </c>
      <c r="F81" s="25" t="s">
        <v>626</v>
      </c>
      <c r="G81" s="25" t="s">
        <v>285</v>
      </c>
    </row>
    <row r="82" ht="15" customHeight="1">
      <c r="A82" s="25" t="s">
        <v>627</v>
      </c>
      <c r="B82" s="25" t="s">
        <v>628</v>
      </c>
      <c r="C82" s="25" t="s">
        <v>188</v>
      </c>
      <c r="D82" s="25" t="s">
        <v>368</v>
      </c>
      <c r="E82" s="25" t="s">
        <v>629</v>
      </c>
      <c r="F82" s="25" t="s">
        <v>630</v>
      </c>
      <c r="G82" s="25" t="s">
        <v>274</v>
      </c>
    </row>
    <row r="83" ht="15" customHeight="1">
      <c r="A83" s="25" t="s">
        <v>631</v>
      </c>
      <c r="B83" s="25" t="s">
        <v>632</v>
      </c>
      <c r="C83" s="25" t="s">
        <v>203</v>
      </c>
      <c r="D83" s="25" t="s">
        <v>303</v>
      </c>
      <c r="E83" s="25" t="s">
        <v>633</v>
      </c>
      <c r="F83" s="25" t="s">
        <v>634</v>
      </c>
      <c r="G83" s="25" t="s">
        <v>291</v>
      </c>
    </row>
    <row r="84" ht="15" customHeight="1">
      <c r="A84" s="25" t="s">
        <v>635</v>
      </c>
      <c r="B84" s="25" t="s">
        <v>636</v>
      </c>
      <c r="C84" s="25" t="s">
        <v>203</v>
      </c>
      <c r="D84" s="25" t="s">
        <v>392</v>
      </c>
      <c r="E84" s="25" t="s">
        <v>637</v>
      </c>
      <c r="F84" s="25" t="s">
        <v>638</v>
      </c>
      <c r="G84" s="25" t="s">
        <v>279</v>
      </c>
    </row>
    <row r="85" ht="15" customHeight="1">
      <c r="A85" s="25" t="s">
        <v>639</v>
      </c>
      <c r="B85" s="25" t="s">
        <v>640</v>
      </c>
      <c r="C85" s="25" t="s">
        <v>203</v>
      </c>
      <c r="D85" s="25" t="s">
        <v>308</v>
      </c>
      <c r="E85" s="25" t="s">
        <v>641</v>
      </c>
      <c r="F85" s="25" t="s">
        <v>439</v>
      </c>
      <c r="G85" s="25" t="s">
        <v>274</v>
      </c>
    </row>
    <row r="86" ht="15" customHeight="1">
      <c r="A86" s="25" t="s">
        <v>642</v>
      </c>
      <c r="B86" s="25" t="s">
        <v>643</v>
      </c>
      <c r="C86" s="25" t="s">
        <v>182</v>
      </c>
      <c r="D86" s="25" t="s">
        <v>644</v>
      </c>
      <c r="E86" s="25" t="s">
        <v>645</v>
      </c>
      <c r="F86" s="25" t="s">
        <v>646</v>
      </c>
      <c r="G86" s="25" t="s">
        <v>291</v>
      </c>
    </row>
    <row r="87" ht="15" customHeight="1">
      <c r="A87" s="25" t="s">
        <v>647</v>
      </c>
      <c r="B87" s="25" t="s">
        <v>648</v>
      </c>
      <c r="C87" s="25" t="s">
        <v>185</v>
      </c>
      <c r="D87" s="25" t="s">
        <v>294</v>
      </c>
      <c r="E87" s="25" t="s">
        <v>314</v>
      </c>
      <c r="F87" s="25" t="s">
        <v>649</v>
      </c>
      <c r="G87" s="25" t="s">
        <v>285</v>
      </c>
    </row>
    <row r="88" ht="15" customHeight="1">
      <c r="A88" s="25" t="s">
        <v>650</v>
      </c>
      <c r="B88" s="25" t="s">
        <v>651</v>
      </c>
      <c r="C88" s="25" t="s">
        <v>182</v>
      </c>
      <c r="D88" s="25" t="s">
        <v>288</v>
      </c>
      <c r="E88" s="25" t="s">
        <v>652</v>
      </c>
      <c r="F88" s="25" t="s">
        <v>576</v>
      </c>
      <c r="G88" s="25" t="s">
        <v>274</v>
      </c>
    </row>
    <row r="89" ht="15" customHeight="1">
      <c r="A89" s="25" t="s">
        <v>653</v>
      </c>
      <c r="B89" s="25" t="s">
        <v>654</v>
      </c>
      <c r="C89" s="25" t="s">
        <v>192</v>
      </c>
      <c r="D89" s="25" t="s">
        <v>373</v>
      </c>
      <c r="E89" s="25" t="s">
        <v>374</v>
      </c>
      <c r="F89" s="25" t="s">
        <v>492</v>
      </c>
      <c r="G89" s="25" t="s">
        <v>291</v>
      </c>
    </row>
    <row r="90" ht="15" customHeight="1">
      <c r="A90" s="25" t="s">
        <v>655</v>
      </c>
      <c r="B90" s="25" t="s">
        <v>656</v>
      </c>
      <c r="C90" s="25" t="s">
        <v>192</v>
      </c>
      <c r="D90" s="25" t="s">
        <v>378</v>
      </c>
      <c r="E90" s="25" t="s">
        <v>657</v>
      </c>
      <c r="F90" s="25" t="s">
        <v>497</v>
      </c>
      <c r="G90" s="25" t="s">
        <v>279</v>
      </c>
    </row>
    <row r="91" ht="15" customHeight="1">
      <c r="A91" s="25" t="s">
        <v>658</v>
      </c>
      <c r="B91" s="25" t="s">
        <v>659</v>
      </c>
      <c r="C91" s="25" t="s">
        <v>192</v>
      </c>
      <c r="D91" s="25" t="s">
        <v>383</v>
      </c>
      <c r="E91" s="25" t="s">
        <v>660</v>
      </c>
      <c r="F91" s="25" t="s">
        <v>661</v>
      </c>
      <c r="G91" s="25" t="s">
        <v>274</v>
      </c>
    </row>
    <row r="92" ht="15" customHeight="1">
      <c r="A92" s="25" t="s">
        <v>662</v>
      </c>
      <c r="B92" s="25" t="s">
        <v>663</v>
      </c>
      <c r="C92" s="25" t="s">
        <v>195</v>
      </c>
      <c r="D92" s="25" t="s">
        <v>664</v>
      </c>
      <c r="E92" s="25" t="s">
        <v>665</v>
      </c>
      <c r="F92" s="25" t="s">
        <v>403</v>
      </c>
      <c r="G92" s="25" t="s">
        <v>291</v>
      </c>
    </row>
    <row r="93" ht="15" customHeight="1">
      <c r="A93" s="25" t="s">
        <v>666</v>
      </c>
      <c r="B93" s="25" t="s">
        <v>667</v>
      </c>
      <c r="C93" s="25" t="s">
        <v>195</v>
      </c>
      <c r="D93" s="25" t="s">
        <v>668</v>
      </c>
      <c r="E93" s="25" t="s">
        <v>402</v>
      </c>
      <c r="F93" s="25" t="s">
        <v>425</v>
      </c>
      <c r="G93" s="25" t="s">
        <v>285</v>
      </c>
    </row>
    <row r="94" ht="15" customHeight="1">
      <c r="A94" s="25" t="s">
        <v>669</v>
      </c>
      <c r="B94" s="25" t="s">
        <v>670</v>
      </c>
      <c r="C94" s="25" t="s">
        <v>195</v>
      </c>
      <c r="D94" s="25" t="s">
        <v>671</v>
      </c>
      <c r="E94" s="25" t="s">
        <v>515</v>
      </c>
      <c r="F94" s="25" t="s">
        <v>413</v>
      </c>
      <c r="G94" s="25" t="s">
        <v>274</v>
      </c>
    </row>
    <row r="95" ht="15" customHeight="1">
      <c r="A95" s="25" t="s">
        <v>672</v>
      </c>
      <c r="B95" s="25" t="s">
        <v>673</v>
      </c>
      <c r="C95" s="25" t="s">
        <v>199</v>
      </c>
      <c r="D95" s="25" t="s">
        <v>454</v>
      </c>
      <c r="E95" s="25" t="s">
        <v>674</v>
      </c>
      <c r="F95" s="25" t="s">
        <v>675</v>
      </c>
      <c r="G95" s="25" t="s">
        <v>291</v>
      </c>
    </row>
    <row r="96" ht="15" customHeight="1">
      <c r="A96" s="25" t="s">
        <v>676</v>
      </c>
      <c r="B96" s="25" t="s">
        <v>677</v>
      </c>
      <c r="C96" s="25" t="s">
        <v>199</v>
      </c>
      <c r="D96" s="25" t="s">
        <v>458</v>
      </c>
      <c r="E96" s="25" t="s">
        <v>678</v>
      </c>
      <c r="F96" s="25" t="s">
        <v>679</v>
      </c>
      <c r="G96" s="25" t="s">
        <v>279</v>
      </c>
    </row>
    <row r="97" ht="15" customHeight="1">
      <c r="A97" s="25" t="s">
        <v>680</v>
      </c>
      <c r="B97" s="25" t="s">
        <v>681</v>
      </c>
      <c r="C97" s="25" t="s">
        <v>199</v>
      </c>
      <c r="D97" s="25" t="s">
        <v>462</v>
      </c>
      <c r="E97" s="25" t="s">
        <v>435</v>
      </c>
      <c r="F97" s="25" t="s">
        <v>682</v>
      </c>
      <c r="G97" s="25" t="s">
        <v>274</v>
      </c>
    </row>
    <row r="98" ht="15" customHeight="1">
      <c r="A98" s="25" t="s">
        <v>683</v>
      </c>
      <c r="B98" s="25" t="s">
        <v>684</v>
      </c>
      <c r="C98" s="25" t="s">
        <v>201</v>
      </c>
      <c r="D98" s="25" t="s">
        <v>607</v>
      </c>
      <c r="E98" s="25" t="s">
        <v>685</v>
      </c>
      <c r="F98" s="25" t="s">
        <v>686</v>
      </c>
      <c r="G98" s="25" t="s">
        <v>291</v>
      </c>
    </row>
    <row r="99" ht="15" customHeight="1">
      <c r="A99" s="25" t="s">
        <v>687</v>
      </c>
      <c r="B99" s="25" t="s">
        <v>688</v>
      </c>
      <c r="C99" s="25" t="s">
        <v>201</v>
      </c>
      <c r="D99" s="25" t="s">
        <v>612</v>
      </c>
      <c r="E99" s="25" t="s">
        <v>689</v>
      </c>
      <c r="F99" s="25" t="s">
        <v>515</v>
      </c>
      <c r="G99" s="25" t="s">
        <v>285</v>
      </c>
    </row>
    <row r="100" ht="15" customHeight="1">
      <c r="A100" s="25" t="s">
        <v>690</v>
      </c>
      <c r="B100" s="25" t="s">
        <v>691</v>
      </c>
      <c r="C100" s="25" t="s">
        <v>201</v>
      </c>
      <c r="D100" s="25" t="s">
        <v>616</v>
      </c>
      <c r="E100" s="25" t="s">
        <v>692</v>
      </c>
      <c r="F100" s="25" t="s">
        <v>608</v>
      </c>
      <c r="G100" s="25" t="s">
        <v>274</v>
      </c>
    </row>
    <row r="101" ht="15" customHeight="1">
      <c r="A101" s="25" t="s">
        <v>693</v>
      </c>
      <c r="B101" s="25" t="s">
        <v>694</v>
      </c>
      <c r="C101" s="25" t="s">
        <v>188</v>
      </c>
      <c r="D101" s="25" t="s">
        <v>271</v>
      </c>
      <c r="E101" s="25" t="s">
        <v>374</v>
      </c>
      <c r="F101" s="25" t="s">
        <v>554</v>
      </c>
      <c r="G101" s="25" t="s">
        <v>291</v>
      </c>
    </row>
    <row r="102" ht="15" customHeight="1">
      <c r="A102" s="25" t="s">
        <v>695</v>
      </c>
      <c r="B102" s="25" t="s">
        <v>696</v>
      </c>
      <c r="C102" s="25" t="s">
        <v>188</v>
      </c>
      <c r="D102" s="25" t="s">
        <v>321</v>
      </c>
      <c r="E102" s="25" t="s">
        <v>657</v>
      </c>
      <c r="F102" s="25" t="s">
        <v>559</v>
      </c>
      <c r="G102" s="25" t="s">
        <v>279</v>
      </c>
    </row>
    <row r="103" ht="15" customHeight="1">
      <c r="A103" s="25" t="s">
        <v>697</v>
      </c>
      <c r="B103" s="25" t="s">
        <v>698</v>
      </c>
      <c r="C103" s="25" t="s">
        <v>188</v>
      </c>
      <c r="D103" s="25" t="s">
        <v>282</v>
      </c>
      <c r="E103" s="25" t="s">
        <v>660</v>
      </c>
      <c r="F103" s="25" t="s">
        <v>380</v>
      </c>
      <c r="G103" s="25" t="s">
        <v>274</v>
      </c>
    </row>
    <row r="104" ht="15" customHeight="1">
      <c r="A104" s="25" t="s">
        <v>699</v>
      </c>
      <c r="B104" s="25" t="s">
        <v>700</v>
      </c>
      <c r="C104" s="25" t="s">
        <v>182</v>
      </c>
      <c r="D104" s="25" t="s">
        <v>701</v>
      </c>
      <c r="E104" s="25" t="s">
        <v>394</v>
      </c>
      <c r="F104" s="25" t="s">
        <v>702</v>
      </c>
      <c r="G104" s="25" t="s">
        <v>291</v>
      </c>
    </row>
    <row r="105" ht="15" customHeight="1">
      <c r="A105" s="25" t="s">
        <v>703</v>
      </c>
      <c r="B105" s="25" t="s">
        <v>704</v>
      </c>
      <c r="C105" s="25" t="s">
        <v>185</v>
      </c>
      <c r="D105" s="25" t="s">
        <v>705</v>
      </c>
      <c r="E105" s="25" t="s">
        <v>706</v>
      </c>
      <c r="F105" s="25" t="s">
        <v>707</v>
      </c>
      <c r="G105" s="25" t="s">
        <v>285</v>
      </c>
    </row>
    <row r="106" ht="15" customHeight="1">
      <c r="A106" s="25" t="s">
        <v>708</v>
      </c>
      <c r="B106" s="25" t="s">
        <v>709</v>
      </c>
      <c r="C106" s="25" t="s">
        <v>182</v>
      </c>
      <c r="D106" s="25" t="s">
        <v>701</v>
      </c>
      <c r="E106" s="25" t="s">
        <v>710</v>
      </c>
      <c r="F106" s="25" t="s">
        <v>711</v>
      </c>
      <c r="G106" s="25" t="s">
        <v>274</v>
      </c>
    </row>
    <row r="107" ht="15" customHeight="1">
      <c r="A107" s="25" t="s">
        <v>712</v>
      </c>
      <c r="B107" s="25" t="s">
        <v>713</v>
      </c>
      <c r="C107" s="25" t="s">
        <v>166</v>
      </c>
      <c r="D107" s="25" t="s">
        <v>714</v>
      </c>
      <c r="E107" s="25" t="s">
        <v>621</v>
      </c>
      <c r="F107" s="25" t="s">
        <v>715</v>
      </c>
      <c r="G107" s="25" t="s">
        <v>291</v>
      </c>
    </row>
    <row r="108" ht="15" customHeight="1">
      <c r="A108" s="25" t="s">
        <v>716</v>
      </c>
      <c r="B108" s="25" t="s">
        <v>717</v>
      </c>
      <c r="C108" s="25" t="s">
        <v>29</v>
      </c>
      <c r="D108" s="25" t="s">
        <v>718</v>
      </c>
      <c r="E108" s="25" t="s">
        <v>625</v>
      </c>
      <c r="F108" s="25" t="s">
        <v>510</v>
      </c>
      <c r="G108" s="25" t="s">
        <v>279</v>
      </c>
    </row>
    <row r="109" ht="15" customHeight="1">
      <c r="A109" s="25" t="s">
        <v>719</v>
      </c>
      <c r="B109" s="25" t="s">
        <v>720</v>
      </c>
      <c r="C109" s="25" t="s">
        <v>176</v>
      </c>
      <c r="D109" s="25" t="s">
        <v>721</v>
      </c>
      <c r="E109" s="25" t="s">
        <v>629</v>
      </c>
      <c r="F109" s="25" t="s">
        <v>722</v>
      </c>
      <c r="G109" s="25" t="s">
        <v>274</v>
      </c>
    </row>
    <row r="110" ht="15" customHeight="1">
      <c r="A110" s="25" t="s">
        <v>723</v>
      </c>
      <c r="B110" s="25" t="s">
        <v>724</v>
      </c>
      <c r="C110" s="25" t="s">
        <v>192</v>
      </c>
      <c r="D110" s="25" t="s">
        <v>725</v>
      </c>
      <c r="E110" s="25" t="s">
        <v>726</v>
      </c>
      <c r="F110" s="25" t="s">
        <v>727</v>
      </c>
      <c r="G110" s="25" t="s">
        <v>291</v>
      </c>
    </row>
    <row r="111" ht="15" customHeight="1">
      <c r="A111" s="25" t="s">
        <v>728</v>
      </c>
      <c r="B111" s="25" t="s">
        <v>729</v>
      </c>
      <c r="C111" s="25" t="s">
        <v>192</v>
      </c>
      <c r="D111" s="25" t="s">
        <v>730</v>
      </c>
      <c r="E111" s="25" t="s">
        <v>731</v>
      </c>
      <c r="F111" s="25" t="s">
        <v>732</v>
      </c>
      <c r="G111" s="25" t="s">
        <v>285</v>
      </c>
    </row>
    <row r="112" ht="15" customHeight="1">
      <c r="A112" s="25" t="s">
        <v>733</v>
      </c>
      <c r="B112" s="25" t="s">
        <v>734</v>
      </c>
      <c r="C112" s="25" t="s">
        <v>192</v>
      </c>
      <c r="D112" s="25" t="s">
        <v>735</v>
      </c>
      <c r="E112" s="25" t="s">
        <v>736</v>
      </c>
      <c r="F112" s="25" t="s">
        <v>545</v>
      </c>
      <c r="G112" s="25" t="s">
        <v>274</v>
      </c>
    </row>
    <row r="113" ht="15" customHeight="1">
      <c r="A113" s="25" t="s">
        <v>737</v>
      </c>
      <c r="B113" s="25" t="s">
        <v>738</v>
      </c>
      <c r="C113" s="25" t="s">
        <v>195</v>
      </c>
      <c r="D113" s="25" t="s">
        <v>739</v>
      </c>
      <c r="E113" s="25" t="s">
        <v>740</v>
      </c>
      <c r="F113" s="25" t="s">
        <v>741</v>
      </c>
      <c r="G113" s="25" t="s">
        <v>291</v>
      </c>
    </row>
    <row r="114" ht="15" customHeight="1">
      <c r="A114" s="25" t="s">
        <v>742</v>
      </c>
      <c r="B114" s="25" t="s">
        <v>743</v>
      </c>
      <c r="C114" s="25" t="s">
        <v>195</v>
      </c>
      <c r="D114" s="25" t="s">
        <v>744</v>
      </c>
      <c r="E114" s="25" t="s">
        <v>745</v>
      </c>
      <c r="F114" s="25" t="s">
        <v>746</v>
      </c>
      <c r="G114" s="25" t="s">
        <v>279</v>
      </c>
    </row>
    <row r="115" ht="15" customHeight="1">
      <c r="A115" s="25" t="s">
        <v>747</v>
      </c>
      <c r="B115" s="25" t="s">
        <v>748</v>
      </c>
      <c r="C115" s="25" t="s">
        <v>195</v>
      </c>
      <c r="D115" s="25" t="s">
        <v>749</v>
      </c>
      <c r="E115" s="25" t="s">
        <v>750</v>
      </c>
      <c r="F115" s="25" t="s">
        <v>660</v>
      </c>
      <c r="G115" s="25" t="s">
        <v>274</v>
      </c>
    </row>
    <row r="116" ht="15" customHeight="1">
      <c r="A116" s="25" t="s">
        <v>751</v>
      </c>
      <c r="B116" s="25" t="s">
        <v>752</v>
      </c>
      <c r="C116" s="25" t="s">
        <v>199</v>
      </c>
      <c r="D116" s="25" t="s">
        <v>753</v>
      </c>
      <c r="E116" s="25" t="s">
        <v>754</v>
      </c>
      <c r="F116" s="25" t="s">
        <v>755</v>
      </c>
      <c r="G116" s="25" t="s">
        <v>291</v>
      </c>
    </row>
    <row r="117" ht="15" customHeight="1">
      <c r="A117" s="25" t="s">
        <v>756</v>
      </c>
      <c r="B117" s="25" t="s">
        <v>757</v>
      </c>
      <c r="C117" s="25" t="s">
        <v>199</v>
      </c>
      <c r="D117" s="25" t="s">
        <v>758</v>
      </c>
      <c r="E117" s="25" t="s">
        <v>510</v>
      </c>
      <c r="F117" s="25" t="s">
        <v>759</v>
      </c>
      <c r="G117" s="25" t="s">
        <v>285</v>
      </c>
    </row>
    <row r="118" ht="15" customHeight="1">
      <c r="A118" s="25" t="s">
        <v>760</v>
      </c>
      <c r="B118" s="25" t="s">
        <v>761</v>
      </c>
      <c r="C118" s="25" t="s">
        <v>199</v>
      </c>
      <c r="D118" s="25" t="s">
        <v>762</v>
      </c>
      <c r="E118" s="25" t="s">
        <v>722</v>
      </c>
      <c r="F118" s="25" t="s">
        <v>763</v>
      </c>
      <c r="G118" s="25" t="s">
        <v>274</v>
      </c>
    </row>
    <row r="119" ht="15" customHeight="1">
      <c r="A119" s="25" t="s">
        <v>764</v>
      </c>
      <c r="B119" s="25" t="s">
        <v>765</v>
      </c>
      <c r="C119" s="25" t="s">
        <v>201</v>
      </c>
      <c r="D119" s="25" t="s">
        <v>766</v>
      </c>
      <c r="E119" s="25" t="s">
        <v>416</v>
      </c>
      <c r="F119" s="25" t="s">
        <v>767</v>
      </c>
      <c r="G119" s="25" t="s">
        <v>291</v>
      </c>
    </row>
    <row r="120" ht="15" customHeight="1">
      <c r="A120" s="25" t="s">
        <v>768</v>
      </c>
      <c r="B120" s="25" t="s">
        <v>769</v>
      </c>
      <c r="C120" s="25" t="s">
        <v>201</v>
      </c>
      <c r="D120" s="25" t="s">
        <v>770</v>
      </c>
      <c r="E120" s="25" t="s">
        <v>420</v>
      </c>
      <c r="F120" s="25" t="s">
        <v>608</v>
      </c>
      <c r="G120" s="25" t="s">
        <v>279</v>
      </c>
    </row>
    <row r="121" ht="15" customHeight="1">
      <c r="A121" s="25" t="s">
        <v>771</v>
      </c>
      <c r="B121" s="25" t="s">
        <v>772</v>
      </c>
      <c r="C121" s="25" t="s">
        <v>201</v>
      </c>
      <c r="D121" s="25" t="s">
        <v>773</v>
      </c>
      <c r="E121" s="25" t="s">
        <v>424</v>
      </c>
      <c r="F121" s="25" t="s">
        <v>421</v>
      </c>
      <c r="G121" s="25" t="s">
        <v>274</v>
      </c>
    </row>
    <row r="122" ht="15" customHeight="1">
      <c r="A122" s="25" t="s">
        <v>774</v>
      </c>
      <c r="B122" s="25" t="s">
        <v>775</v>
      </c>
      <c r="C122" s="25" t="s">
        <v>203</v>
      </c>
      <c r="D122" s="25" t="s">
        <v>776</v>
      </c>
      <c r="E122" s="25" t="s">
        <v>317</v>
      </c>
      <c r="F122" s="25" t="s">
        <v>777</v>
      </c>
      <c r="G122" s="25" t="s">
        <v>291</v>
      </c>
    </row>
    <row r="123" ht="15" customHeight="1">
      <c r="A123" s="25" t="s">
        <v>778</v>
      </c>
      <c r="B123" s="25" t="s">
        <v>779</v>
      </c>
      <c r="C123" s="25" t="s">
        <v>203</v>
      </c>
      <c r="D123" s="25" t="s">
        <v>780</v>
      </c>
      <c r="E123" s="25" t="s">
        <v>497</v>
      </c>
      <c r="F123" s="25" t="s">
        <v>781</v>
      </c>
      <c r="G123" s="25" t="s">
        <v>285</v>
      </c>
    </row>
    <row r="124" ht="15" customHeight="1">
      <c r="A124" s="25" t="s">
        <v>782</v>
      </c>
      <c r="B124" s="25" t="s">
        <v>783</v>
      </c>
      <c r="C124" s="25" t="s">
        <v>203</v>
      </c>
      <c r="D124" s="25" t="s">
        <v>784</v>
      </c>
      <c r="E124" s="25" t="s">
        <v>661</v>
      </c>
      <c r="F124" s="25" t="s">
        <v>785</v>
      </c>
      <c r="G124" s="25" t="s">
        <v>274</v>
      </c>
    </row>
    <row r="125" ht="15" customHeight="1">
      <c r="A125" s="25" t="s">
        <v>786</v>
      </c>
      <c r="B125" s="25" t="s">
        <v>787</v>
      </c>
      <c r="C125" s="25" t="s">
        <v>182</v>
      </c>
      <c r="D125" s="25" t="s">
        <v>607</v>
      </c>
      <c r="E125" s="25" t="s">
        <v>788</v>
      </c>
      <c r="F125" s="25" t="s">
        <v>789</v>
      </c>
      <c r="G125" s="25" t="s">
        <v>291</v>
      </c>
    </row>
    <row r="126" ht="15" customHeight="1">
      <c r="A126" s="25" t="s">
        <v>790</v>
      </c>
      <c r="B126" s="25" t="s">
        <v>791</v>
      </c>
      <c r="C126" s="25" t="s">
        <v>185</v>
      </c>
      <c r="D126" s="25" t="s">
        <v>612</v>
      </c>
      <c r="E126" s="25" t="s">
        <v>792</v>
      </c>
      <c r="F126" s="25" t="s">
        <v>793</v>
      </c>
      <c r="G126" s="25" t="s">
        <v>279</v>
      </c>
    </row>
    <row r="127" ht="15" customHeight="1">
      <c r="A127" s="25" t="s">
        <v>794</v>
      </c>
      <c r="B127" s="25" t="s">
        <v>795</v>
      </c>
      <c r="C127" s="25" t="s">
        <v>182</v>
      </c>
      <c r="D127" s="25" t="s">
        <v>616</v>
      </c>
      <c r="E127" s="25" t="s">
        <v>576</v>
      </c>
      <c r="F127" s="25" t="s">
        <v>796</v>
      </c>
      <c r="G127" s="25" t="s">
        <v>274</v>
      </c>
    </row>
    <row r="128" ht="15" customHeight="1">
      <c r="A128" s="25" t="s">
        <v>797</v>
      </c>
      <c r="B128" s="25" t="s">
        <v>798</v>
      </c>
      <c r="C128" s="25" t="s">
        <v>166</v>
      </c>
      <c r="D128" s="25" t="s">
        <v>799</v>
      </c>
      <c r="E128" s="25" t="s">
        <v>800</v>
      </c>
      <c r="F128" s="25" t="s">
        <v>801</v>
      </c>
      <c r="G128" s="25" t="s">
        <v>291</v>
      </c>
    </row>
    <row r="129" ht="15" customHeight="1">
      <c r="A129" s="25" t="s">
        <v>802</v>
      </c>
      <c r="B129" s="25" t="s">
        <v>803</v>
      </c>
      <c r="C129" s="25" t="s">
        <v>29</v>
      </c>
      <c r="D129" s="25" t="s">
        <v>804</v>
      </c>
      <c r="E129" s="25" t="s">
        <v>629</v>
      </c>
      <c r="F129" s="25" t="s">
        <v>600</v>
      </c>
      <c r="G129" s="25" t="s">
        <v>285</v>
      </c>
    </row>
    <row r="130" ht="15" customHeight="1">
      <c r="A130" s="25" t="s">
        <v>805</v>
      </c>
      <c r="B130" s="25" t="s">
        <v>806</v>
      </c>
      <c r="C130" s="25" t="s">
        <v>176</v>
      </c>
      <c r="D130" s="25" t="s">
        <v>807</v>
      </c>
      <c r="E130" s="25" t="s">
        <v>808</v>
      </c>
      <c r="F130" s="25" t="s">
        <v>497</v>
      </c>
      <c r="G130" s="25" t="s">
        <v>274</v>
      </c>
    </row>
    <row r="131" ht="15" customHeight="1">
      <c r="A131" s="25" t="s">
        <v>809</v>
      </c>
      <c r="B131" s="25" t="s">
        <v>810</v>
      </c>
      <c r="C131" s="25" t="s">
        <v>188</v>
      </c>
      <c r="D131" s="25" t="s">
        <v>373</v>
      </c>
      <c r="E131" s="25" t="s">
        <v>641</v>
      </c>
      <c r="F131" s="25" t="s">
        <v>811</v>
      </c>
      <c r="G131" s="25" t="s">
        <v>291</v>
      </c>
    </row>
    <row r="132" ht="15" customHeight="1">
      <c r="A132" s="25" t="s">
        <v>812</v>
      </c>
      <c r="B132" s="25" t="s">
        <v>813</v>
      </c>
      <c r="C132" s="25" t="s">
        <v>188</v>
      </c>
      <c r="D132" s="25" t="s">
        <v>378</v>
      </c>
      <c r="E132" s="25" t="s">
        <v>633</v>
      </c>
      <c r="F132" s="25" t="s">
        <v>814</v>
      </c>
      <c r="G132" s="25" t="s">
        <v>279</v>
      </c>
    </row>
    <row r="133" ht="15" customHeight="1">
      <c r="A133" s="25" t="s">
        <v>815</v>
      </c>
      <c r="B133" s="25" t="s">
        <v>816</v>
      </c>
      <c r="C133" s="25" t="s">
        <v>188</v>
      </c>
      <c r="D133" s="25" t="s">
        <v>383</v>
      </c>
      <c r="E133" s="25" t="s">
        <v>625</v>
      </c>
      <c r="F133" s="25" t="s">
        <v>626</v>
      </c>
      <c r="G133" s="25" t="s">
        <v>274</v>
      </c>
    </row>
    <row r="134" ht="15" customHeight="1">
      <c r="A134" s="25" t="s">
        <v>817</v>
      </c>
      <c r="B134" s="25" t="s">
        <v>818</v>
      </c>
      <c r="C134" s="25" t="s">
        <v>192</v>
      </c>
      <c r="D134" s="25" t="s">
        <v>819</v>
      </c>
      <c r="E134" s="25" t="s">
        <v>539</v>
      </c>
      <c r="F134" s="25" t="s">
        <v>820</v>
      </c>
      <c r="G134" s="25" t="s">
        <v>291</v>
      </c>
    </row>
    <row r="135" ht="15" customHeight="1">
      <c r="A135" s="25" t="s">
        <v>821</v>
      </c>
      <c r="B135" s="25" t="s">
        <v>822</v>
      </c>
      <c r="C135" s="25" t="s">
        <v>192</v>
      </c>
      <c r="D135" s="25" t="s">
        <v>823</v>
      </c>
      <c r="E135" s="25" t="s">
        <v>824</v>
      </c>
      <c r="F135" s="25" t="s">
        <v>825</v>
      </c>
      <c r="G135" s="25" t="s">
        <v>285</v>
      </c>
    </row>
    <row r="136" ht="15" customHeight="1">
      <c r="A136" s="25" t="s">
        <v>826</v>
      </c>
      <c r="B136" s="25" t="s">
        <v>827</v>
      </c>
      <c r="C136" s="25" t="s">
        <v>192</v>
      </c>
      <c r="D136" s="25" t="s">
        <v>828</v>
      </c>
      <c r="E136" s="25" t="s">
        <v>548</v>
      </c>
      <c r="F136" s="25" t="s">
        <v>829</v>
      </c>
      <c r="G136" s="25" t="s">
        <v>274</v>
      </c>
    </row>
    <row r="137" ht="15" customHeight="1">
      <c r="A137" s="25" t="s">
        <v>830</v>
      </c>
      <c r="B137" s="25" t="s">
        <v>831</v>
      </c>
      <c r="C137" s="25" t="s">
        <v>195</v>
      </c>
      <c r="D137" s="25" t="s">
        <v>832</v>
      </c>
      <c r="E137" s="25" t="s">
        <v>833</v>
      </c>
      <c r="F137" s="25" t="s">
        <v>834</v>
      </c>
      <c r="G137" s="25" t="s">
        <v>291</v>
      </c>
    </row>
    <row r="138" ht="15" customHeight="1">
      <c r="A138" s="25" t="s">
        <v>835</v>
      </c>
      <c r="B138" s="25" t="s">
        <v>836</v>
      </c>
      <c r="C138" s="25" t="s">
        <v>195</v>
      </c>
      <c r="D138" s="25" t="s">
        <v>837</v>
      </c>
      <c r="E138" s="25" t="s">
        <v>618</v>
      </c>
      <c r="F138" s="25" t="s">
        <v>740</v>
      </c>
      <c r="G138" s="25" t="s">
        <v>279</v>
      </c>
    </row>
    <row r="139" ht="15" customHeight="1">
      <c r="A139" s="25" t="s">
        <v>838</v>
      </c>
      <c r="B139" s="25" t="s">
        <v>839</v>
      </c>
      <c r="C139" s="25" t="s">
        <v>195</v>
      </c>
      <c r="D139" s="25" t="s">
        <v>840</v>
      </c>
      <c r="E139" s="25" t="s">
        <v>482</v>
      </c>
      <c r="F139" s="25" t="s">
        <v>637</v>
      </c>
      <c r="G139" s="25" t="s">
        <v>274</v>
      </c>
    </row>
    <row r="140" ht="15" customHeight="1">
      <c r="A140" s="25" t="s">
        <v>841</v>
      </c>
      <c r="B140" s="25" t="s">
        <v>842</v>
      </c>
      <c r="C140" s="25" t="s">
        <v>199</v>
      </c>
      <c r="D140" s="25" t="s">
        <v>843</v>
      </c>
      <c r="E140" s="25" t="s">
        <v>844</v>
      </c>
      <c r="F140" s="25" t="s">
        <v>318</v>
      </c>
      <c r="G140" s="25" t="s">
        <v>291</v>
      </c>
    </row>
    <row r="141" ht="15" customHeight="1">
      <c r="A141" s="25" t="s">
        <v>845</v>
      </c>
      <c r="B141" s="25" t="s">
        <v>846</v>
      </c>
      <c r="C141" s="25" t="s">
        <v>199</v>
      </c>
      <c r="D141" s="25" t="s">
        <v>847</v>
      </c>
      <c r="E141" s="25" t="s">
        <v>661</v>
      </c>
      <c r="F141" s="25" t="s">
        <v>785</v>
      </c>
      <c r="G141" s="25" t="s">
        <v>285</v>
      </c>
    </row>
    <row r="142" ht="15" customHeight="1">
      <c r="A142" s="25" t="s">
        <v>848</v>
      </c>
      <c r="B142" s="25" t="s">
        <v>849</v>
      </c>
      <c r="C142" s="25" t="s">
        <v>199</v>
      </c>
      <c r="D142" s="25" t="s">
        <v>850</v>
      </c>
      <c r="E142" s="25" t="s">
        <v>851</v>
      </c>
      <c r="F142" s="25" t="s">
        <v>852</v>
      </c>
      <c r="G142" s="25" t="s">
        <v>274</v>
      </c>
    </row>
    <row r="143" ht="15" customHeight="1">
      <c r="A143" s="25" t="s">
        <v>853</v>
      </c>
      <c r="B143" s="25" t="s">
        <v>854</v>
      </c>
      <c r="C143" s="25" t="s">
        <v>201</v>
      </c>
      <c r="D143" s="25" t="s">
        <v>271</v>
      </c>
      <c r="E143" s="25" t="s">
        <v>416</v>
      </c>
      <c r="F143" s="25" t="s">
        <v>767</v>
      </c>
      <c r="G143" s="25" t="s">
        <v>291</v>
      </c>
    </row>
    <row r="144" ht="15" customHeight="1">
      <c r="A144" s="25" t="s">
        <v>855</v>
      </c>
      <c r="B144" s="25" t="s">
        <v>856</v>
      </c>
      <c r="C144" s="25" t="s">
        <v>201</v>
      </c>
      <c r="D144" s="25" t="s">
        <v>321</v>
      </c>
      <c r="E144" s="25" t="s">
        <v>420</v>
      </c>
      <c r="F144" s="25" t="s">
        <v>608</v>
      </c>
      <c r="G144" s="25" t="s">
        <v>279</v>
      </c>
    </row>
    <row r="145" ht="15" customHeight="1">
      <c r="A145" s="25" t="s">
        <v>857</v>
      </c>
      <c r="B145" s="25" t="s">
        <v>858</v>
      </c>
      <c r="C145" s="25" t="s">
        <v>201</v>
      </c>
      <c r="D145" s="25" t="s">
        <v>282</v>
      </c>
      <c r="E145" s="25" t="s">
        <v>424</v>
      </c>
      <c r="F145" s="25" t="s">
        <v>421</v>
      </c>
      <c r="G145" s="25" t="s">
        <v>274</v>
      </c>
    </row>
    <row r="146" ht="15" customHeight="1">
      <c r="A146" s="25" t="s">
        <v>859</v>
      </c>
      <c r="B146" s="25" t="s">
        <v>860</v>
      </c>
      <c r="C146" s="25" t="s">
        <v>166</v>
      </c>
      <c r="D146" s="25" t="s">
        <v>861</v>
      </c>
      <c r="E146" s="25" t="s">
        <v>625</v>
      </c>
      <c r="F146" s="25" t="s">
        <v>862</v>
      </c>
      <c r="G146" s="25" t="s">
        <v>291</v>
      </c>
    </row>
    <row r="147" ht="15" customHeight="1">
      <c r="A147" s="25" t="s">
        <v>863</v>
      </c>
      <c r="B147" s="25" t="s">
        <v>864</v>
      </c>
      <c r="C147" s="25" t="s">
        <v>29</v>
      </c>
      <c r="D147" s="25" t="s">
        <v>865</v>
      </c>
      <c r="E147" s="25" t="s">
        <v>641</v>
      </c>
      <c r="F147" s="25" t="s">
        <v>626</v>
      </c>
      <c r="G147" s="25" t="s">
        <v>285</v>
      </c>
    </row>
    <row r="148" ht="15" customHeight="1">
      <c r="A148" s="25" t="s">
        <v>866</v>
      </c>
      <c r="B148" s="25" t="s">
        <v>867</v>
      </c>
      <c r="C148" s="25" t="s">
        <v>176</v>
      </c>
      <c r="D148" s="25" t="s">
        <v>868</v>
      </c>
      <c r="E148" s="25" t="s">
        <v>621</v>
      </c>
      <c r="F148" s="25" t="s">
        <v>630</v>
      </c>
      <c r="G148" s="25" t="s">
        <v>274</v>
      </c>
    </row>
    <row r="149" ht="15" customHeight="1">
      <c r="A149" s="25" t="s">
        <v>869</v>
      </c>
      <c r="B149" s="25" t="s">
        <v>870</v>
      </c>
      <c r="C149" s="25" t="s">
        <v>182</v>
      </c>
      <c r="D149" s="25" t="s">
        <v>871</v>
      </c>
      <c r="E149" s="25" t="s">
        <v>679</v>
      </c>
      <c r="F149" s="25" t="s">
        <v>872</v>
      </c>
      <c r="G149" s="25" t="s">
        <v>291</v>
      </c>
    </row>
    <row r="150" ht="15" customHeight="1">
      <c r="A150" s="25" t="s">
        <v>873</v>
      </c>
      <c r="B150" s="25" t="s">
        <v>874</v>
      </c>
      <c r="C150" s="25" t="s">
        <v>185</v>
      </c>
      <c r="D150" s="25" t="s">
        <v>875</v>
      </c>
      <c r="E150" s="25" t="s">
        <v>359</v>
      </c>
      <c r="F150" s="25" t="s">
        <v>370</v>
      </c>
      <c r="G150" s="25" t="s">
        <v>279</v>
      </c>
    </row>
    <row r="151" ht="15" customHeight="1">
      <c r="A151" s="25" t="s">
        <v>876</v>
      </c>
      <c r="B151" s="25" t="s">
        <v>877</v>
      </c>
      <c r="C151" s="25" t="s">
        <v>182</v>
      </c>
      <c r="D151" s="25" t="s">
        <v>878</v>
      </c>
      <c r="E151" s="25" t="s">
        <v>336</v>
      </c>
      <c r="F151" s="25" t="s">
        <v>879</v>
      </c>
      <c r="G151" s="25" t="s">
        <v>274</v>
      </c>
    </row>
    <row r="152" ht="15" customHeight="1">
      <c r="A152" s="25" t="s">
        <v>880</v>
      </c>
      <c r="B152" s="25" t="s">
        <v>881</v>
      </c>
      <c r="C152" s="25" t="s">
        <v>192</v>
      </c>
      <c r="D152" s="25" t="s">
        <v>882</v>
      </c>
      <c r="E152" s="25" t="s">
        <v>883</v>
      </c>
      <c r="F152" s="25" t="s">
        <v>884</v>
      </c>
      <c r="G152" s="25" t="s">
        <v>291</v>
      </c>
    </row>
    <row r="153" ht="15" customHeight="1">
      <c r="A153" s="25" t="s">
        <v>885</v>
      </c>
      <c r="B153" s="25" t="s">
        <v>886</v>
      </c>
      <c r="C153" s="25" t="s">
        <v>192</v>
      </c>
      <c r="D153" s="25" t="s">
        <v>887</v>
      </c>
      <c r="E153" s="25" t="s">
        <v>394</v>
      </c>
      <c r="F153" s="25" t="s">
        <v>888</v>
      </c>
      <c r="G153" s="25" t="s">
        <v>285</v>
      </c>
    </row>
    <row r="154" ht="15" customHeight="1">
      <c r="A154" s="25" t="s">
        <v>889</v>
      </c>
      <c r="B154" s="25" t="s">
        <v>890</v>
      </c>
      <c r="C154" s="25" t="s">
        <v>192</v>
      </c>
      <c r="D154" s="25" t="s">
        <v>891</v>
      </c>
      <c r="E154" s="25" t="s">
        <v>892</v>
      </c>
      <c r="F154" s="25" t="s">
        <v>893</v>
      </c>
      <c r="G154" s="25" t="s">
        <v>274</v>
      </c>
    </row>
    <row r="155" ht="15" customHeight="1">
      <c r="A155" s="25" t="s">
        <v>894</v>
      </c>
      <c r="B155" s="25" t="s">
        <v>895</v>
      </c>
      <c r="C155" s="25" t="s">
        <v>195</v>
      </c>
      <c r="D155" s="25" t="s">
        <v>896</v>
      </c>
      <c r="E155" s="25" t="s">
        <v>897</v>
      </c>
      <c r="F155" s="25" t="s">
        <v>898</v>
      </c>
      <c r="G155" s="25" t="s">
        <v>291</v>
      </c>
    </row>
    <row r="156" ht="15" customHeight="1">
      <c r="A156" s="25" t="s">
        <v>899</v>
      </c>
      <c r="B156" s="25" t="s">
        <v>900</v>
      </c>
      <c r="C156" s="25" t="s">
        <v>195</v>
      </c>
      <c r="D156" s="25" t="s">
        <v>901</v>
      </c>
      <c r="E156" s="25" t="s">
        <v>408</v>
      </c>
      <c r="F156" s="25" t="s">
        <v>902</v>
      </c>
      <c r="G156" s="25" t="s">
        <v>279</v>
      </c>
    </row>
    <row r="157" ht="15" customHeight="1">
      <c r="A157" s="25" t="s">
        <v>903</v>
      </c>
      <c r="B157" s="25" t="s">
        <v>904</v>
      </c>
      <c r="C157" s="25" t="s">
        <v>195</v>
      </c>
      <c r="D157" s="25" t="s">
        <v>905</v>
      </c>
      <c r="E157" s="25" t="s">
        <v>413</v>
      </c>
      <c r="F157" s="25" t="s">
        <v>906</v>
      </c>
      <c r="G157" s="25" t="s">
        <v>274</v>
      </c>
    </row>
    <row r="158" ht="15" customHeight="1">
      <c r="A158" s="25" t="s">
        <v>907</v>
      </c>
      <c r="B158" s="25" t="s">
        <v>908</v>
      </c>
      <c r="C158" s="25" t="s">
        <v>199</v>
      </c>
      <c r="D158" s="25" t="s">
        <v>288</v>
      </c>
      <c r="E158" s="25" t="s">
        <v>909</v>
      </c>
      <c r="F158" s="25" t="s">
        <v>910</v>
      </c>
      <c r="G158" s="25" t="s">
        <v>291</v>
      </c>
    </row>
    <row r="159" ht="15" customHeight="1">
      <c r="A159" s="25" t="s">
        <v>911</v>
      </c>
      <c r="B159" s="25" t="s">
        <v>912</v>
      </c>
      <c r="C159" s="25" t="s">
        <v>199</v>
      </c>
      <c r="D159" s="25" t="s">
        <v>294</v>
      </c>
      <c r="E159" s="25" t="s">
        <v>380</v>
      </c>
      <c r="F159" s="25" t="s">
        <v>359</v>
      </c>
      <c r="G159" s="25" t="s">
        <v>285</v>
      </c>
    </row>
    <row r="160" ht="15" customHeight="1">
      <c r="A160" s="25" t="s">
        <v>913</v>
      </c>
      <c r="B160" s="25" t="s">
        <v>914</v>
      </c>
      <c r="C160" s="25" t="s">
        <v>199</v>
      </c>
      <c r="D160" s="25" t="s">
        <v>288</v>
      </c>
      <c r="E160" s="25" t="s">
        <v>915</v>
      </c>
      <c r="F160" s="25" t="s">
        <v>916</v>
      </c>
      <c r="G160" s="25" t="s">
        <v>274</v>
      </c>
    </row>
    <row r="161" ht="15" customHeight="1">
      <c r="A161" s="25" t="s">
        <v>917</v>
      </c>
      <c r="B161" s="25" t="s">
        <v>918</v>
      </c>
      <c r="C161" s="25" t="s">
        <v>201</v>
      </c>
      <c r="D161" s="25" t="s">
        <v>919</v>
      </c>
      <c r="E161" s="25" t="s">
        <v>920</v>
      </c>
      <c r="F161" s="25" t="s">
        <v>417</v>
      </c>
      <c r="G161" s="25" t="s">
        <v>291</v>
      </c>
    </row>
    <row r="162" ht="15" customHeight="1">
      <c r="A162" s="25" t="s">
        <v>921</v>
      </c>
      <c r="B162" s="25" t="s">
        <v>922</v>
      </c>
      <c r="C162" s="25" t="s">
        <v>201</v>
      </c>
      <c r="D162" s="25" t="s">
        <v>923</v>
      </c>
      <c r="E162" s="25" t="s">
        <v>924</v>
      </c>
      <c r="F162" s="25" t="s">
        <v>421</v>
      </c>
      <c r="G162" s="25" t="s">
        <v>279</v>
      </c>
    </row>
    <row r="163" ht="15" customHeight="1">
      <c r="A163" s="25" t="s">
        <v>925</v>
      </c>
      <c r="B163" s="25" t="s">
        <v>926</v>
      </c>
      <c r="C163" s="25" t="s">
        <v>201</v>
      </c>
      <c r="D163" s="25" t="s">
        <v>927</v>
      </c>
      <c r="E163" s="25" t="s">
        <v>407</v>
      </c>
      <c r="F163" s="25" t="s">
        <v>408</v>
      </c>
      <c r="G163" s="25" t="s">
        <v>274</v>
      </c>
    </row>
    <row r="164" ht="15" customHeight="1">
      <c r="A164" s="25" t="s">
        <v>928</v>
      </c>
      <c r="B164" s="25" t="s">
        <v>929</v>
      </c>
      <c r="C164" s="25" t="s">
        <v>203</v>
      </c>
      <c r="D164" s="25" t="s">
        <v>428</v>
      </c>
      <c r="E164" s="25" t="s">
        <v>345</v>
      </c>
      <c r="F164" s="25" t="s">
        <v>930</v>
      </c>
      <c r="G164" s="25" t="s">
        <v>291</v>
      </c>
    </row>
    <row r="165" ht="15" customHeight="1">
      <c r="A165" s="25" t="s">
        <v>931</v>
      </c>
      <c r="B165" s="25" t="s">
        <v>932</v>
      </c>
      <c r="C165" s="25" t="s">
        <v>203</v>
      </c>
      <c r="D165" s="25" t="s">
        <v>433</v>
      </c>
      <c r="E165" s="25" t="s">
        <v>933</v>
      </c>
      <c r="F165" s="25" t="s">
        <v>934</v>
      </c>
      <c r="G165" s="25" t="s">
        <v>285</v>
      </c>
    </row>
    <row r="166" ht="15" customHeight="1">
      <c r="A166" s="25" t="s">
        <v>935</v>
      </c>
      <c r="B166" s="25" t="s">
        <v>936</v>
      </c>
      <c r="C166" s="25" t="s">
        <v>203</v>
      </c>
      <c r="D166" s="25" t="s">
        <v>438</v>
      </c>
      <c r="E166" s="25" t="s">
        <v>586</v>
      </c>
      <c r="F166" s="25" t="s">
        <v>808</v>
      </c>
      <c r="G166" s="25" t="s">
        <v>274</v>
      </c>
    </row>
    <row r="167" ht="15" customHeight="1">
      <c r="A167" s="25" t="s">
        <v>937</v>
      </c>
      <c r="B167" s="25" t="s">
        <v>938</v>
      </c>
      <c r="C167" s="25" t="s">
        <v>188</v>
      </c>
      <c r="D167" s="25" t="s">
        <v>939</v>
      </c>
      <c r="E167" s="25" t="s">
        <v>595</v>
      </c>
      <c r="F167" s="25" t="s">
        <v>940</v>
      </c>
      <c r="G167" s="25" t="s">
        <v>291</v>
      </c>
    </row>
    <row r="168" ht="15" customHeight="1">
      <c r="A168" s="25" t="s">
        <v>941</v>
      </c>
      <c r="B168" s="25" t="s">
        <v>942</v>
      </c>
      <c r="C168" s="25" t="s">
        <v>188</v>
      </c>
      <c r="D168" s="25" t="s">
        <v>943</v>
      </c>
      <c r="E168" s="25" t="s">
        <v>944</v>
      </c>
      <c r="F168" s="25" t="s">
        <v>824</v>
      </c>
      <c r="G168" s="25" t="s">
        <v>279</v>
      </c>
    </row>
    <row r="169" ht="15" customHeight="1">
      <c r="A169" s="25" t="s">
        <v>945</v>
      </c>
      <c r="B169" s="25" t="s">
        <v>946</v>
      </c>
      <c r="C169" s="25" t="s">
        <v>188</v>
      </c>
      <c r="D169" s="25" t="s">
        <v>947</v>
      </c>
      <c r="E169" s="25" t="s">
        <v>497</v>
      </c>
      <c r="F169" s="25" t="s">
        <v>289</v>
      </c>
      <c r="G169" s="25" t="s">
        <v>274</v>
      </c>
    </row>
    <row r="170" ht="15" customHeight="1">
      <c r="A170" s="25" t="s">
        <v>948</v>
      </c>
      <c r="B170" s="25" t="s">
        <v>949</v>
      </c>
      <c r="C170" s="25" t="s">
        <v>166</v>
      </c>
      <c r="D170" s="25" t="s">
        <v>950</v>
      </c>
      <c r="E170" s="25" t="s">
        <v>657</v>
      </c>
      <c r="F170" s="25" t="s">
        <v>951</v>
      </c>
      <c r="G170" s="25" t="s">
        <v>291</v>
      </c>
    </row>
    <row r="171" ht="15" customHeight="1">
      <c r="A171" s="25" t="s">
        <v>952</v>
      </c>
      <c r="B171" s="25" t="s">
        <v>953</v>
      </c>
      <c r="C171" s="25" t="s">
        <v>29</v>
      </c>
      <c r="D171" s="25" t="s">
        <v>954</v>
      </c>
      <c r="E171" s="25" t="s">
        <v>553</v>
      </c>
      <c r="F171" s="25" t="s">
        <v>661</v>
      </c>
      <c r="G171" s="25" t="s">
        <v>285</v>
      </c>
    </row>
    <row r="172" ht="15" customHeight="1">
      <c r="A172" s="25" t="s">
        <v>955</v>
      </c>
      <c r="B172" s="25" t="s">
        <v>956</v>
      </c>
      <c r="C172" s="25" t="s">
        <v>176</v>
      </c>
      <c r="D172" s="25" t="s">
        <v>957</v>
      </c>
      <c r="E172" s="25" t="s">
        <v>374</v>
      </c>
      <c r="F172" s="25" t="s">
        <v>851</v>
      </c>
      <c r="G172" s="25" t="s">
        <v>274</v>
      </c>
    </row>
    <row r="173" ht="15" customHeight="1">
      <c r="A173" s="25" t="s">
        <v>958</v>
      </c>
      <c r="B173" s="25" t="s">
        <v>959</v>
      </c>
      <c r="C173" s="25" t="s">
        <v>182</v>
      </c>
      <c r="D173" s="25" t="s">
        <v>594</v>
      </c>
      <c r="E173" s="25" t="s">
        <v>507</v>
      </c>
      <c r="F173" s="25" t="s">
        <v>960</v>
      </c>
      <c r="G173" s="25" t="s">
        <v>291</v>
      </c>
    </row>
    <row r="174" ht="15" customHeight="1">
      <c r="A174" s="25" t="s">
        <v>961</v>
      </c>
      <c r="B174" s="25" t="s">
        <v>962</v>
      </c>
      <c r="C174" s="25" t="s">
        <v>185</v>
      </c>
      <c r="D174" s="25" t="s">
        <v>599</v>
      </c>
      <c r="E174" s="25" t="s">
        <v>531</v>
      </c>
      <c r="F174" s="25" t="s">
        <v>892</v>
      </c>
      <c r="G174" s="25" t="s">
        <v>279</v>
      </c>
    </row>
    <row r="175" ht="15" customHeight="1">
      <c r="A175" s="25" t="s">
        <v>963</v>
      </c>
      <c r="B175" s="25" t="s">
        <v>964</v>
      </c>
      <c r="C175" s="25" t="s">
        <v>182</v>
      </c>
      <c r="D175" s="25" t="s">
        <v>604</v>
      </c>
      <c r="E175" s="25" t="s">
        <v>535</v>
      </c>
      <c r="F175" s="25" t="s">
        <v>649</v>
      </c>
      <c r="G175" s="25" t="s">
        <v>274</v>
      </c>
    </row>
    <row r="176" ht="15" customHeight="1">
      <c r="A176" s="25" t="s">
        <v>965</v>
      </c>
      <c r="B176" s="25" t="s">
        <v>966</v>
      </c>
      <c r="C176" s="25" t="s">
        <v>192</v>
      </c>
      <c r="D176" s="25" t="s">
        <v>967</v>
      </c>
      <c r="E176" s="25" t="s">
        <v>388</v>
      </c>
      <c r="F176" s="25" t="s">
        <v>968</v>
      </c>
      <c r="G176" s="25" t="s">
        <v>291</v>
      </c>
    </row>
    <row r="177" ht="15" customHeight="1">
      <c r="A177" s="25" t="s">
        <v>969</v>
      </c>
      <c r="B177" s="25" t="s">
        <v>970</v>
      </c>
      <c r="C177" s="25" t="s">
        <v>192</v>
      </c>
      <c r="D177" s="25" t="s">
        <v>971</v>
      </c>
      <c r="E177" s="25" t="s">
        <v>972</v>
      </c>
      <c r="F177" s="25" t="s">
        <v>682</v>
      </c>
      <c r="G177" s="25" t="s">
        <v>285</v>
      </c>
    </row>
    <row r="178" ht="15" customHeight="1">
      <c r="A178" s="25" t="s">
        <v>973</v>
      </c>
      <c r="B178" s="25" t="s">
        <v>974</v>
      </c>
      <c r="C178" s="25" t="s">
        <v>192</v>
      </c>
      <c r="D178" s="25" t="s">
        <v>975</v>
      </c>
      <c r="E178" s="25" t="s">
        <v>397</v>
      </c>
      <c r="F178" s="25" t="s">
        <v>976</v>
      </c>
      <c r="G178" s="25" t="s">
        <v>274</v>
      </c>
    </row>
    <row r="179" ht="15" customHeight="1">
      <c r="A179" s="25" t="s">
        <v>977</v>
      </c>
      <c r="B179" s="25" t="s">
        <v>978</v>
      </c>
      <c r="C179" s="25" t="s">
        <v>195</v>
      </c>
      <c r="D179" s="25" t="s">
        <v>979</v>
      </c>
      <c r="E179" s="25" t="s">
        <v>980</v>
      </c>
      <c r="F179" s="25" t="s">
        <v>981</v>
      </c>
      <c r="G179" s="25" t="s">
        <v>291</v>
      </c>
    </row>
    <row r="180" ht="15" customHeight="1">
      <c r="A180" s="25" t="s">
        <v>982</v>
      </c>
      <c r="B180" s="25" t="s">
        <v>983</v>
      </c>
      <c r="C180" s="25" t="s">
        <v>195</v>
      </c>
      <c r="D180" s="25" t="s">
        <v>984</v>
      </c>
      <c r="E180" s="25" t="s">
        <v>608</v>
      </c>
      <c r="F180" s="25" t="s">
        <v>985</v>
      </c>
      <c r="G180" s="25" t="s">
        <v>279</v>
      </c>
    </row>
    <row r="181" ht="15" customHeight="1">
      <c r="A181" s="25" t="s">
        <v>986</v>
      </c>
      <c r="B181" s="25" t="s">
        <v>987</v>
      </c>
      <c r="C181" s="25" t="s">
        <v>195</v>
      </c>
      <c r="D181" s="25" t="s">
        <v>988</v>
      </c>
      <c r="E181" s="25" t="s">
        <v>421</v>
      </c>
      <c r="F181" s="25" t="s">
        <v>989</v>
      </c>
      <c r="G181" s="25" t="s">
        <v>274</v>
      </c>
    </row>
    <row r="182" ht="15" customHeight="1">
      <c r="A182" s="25" t="s">
        <v>990</v>
      </c>
      <c r="B182" s="25" t="s">
        <v>991</v>
      </c>
      <c r="C182" s="25" t="s">
        <v>199</v>
      </c>
      <c r="D182" s="25" t="s">
        <v>992</v>
      </c>
      <c r="E182" s="25" t="s">
        <v>788</v>
      </c>
      <c r="F182" s="25" t="s">
        <v>789</v>
      </c>
      <c r="G182" s="25" t="s">
        <v>291</v>
      </c>
    </row>
    <row r="183" ht="15" customHeight="1">
      <c r="A183" s="25" t="s">
        <v>993</v>
      </c>
      <c r="B183" s="25" t="s">
        <v>994</v>
      </c>
      <c r="C183" s="25" t="s">
        <v>199</v>
      </c>
      <c r="D183" s="25" t="s">
        <v>995</v>
      </c>
      <c r="E183" s="25" t="s">
        <v>792</v>
      </c>
      <c r="F183" s="25" t="s">
        <v>793</v>
      </c>
      <c r="G183" s="25" t="s">
        <v>285</v>
      </c>
    </row>
    <row r="184" ht="15" customHeight="1">
      <c r="A184" s="25" t="s">
        <v>996</v>
      </c>
      <c r="B184" s="25" t="s">
        <v>997</v>
      </c>
      <c r="C184" s="25" t="s">
        <v>199</v>
      </c>
      <c r="D184" s="25" t="s">
        <v>998</v>
      </c>
      <c r="E184" s="25" t="s">
        <v>576</v>
      </c>
      <c r="F184" s="25" t="s">
        <v>796</v>
      </c>
      <c r="G184" s="25" t="s">
        <v>274</v>
      </c>
    </row>
    <row r="185" ht="15" customHeight="1">
      <c r="A185" s="25" t="s">
        <v>999</v>
      </c>
      <c r="B185" s="25" t="s">
        <v>1000</v>
      </c>
      <c r="C185" s="25" t="s">
        <v>201</v>
      </c>
      <c r="D185" s="25" t="s">
        <v>466</v>
      </c>
      <c r="E185" s="25" t="s">
        <v>580</v>
      </c>
      <c r="F185" s="25" t="s">
        <v>581</v>
      </c>
      <c r="G185" s="25" t="s">
        <v>291</v>
      </c>
    </row>
    <row r="186" ht="15" customHeight="1">
      <c r="A186" s="25" t="s">
        <v>1001</v>
      </c>
      <c r="B186" s="25" t="s">
        <v>1002</v>
      </c>
      <c r="C186" s="25" t="s">
        <v>201</v>
      </c>
      <c r="D186" s="25" t="s">
        <v>349</v>
      </c>
      <c r="E186" s="25" t="s">
        <v>585</v>
      </c>
      <c r="F186" s="25" t="s">
        <v>586</v>
      </c>
      <c r="G186" s="25" t="s">
        <v>279</v>
      </c>
    </row>
    <row r="187" ht="15" customHeight="1">
      <c r="A187" s="25" t="s">
        <v>1003</v>
      </c>
      <c r="B187" s="25" t="s">
        <v>1004</v>
      </c>
      <c r="C187" s="25" t="s">
        <v>201</v>
      </c>
      <c r="D187" s="25" t="s">
        <v>344</v>
      </c>
      <c r="E187" s="25" t="s">
        <v>590</v>
      </c>
      <c r="F187" s="25" t="s">
        <v>591</v>
      </c>
      <c r="G187" s="25" t="s">
        <v>274</v>
      </c>
    </row>
    <row r="188" ht="15" customHeight="1">
      <c r="A188" s="25" t="s">
        <v>1005</v>
      </c>
      <c r="B188" s="25" t="s">
        <v>1006</v>
      </c>
      <c r="C188" s="25" t="s">
        <v>203</v>
      </c>
      <c r="D188" s="25" t="s">
        <v>271</v>
      </c>
      <c r="E188" s="25" t="s">
        <v>800</v>
      </c>
      <c r="F188" s="25" t="s">
        <v>1007</v>
      </c>
      <c r="G188" s="25" t="s">
        <v>291</v>
      </c>
    </row>
    <row r="189" ht="15" customHeight="1">
      <c r="A189" s="25" t="s">
        <v>1008</v>
      </c>
      <c r="B189" s="25" t="s">
        <v>1009</v>
      </c>
      <c r="C189" s="25" t="s">
        <v>203</v>
      </c>
      <c r="D189" s="25" t="s">
        <v>321</v>
      </c>
      <c r="E189" s="25" t="s">
        <v>629</v>
      </c>
      <c r="F189" s="25" t="s">
        <v>1010</v>
      </c>
      <c r="G189" s="25" t="s">
        <v>285</v>
      </c>
    </row>
    <row r="190" ht="15" customHeight="1">
      <c r="A190" s="25" t="s">
        <v>1011</v>
      </c>
      <c r="B190" s="25" t="s">
        <v>1012</v>
      </c>
      <c r="C190" s="25" t="s">
        <v>203</v>
      </c>
      <c r="D190" s="25" t="s">
        <v>282</v>
      </c>
      <c r="E190" s="25" t="s">
        <v>808</v>
      </c>
      <c r="F190" s="25" t="s">
        <v>1013</v>
      </c>
      <c r="G190" s="25" t="s">
        <v>274</v>
      </c>
    </row>
    <row r="191" ht="15" customHeight="1">
      <c r="A191" s="25" t="s">
        <v>1014</v>
      </c>
      <c r="B191" s="25" t="s">
        <v>1015</v>
      </c>
      <c r="C191" s="25" t="s">
        <v>188</v>
      </c>
      <c r="D191" s="25" t="s">
        <v>1016</v>
      </c>
      <c r="E191" s="25" t="s">
        <v>478</v>
      </c>
      <c r="F191" s="25" t="s">
        <v>479</v>
      </c>
      <c r="G191" s="25" t="s">
        <v>291</v>
      </c>
    </row>
    <row r="192" ht="15" customHeight="1">
      <c r="A192" s="25" t="s">
        <v>1017</v>
      </c>
      <c r="B192" s="25" t="s">
        <v>1018</v>
      </c>
      <c r="C192" s="25" t="s">
        <v>188</v>
      </c>
      <c r="D192" s="25" t="s">
        <v>1019</v>
      </c>
      <c r="E192" s="25" t="s">
        <v>833</v>
      </c>
      <c r="F192" s="25" t="s">
        <v>1020</v>
      </c>
      <c r="G192" s="25" t="s">
        <v>279</v>
      </c>
    </row>
    <row r="193" ht="15" customHeight="1">
      <c r="A193" s="25" t="s">
        <v>1021</v>
      </c>
      <c r="B193" s="25" t="s">
        <v>1022</v>
      </c>
      <c r="C193" s="25" t="s">
        <v>188</v>
      </c>
      <c r="D193" s="25" t="s">
        <v>1023</v>
      </c>
      <c r="E193" s="25" t="s">
        <v>902</v>
      </c>
      <c r="F193" s="25" t="s">
        <v>1024</v>
      </c>
      <c r="G193" s="25" t="s">
        <v>274</v>
      </c>
    </row>
    <row r="194" ht="15" customHeight="1">
      <c r="A194" s="25" t="s">
        <v>1025</v>
      </c>
      <c r="B194" s="25" t="s">
        <v>1026</v>
      </c>
      <c r="C194" s="25" t="s">
        <v>182</v>
      </c>
      <c r="D194" s="25" t="s">
        <v>1027</v>
      </c>
      <c r="E194" s="25" t="s">
        <v>289</v>
      </c>
      <c r="F194" s="25" t="s">
        <v>1028</v>
      </c>
      <c r="G194" s="25" t="s">
        <v>291</v>
      </c>
    </row>
    <row r="195" ht="15" customHeight="1">
      <c r="A195" s="25" t="s">
        <v>1029</v>
      </c>
      <c r="B195" s="25" t="s">
        <v>1030</v>
      </c>
      <c r="C195" s="25" t="s">
        <v>185</v>
      </c>
      <c r="D195" s="25" t="s">
        <v>1031</v>
      </c>
      <c r="E195" s="25" t="s">
        <v>1032</v>
      </c>
      <c r="F195" s="25" t="s">
        <v>549</v>
      </c>
      <c r="G195" s="25" t="s">
        <v>285</v>
      </c>
    </row>
    <row r="196" ht="15" customHeight="1">
      <c r="A196" s="25" t="s">
        <v>1033</v>
      </c>
      <c r="B196" s="25" t="s">
        <v>1034</v>
      </c>
      <c r="C196" s="25" t="s">
        <v>182</v>
      </c>
      <c r="D196" s="25" t="s">
        <v>1035</v>
      </c>
      <c r="E196" s="25" t="s">
        <v>471</v>
      </c>
      <c r="F196" s="25" t="s">
        <v>1036</v>
      </c>
      <c r="G196" s="25" t="s">
        <v>274</v>
      </c>
    </row>
    <row r="197" ht="15" customHeight="1">
      <c r="A197" s="25" t="s">
        <v>1037</v>
      </c>
      <c r="B197" s="25" t="s">
        <v>1038</v>
      </c>
      <c r="C197" s="25" t="s">
        <v>166</v>
      </c>
      <c r="D197" s="25" t="s">
        <v>1039</v>
      </c>
      <c r="E197" s="25" t="s">
        <v>808</v>
      </c>
      <c r="F197" s="25" t="s">
        <v>1040</v>
      </c>
      <c r="G197" s="25" t="s">
        <v>291</v>
      </c>
    </row>
    <row r="198" ht="15" customHeight="1">
      <c r="A198" s="25" t="s">
        <v>1041</v>
      </c>
      <c r="B198" s="25" t="s">
        <v>1042</v>
      </c>
      <c r="C198" s="25" t="s">
        <v>29</v>
      </c>
      <c r="D198" s="25" t="s">
        <v>1043</v>
      </c>
      <c r="E198" s="25" t="s">
        <v>800</v>
      </c>
      <c r="F198" s="25" t="s">
        <v>1044</v>
      </c>
      <c r="G198" s="25" t="s">
        <v>279</v>
      </c>
    </row>
    <row r="199" ht="15" customHeight="1">
      <c r="A199" s="25" t="s">
        <v>1045</v>
      </c>
      <c r="B199" s="25" t="s">
        <v>1046</v>
      </c>
      <c r="C199" s="25" t="s">
        <v>176</v>
      </c>
      <c r="D199" s="25" t="s">
        <v>1047</v>
      </c>
      <c r="E199" s="25" t="s">
        <v>491</v>
      </c>
      <c r="F199" s="25" t="s">
        <v>559</v>
      </c>
      <c r="G199" s="25" t="s">
        <v>274</v>
      </c>
    </row>
    <row r="200" ht="15" customHeight="1">
      <c r="A200" s="25" t="s">
        <v>1048</v>
      </c>
      <c r="B200" s="25" t="s">
        <v>1049</v>
      </c>
      <c r="C200" s="25" t="s">
        <v>192</v>
      </c>
      <c r="D200" s="25" t="s">
        <v>567</v>
      </c>
      <c r="E200" s="25" t="s">
        <v>674</v>
      </c>
      <c r="F200" s="25" t="s">
        <v>1050</v>
      </c>
      <c r="G200" s="25" t="s">
        <v>291</v>
      </c>
    </row>
    <row r="201" ht="15" customHeight="1">
      <c r="A201" s="25" t="s">
        <v>1051</v>
      </c>
      <c r="B201" s="25" t="s">
        <v>1052</v>
      </c>
      <c r="C201" s="25" t="s">
        <v>192</v>
      </c>
      <c r="D201" s="25" t="s">
        <v>572</v>
      </c>
      <c r="E201" s="25" t="s">
        <v>909</v>
      </c>
      <c r="F201" s="25" t="s">
        <v>1053</v>
      </c>
      <c r="G201" s="25" t="s">
        <v>285</v>
      </c>
    </row>
    <row r="202" ht="15" customHeight="1">
      <c r="A202" s="25" t="s">
        <v>1054</v>
      </c>
      <c r="B202" s="25" t="s">
        <v>1055</v>
      </c>
      <c r="C202" s="25" t="s">
        <v>192</v>
      </c>
      <c r="D202" s="25" t="s">
        <v>567</v>
      </c>
      <c r="E202" s="25" t="s">
        <v>435</v>
      </c>
      <c r="F202" s="25" t="s">
        <v>1056</v>
      </c>
      <c r="G202" s="25" t="s">
        <v>274</v>
      </c>
    </row>
    <row r="203" ht="15" customHeight="1">
      <c r="A203" s="25" t="s">
        <v>1057</v>
      </c>
      <c r="B203" s="25" t="s">
        <v>1058</v>
      </c>
      <c r="C203" s="25" t="s">
        <v>195</v>
      </c>
      <c r="D203" s="25" t="s">
        <v>401</v>
      </c>
      <c r="E203" s="25" t="s">
        <v>402</v>
      </c>
      <c r="F203" s="25" t="s">
        <v>403</v>
      </c>
      <c r="G203" s="25" t="s">
        <v>291</v>
      </c>
    </row>
    <row r="204" ht="15" customHeight="1">
      <c r="A204" s="25" t="s">
        <v>1059</v>
      </c>
      <c r="B204" s="25" t="s">
        <v>1060</v>
      </c>
      <c r="C204" s="25" t="s">
        <v>195</v>
      </c>
      <c r="D204" s="25" t="s">
        <v>406</v>
      </c>
      <c r="E204" s="25" t="s">
        <v>920</v>
      </c>
      <c r="F204" s="25" t="s">
        <v>425</v>
      </c>
      <c r="G204" s="25" t="s">
        <v>279</v>
      </c>
    </row>
    <row r="205" ht="15" customHeight="1">
      <c r="A205" s="25" t="s">
        <v>1061</v>
      </c>
      <c r="B205" s="25" t="s">
        <v>1062</v>
      </c>
      <c r="C205" s="25" t="s">
        <v>195</v>
      </c>
      <c r="D205" s="25" t="s">
        <v>411</v>
      </c>
      <c r="E205" s="25" t="s">
        <v>665</v>
      </c>
      <c r="F205" s="25" t="s">
        <v>1063</v>
      </c>
      <c r="G205" s="25" t="s">
        <v>274</v>
      </c>
    </row>
    <row r="206" ht="15" customHeight="1">
      <c r="A206" s="25" t="s">
        <v>1064</v>
      </c>
      <c r="B206" s="25" t="s">
        <v>1065</v>
      </c>
      <c r="C206" s="25" t="s">
        <v>199</v>
      </c>
      <c r="D206" s="25" t="s">
        <v>701</v>
      </c>
      <c r="E206" s="25" t="s">
        <v>439</v>
      </c>
      <c r="F206" s="25" t="s">
        <v>1066</v>
      </c>
      <c r="G206" s="25" t="s">
        <v>291</v>
      </c>
    </row>
    <row r="207" ht="15" customHeight="1">
      <c r="A207" s="25" t="s">
        <v>1067</v>
      </c>
      <c r="B207" s="25" t="s">
        <v>1068</v>
      </c>
      <c r="C207" s="25" t="s">
        <v>199</v>
      </c>
      <c r="D207" s="25" t="s">
        <v>705</v>
      </c>
      <c r="E207" s="25" t="s">
        <v>309</v>
      </c>
      <c r="F207" s="25" t="s">
        <v>1069</v>
      </c>
      <c r="G207" s="25" t="s">
        <v>285</v>
      </c>
    </row>
    <row r="208" ht="15" customHeight="1">
      <c r="A208" s="25" t="s">
        <v>1070</v>
      </c>
      <c r="B208" s="25" t="s">
        <v>1071</v>
      </c>
      <c r="C208" s="25" t="s">
        <v>199</v>
      </c>
      <c r="D208" s="25" t="s">
        <v>701</v>
      </c>
      <c r="E208" s="25" t="s">
        <v>1072</v>
      </c>
      <c r="F208" s="25" t="s">
        <v>1073</v>
      </c>
      <c r="G208" s="25" t="s">
        <v>274</v>
      </c>
    </row>
    <row r="209" ht="15" customHeight="1">
      <c r="A209" s="25" t="s">
        <v>1074</v>
      </c>
      <c r="B209" s="25" t="s">
        <v>1075</v>
      </c>
      <c r="C209" s="25" t="s">
        <v>201</v>
      </c>
      <c r="D209" s="25" t="s">
        <v>1076</v>
      </c>
      <c r="E209" s="25" t="s">
        <v>515</v>
      </c>
      <c r="F209" s="25" t="s">
        <v>516</v>
      </c>
      <c r="G209" s="25" t="s">
        <v>291</v>
      </c>
    </row>
    <row r="210" ht="15" customHeight="1">
      <c r="A210" s="25" t="s">
        <v>1077</v>
      </c>
      <c r="B210" s="25" t="s">
        <v>1078</v>
      </c>
      <c r="C210" s="25" t="s">
        <v>201</v>
      </c>
      <c r="D210" s="25" t="s">
        <v>1079</v>
      </c>
      <c r="E210" s="25" t="s">
        <v>665</v>
      </c>
      <c r="F210" s="25" t="s">
        <v>413</v>
      </c>
      <c r="G210" s="25" t="s">
        <v>279</v>
      </c>
    </row>
    <row r="211" ht="15" customHeight="1">
      <c r="A211" s="25" t="s">
        <v>1080</v>
      </c>
      <c r="B211" s="25" t="s">
        <v>1081</v>
      </c>
      <c r="C211" s="25" t="s">
        <v>201</v>
      </c>
      <c r="D211" s="25" t="s">
        <v>1082</v>
      </c>
      <c r="E211" s="25" t="s">
        <v>1083</v>
      </c>
      <c r="F211" s="25" t="s">
        <v>585</v>
      </c>
      <c r="G211" s="25" t="s">
        <v>274</v>
      </c>
    </row>
    <row r="212" ht="15" customHeight="1">
      <c r="A212" s="25" t="s">
        <v>1084</v>
      </c>
      <c r="B212" s="25" t="s">
        <v>1085</v>
      </c>
      <c r="C212" s="25" t="s">
        <v>166</v>
      </c>
      <c r="D212" s="25" t="s">
        <v>1086</v>
      </c>
      <c r="E212" s="25" t="s">
        <v>660</v>
      </c>
      <c r="F212" s="25" t="s">
        <v>1087</v>
      </c>
      <c r="G212" s="25" t="s">
        <v>291</v>
      </c>
    </row>
    <row r="213" ht="15" customHeight="1">
      <c r="A213" s="25" t="s">
        <v>1088</v>
      </c>
      <c r="B213" s="25" t="s">
        <v>1089</v>
      </c>
      <c r="C213" s="25" t="s">
        <v>29</v>
      </c>
      <c r="D213" s="25" t="s">
        <v>1090</v>
      </c>
      <c r="E213" s="25" t="s">
        <v>374</v>
      </c>
      <c r="F213" s="25" t="s">
        <v>380</v>
      </c>
      <c r="G213" s="25" t="s">
        <v>285</v>
      </c>
    </row>
    <row r="214" ht="15" customHeight="1">
      <c r="A214" s="25" t="s">
        <v>1091</v>
      </c>
      <c r="B214" s="25" t="s">
        <v>1092</v>
      </c>
      <c r="C214" s="25" t="s">
        <v>176</v>
      </c>
      <c r="D214" s="25" t="s">
        <v>1093</v>
      </c>
      <c r="E214" s="25" t="s">
        <v>1094</v>
      </c>
      <c r="F214" s="25" t="s">
        <v>915</v>
      </c>
      <c r="G214" s="25" t="s">
        <v>274</v>
      </c>
    </row>
    <row r="215" ht="15" customHeight="1">
      <c r="A215" s="25" t="s">
        <v>1095</v>
      </c>
      <c r="B215" s="25" t="s">
        <v>1096</v>
      </c>
      <c r="C215" s="25" t="s">
        <v>188</v>
      </c>
      <c r="D215" s="25" t="s">
        <v>303</v>
      </c>
      <c r="E215" s="25" t="s">
        <v>902</v>
      </c>
      <c r="F215" s="25" t="s">
        <v>1097</v>
      </c>
      <c r="G215" s="25" t="s">
        <v>291</v>
      </c>
    </row>
    <row r="216" ht="15" customHeight="1">
      <c r="A216" s="25" t="s">
        <v>1098</v>
      </c>
      <c r="B216" s="25" t="s">
        <v>1099</v>
      </c>
      <c r="C216" s="25" t="s">
        <v>188</v>
      </c>
      <c r="D216" s="25" t="s">
        <v>392</v>
      </c>
      <c r="E216" s="25" t="s">
        <v>478</v>
      </c>
      <c r="F216" s="25" t="s">
        <v>1100</v>
      </c>
      <c r="G216" s="25" t="s">
        <v>279</v>
      </c>
    </row>
    <row r="217" ht="15" customHeight="1">
      <c r="A217" s="25" t="s">
        <v>1101</v>
      </c>
      <c r="B217" s="25" t="s">
        <v>1102</v>
      </c>
      <c r="C217" s="25" t="s">
        <v>188</v>
      </c>
      <c r="D217" s="25" t="s">
        <v>308</v>
      </c>
      <c r="E217" s="25" t="s">
        <v>933</v>
      </c>
      <c r="F217" s="25" t="s">
        <v>934</v>
      </c>
      <c r="G217" s="25" t="s">
        <v>274</v>
      </c>
    </row>
    <row r="218" ht="15" customHeight="1">
      <c r="A218" s="25" t="s">
        <v>1103</v>
      </c>
      <c r="B218" s="25" t="s">
        <v>1104</v>
      </c>
      <c r="C218" s="25" t="s">
        <v>192</v>
      </c>
      <c r="D218" s="25" t="s">
        <v>330</v>
      </c>
      <c r="E218" s="25" t="s">
        <v>442</v>
      </c>
      <c r="F218" s="25" t="s">
        <v>443</v>
      </c>
      <c r="G218" s="25" t="s">
        <v>291</v>
      </c>
    </row>
    <row r="219" ht="15" customHeight="1">
      <c r="A219" s="25" t="s">
        <v>1105</v>
      </c>
      <c r="B219" s="25" t="s">
        <v>1106</v>
      </c>
      <c r="C219" s="25" t="s">
        <v>192</v>
      </c>
      <c r="D219" s="25" t="s">
        <v>335</v>
      </c>
      <c r="E219" s="25" t="s">
        <v>534</v>
      </c>
      <c r="F219" s="25" t="s">
        <v>1107</v>
      </c>
      <c r="G219" s="25" t="s">
        <v>285</v>
      </c>
    </row>
    <row r="220" ht="15" customHeight="1">
      <c r="A220" s="25" t="s">
        <v>1108</v>
      </c>
      <c r="B220" s="25" t="s">
        <v>1109</v>
      </c>
      <c r="C220" s="25" t="s">
        <v>192</v>
      </c>
      <c r="D220" s="25" t="s">
        <v>330</v>
      </c>
      <c r="E220" s="25" t="s">
        <v>510</v>
      </c>
      <c r="F220" s="25" t="s">
        <v>645</v>
      </c>
      <c r="G220" s="25" t="s">
        <v>274</v>
      </c>
    </row>
    <row r="221" ht="15" customHeight="1">
      <c r="A221" s="25" t="s">
        <v>1110</v>
      </c>
      <c r="B221" s="25" t="s">
        <v>1111</v>
      </c>
      <c r="C221" s="25" t="s">
        <v>195</v>
      </c>
      <c r="D221" s="25" t="s">
        <v>1112</v>
      </c>
      <c r="E221" s="25" t="s">
        <v>478</v>
      </c>
      <c r="F221" s="25" t="s">
        <v>479</v>
      </c>
      <c r="G221" s="25" t="s">
        <v>291</v>
      </c>
    </row>
    <row r="222" ht="15" customHeight="1">
      <c r="A222" s="25" t="s">
        <v>1113</v>
      </c>
      <c r="B222" s="25" t="s">
        <v>1114</v>
      </c>
      <c r="C222" s="25" t="s">
        <v>195</v>
      </c>
      <c r="D222" s="25" t="s">
        <v>1115</v>
      </c>
      <c r="E222" s="25" t="s">
        <v>482</v>
      </c>
      <c r="F222" s="25" t="s">
        <v>637</v>
      </c>
      <c r="G222" s="25" t="s">
        <v>279</v>
      </c>
    </row>
    <row r="223" ht="15" customHeight="1">
      <c r="A223" s="25" t="s">
        <v>1116</v>
      </c>
      <c r="B223" s="25" t="s">
        <v>1117</v>
      </c>
      <c r="C223" s="25" t="s">
        <v>195</v>
      </c>
      <c r="D223" s="25" t="s">
        <v>1118</v>
      </c>
      <c r="E223" s="25" t="s">
        <v>486</v>
      </c>
      <c r="F223" s="25" t="s">
        <v>641</v>
      </c>
      <c r="G223" s="25" t="s">
        <v>274</v>
      </c>
    </row>
    <row r="224" ht="15" customHeight="1">
      <c r="A224" s="25" t="s">
        <v>1119</v>
      </c>
      <c r="B224" s="25" t="s">
        <v>1120</v>
      </c>
      <c r="C224" s="25" t="s">
        <v>199</v>
      </c>
      <c r="D224" s="25" t="s">
        <v>538</v>
      </c>
      <c r="E224" s="25" t="s">
        <v>374</v>
      </c>
      <c r="F224" s="25" t="s">
        <v>1121</v>
      </c>
      <c r="G224" s="25" t="s">
        <v>291</v>
      </c>
    </row>
    <row r="225" ht="15" customHeight="1">
      <c r="A225" s="25" t="s">
        <v>1122</v>
      </c>
      <c r="B225" s="25" t="s">
        <v>1123</v>
      </c>
      <c r="C225" s="25" t="s">
        <v>199</v>
      </c>
      <c r="D225" s="25" t="s">
        <v>543</v>
      </c>
      <c r="E225" s="25" t="s">
        <v>746</v>
      </c>
      <c r="F225" s="25" t="s">
        <v>1044</v>
      </c>
      <c r="G225" s="25" t="s">
        <v>285</v>
      </c>
    </row>
    <row r="226" ht="15" customHeight="1">
      <c r="A226" s="25" t="s">
        <v>1124</v>
      </c>
      <c r="B226" s="25" t="s">
        <v>1125</v>
      </c>
      <c r="C226" s="25" t="s">
        <v>199</v>
      </c>
      <c r="D226" s="25" t="s">
        <v>538</v>
      </c>
      <c r="E226" s="25" t="s">
        <v>1126</v>
      </c>
      <c r="F226" s="25" t="s">
        <v>1127</v>
      </c>
      <c r="G226" s="25" t="s">
        <v>274</v>
      </c>
    </row>
    <row r="227" ht="15" customHeight="1">
      <c r="A227" s="25" t="s">
        <v>1128</v>
      </c>
      <c r="B227" s="25" t="s">
        <v>1129</v>
      </c>
      <c r="C227" s="25" t="s">
        <v>201</v>
      </c>
      <c r="D227" s="25" t="s">
        <v>1130</v>
      </c>
      <c r="E227" s="25" t="s">
        <v>1131</v>
      </c>
      <c r="F227" s="25" t="s">
        <v>1132</v>
      </c>
      <c r="G227" s="25" t="s">
        <v>291</v>
      </c>
    </row>
    <row r="228" ht="15" customHeight="1">
      <c r="A228" s="25" t="s">
        <v>1133</v>
      </c>
      <c r="B228" s="25" t="s">
        <v>1134</v>
      </c>
      <c r="C228" s="25" t="s">
        <v>201</v>
      </c>
      <c r="D228" s="25" t="s">
        <v>1135</v>
      </c>
      <c r="E228" s="25" t="s">
        <v>1136</v>
      </c>
      <c r="F228" s="25" t="s">
        <v>402</v>
      </c>
      <c r="G228" s="25" t="s">
        <v>279</v>
      </c>
    </row>
    <row r="229" ht="15" customHeight="1">
      <c r="A229" s="25" t="s">
        <v>1137</v>
      </c>
      <c r="B229" s="25" t="s">
        <v>1138</v>
      </c>
      <c r="C229" s="25" t="s">
        <v>201</v>
      </c>
      <c r="D229" s="25" t="s">
        <v>1139</v>
      </c>
      <c r="E229" s="25" t="s">
        <v>689</v>
      </c>
      <c r="F229" s="25" t="s">
        <v>515</v>
      </c>
      <c r="G229" s="25" t="s">
        <v>274</v>
      </c>
    </row>
    <row r="230" ht="15" customHeight="1">
      <c r="A230" s="25" t="s">
        <v>1140</v>
      </c>
      <c r="B230" s="25" t="s">
        <v>1141</v>
      </c>
      <c r="C230" s="25" t="s">
        <v>182</v>
      </c>
      <c r="D230" s="25" t="s">
        <v>358</v>
      </c>
      <c r="E230" s="25" t="s">
        <v>726</v>
      </c>
      <c r="F230" s="25" t="s">
        <v>1142</v>
      </c>
      <c r="G230" s="25" t="s">
        <v>291</v>
      </c>
    </row>
    <row r="231" ht="15" customHeight="1">
      <c r="A231" s="25" t="s">
        <v>1143</v>
      </c>
      <c r="B231" s="25" t="s">
        <v>1144</v>
      </c>
      <c r="C231" s="25" t="s">
        <v>185</v>
      </c>
      <c r="D231" s="25" t="s">
        <v>363</v>
      </c>
      <c r="E231" s="25" t="s">
        <v>731</v>
      </c>
      <c r="F231" s="25" t="s">
        <v>732</v>
      </c>
      <c r="G231" s="25" t="s">
        <v>285</v>
      </c>
    </row>
    <row r="232" ht="15" customHeight="1">
      <c r="A232" s="25" t="s">
        <v>1145</v>
      </c>
      <c r="B232" s="25" t="s">
        <v>1146</v>
      </c>
      <c r="C232" s="25" t="s">
        <v>182</v>
      </c>
      <c r="D232" s="25" t="s">
        <v>368</v>
      </c>
      <c r="E232" s="25" t="s">
        <v>736</v>
      </c>
      <c r="F232" s="25" t="s">
        <v>545</v>
      </c>
      <c r="G232" s="25" t="s">
        <v>274</v>
      </c>
    </row>
    <row r="233" ht="15" customHeight="1">
      <c r="A233" s="25" t="s">
        <v>1147</v>
      </c>
      <c r="B233" s="25" t="s">
        <v>1148</v>
      </c>
      <c r="C233" s="25" t="s">
        <v>166</v>
      </c>
      <c r="D233" s="25" t="s">
        <v>490</v>
      </c>
      <c r="E233" s="25" t="s">
        <v>633</v>
      </c>
      <c r="F233" s="25" t="s">
        <v>811</v>
      </c>
      <c r="G233" s="25" t="s">
        <v>291</v>
      </c>
    </row>
    <row r="234" ht="15" customHeight="1">
      <c r="A234" s="25" t="s">
        <v>1149</v>
      </c>
      <c r="B234" s="25" t="s">
        <v>1150</v>
      </c>
      <c r="C234" s="25" t="s">
        <v>29</v>
      </c>
      <c r="D234" s="25" t="s">
        <v>495</v>
      </c>
      <c r="E234" s="25" t="s">
        <v>637</v>
      </c>
      <c r="F234" s="25" t="s">
        <v>814</v>
      </c>
      <c r="G234" s="25" t="s">
        <v>279</v>
      </c>
    </row>
    <row r="235" ht="15" customHeight="1">
      <c r="A235" s="25" t="s">
        <v>1151</v>
      </c>
      <c r="B235" s="25" t="s">
        <v>1152</v>
      </c>
      <c r="C235" s="25" t="s">
        <v>176</v>
      </c>
      <c r="D235" s="25" t="s">
        <v>500</v>
      </c>
      <c r="E235" s="25" t="s">
        <v>641</v>
      </c>
      <c r="F235" s="25" t="s">
        <v>626</v>
      </c>
      <c r="G235" s="25" t="s">
        <v>274</v>
      </c>
    </row>
    <row r="236" ht="15" customHeight="1">
      <c r="A236" s="25" t="s">
        <v>1153</v>
      </c>
      <c r="B236" s="25" t="s">
        <v>1154</v>
      </c>
      <c r="C236" s="25" t="s">
        <v>188</v>
      </c>
      <c r="D236" s="25" t="s">
        <v>428</v>
      </c>
      <c r="E236" s="25" t="s">
        <v>1155</v>
      </c>
      <c r="F236" s="25" t="s">
        <v>1087</v>
      </c>
      <c r="G236" s="25" t="s">
        <v>291</v>
      </c>
    </row>
    <row r="237" ht="15" customHeight="1">
      <c r="A237" s="25" t="s">
        <v>1156</v>
      </c>
      <c r="B237" s="25" t="s">
        <v>1157</v>
      </c>
      <c r="C237" s="25" t="s">
        <v>188</v>
      </c>
      <c r="D237" s="25" t="s">
        <v>433</v>
      </c>
      <c r="E237" s="25" t="s">
        <v>1126</v>
      </c>
      <c r="F237" s="25" t="s">
        <v>844</v>
      </c>
      <c r="G237" s="25" t="s">
        <v>285</v>
      </c>
    </row>
    <row r="238" ht="15" customHeight="1">
      <c r="A238" s="25" t="s">
        <v>1158</v>
      </c>
      <c r="B238" s="25" t="s">
        <v>1159</v>
      </c>
      <c r="C238" s="25" t="s">
        <v>188</v>
      </c>
      <c r="D238" s="25" t="s">
        <v>438</v>
      </c>
      <c r="E238" s="25" t="s">
        <v>309</v>
      </c>
      <c r="F238" s="25" t="s">
        <v>674</v>
      </c>
      <c r="G238" s="25" t="s">
        <v>274</v>
      </c>
    </row>
    <row r="239" ht="15" customHeight="1">
      <c r="A239" s="25" t="s">
        <v>1160</v>
      </c>
      <c r="B239" s="25" t="s">
        <v>1161</v>
      </c>
      <c r="C239" s="25" t="s">
        <v>192</v>
      </c>
      <c r="D239" s="25" t="s">
        <v>466</v>
      </c>
      <c r="E239" s="25" t="s">
        <v>645</v>
      </c>
      <c r="F239" s="25" t="s">
        <v>1162</v>
      </c>
      <c r="G239" s="25" t="s">
        <v>291</v>
      </c>
    </row>
    <row r="240" ht="15" customHeight="1">
      <c r="A240" s="25" t="s">
        <v>1163</v>
      </c>
      <c r="B240" s="25" t="s">
        <v>1164</v>
      </c>
      <c r="C240" s="25" t="s">
        <v>192</v>
      </c>
      <c r="D240" s="25" t="s">
        <v>349</v>
      </c>
      <c r="E240" s="25" t="s">
        <v>568</v>
      </c>
      <c r="F240" s="25" t="s">
        <v>792</v>
      </c>
      <c r="G240" s="25" t="s">
        <v>279</v>
      </c>
    </row>
    <row r="241" ht="15" customHeight="1">
      <c r="A241" s="25" t="s">
        <v>1165</v>
      </c>
      <c r="B241" s="25" t="s">
        <v>1166</v>
      </c>
      <c r="C241" s="25" t="s">
        <v>192</v>
      </c>
      <c r="D241" s="25" t="s">
        <v>344</v>
      </c>
      <c r="E241" s="25" t="s">
        <v>652</v>
      </c>
      <c r="F241" s="25" t="s">
        <v>1167</v>
      </c>
      <c r="G241" s="25" t="s">
        <v>274</v>
      </c>
    </row>
    <row r="242" ht="15" customHeight="1">
      <c r="A242" s="25" t="s">
        <v>1168</v>
      </c>
      <c r="B242" s="25" t="s">
        <v>1169</v>
      </c>
      <c r="C242" s="25" t="s">
        <v>195</v>
      </c>
      <c r="D242" s="25" t="s">
        <v>1170</v>
      </c>
      <c r="E242" s="25" t="s">
        <v>1155</v>
      </c>
      <c r="F242" s="25" t="s">
        <v>1087</v>
      </c>
      <c r="G242" s="25" t="s">
        <v>291</v>
      </c>
    </row>
    <row r="243" ht="15" customHeight="1">
      <c r="A243" s="25" t="s">
        <v>1171</v>
      </c>
      <c r="B243" s="25" t="s">
        <v>1172</v>
      </c>
      <c r="C243" s="25" t="s">
        <v>195</v>
      </c>
      <c r="D243" s="25" t="s">
        <v>1173</v>
      </c>
      <c r="E243" s="25" t="s">
        <v>1094</v>
      </c>
      <c r="F243" s="25" t="s">
        <v>844</v>
      </c>
      <c r="G243" s="25" t="s">
        <v>285</v>
      </c>
    </row>
    <row r="244" ht="15" customHeight="1">
      <c r="A244" s="25" t="s">
        <v>1174</v>
      </c>
      <c r="B244" s="25" t="s">
        <v>1175</v>
      </c>
      <c r="C244" s="25" t="s">
        <v>195</v>
      </c>
      <c r="D244" s="25" t="s">
        <v>1176</v>
      </c>
      <c r="E244" s="25" t="s">
        <v>434</v>
      </c>
      <c r="F244" s="25" t="s">
        <v>674</v>
      </c>
      <c r="G244" s="25" t="s">
        <v>274</v>
      </c>
    </row>
    <row r="245" ht="15" customHeight="1">
      <c r="A245" s="25" t="s">
        <v>1177</v>
      </c>
      <c r="B245" s="25" t="s">
        <v>1178</v>
      </c>
      <c r="C245" s="25" t="s">
        <v>199</v>
      </c>
      <c r="D245" s="25" t="s">
        <v>303</v>
      </c>
      <c r="E245" s="25" t="s">
        <v>944</v>
      </c>
      <c r="F245" s="25" t="s">
        <v>1179</v>
      </c>
      <c r="G245" s="25" t="s">
        <v>291</v>
      </c>
    </row>
    <row r="246" ht="15" customHeight="1">
      <c r="A246" s="25" t="s">
        <v>1180</v>
      </c>
      <c r="B246" s="25" t="s">
        <v>1181</v>
      </c>
      <c r="C246" s="25" t="s">
        <v>199</v>
      </c>
      <c r="D246" s="25" t="s">
        <v>392</v>
      </c>
      <c r="E246" s="25" t="s">
        <v>754</v>
      </c>
      <c r="F246" s="25" t="s">
        <v>1182</v>
      </c>
      <c r="G246" s="25" t="s">
        <v>279</v>
      </c>
    </row>
    <row r="247" ht="15" customHeight="1">
      <c r="A247" s="25" t="s">
        <v>1183</v>
      </c>
      <c r="B247" s="25" t="s">
        <v>1184</v>
      </c>
      <c r="C247" s="25" t="s">
        <v>199</v>
      </c>
      <c r="D247" s="25" t="s">
        <v>308</v>
      </c>
      <c r="E247" s="25" t="s">
        <v>1013</v>
      </c>
      <c r="F247" s="25" t="s">
        <v>824</v>
      </c>
      <c r="G247" s="25" t="s">
        <v>274</v>
      </c>
    </row>
    <row r="248" ht="15" customHeight="1">
      <c r="A248" s="25" t="s">
        <v>1185</v>
      </c>
      <c r="B248" s="25" t="s">
        <v>1186</v>
      </c>
      <c r="C248" s="25" t="s">
        <v>201</v>
      </c>
      <c r="D248" s="25" t="s">
        <v>401</v>
      </c>
      <c r="E248" s="25" t="s">
        <v>665</v>
      </c>
      <c r="F248" s="25" t="s">
        <v>403</v>
      </c>
      <c r="G248" s="25" t="s">
        <v>291</v>
      </c>
    </row>
    <row r="249" ht="15" customHeight="1">
      <c r="A249" s="25" t="s">
        <v>1187</v>
      </c>
      <c r="B249" s="25" t="s">
        <v>1188</v>
      </c>
      <c r="C249" s="25" t="s">
        <v>201</v>
      </c>
      <c r="D249" s="25" t="s">
        <v>406</v>
      </c>
      <c r="E249" s="25" t="s">
        <v>402</v>
      </c>
      <c r="F249" s="25" t="s">
        <v>408</v>
      </c>
      <c r="G249" s="25" t="s">
        <v>285</v>
      </c>
    </row>
    <row r="250" ht="15" customHeight="1">
      <c r="A250" s="25" t="s">
        <v>1189</v>
      </c>
      <c r="B250" s="25" t="s">
        <v>1190</v>
      </c>
      <c r="C250" s="25" t="s">
        <v>201</v>
      </c>
      <c r="D250" s="25" t="s">
        <v>411</v>
      </c>
      <c r="E250" s="25" t="s">
        <v>515</v>
      </c>
      <c r="F250" s="25" t="s">
        <v>1063</v>
      </c>
      <c r="G250" s="25" t="s">
        <v>274</v>
      </c>
    </row>
    <row r="251" ht="15" customHeight="1">
      <c r="A251" s="25" t="s">
        <v>1191</v>
      </c>
      <c r="B251" s="25" t="s">
        <v>1192</v>
      </c>
      <c r="C251" s="25" t="s">
        <v>203</v>
      </c>
      <c r="D251" s="25" t="s">
        <v>776</v>
      </c>
      <c r="E251" s="25" t="s">
        <v>374</v>
      </c>
      <c r="F251" s="25" t="s">
        <v>1121</v>
      </c>
      <c r="G251" s="25" t="s">
        <v>291</v>
      </c>
    </row>
    <row r="252" ht="15" customHeight="1">
      <c r="A252" s="25" t="s">
        <v>1193</v>
      </c>
      <c r="B252" s="25" t="s">
        <v>1194</v>
      </c>
      <c r="C252" s="25" t="s">
        <v>203</v>
      </c>
      <c r="D252" s="25" t="s">
        <v>780</v>
      </c>
      <c r="E252" s="25" t="s">
        <v>657</v>
      </c>
      <c r="F252" s="25" t="s">
        <v>497</v>
      </c>
      <c r="G252" s="25" t="s">
        <v>279</v>
      </c>
    </row>
    <row r="253" ht="15" customHeight="1">
      <c r="A253" s="25" t="s">
        <v>1195</v>
      </c>
      <c r="B253" s="25" t="s">
        <v>1196</v>
      </c>
      <c r="C253" s="25" t="s">
        <v>203</v>
      </c>
      <c r="D253" s="25" t="s">
        <v>784</v>
      </c>
      <c r="E253" s="25" t="s">
        <v>660</v>
      </c>
      <c r="F253" s="25" t="s">
        <v>661</v>
      </c>
      <c r="G253" s="25" t="s">
        <v>274</v>
      </c>
    </row>
    <row r="254" ht="15" customHeight="1">
      <c r="A254" s="25" t="s">
        <v>1197</v>
      </c>
      <c r="B254" s="25" t="s">
        <v>1198</v>
      </c>
      <c r="C254" s="25" t="s">
        <v>182</v>
      </c>
      <c r="D254" s="25" t="s">
        <v>454</v>
      </c>
      <c r="E254" s="25" t="s">
        <v>1199</v>
      </c>
      <c r="F254" s="25" t="s">
        <v>1200</v>
      </c>
      <c r="G254" s="25" t="s">
        <v>291</v>
      </c>
    </row>
    <row r="255" ht="15" customHeight="1">
      <c r="A255" s="25" t="s">
        <v>1201</v>
      </c>
      <c r="B255" s="25" t="s">
        <v>1202</v>
      </c>
      <c r="C255" s="25" t="s">
        <v>185</v>
      </c>
      <c r="D255" s="25" t="s">
        <v>458</v>
      </c>
      <c r="E255" s="25" t="s">
        <v>1203</v>
      </c>
      <c r="F255" s="25" t="s">
        <v>1204</v>
      </c>
      <c r="G255" s="25" t="s">
        <v>285</v>
      </c>
    </row>
    <row r="256" ht="15" customHeight="1">
      <c r="A256" s="25" t="s">
        <v>1205</v>
      </c>
      <c r="B256" s="25" t="s">
        <v>1206</v>
      </c>
      <c r="C256" s="25" t="s">
        <v>182</v>
      </c>
      <c r="D256" s="25" t="s">
        <v>462</v>
      </c>
      <c r="E256" s="25" t="s">
        <v>573</v>
      </c>
      <c r="F256" s="25" t="s">
        <v>1207</v>
      </c>
      <c r="G256" s="25" t="s">
        <v>274</v>
      </c>
    </row>
    <row r="257" ht="15" customHeight="1">
      <c r="A257" s="25" t="s">
        <v>1208</v>
      </c>
      <c r="B257" s="25" t="s">
        <v>1209</v>
      </c>
      <c r="C257" s="25" t="s">
        <v>166</v>
      </c>
      <c r="D257" s="25" t="s">
        <v>1210</v>
      </c>
      <c r="E257" s="25" t="s">
        <v>740</v>
      </c>
      <c r="F257" s="25" t="s">
        <v>1211</v>
      </c>
      <c r="G257" s="25" t="s">
        <v>291</v>
      </c>
    </row>
    <row r="258" ht="15" customHeight="1">
      <c r="A258" s="25" t="s">
        <v>1212</v>
      </c>
      <c r="B258" s="25" t="s">
        <v>1213</v>
      </c>
      <c r="C258" s="25" t="s">
        <v>29</v>
      </c>
      <c r="D258" s="25" t="s">
        <v>1214</v>
      </c>
      <c r="E258" s="25" t="s">
        <v>745</v>
      </c>
      <c r="F258" s="25" t="s">
        <v>1126</v>
      </c>
      <c r="G258" s="25" t="s">
        <v>279</v>
      </c>
    </row>
    <row r="259" ht="15" customHeight="1">
      <c r="A259" s="25" t="s">
        <v>1215</v>
      </c>
      <c r="B259" s="25" t="s">
        <v>1216</v>
      </c>
      <c r="C259" s="25" t="s">
        <v>176</v>
      </c>
      <c r="D259" s="25" t="s">
        <v>1217</v>
      </c>
      <c r="E259" s="25" t="s">
        <v>750</v>
      </c>
      <c r="F259" s="25" t="s">
        <v>309</v>
      </c>
      <c r="G259" s="25" t="s">
        <v>274</v>
      </c>
    </row>
    <row r="260" ht="15" customHeight="1">
      <c r="A260" s="25" t="s">
        <v>1218</v>
      </c>
      <c r="B260" s="25" t="s">
        <v>1219</v>
      </c>
      <c r="C260" s="25" t="s">
        <v>192</v>
      </c>
      <c r="D260" s="25" t="s">
        <v>819</v>
      </c>
      <c r="E260" s="25" t="s">
        <v>909</v>
      </c>
      <c r="F260" s="25" t="s">
        <v>1220</v>
      </c>
      <c r="G260" s="25" t="s">
        <v>291</v>
      </c>
    </row>
    <row r="261" ht="15" customHeight="1">
      <c r="A261" s="25" t="s">
        <v>1221</v>
      </c>
      <c r="B261" s="25" t="s">
        <v>1222</v>
      </c>
      <c r="C261" s="25" t="s">
        <v>192</v>
      </c>
      <c r="D261" s="25" t="s">
        <v>823</v>
      </c>
      <c r="E261" s="25" t="s">
        <v>844</v>
      </c>
      <c r="F261" s="25" t="s">
        <v>359</v>
      </c>
      <c r="G261" s="25" t="s">
        <v>285</v>
      </c>
    </row>
    <row r="262" ht="15" customHeight="1">
      <c r="A262" s="25" t="s">
        <v>1223</v>
      </c>
      <c r="B262" s="25" t="s">
        <v>1224</v>
      </c>
      <c r="C262" s="25" t="s">
        <v>192</v>
      </c>
      <c r="D262" s="25" t="s">
        <v>828</v>
      </c>
      <c r="E262" s="25" t="s">
        <v>915</v>
      </c>
      <c r="F262" s="25" t="s">
        <v>916</v>
      </c>
      <c r="G262" s="25" t="s">
        <v>274</v>
      </c>
    </row>
    <row r="263" ht="15" customHeight="1">
      <c r="A263" s="25" t="s">
        <v>1225</v>
      </c>
      <c r="B263" s="25" t="s">
        <v>1226</v>
      </c>
      <c r="C263" s="25" t="s">
        <v>195</v>
      </c>
      <c r="D263" s="25" t="s">
        <v>1227</v>
      </c>
      <c r="E263" s="25" t="s">
        <v>1083</v>
      </c>
      <c r="F263" s="25" t="s">
        <v>1228</v>
      </c>
      <c r="G263" s="25" t="s">
        <v>291</v>
      </c>
    </row>
    <row r="264" ht="15" customHeight="1">
      <c r="A264" s="25" t="s">
        <v>1229</v>
      </c>
      <c r="B264" s="25" t="s">
        <v>1230</v>
      </c>
      <c r="C264" s="25" t="s">
        <v>195</v>
      </c>
      <c r="D264" s="25" t="s">
        <v>1231</v>
      </c>
      <c r="E264" s="25" t="s">
        <v>515</v>
      </c>
      <c r="F264" s="25" t="s">
        <v>1232</v>
      </c>
      <c r="G264" s="25" t="s">
        <v>279</v>
      </c>
    </row>
    <row r="265" ht="15" customHeight="1">
      <c r="A265" s="25" t="s">
        <v>1233</v>
      </c>
      <c r="B265" s="25" t="s">
        <v>1234</v>
      </c>
      <c r="C265" s="25" t="s">
        <v>195</v>
      </c>
      <c r="D265" s="25" t="s">
        <v>1227</v>
      </c>
      <c r="E265" s="25" t="s">
        <v>608</v>
      </c>
      <c r="F265" s="25" t="s">
        <v>1235</v>
      </c>
      <c r="G265" s="25" t="s">
        <v>274</v>
      </c>
    </row>
    <row r="266" ht="15" customHeight="1">
      <c r="A266" s="25" t="s">
        <v>1236</v>
      </c>
      <c r="B266" s="25" t="s">
        <v>1237</v>
      </c>
      <c r="C266" s="25" t="s">
        <v>199</v>
      </c>
      <c r="D266" s="25" t="s">
        <v>1238</v>
      </c>
      <c r="E266" s="25" t="s">
        <v>446</v>
      </c>
      <c r="F266" s="25" t="s">
        <v>1239</v>
      </c>
      <c r="G266" s="25" t="s">
        <v>291</v>
      </c>
    </row>
    <row r="267" ht="15" customHeight="1">
      <c r="A267" s="25" t="s">
        <v>1240</v>
      </c>
      <c r="B267" s="25" t="s">
        <v>1241</v>
      </c>
      <c r="C267" s="25" t="s">
        <v>199</v>
      </c>
      <c r="D267" s="25" t="s">
        <v>1242</v>
      </c>
      <c r="E267" s="25" t="s">
        <v>1072</v>
      </c>
      <c r="F267" s="25" t="s">
        <v>1243</v>
      </c>
      <c r="G267" s="25" t="s">
        <v>285</v>
      </c>
    </row>
    <row r="268" ht="15" customHeight="1">
      <c r="A268" s="25" t="s">
        <v>1244</v>
      </c>
      <c r="B268" s="25" t="s">
        <v>1245</v>
      </c>
      <c r="C268" s="25" t="s">
        <v>199</v>
      </c>
      <c r="D268" s="25" t="s">
        <v>1238</v>
      </c>
      <c r="E268" s="25" t="s">
        <v>1246</v>
      </c>
      <c r="F268" s="25" t="s">
        <v>568</v>
      </c>
      <c r="G268" s="25" t="s">
        <v>274</v>
      </c>
    </row>
    <row r="269" ht="15" customHeight="1">
      <c r="A269" s="25" t="s">
        <v>1247</v>
      </c>
      <c r="B269" s="25" t="s">
        <v>1248</v>
      </c>
      <c r="C269" s="25" t="s">
        <v>201</v>
      </c>
      <c r="D269" s="25" t="s">
        <v>579</v>
      </c>
      <c r="E269" s="25" t="s">
        <v>833</v>
      </c>
      <c r="F269" s="25" t="s">
        <v>834</v>
      </c>
      <c r="G269" s="25" t="s">
        <v>291</v>
      </c>
    </row>
    <row r="270" ht="15" customHeight="1">
      <c r="A270" s="25" t="s">
        <v>1249</v>
      </c>
      <c r="B270" s="25" t="s">
        <v>1250</v>
      </c>
      <c r="C270" s="25" t="s">
        <v>201</v>
      </c>
      <c r="D270" s="25" t="s">
        <v>584</v>
      </c>
      <c r="E270" s="25" t="s">
        <v>985</v>
      </c>
      <c r="F270" s="25" t="s">
        <v>1251</v>
      </c>
      <c r="G270" s="25" t="s">
        <v>279</v>
      </c>
    </row>
    <row r="271" ht="15" customHeight="1">
      <c r="A271" s="25" t="s">
        <v>1252</v>
      </c>
      <c r="B271" s="25" t="s">
        <v>1253</v>
      </c>
      <c r="C271" s="25" t="s">
        <v>201</v>
      </c>
      <c r="D271" s="25" t="s">
        <v>589</v>
      </c>
      <c r="E271" s="25" t="s">
        <v>478</v>
      </c>
      <c r="F271" s="25" t="s">
        <v>1254</v>
      </c>
      <c r="G271" s="25" t="s">
        <v>274</v>
      </c>
    </row>
    <row r="272" ht="15" customHeight="1">
      <c r="A272" s="25" t="s">
        <v>1255</v>
      </c>
      <c r="B272" s="25" t="s">
        <v>1256</v>
      </c>
      <c r="C272" s="25" t="s">
        <v>166</v>
      </c>
      <c r="D272" s="25" t="s">
        <v>1257</v>
      </c>
      <c r="E272" s="25" t="s">
        <v>641</v>
      </c>
      <c r="F272" s="25" t="s">
        <v>1258</v>
      </c>
      <c r="G272" s="25" t="s">
        <v>291</v>
      </c>
    </row>
    <row r="273" ht="15" customHeight="1">
      <c r="A273" s="25" t="s">
        <v>1259</v>
      </c>
      <c r="B273" s="25" t="s">
        <v>1260</v>
      </c>
      <c r="C273" s="25" t="s">
        <v>29</v>
      </c>
      <c r="D273" s="25" t="s">
        <v>1261</v>
      </c>
      <c r="E273" s="25" t="s">
        <v>633</v>
      </c>
      <c r="F273" s="25" t="s">
        <v>534</v>
      </c>
      <c r="G273" s="25" t="s">
        <v>285</v>
      </c>
    </row>
    <row r="274" ht="15" customHeight="1">
      <c r="A274" s="25" t="s">
        <v>1262</v>
      </c>
      <c r="B274" s="25" t="s">
        <v>1263</v>
      </c>
      <c r="C274" s="25" t="s">
        <v>176</v>
      </c>
      <c r="D274" s="25" t="s">
        <v>1257</v>
      </c>
      <c r="E274" s="25" t="s">
        <v>625</v>
      </c>
      <c r="F274" s="25" t="s">
        <v>510</v>
      </c>
      <c r="G274" s="25" t="s">
        <v>274</v>
      </c>
    </row>
    <row r="275" ht="15" customHeight="1">
      <c r="A275" s="25" t="s">
        <v>1264</v>
      </c>
      <c r="B275" s="25" t="s">
        <v>1265</v>
      </c>
      <c r="C275" s="25" t="s">
        <v>188</v>
      </c>
      <c r="D275" s="25" t="s">
        <v>358</v>
      </c>
      <c r="E275" s="25" t="s">
        <v>800</v>
      </c>
      <c r="F275" s="25" t="s">
        <v>1266</v>
      </c>
      <c r="G275" s="25" t="s">
        <v>291</v>
      </c>
    </row>
    <row r="276" ht="15" customHeight="1">
      <c r="A276" s="25" t="s">
        <v>1267</v>
      </c>
      <c r="B276" s="25" t="s">
        <v>1268</v>
      </c>
      <c r="C276" s="25" t="s">
        <v>188</v>
      </c>
      <c r="D276" s="25" t="s">
        <v>363</v>
      </c>
      <c r="E276" s="25" t="s">
        <v>934</v>
      </c>
      <c r="F276" s="25" t="s">
        <v>1269</v>
      </c>
      <c r="G276" s="25" t="s">
        <v>279</v>
      </c>
    </row>
    <row r="277" ht="15" customHeight="1">
      <c r="A277" s="25" t="s">
        <v>1270</v>
      </c>
      <c r="B277" s="25" t="s">
        <v>1271</v>
      </c>
      <c r="C277" s="25" t="s">
        <v>188</v>
      </c>
      <c r="D277" s="25" t="s">
        <v>368</v>
      </c>
      <c r="E277" s="25" t="s">
        <v>496</v>
      </c>
      <c r="F277" s="25" t="s">
        <v>600</v>
      </c>
      <c r="G277" s="25" t="s">
        <v>274</v>
      </c>
    </row>
    <row r="278" ht="15" customHeight="1">
      <c r="A278" s="25" t="s">
        <v>1272</v>
      </c>
      <c r="B278" s="25" t="s">
        <v>1273</v>
      </c>
      <c r="C278" s="25" t="s">
        <v>192</v>
      </c>
      <c r="D278" s="25" t="s">
        <v>303</v>
      </c>
      <c r="E278" s="25" t="s">
        <v>1182</v>
      </c>
      <c r="F278" s="25" t="s">
        <v>1274</v>
      </c>
      <c r="G278" s="25" t="s">
        <v>291</v>
      </c>
    </row>
    <row r="279" ht="15" customHeight="1">
      <c r="A279" s="25" t="s">
        <v>1275</v>
      </c>
      <c r="B279" s="25" t="s">
        <v>1276</v>
      </c>
      <c r="C279" s="25" t="s">
        <v>192</v>
      </c>
      <c r="D279" s="25" t="s">
        <v>392</v>
      </c>
      <c r="E279" s="25" t="s">
        <v>1277</v>
      </c>
      <c r="F279" s="25" t="s">
        <v>576</v>
      </c>
      <c r="G279" s="25" t="s">
        <v>285</v>
      </c>
    </row>
    <row r="280" ht="15" customHeight="1">
      <c r="A280" s="25" t="s">
        <v>1278</v>
      </c>
      <c r="B280" s="25" t="s">
        <v>1279</v>
      </c>
      <c r="C280" s="25" t="s">
        <v>192</v>
      </c>
      <c r="D280" s="25" t="s">
        <v>308</v>
      </c>
      <c r="E280" s="25" t="s">
        <v>1280</v>
      </c>
      <c r="F280" s="25" t="s">
        <v>1281</v>
      </c>
      <c r="G280" s="25" t="s">
        <v>274</v>
      </c>
    </row>
    <row r="281" ht="15" customHeight="1">
      <c r="A281" s="25" t="s">
        <v>1282</v>
      </c>
      <c r="B281" s="25" t="s">
        <v>1283</v>
      </c>
      <c r="C281" s="25" t="s">
        <v>195</v>
      </c>
      <c r="D281" s="25" t="s">
        <v>466</v>
      </c>
      <c r="E281" s="25" t="s">
        <v>1284</v>
      </c>
      <c r="F281" s="25" t="s">
        <v>1285</v>
      </c>
      <c r="G281" s="25" t="s">
        <v>291</v>
      </c>
    </row>
    <row r="282" ht="15" customHeight="1">
      <c r="A282" s="25" t="s">
        <v>1286</v>
      </c>
      <c r="B282" s="25" t="s">
        <v>1287</v>
      </c>
      <c r="C282" s="25" t="s">
        <v>195</v>
      </c>
      <c r="D282" s="25" t="s">
        <v>349</v>
      </c>
      <c r="E282" s="25" t="s">
        <v>586</v>
      </c>
      <c r="F282" s="25" t="s">
        <v>496</v>
      </c>
      <c r="G282" s="25" t="s">
        <v>279</v>
      </c>
    </row>
    <row r="283" ht="15" customHeight="1">
      <c r="A283" s="25" t="s">
        <v>1288</v>
      </c>
      <c r="B283" s="25" t="s">
        <v>1289</v>
      </c>
      <c r="C283" s="25" t="s">
        <v>195</v>
      </c>
      <c r="D283" s="25" t="s">
        <v>344</v>
      </c>
      <c r="E283" s="25" t="s">
        <v>745</v>
      </c>
      <c r="F283" s="25" t="s">
        <v>379</v>
      </c>
      <c r="G283" s="25" t="s">
        <v>274</v>
      </c>
    </row>
    <row r="284" ht="15" customHeight="1">
      <c r="A284" s="25" t="s">
        <v>1290</v>
      </c>
      <c r="B284" s="25" t="s">
        <v>1291</v>
      </c>
      <c r="C284" s="25" t="s">
        <v>199</v>
      </c>
      <c r="D284" s="25" t="s">
        <v>330</v>
      </c>
      <c r="E284" s="25" t="s">
        <v>317</v>
      </c>
      <c r="F284" s="25" t="s">
        <v>777</v>
      </c>
      <c r="G284" s="25" t="s">
        <v>291</v>
      </c>
    </row>
    <row r="285" ht="15" customHeight="1">
      <c r="A285" s="25" t="s">
        <v>1292</v>
      </c>
      <c r="B285" s="25" t="s">
        <v>1293</v>
      </c>
      <c r="C285" s="25" t="s">
        <v>199</v>
      </c>
      <c r="D285" s="25" t="s">
        <v>335</v>
      </c>
      <c r="E285" s="25" t="s">
        <v>1294</v>
      </c>
      <c r="F285" s="25" t="s">
        <v>539</v>
      </c>
      <c r="G285" s="25" t="s">
        <v>285</v>
      </c>
    </row>
    <row r="286" ht="15" customHeight="1">
      <c r="A286" s="25" t="s">
        <v>1295</v>
      </c>
      <c r="B286" s="25" t="s">
        <v>1296</v>
      </c>
      <c r="C286" s="25" t="s">
        <v>199</v>
      </c>
      <c r="D286" s="25" t="s">
        <v>330</v>
      </c>
      <c r="E286" s="25" t="s">
        <v>661</v>
      </c>
      <c r="F286" s="25" t="s">
        <v>1297</v>
      </c>
      <c r="G286" s="25" t="s">
        <v>274</v>
      </c>
    </row>
    <row r="287" ht="15" customHeight="1">
      <c r="A287" s="25" t="s">
        <v>1298</v>
      </c>
      <c r="B287" s="25" t="s">
        <v>1299</v>
      </c>
      <c r="C287" s="25" t="s">
        <v>201</v>
      </c>
      <c r="D287" s="25" t="s">
        <v>1300</v>
      </c>
      <c r="E287" s="25" t="s">
        <v>416</v>
      </c>
      <c r="F287" s="25" t="s">
        <v>1301</v>
      </c>
      <c r="G287" s="25" t="s">
        <v>291</v>
      </c>
    </row>
    <row r="288" ht="15" customHeight="1">
      <c r="A288" s="25" t="s">
        <v>1302</v>
      </c>
      <c r="B288" s="25" t="s">
        <v>1303</v>
      </c>
      <c r="C288" s="25" t="s">
        <v>201</v>
      </c>
      <c r="D288" s="25" t="s">
        <v>1304</v>
      </c>
      <c r="E288" s="25" t="s">
        <v>420</v>
      </c>
      <c r="F288" s="25" t="s">
        <v>1083</v>
      </c>
      <c r="G288" s="25" t="s">
        <v>279</v>
      </c>
    </row>
    <row r="289" ht="15" customHeight="1">
      <c r="A289" s="25" t="s">
        <v>1305</v>
      </c>
      <c r="B289" s="25" t="s">
        <v>1306</v>
      </c>
      <c r="C289" s="25" t="s">
        <v>201</v>
      </c>
      <c r="D289" s="25" t="s">
        <v>1307</v>
      </c>
      <c r="E289" s="25" t="s">
        <v>424</v>
      </c>
      <c r="F289" s="25" t="s">
        <v>980</v>
      </c>
      <c r="G289" s="25" t="s">
        <v>274</v>
      </c>
    </row>
    <row r="290" ht="15" customHeight="1">
      <c r="A290" s="25" t="s">
        <v>1308</v>
      </c>
      <c r="B290" s="25" t="s">
        <v>1309</v>
      </c>
      <c r="C290" s="25" t="s">
        <v>203</v>
      </c>
      <c r="D290" s="25" t="s">
        <v>1310</v>
      </c>
      <c r="E290" s="25" t="s">
        <v>429</v>
      </c>
      <c r="F290" s="25" t="s">
        <v>1311</v>
      </c>
      <c r="G290" s="25" t="s">
        <v>291</v>
      </c>
    </row>
    <row r="291" ht="15" customHeight="1">
      <c r="A291" s="25" t="s">
        <v>1312</v>
      </c>
      <c r="B291" s="25" t="s">
        <v>1313</v>
      </c>
      <c r="C291" s="25" t="s">
        <v>203</v>
      </c>
      <c r="D291" s="25" t="s">
        <v>1314</v>
      </c>
      <c r="E291" s="25" t="s">
        <v>638</v>
      </c>
      <c r="F291" s="25" t="s">
        <v>678</v>
      </c>
      <c r="G291" s="25" t="s">
        <v>285</v>
      </c>
    </row>
    <row r="292" ht="15" customHeight="1">
      <c r="A292" s="25" t="s">
        <v>1315</v>
      </c>
      <c r="B292" s="25" t="s">
        <v>1316</v>
      </c>
      <c r="C292" s="25" t="s">
        <v>203</v>
      </c>
      <c r="D292" s="25" t="s">
        <v>1317</v>
      </c>
      <c r="E292" s="25" t="s">
        <v>814</v>
      </c>
      <c r="F292" s="25" t="s">
        <v>388</v>
      </c>
      <c r="G292" s="25" t="s">
        <v>274</v>
      </c>
    </row>
    <row r="293" ht="15" customHeight="1">
      <c r="A293" s="25" t="s">
        <v>1318</v>
      </c>
      <c r="B293" s="25" t="s">
        <v>1319</v>
      </c>
      <c r="C293" s="25" t="s">
        <v>182</v>
      </c>
      <c r="D293" s="25" t="s">
        <v>939</v>
      </c>
      <c r="E293" s="25" t="s">
        <v>467</v>
      </c>
      <c r="F293" s="25" t="s">
        <v>468</v>
      </c>
      <c r="G293" s="25" t="s">
        <v>291</v>
      </c>
    </row>
    <row r="294" ht="15" customHeight="1">
      <c r="A294" s="25" t="s">
        <v>1320</v>
      </c>
      <c r="B294" s="25" t="s">
        <v>1321</v>
      </c>
      <c r="C294" s="25" t="s">
        <v>185</v>
      </c>
      <c r="D294" s="25" t="s">
        <v>943</v>
      </c>
      <c r="E294" s="25" t="s">
        <v>299</v>
      </c>
      <c r="F294" s="25" t="s">
        <v>472</v>
      </c>
      <c r="G294" s="25" t="s">
        <v>279</v>
      </c>
    </row>
    <row r="295" ht="15" customHeight="1">
      <c r="A295" s="25" t="s">
        <v>1322</v>
      </c>
      <c r="B295" s="25" t="s">
        <v>1323</v>
      </c>
      <c r="C295" s="25" t="s">
        <v>182</v>
      </c>
      <c r="D295" s="25" t="s">
        <v>947</v>
      </c>
      <c r="E295" s="25" t="s">
        <v>475</v>
      </c>
      <c r="F295" s="25" t="s">
        <v>1324</v>
      </c>
      <c r="G295" s="25" t="s">
        <v>274</v>
      </c>
    </row>
    <row r="296" ht="15" customHeight="1">
      <c r="A296" s="25" t="s">
        <v>1325</v>
      </c>
      <c r="B296" s="25" t="s">
        <v>1326</v>
      </c>
      <c r="C296" s="25" t="s">
        <v>166</v>
      </c>
      <c r="D296" s="25" t="s">
        <v>1327</v>
      </c>
      <c r="E296" s="25" t="s">
        <v>1284</v>
      </c>
      <c r="F296" s="25" t="s">
        <v>741</v>
      </c>
      <c r="G296" s="25" t="s">
        <v>291</v>
      </c>
    </row>
    <row r="297" ht="15" customHeight="1">
      <c r="A297" s="25" t="s">
        <v>1328</v>
      </c>
      <c r="B297" s="25" t="s">
        <v>1329</v>
      </c>
      <c r="C297" s="25" t="s">
        <v>29</v>
      </c>
      <c r="D297" s="25" t="s">
        <v>1330</v>
      </c>
      <c r="E297" s="25" t="s">
        <v>586</v>
      </c>
      <c r="F297" s="25" t="s">
        <v>746</v>
      </c>
      <c r="G297" s="25" t="s">
        <v>285</v>
      </c>
    </row>
    <row r="298" ht="15" customHeight="1">
      <c r="A298" s="25" t="s">
        <v>1331</v>
      </c>
      <c r="B298" s="25" t="s">
        <v>1332</v>
      </c>
      <c r="C298" s="25" t="s">
        <v>176</v>
      </c>
      <c r="D298" s="25" t="s">
        <v>1333</v>
      </c>
      <c r="E298" s="25" t="s">
        <v>745</v>
      </c>
      <c r="F298" s="25" t="s">
        <v>1126</v>
      </c>
      <c r="G298" s="25" t="s">
        <v>274</v>
      </c>
    </row>
    <row r="299" ht="15" customHeight="1">
      <c r="A299" s="25" t="s">
        <v>1334</v>
      </c>
      <c r="B299" s="25" t="s">
        <v>1335</v>
      </c>
      <c r="C299" s="25" t="s">
        <v>192</v>
      </c>
      <c r="D299" s="25" t="s">
        <v>725</v>
      </c>
      <c r="E299" s="25" t="s">
        <v>527</v>
      </c>
      <c r="F299" s="25" t="s">
        <v>1336</v>
      </c>
      <c r="G299" s="25" t="s">
        <v>291</v>
      </c>
    </row>
    <row r="300" ht="15" customHeight="1">
      <c r="A300" s="25" t="s">
        <v>1337</v>
      </c>
      <c r="B300" s="25" t="s">
        <v>1338</v>
      </c>
      <c r="C300" s="25" t="s">
        <v>192</v>
      </c>
      <c r="D300" s="25" t="s">
        <v>730</v>
      </c>
      <c r="E300" s="25" t="s">
        <v>1339</v>
      </c>
      <c r="F300" s="25" t="s">
        <v>435</v>
      </c>
      <c r="G300" s="25" t="s">
        <v>279</v>
      </c>
    </row>
    <row r="301" ht="15" customHeight="1">
      <c r="A301" s="25" t="s">
        <v>1340</v>
      </c>
      <c r="B301" s="25" t="s">
        <v>1341</v>
      </c>
      <c r="C301" s="25" t="s">
        <v>192</v>
      </c>
      <c r="D301" s="25" t="s">
        <v>735</v>
      </c>
      <c r="E301" s="25" t="s">
        <v>534</v>
      </c>
      <c r="F301" s="25" t="s">
        <v>507</v>
      </c>
      <c r="G301" s="25" t="s">
        <v>274</v>
      </c>
    </row>
    <row r="302" ht="15" customHeight="1">
      <c r="A302" s="25" t="s">
        <v>1342</v>
      </c>
      <c r="B302" s="25" t="s">
        <v>1343</v>
      </c>
      <c r="C302" s="25" t="s">
        <v>195</v>
      </c>
      <c r="D302" s="25" t="s">
        <v>1344</v>
      </c>
      <c r="E302" s="25" t="s">
        <v>416</v>
      </c>
      <c r="F302" s="25" t="s">
        <v>767</v>
      </c>
      <c r="G302" s="25" t="s">
        <v>291</v>
      </c>
    </row>
    <row r="303" ht="15" customHeight="1">
      <c r="A303" s="25" t="s">
        <v>1345</v>
      </c>
      <c r="B303" s="25" t="s">
        <v>1346</v>
      </c>
      <c r="C303" s="25" t="s">
        <v>195</v>
      </c>
      <c r="D303" s="25" t="s">
        <v>1347</v>
      </c>
      <c r="E303" s="25" t="s">
        <v>1348</v>
      </c>
      <c r="F303" s="25" t="s">
        <v>608</v>
      </c>
      <c r="G303" s="25" t="s">
        <v>285</v>
      </c>
    </row>
    <row r="304" ht="15" customHeight="1">
      <c r="A304" s="25" t="s">
        <v>1349</v>
      </c>
      <c r="B304" s="25" t="s">
        <v>1350</v>
      </c>
      <c r="C304" s="25" t="s">
        <v>195</v>
      </c>
      <c r="D304" s="25" t="s">
        <v>1351</v>
      </c>
      <c r="E304" s="25" t="s">
        <v>920</v>
      </c>
      <c r="F304" s="25" t="s">
        <v>1352</v>
      </c>
      <c r="G304" s="25" t="s">
        <v>274</v>
      </c>
    </row>
    <row r="305" ht="15" customHeight="1">
      <c r="A305" s="25" t="s">
        <v>1353</v>
      </c>
      <c r="B305" s="25" t="s">
        <v>1354</v>
      </c>
      <c r="C305" s="25" t="s">
        <v>199</v>
      </c>
      <c r="D305" s="25" t="s">
        <v>594</v>
      </c>
      <c r="E305" s="25" t="s">
        <v>1155</v>
      </c>
      <c r="F305" s="25" t="s">
        <v>1087</v>
      </c>
      <c r="G305" s="25" t="s">
        <v>291</v>
      </c>
    </row>
    <row r="306" ht="15" customHeight="1">
      <c r="A306" s="25" t="s">
        <v>1355</v>
      </c>
      <c r="B306" s="25" t="s">
        <v>1356</v>
      </c>
      <c r="C306" s="25" t="s">
        <v>199</v>
      </c>
      <c r="D306" s="25" t="s">
        <v>599</v>
      </c>
      <c r="E306" s="25" t="s">
        <v>1126</v>
      </c>
      <c r="F306" s="25" t="s">
        <v>1357</v>
      </c>
      <c r="G306" s="25" t="s">
        <v>279</v>
      </c>
    </row>
    <row r="307" ht="15" customHeight="1">
      <c r="A307" s="25" t="s">
        <v>1358</v>
      </c>
      <c r="B307" s="25" t="s">
        <v>1359</v>
      </c>
      <c r="C307" s="25" t="s">
        <v>199</v>
      </c>
      <c r="D307" s="25" t="s">
        <v>604</v>
      </c>
      <c r="E307" s="25" t="s">
        <v>309</v>
      </c>
      <c r="F307" s="25" t="s">
        <v>674</v>
      </c>
      <c r="G307" s="25" t="s">
        <v>274</v>
      </c>
    </row>
    <row r="308" ht="15" customHeight="1">
      <c r="A308" s="25" t="s">
        <v>1360</v>
      </c>
      <c r="B308" s="25" t="s">
        <v>1361</v>
      </c>
      <c r="C308" s="25" t="s">
        <v>201</v>
      </c>
      <c r="D308" s="25" t="s">
        <v>607</v>
      </c>
      <c r="E308" s="25" t="s">
        <v>920</v>
      </c>
      <c r="F308" s="25" t="s">
        <v>417</v>
      </c>
      <c r="G308" s="25" t="s">
        <v>291</v>
      </c>
    </row>
    <row r="309" ht="15" customHeight="1">
      <c r="A309" s="25" t="s">
        <v>1362</v>
      </c>
      <c r="B309" s="25" t="s">
        <v>1363</v>
      </c>
      <c r="C309" s="25" t="s">
        <v>201</v>
      </c>
      <c r="D309" s="25" t="s">
        <v>612</v>
      </c>
      <c r="E309" s="25" t="s">
        <v>416</v>
      </c>
      <c r="F309" s="25" t="s">
        <v>421</v>
      </c>
      <c r="G309" s="25" t="s">
        <v>285</v>
      </c>
    </row>
    <row r="310" ht="15" customHeight="1">
      <c r="A310" s="25" t="s">
        <v>1364</v>
      </c>
      <c r="B310" s="25" t="s">
        <v>1365</v>
      </c>
      <c r="C310" s="25" t="s">
        <v>201</v>
      </c>
      <c r="D310" s="25" t="s">
        <v>616</v>
      </c>
      <c r="E310" s="25" t="s">
        <v>402</v>
      </c>
      <c r="F310" s="25" t="s">
        <v>1366</v>
      </c>
      <c r="G310" s="25" t="s">
        <v>274</v>
      </c>
    </row>
    <row r="311" ht="15" customHeight="1">
      <c r="A311" s="25" t="s">
        <v>1367</v>
      </c>
      <c r="B311" s="25" t="s">
        <v>1368</v>
      </c>
      <c r="C311" s="25" t="s">
        <v>188</v>
      </c>
      <c r="D311" s="25" t="s">
        <v>303</v>
      </c>
      <c r="E311" s="25" t="s">
        <v>429</v>
      </c>
      <c r="F311" s="25" t="s">
        <v>1066</v>
      </c>
      <c r="G311" s="25" t="s">
        <v>291</v>
      </c>
    </row>
    <row r="312" ht="15" customHeight="1">
      <c r="A312" s="25" t="s">
        <v>1369</v>
      </c>
      <c r="B312" s="25" t="s">
        <v>1370</v>
      </c>
      <c r="C312" s="25" t="s">
        <v>188</v>
      </c>
      <c r="D312" s="25" t="s">
        <v>392</v>
      </c>
      <c r="E312" s="25" t="s">
        <v>638</v>
      </c>
      <c r="F312" s="25" t="s">
        <v>1069</v>
      </c>
      <c r="G312" s="25" t="s">
        <v>279</v>
      </c>
    </row>
    <row r="313" ht="15" customHeight="1">
      <c r="A313" s="25" t="s">
        <v>1371</v>
      </c>
      <c r="B313" s="25" t="s">
        <v>1372</v>
      </c>
      <c r="C313" s="25" t="s">
        <v>188</v>
      </c>
      <c r="D313" s="25" t="s">
        <v>308</v>
      </c>
      <c r="E313" s="25" t="s">
        <v>814</v>
      </c>
      <c r="F313" s="25" t="s">
        <v>1073</v>
      </c>
      <c r="G313" s="25" t="s">
        <v>274</v>
      </c>
    </row>
    <row r="314" ht="15" customHeight="1">
      <c r="A314" s="25" t="s">
        <v>1373</v>
      </c>
      <c r="B314" s="25" t="s">
        <v>1374</v>
      </c>
      <c r="C314" s="25" t="s">
        <v>166</v>
      </c>
      <c r="D314" s="25" t="s">
        <v>271</v>
      </c>
      <c r="E314" s="25" t="s">
        <v>527</v>
      </c>
      <c r="F314" s="25" t="s">
        <v>443</v>
      </c>
      <c r="G314" s="25" t="s">
        <v>291</v>
      </c>
    </row>
    <row r="315" ht="15" customHeight="1">
      <c r="A315" s="25" t="s">
        <v>1375</v>
      </c>
      <c r="B315" s="25" t="s">
        <v>1376</v>
      </c>
      <c r="C315" s="25" t="s">
        <v>29</v>
      </c>
      <c r="D315" s="25" t="s">
        <v>321</v>
      </c>
      <c r="E315" s="25" t="s">
        <v>1339</v>
      </c>
      <c r="F315" s="25" t="s">
        <v>1107</v>
      </c>
      <c r="G315" s="25" t="s">
        <v>285</v>
      </c>
    </row>
    <row r="316" ht="15" customHeight="1">
      <c r="A316" s="25" t="s">
        <v>1377</v>
      </c>
      <c r="B316" s="25" t="s">
        <v>1378</v>
      </c>
      <c r="C316" s="25" t="s">
        <v>176</v>
      </c>
      <c r="D316" s="25" t="s">
        <v>282</v>
      </c>
      <c r="E316" s="25" t="s">
        <v>534</v>
      </c>
      <c r="F316" s="25" t="s">
        <v>645</v>
      </c>
      <c r="G316" s="25" t="s">
        <v>274</v>
      </c>
    </row>
    <row r="317" ht="15" customHeight="1">
      <c r="A317" s="25" t="s">
        <v>1379</v>
      </c>
      <c r="B317" s="25" t="s">
        <v>1380</v>
      </c>
      <c r="C317" s="25" t="s">
        <v>182</v>
      </c>
      <c r="D317" s="25" t="s">
        <v>288</v>
      </c>
      <c r="E317" s="25" t="s">
        <v>568</v>
      </c>
      <c r="F317" s="25" t="s">
        <v>646</v>
      </c>
      <c r="G317" s="25" t="s">
        <v>291</v>
      </c>
    </row>
    <row r="318" ht="15" customHeight="1">
      <c r="A318" s="25" t="s">
        <v>1381</v>
      </c>
      <c r="B318" s="25" t="s">
        <v>1382</v>
      </c>
      <c r="C318" s="25" t="s">
        <v>185</v>
      </c>
      <c r="D318" s="25" t="s">
        <v>294</v>
      </c>
      <c r="E318" s="25" t="s">
        <v>507</v>
      </c>
      <c r="F318" s="25" t="s">
        <v>573</v>
      </c>
      <c r="G318" s="25" t="s">
        <v>279</v>
      </c>
    </row>
    <row r="319" ht="15" customHeight="1">
      <c r="A319" s="25" t="s">
        <v>1383</v>
      </c>
      <c r="B319" s="25" t="s">
        <v>1384</v>
      </c>
      <c r="C319" s="25" t="s">
        <v>182</v>
      </c>
      <c r="D319" s="25" t="s">
        <v>288</v>
      </c>
      <c r="E319" s="25" t="s">
        <v>511</v>
      </c>
      <c r="F319" s="25" t="s">
        <v>1385</v>
      </c>
      <c r="G319" s="25" t="s">
        <v>274</v>
      </c>
    </row>
    <row r="320" ht="15" customHeight="1">
      <c r="A320" s="25" t="s">
        <v>1386</v>
      </c>
      <c r="B320" s="25" t="s">
        <v>1387</v>
      </c>
      <c r="C320" s="25" t="s">
        <v>192</v>
      </c>
      <c r="D320" s="25" t="s">
        <v>567</v>
      </c>
      <c r="E320" s="25" t="s">
        <v>1388</v>
      </c>
      <c r="F320" s="25" t="s">
        <v>1389</v>
      </c>
      <c r="G320" s="25" t="s">
        <v>291</v>
      </c>
    </row>
    <row r="321" ht="15" customHeight="1">
      <c r="A321" s="25" t="s">
        <v>1390</v>
      </c>
      <c r="B321" s="25" t="s">
        <v>1391</v>
      </c>
      <c r="C321" s="25" t="s">
        <v>192</v>
      </c>
      <c r="D321" s="25" t="s">
        <v>572</v>
      </c>
      <c r="E321" s="25" t="s">
        <v>1392</v>
      </c>
      <c r="F321" s="25" t="s">
        <v>1393</v>
      </c>
      <c r="G321" s="25" t="s">
        <v>285</v>
      </c>
    </row>
    <row r="322" ht="15" customHeight="1">
      <c r="A322" s="25" t="s">
        <v>1394</v>
      </c>
      <c r="B322" s="25" t="s">
        <v>1395</v>
      </c>
      <c r="C322" s="25" t="s">
        <v>192</v>
      </c>
      <c r="D322" s="25" t="s">
        <v>567</v>
      </c>
      <c r="E322" s="25" t="s">
        <v>1396</v>
      </c>
      <c r="F322" s="25" t="s">
        <v>1397</v>
      </c>
      <c r="G322" s="25" t="s">
        <v>274</v>
      </c>
    </row>
    <row r="323" ht="15" customHeight="1">
      <c r="A323" s="25" t="s">
        <v>1398</v>
      </c>
      <c r="B323" s="25" t="s">
        <v>1399</v>
      </c>
      <c r="C323" s="25" t="s">
        <v>195</v>
      </c>
      <c r="D323" s="25" t="s">
        <v>466</v>
      </c>
      <c r="E323" s="25" t="s">
        <v>980</v>
      </c>
      <c r="F323" s="25" t="s">
        <v>609</v>
      </c>
      <c r="G323" s="25" t="s">
        <v>291</v>
      </c>
    </row>
    <row r="324" ht="15" customHeight="1">
      <c r="A324" s="25" t="s">
        <v>1400</v>
      </c>
      <c r="B324" s="25" t="s">
        <v>1401</v>
      </c>
      <c r="C324" s="25" t="s">
        <v>195</v>
      </c>
      <c r="D324" s="25" t="s">
        <v>349</v>
      </c>
      <c r="E324" s="25" t="s">
        <v>608</v>
      </c>
      <c r="F324" s="25" t="s">
        <v>590</v>
      </c>
      <c r="G324" s="25" t="s">
        <v>279</v>
      </c>
    </row>
    <row r="325" ht="15" customHeight="1">
      <c r="A325" s="25" t="s">
        <v>1402</v>
      </c>
      <c r="B325" s="25" t="s">
        <v>1403</v>
      </c>
      <c r="C325" s="25" t="s">
        <v>195</v>
      </c>
      <c r="D325" s="25" t="s">
        <v>344</v>
      </c>
      <c r="E325" s="25" t="s">
        <v>421</v>
      </c>
      <c r="F325" s="25" t="s">
        <v>1404</v>
      </c>
      <c r="G325" s="25" t="s">
        <v>274</v>
      </c>
    </row>
    <row r="326" ht="15" customHeight="1">
      <c r="A326" s="25" t="s">
        <v>1405</v>
      </c>
      <c r="B326" s="25" t="s">
        <v>1406</v>
      </c>
      <c r="C326" s="25" t="s">
        <v>199</v>
      </c>
      <c r="D326" s="25" t="s">
        <v>330</v>
      </c>
      <c r="E326" s="25" t="s">
        <v>1407</v>
      </c>
      <c r="F326" s="25" t="s">
        <v>1408</v>
      </c>
      <c r="G326" s="25" t="s">
        <v>291</v>
      </c>
    </row>
    <row r="327" ht="15" customHeight="1">
      <c r="A327" s="25" t="s">
        <v>1409</v>
      </c>
      <c r="B327" s="25" t="s">
        <v>1410</v>
      </c>
      <c r="C327" s="25" t="s">
        <v>199</v>
      </c>
      <c r="D327" s="25" t="s">
        <v>335</v>
      </c>
      <c r="E327" s="25" t="s">
        <v>814</v>
      </c>
      <c r="F327" s="25" t="s">
        <v>1411</v>
      </c>
      <c r="G327" s="25" t="s">
        <v>285</v>
      </c>
    </row>
    <row r="328" ht="15" customHeight="1">
      <c r="A328" s="25" t="s">
        <v>1412</v>
      </c>
      <c r="B328" s="25" t="s">
        <v>1413</v>
      </c>
      <c r="C328" s="25" t="s">
        <v>199</v>
      </c>
      <c r="D328" s="25" t="s">
        <v>330</v>
      </c>
      <c r="E328" s="25" t="s">
        <v>626</v>
      </c>
      <c r="F328" s="25" t="s">
        <v>1414</v>
      </c>
      <c r="G328" s="25" t="s">
        <v>274</v>
      </c>
    </row>
    <row r="329" ht="15" customHeight="1">
      <c r="A329" s="25" t="s">
        <v>1415</v>
      </c>
      <c r="B329" s="25" t="s">
        <v>1416</v>
      </c>
      <c r="C329" s="25" t="s">
        <v>201</v>
      </c>
      <c r="D329" s="25" t="s">
        <v>766</v>
      </c>
      <c r="E329" s="25" t="s">
        <v>1083</v>
      </c>
      <c r="F329" s="25" t="s">
        <v>1228</v>
      </c>
      <c r="G329" s="25" t="s">
        <v>291</v>
      </c>
    </row>
    <row r="330" ht="15" customHeight="1">
      <c r="A330" s="25" t="s">
        <v>1417</v>
      </c>
      <c r="B330" s="25" t="s">
        <v>1418</v>
      </c>
      <c r="C330" s="25" t="s">
        <v>201</v>
      </c>
      <c r="D330" s="25" t="s">
        <v>770</v>
      </c>
      <c r="E330" s="25" t="s">
        <v>515</v>
      </c>
      <c r="F330" s="25" t="s">
        <v>585</v>
      </c>
      <c r="G330" s="25" t="s">
        <v>279</v>
      </c>
    </row>
    <row r="331" ht="15" customHeight="1">
      <c r="A331" s="25" t="s">
        <v>1419</v>
      </c>
      <c r="B331" s="25" t="s">
        <v>1420</v>
      </c>
      <c r="C331" s="25" t="s">
        <v>201</v>
      </c>
      <c r="D331" s="25" t="s">
        <v>773</v>
      </c>
      <c r="E331" s="25" t="s">
        <v>608</v>
      </c>
      <c r="F331" s="25" t="s">
        <v>1235</v>
      </c>
      <c r="G331" s="25" t="s">
        <v>274</v>
      </c>
    </row>
    <row r="332" ht="15" customHeight="1">
      <c r="A332" s="25" t="s">
        <v>1421</v>
      </c>
      <c r="B332" s="25" t="s">
        <v>1422</v>
      </c>
      <c r="C332" s="25" t="s">
        <v>203</v>
      </c>
      <c r="D332" s="25" t="s">
        <v>1423</v>
      </c>
      <c r="E332" s="25" t="s">
        <v>442</v>
      </c>
      <c r="F332" s="25" t="s">
        <v>443</v>
      </c>
      <c r="G332" s="25" t="s">
        <v>291</v>
      </c>
    </row>
    <row r="333" ht="15" customHeight="1">
      <c r="A333" s="25" t="s">
        <v>1424</v>
      </c>
      <c r="B333" s="25" t="s">
        <v>1425</v>
      </c>
      <c r="C333" s="25" t="s">
        <v>203</v>
      </c>
      <c r="D333" s="25" t="s">
        <v>1426</v>
      </c>
      <c r="E333" s="25" t="s">
        <v>534</v>
      </c>
      <c r="F333" s="25" t="s">
        <v>1107</v>
      </c>
      <c r="G333" s="25" t="s">
        <v>285</v>
      </c>
    </row>
    <row r="334" ht="15" customHeight="1">
      <c r="A334" s="25" t="s">
        <v>1427</v>
      </c>
      <c r="B334" s="25" t="s">
        <v>1428</v>
      </c>
      <c r="C334" s="25" t="s">
        <v>203</v>
      </c>
      <c r="D334" s="25" t="s">
        <v>1429</v>
      </c>
      <c r="E334" s="25" t="s">
        <v>510</v>
      </c>
      <c r="F334" s="25" t="s">
        <v>645</v>
      </c>
      <c r="G334" s="25" t="s">
        <v>274</v>
      </c>
    </row>
    <row r="335" ht="15" customHeight="1">
      <c r="A335" s="25" t="s">
        <v>1430</v>
      </c>
      <c r="B335" s="25" t="s">
        <v>1431</v>
      </c>
      <c r="C335" s="25" t="s">
        <v>188</v>
      </c>
      <c r="D335" s="25" t="s">
        <v>552</v>
      </c>
      <c r="E335" s="25" t="s">
        <v>800</v>
      </c>
      <c r="F335" s="25" t="s">
        <v>1266</v>
      </c>
      <c r="G335" s="25" t="s">
        <v>291</v>
      </c>
    </row>
    <row r="336" ht="15" customHeight="1">
      <c r="A336" s="25" t="s">
        <v>1432</v>
      </c>
      <c r="B336" s="25" t="s">
        <v>1433</v>
      </c>
      <c r="C336" s="25" t="s">
        <v>188</v>
      </c>
      <c r="D336" s="25" t="s">
        <v>557</v>
      </c>
      <c r="E336" s="25" t="s">
        <v>934</v>
      </c>
      <c r="F336" s="25" t="s">
        <v>1269</v>
      </c>
      <c r="G336" s="25" t="s">
        <v>279</v>
      </c>
    </row>
    <row r="337" ht="15" customHeight="1">
      <c r="A337" s="25" t="s">
        <v>1434</v>
      </c>
      <c r="B337" s="25" t="s">
        <v>1435</v>
      </c>
      <c r="C337" s="25" t="s">
        <v>188</v>
      </c>
      <c r="D337" s="25" t="s">
        <v>562</v>
      </c>
      <c r="E337" s="25" t="s">
        <v>496</v>
      </c>
      <c r="F337" s="25" t="s">
        <v>600</v>
      </c>
      <c r="G337" s="25" t="s">
        <v>274</v>
      </c>
    </row>
    <row r="338" ht="15" customHeight="1">
      <c r="A338" s="25" t="s">
        <v>1436</v>
      </c>
      <c r="B338" s="25" t="s">
        <v>1437</v>
      </c>
      <c r="C338" s="25" t="s">
        <v>166</v>
      </c>
      <c r="D338" s="25" t="s">
        <v>861</v>
      </c>
      <c r="E338" s="25" t="s">
        <v>429</v>
      </c>
      <c r="F338" s="25" t="s">
        <v>1066</v>
      </c>
      <c r="G338" s="25" t="s">
        <v>291</v>
      </c>
    </row>
    <row r="339" ht="15" customHeight="1">
      <c r="A339" s="25" t="s">
        <v>1438</v>
      </c>
      <c r="B339" s="25" t="s">
        <v>1439</v>
      </c>
      <c r="C339" s="25" t="s">
        <v>29</v>
      </c>
      <c r="D339" s="25" t="s">
        <v>865</v>
      </c>
      <c r="E339" s="25" t="s">
        <v>638</v>
      </c>
      <c r="F339" s="25" t="s">
        <v>1069</v>
      </c>
      <c r="G339" s="25" t="s">
        <v>285</v>
      </c>
    </row>
    <row r="340" ht="15" customHeight="1">
      <c r="A340" s="25" t="s">
        <v>1440</v>
      </c>
      <c r="B340" s="25" t="s">
        <v>1441</v>
      </c>
      <c r="C340" s="25" t="s">
        <v>176</v>
      </c>
      <c r="D340" s="25" t="s">
        <v>868</v>
      </c>
      <c r="E340" s="25" t="s">
        <v>814</v>
      </c>
      <c r="F340" s="25" t="s">
        <v>1073</v>
      </c>
      <c r="G340" s="25" t="s">
        <v>274</v>
      </c>
    </row>
    <row r="341" ht="15" customHeight="1">
      <c r="A341" s="25" t="s">
        <v>1442</v>
      </c>
      <c r="B341" s="25" t="s">
        <v>1443</v>
      </c>
      <c r="C341" s="25" t="s">
        <v>182</v>
      </c>
      <c r="D341" s="25" t="s">
        <v>871</v>
      </c>
      <c r="E341" s="25" t="s">
        <v>467</v>
      </c>
      <c r="F341" s="25" t="s">
        <v>468</v>
      </c>
      <c r="G341" s="25" t="s">
        <v>291</v>
      </c>
    </row>
    <row r="342" ht="15" customHeight="1">
      <c r="A342" s="25" t="s">
        <v>1444</v>
      </c>
      <c r="B342" s="25" t="s">
        <v>1445</v>
      </c>
      <c r="C342" s="25" t="s">
        <v>185</v>
      </c>
      <c r="D342" s="25" t="s">
        <v>875</v>
      </c>
      <c r="E342" s="25" t="s">
        <v>299</v>
      </c>
      <c r="F342" s="25" t="s">
        <v>472</v>
      </c>
      <c r="G342" s="25" t="s">
        <v>279</v>
      </c>
    </row>
    <row r="343" ht="15" customHeight="1">
      <c r="A343" s="25" t="s">
        <v>1446</v>
      </c>
      <c r="B343" s="25" t="s">
        <v>1447</v>
      </c>
      <c r="C343" s="25" t="s">
        <v>182</v>
      </c>
      <c r="D343" s="25" t="s">
        <v>878</v>
      </c>
      <c r="E343" s="25" t="s">
        <v>475</v>
      </c>
      <c r="F343" s="25" t="s">
        <v>1324</v>
      </c>
      <c r="G343" s="25" t="s">
        <v>274</v>
      </c>
    </row>
    <row r="344" ht="15" customHeight="1">
      <c r="A344" s="25" t="s">
        <v>1448</v>
      </c>
      <c r="B344" s="25" t="s">
        <v>1449</v>
      </c>
      <c r="C344" s="25" t="s">
        <v>192</v>
      </c>
      <c r="D344" s="25" t="s">
        <v>303</v>
      </c>
      <c r="E344" s="25" t="s">
        <v>317</v>
      </c>
      <c r="F344" s="25" t="s">
        <v>777</v>
      </c>
      <c r="G344" s="25" t="s">
        <v>291</v>
      </c>
    </row>
    <row r="345" ht="15" customHeight="1">
      <c r="A345" s="25" t="s">
        <v>1450</v>
      </c>
      <c r="B345" s="25" t="s">
        <v>1451</v>
      </c>
      <c r="C345" s="25" t="s">
        <v>192</v>
      </c>
      <c r="D345" s="25" t="s">
        <v>392</v>
      </c>
      <c r="E345" s="25" t="s">
        <v>1294</v>
      </c>
      <c r="F345" s="25" t="s">
        <v>539</v>
      </c>
      <c r="G345" s="25" t="s">
        <v>285</v>
      </c>
    </row>
    <row r="346" ht="15" customHeight="1">
      <c r="A346" s="25" t="s">
        <v>1452</v>
      </c>
      <c r="B346" s="25" t="s">
        <v>1453</v>
      </c>
      <c r="C346" s="25" t="s">
        <v>192</v>
      </c>
      <c r="D346" s="25" t="s">
        <v>308</v>
      </c>
      <c r="E346" s="25" t="s">
        <v>661</v>
      </c>
      <c r="F346" s="25" t="s">
        <v>1297</v>
      </c>
      <c r="G346" s="25" t="s">
        <v>274</v>
      </c>
    </row>
    <row r="347" ht="15" customHeight="1">
      <c r="A347" s="25" t="s">
        <v>1454</v>
      </c>
      <c r="B347" s="25" t="s">
        <v>1455</v>
      </c>
      <c r="C347" s="25" t="s">
        <v>195</v>
      </c>
      <c r="D347" s="25" t="s">
        <v>896</v>
      </c>
      <c r="E347" s="25" t="s">
        <v>580</v>
      </c>
      <c r="F347" s="25" t="s">
        <v>581</v>
      </c>
      <c r="G347" s="25" t="s">
        <v>291</v>
      </c>
    </row>
    <row r="348" ht="15" customHeight="1">
      <c r="A348" s="25" t="s">
        <v>1456</v>
      </c>
      <c r="B348" s="25" t="s">
        <v>1457</v>
      </c>
      <c r="C348" s="25" t="s">
        <v>195</v>
      </c>
      <c r="D348" s="25" t="s">
        <v>901</v>
      </c>
      <c r="E348" s="25" t="s">
        <v>585</v>
      </c>
      <c r="F348" s="25" t="s">
        <v>586</v>
      </c>
      <c r="G348" s="25" t="s">
        <v>279</v>
      </c>
    </row>
    <row r="349" ht="15" customHeight="1">
      <c r="A349" s="25" t="s">
        <v>1458</v>
      </c>
      <c r="B349" s="25" t="s">
        <v>1459</v>
      </c>
      <c r="C349" s="25" t="s">
        <v>195</v>
      </c>
      <c r="D349" s="25" t="s">
        <v>905</v>
      </c>
      <c r="E349" s="25" t="s">
        <v>590</v>
      </c>
      <c r="F349" s="25" t="s">
        <v>591</v>
      </c>
      <c r="G349" s="25" t="s">
        <v>274</v>
      </c>
    </row>
    <row r="350" ht="15" customHeight="1">
      <c r="A350" s="25" t="s">
        <v>1460</v>
      </c>
      <c r="B350" s="25" t="s">
        <v>1461</v>
      </c>
      <c r="C350" s="25" t="s">
        <v>199</v>
      </c>
      <c r="D350" s="25" t="s">
        <v>454</v>
      </c>
      <c r="E350" s="25" t="s">
        <v>374</v>
      </c>
      <c r="F350" s="25" t="s">
        <v>1121</v>
      </c>
      <c r="G350" s="25" t="s">
        <v>291</v>
      </c>
    </row>
    <row r="351" ht="15" customHeight="1">
      <c r="A351" s="25" t="s">
        <v>1462</v>
      </c>
      <c r="B351" s="25" t="s">
        <v>1463</v>
      </c>
      <c r="C351" s="25" t="s">
        <v>199</v>
      </c>
      <c r="D351" s="25" t="s">
        <v>458</v>
      </c>
      <c r="E351" s="25" t="s">
        <v>746</v>
      </c>
      <c r="F351" s="25" t="s">
        <v>1044</v>
      </c>
      <c r="G351" s="25" t="s">
        <v>285</v>
      </c>
    </row>
    <row r="352" ht="15" customHeight="1">
      <c r="A352" s="25" t="s">
        <v>1464</v>
      </c>
      <c r="B352" s="25" t="s">
        <v>1465</v>
      </c>
      <c r="C352" s="25" t="s">
        <v>199</v>
      </c>
      <c r="D352" s="25" t="s">
        <v>462</v>
      </c>
      <c r="E352" s="25" t="s">
        <v>1126</v>
      </c>
      <c r="F352" s="25" t="s">
        <v>1127</v>
      </c>
      <c r="G352" s="25" t="s">
        <v>274</v>
      </c>
    </row>
    <row r="353" ht="15" customHeight="1">
      <c r="A353" s="25" t="s">
        <v>1466</v>
      </c>
      <c r="B353" s="25" t="s">
        <v>1467</v>
      </c>
      <c r="C353" s="25" t="s">
        <v>201</v>
      </c>
      <c r="D353" s="25" t="s">
        <v>514</v>
      </c>
      <c r="E353" s="25" t="s">
        <v>1348</v>
      </c>
      <c r="F353" s="25" t="s">
        <v>686</v>
      </c>
      <c r="G353" s="25" t="s">
        <v>291</v>
      </c>
    </row>
    <row r="354" ht="15" customHeight="1">
      <c r="A354" s="25" t="s">
        <v>1468</v>
      </c>
      <c r="B354" s="25" t="s">
        <v>1469</v>
      </c>
      <c r="C354" s="25" t="s">
        <v>201</v>
      </c>
      <c r="D354" s="25" t="s">
        <v>519</v>
      </c>
      <c r="E354" s="25" t="s">
        <v>685</v>
      </c>
      <c r="F354" s="25" t="s">
        <v>515</v>
      </c>
      <c r="G354" s="25" t="s">
        <v>279</v>
      </c>
    </row>
    <row r="355" ht="15" customHeight="1">
      <c r="A355" s="25" t="s">
        <v>1470</v>
      </c>
      <c r="B355" s="25" t="s">
        <v>1471</v>
      </c>
      <c r="C355" s="25" t="s">
        <v>201</v>
      </c>
      <c r="D355" s="25" t="s">
        <v>514</v>
      </c>
      <c r="E355" s="25" t="s">
        <v>416</v>
      </c>
      <c r="F355" s="25" t="s">
        <v>617</v>
      </c>
      <c r="G355" s="25" t="s">
        <v>274</v>
      </c>
    </row>
    <row r="356" ht="15" customHeight="1">
      <c r="A356" s="25" t="s">
        <v>1472</v>
      </c>
      <c r="B356" s="25" t="s">
        <v>1473</v>
      </c>
      <c r="C356" s="25" t="s">
        <v>166</v>
      </c>
      <c r="D356" s="25" t="s">
        <v>428</v>
      </c>
      <c r="E356" s="25" t="s">
        <v>317</v>
      </c>
      <c r="F356" s="25" t="s">
        <v>1474</v>
      </c>
      <c r="G356" s="25" t="s">
        <v>291</v>
      </c>
    </row>
    <row r="357" ht="15" customHeight="1">
      <c r="A357" s="25" t="s">
        <v>1475</v>
      </c>
      <c r="B357" s="25" t="s">
        <v>1476</v>
      </c>
      <c r="C357" s="25" t="s">
        <v>29</v>
      </c>
      <c r="D357" s="25" t="s">
        <v>433</v>
      </c>
      <c r="E357" s="25" t="s">
        <v>1294</v>
      </c>
      <c r="F357" s="25" t="s">
        <v>1032</v>
      </c>
      <c r="G357" s="25" t="s">
        <v>285</v>
      </c>
    </row>
    <row r="358" ht="15" customHeight="1">
      <c r="A358" s="25" t="s">
        <v>1477</v>
      </c>
      <c r="B358" s="25" t="s">
        <v>1478</v>
      </c>
      <c r="C358" s="25" t="s">
        <v>176</v>
      </c>
      <c r="D358" s="25" t="s">
        <v>438</v>
      </c>
      <c r="E358" s="25" t="s">
        <v>661</v>
      </c>
      <c r="F358" s="25" t="s">
        <v>467</v>
      </c>
      <c r="G358" s="25" t="s">
        <v>274</v>
      </c>
    </row>
    <row r="359" ht="15" customHeight="1">
      <c r="A359" s="25" t="s">
        <v>1479</v>
      </c>
      <c r="B359" s="25" t="s">
        <v>1480</v>
      </c>
      <c r="C359" s="25" t="s">
        <v>188</v>
      </c>
      <c r="D359" s="25" t="s">
        <v>271</v>
      </c>
      <c r="E359" s="25" t="s">
        <v>1155</v>
      </c>
      <c r="F359" s="25" t="s">
        <v>1087</v>
      </c>
      <c r="G359" s="25" t="s">
        <v>291</v>
      </c>
    </row>
    <row r="360" ht="15" customHeight="1">
      <c r="A360" s="25" t="s">
        <v>1481</v>
      </c>
      <c r="B360" s="25" t="s">
        <v>1482</v>
      </c>
      <c r="C360" s="25" t="s">
        <v>188</v>
      </c>
      <c r="D360" s="25" t="s">
        <v>321</v>
      </c>
      <c r="E360" s="25" t="s">
        <v>1126</v>
      </c>
      <c r="F360" s="25" t="s">
        <v>844</v>
      </c>
      <c r="G360" s="25" t="s">
        <v>279</v>
      </c>
    </row>
    <row r="361" ht="15" customHeight="1">
      <c r="A361" s="25" t="s">
        <v>1483</v>
      </c>
      <c r="B361" s="25" t="s">
        <v>1484</v>
      </c>
      <c r="C361" s="25" t="s">
        <v>188</v>
      </c>
      <c r="D361" s="25" t="s">
        <v>282</v>
      </c>
      <c r="E361" s="25" t="s">
        <v>309</v>
      </c>
      <c r="F361" s="25" t="s">
        <v>674</v>
      </c>
      <c r="G361" s="25" t="s">
        <v>274</v>
      </c>
    </row>
    <row r="362" ht="15" customHeight="1">
      <c r="A362" s="25" t="s">
        <v>1485</v>
      </c>
      <c r="B362" s="25" t="s">
        <v>1486</v>
      </c>
      <c r="C362" s="25" t="s">
        <v>182</v>
      </c>
      <c r="D362" s="25" t="s">
        <v>701</v>
      </c>
      <c r="E362" s="25" t="s">
        <v>331</v>
      </c>
      <c r="F362" s="25" t="s">
        <v>1487</v>
      </c>
      <c r="G362" s="25" t="s">
        <v>291</v>
      </c>
    </row>
    <row r="363" ht="15" customHeight="1">
      <c r="A363" s="25" t="s">
        <v>1488</v>
      </c>
      <c r="B363" s="25" t="s">
        <v>1489</v>
      </c>
      <c r="C363" s="25" t="s">
        <v>185</v>
      </c>
      <c r="D363" s="25" t="s">
        <v>705</v>
      </c>
      <c r="E363" s="25" t="s">
        <v>1053</v>
      </c>
      <c r="F363" s="25" t="s">
        <v>879</v>
      </c>
      <c r="G363" s="25" t="s">
        <v>285</v>
      </c>
    </row>
    <row r="364" ht="15" customHeight="1">
      <c r="A364" s="25" t="s">
        <v>1490</v>
      </c>
      <c r="B364" s="25" t="s">
        <v>1491</v>
      </c>
      <c r="C364" s="25" t="s">
        <v>182</v>
      </c>
      <c r="D364" s="25" t="s">
        <v>701</v>
      </c>
      <c r="E364" s="25" t="s">
        <v>340</v>
      </c>
      <c r="F364" s="25" t="s">
        <v>1492</v>
      </c>
      <c r="G364" s="25" t="s">
        <v>274</v>
      </c>
    </row>
    <row r="365" ht="15" customHeight="1">
      <c r="A365" s="25" t="s">
        <v>1493</v>
      </c>
      <c r="B365" s="25" t="s">
        <v>1494</v>
      </c>
      <c r="C365" s="25" t="s">
        <v>192</v>
      </c>
      <c r="D365" s="25" t="s">
        <v>466</v>
      </c>
      <c r="E365" s="25" t="s">
        <v>359</v>
      </c>
      <c r="F365" s="25" t="s">
        <v>872</v>
      </c>
      <c r="G365" s="25" t="s">
        <v>291</v>
      </c>
    </row>
    <row r="366" ht="15" customHeight="1">
      <c r="A366" s="25" t="s">
        <v>1495</v>
      </c>
      <c r="B366" s="25" t="s">
        <v>1496</v>
      </c>
      <c r="C366" s="25" t="s">
        <v>192</v>
      </c>
      <c r="D366" s="25" t="s">
        <v>349</v>
      </c>
      <c r="E366" s="25" t="s">
        <v>467</v>
      </c>
      <c r="F366" s="25" t="s">
        <v>370</v>
      </c>
      <c r="G366" s="25" t="s">
        <v>279</v>
      </c>
    </row>
    <row r="367" ht="15" customHeight="1">
      <c r="A367" s="25" t="s">
        <v>1497</v>
      </c>
      <c r="B367" s="25" t="s">
        <v>1498</v>
      </c>
      <c r="C367" s="25" t="s">
        <v>192</v>
      </c>
      <c r="D367" s="25" t="s">
        <v>344</v>
      </c>
      <c r="E367" s="25" t="s">
        <v>369</v>
      </c>
      <c r="F367" s="25" t="s">
        <v>879</v>
      </c>
      <c r="G367" s="25" t="s">
        <v>274</v>
      </c>
    </row>
    <row r="368" ht="15" customHeight="1">
      <c r="A368" s="25" t="s">
        <v>1499</v>
      </c>
      <c r="B368" s="25" t="s">
        <v>1500</v>
      </c>
      <c r="C368" s="25" t="s">
        <v>195</v>
      </c>
      <c r="D368" s="25" t="s">
        <v>1112</v>
      </c>
      <c r="E368" s="25" t="s">
        <v>580</v>
      </c>
      <c r="F368" s="25" t="s">
        <v>581</v>
      </c>
      <c r="G368" s="25" t="s">
        <v>291</v>
      </c>
    </row>
    <row r="369" ht="15" customHeight="1">
      <c r="A369" s="25" t="s">
        <v>1501</v>
      </c>
      <c r="B369" s="25" t="s">
        <v>1502</v>
      </c>
      <c r="C369" s="25" t="s">
        <v>195</v>
      </c>
      <c r="D369" s="25" t="s">
        <v>1115</v>
      </c>
      <c r="E369" s="25" t="s">
        <v>585</v>
      </c>
      <c r="F369" s="25" t="s">
        <v>586</v>
      </c>
      <c r="G369" s="25" t="s">
        <v>285</v>
      </c>
    </row>
    <row r="370" ht="15" customHeight="1">
      <c r="A370" s="25" t="s">
        <v>1503</v>
      </c>
      <c r="B370" s="25" t="s">
        <v>1504</v>
      </c>
      <c r="C370" s="25" t="s">
        <v>195</v>
      </c>
      <c r="D370" s="25" t="s">
        <v>1118</v>
      </c>
      <c r="E370" s="25" t="s">
        <v>590</v>
      </c>
      <c r="F370" s="25" t="s">
        <v>591</v>
      </c>
      <c r="G370" s="25" t="s">
        <v>274</v>
      </c>
    </row>
    <row r="371" ht="15" customHeight="1">
      <c r="A371" s="25" t="s">
        <v>1505</v>
      </c>
      <c r="B371" s="25" t="s">
        <v>1506</v>
      </c>
      <c r="C371" s="25" t="s">
        <v>199</v>
      </c>
      <c r="D371" s="25" t="s">
        <v>288</v>
      </c>
      <c r="E371" s="25" t="s">
        <v>491</v>
      </c>
      <c r="F371" s="25" t="s">
        <v>1007</v>
      </c>
      <c r="G371" s="25" t="s">
        <v>291</v>
      </c>
    </row>
    <row r="372" ht="15" customHeight="1">
      <c r="A372" s="25" t="s">
        <v>1507</v>
      </c>
      <c r="B372" s="25" t="s">
        <v>1508</v>
      </c>
      <c r="C372" s="25" t="s">
        <v>199</v>
      </c>
      <c r="D372" s="25" t="s">
        <v>294</v>
      </c>
      <c r="E372" s="25" t="s">
        <v>355</v>
      </c>
      <c r="F372" s="25" t="s">
        <v>754</v>
      </c>
      <c r="G372" s="25" t="s">
        <v>279</v>
      </c>
    </row>
    <row r="373" ht="15" customHeight="1">
      <c r="A373" s="25" t="s">
        <v>1509</v>
      </c>
      <c r="B373" s="25" t="s">
        <v>1510</v>
      </c>
      <c r="C373" s="25" t="s">
        <v>199</v>
      </c>
      <c r="D373" s="25" t="s">
        <v>288</v>
      </c>
      <c r="E373" s="25" t="s">
        <v>746</v>
      </c>
      <c r="F373" s="25" t="s">
        <v>595</v>
      </c>
      <c r="G373" s="25" t="s">
        <v>274</v>
      </c>
    </row>
    <row r="374" ht="15" customHeight="1">
      <c r="A374" s="25" t="s">
        <v>1511</v>
      </c>
      <c r="B374" s="25" t="s">
        <v>1512</v>
      </c>
      <c r="C374" s="25" t="s">
        <v>201</v>
      </c>
      <c r="D374" s="25" t="s">
        <v>607</v>
      </c>
      <c r="E374" s="25" t="s">
        <v>421</v>
      </c>
      <c r="F374" s="25" t="s">
        <v>981</v>
      </c>
      <c r="G374" s="25" t="s">
        <v>291</v>
      </c>
    </row>
    <row r="375" ht="15" customHeight="1">
      <c r="A375" s="25" t="s">
        <v>1513</v>
      </c>
      <c r="B375" s="25" t="s">
        <v>1514</v>
      </c>
      <c r="C375" s="25" t="s">
        <v>201</v>
      </c>
      <c r="D375" s="25" t="s">
        <v>612</v>
      </c>
      <c r="E375" s="25" t="s">
        <v>980</v>
      </c>
      <c r="F375" s="25" t="s">
        <v>618</v>
      </c>
      <c r="G375" s="25" t="s">
        <v>285</v>
      </c>
    </row>
    <row r="376" ht="15" customHeight="1">
      <c r="A376" s="25" t="s">
        <v>1515</v>
      </c>
      <c r="B376" s="25" t="s">
        <v>1516</v>
      </c>
      <c r="C376" s="25" t="s">
        <v>201</v>
      </c>
      <c r="D376" s="25" t="s">
        <v>616</v>
      </c>
      <c r="E376" s="25" t="s">
        <v>1517</v>
      </c>
      <c r="F376" s="25" t="s">
        <v>989</v>
      </c>
      <c r="G376" s="25" t="s">
        <v>274</v>
      </c>
    </row>
    <row r="377" ht="15" customHeight="1">
      <c r="A377" s="25" t="s">
        <v>1518</v>
      </c>
      <c r="B377" s="25" t="s">
        <v>1519</v>
      </c>
      <c r="C377" s="25" t="s">
        <v>203</v>
      </c>
      <c r="D377" s="25" t="s">
        <v>373</v>
      </c>
      <c r="E377" s="25" t="s">
        <v>478</v>
      </c>
      <c r="F377" s="25" t="s">
        <v>479</v>
      </c>
      <c r="G377" s="25" t="s">
        <v>291</v>
      </c>
    </row>
    <row r="378" ht="15" customHeight="1">
      <c r="A378" s="25" t="s">
        <v>1520</v>
      </c>
      <c r="B378" s="25" t="s">
        <v>1521</v>
      </c>
      <c r="C378" s="25" t="s">
        <v>203</v>
      </c>
      <c r="D378" s="25" t="s">
        <v>378</v>
      </c>
      <c r="E378" s="25" t="s">
        <v>833</v>
      </c>
      <c r="F378" s="25" t="s">
        <v>1020</v>
      </c>
      <c r="G378" s="25" t="s">
        <v>279</v>
      </c>
    </row>
    <row r="379" ht="15" customHeight="1">
      <c r="A379" s="25" t="s">
        <v>1522</v>
      </c>
      <c r="B379" s="25" t="s">
        <v>1523</v>
      </c>
      <c r="C379" s="25" t="s">
        <v>203</v>
      </c>
      <c r="D379" s="25" t="s">
        <v>383</v>
      </c>
      <c r="E379" s="25" t="s">
        <v>902</v>
      </c>
      <c r="F379" s="25" t="s">
        <v>1024</v>
      </c>
      <c r="G379" s="25" t="s">
        <v>274</v>
      </c>
    </row>
    <row r="380" ht="15" customHeight="1">
      <c r="A380" s="25" t="s">
        <v>1524</v>
      </c>
      <c r="B380" s="25" t="s">
        <v>1525</v>
      </c>
      <c r="C380" s="25" t="s">
        <v>188</v>
      </c>
      <c r="D380" s="25" t="s">
        <v>303</v>
      </c>
      <c r="E380" s="25" t="s">
        <v>740</v>
      </c>
      <c r="F380" s="25" t="s">
        <v>1526</v>
      </c>
      <c r="G380" s="25" t="s">
        <v>291</v>
      </c>
    </row>
    <row r="381" ht="15" customHeight="1">
      <c r="A381" s="25" t="s">
        <v>1527</v>
      </c>
      <c r="B381" s="25" t="s">
        <v>1528</v>
      </c>
      <c r="C381" s="25" t="s">
        <v>188</v>
      </c>
      <c r="D381" s="25" t="s">
        <v>392</v>
      </c>
      <c r="E381" s="25" t="s">
        <v>745</v>
      </c>
      <c r="F381" s="25" t="s">
        <v>1529</v>
      </c>
      <c r="G381" s="25" t="s">
        <v>285</v>
      </c>
    </row>
    <row r="382" ht="15" customHeight="1">
      <c r="A382" s="25" t="s">
        <v>1530</v>
      </c>
      <c r="B382" s="25" t="s">
        <v>1531</v>
      </c>
      <c r="C382" s="25" t="s">
        <v>188</v>
      </c>
      <c r="D382" s="25" t="s">
        <v>308</v>
      </c>
      <c r="E382" s="25" t="s">
        <v>750</v>
      </c>
      <c r="F382" s="25" t="s">
        <v>638</v>
      </c>
      <c r="G382" s="25" t="s">
        <v>274</v>
      </c>
    </row>
    <row r="383" ht="15" customHeight="1">
      <c r="A383" s="25" t="s">
        <v>1532</v>
      </c>
      <c r="B383" s="25" t="s">
        <v>1533</v>
      </c>
      <c r="C383" s="25" t="s">
        <v>166</v>
      </c>
      <c r="D383" s="25" t="s">
        <v>552</v>
      </c>
      <c r="E383" s="25" t="s">
        <v>633</v>
      </c>
      <c r="F383" s="25" t="s">
        <v>811</v>
      </c>
      <c r="G383" s="25" t="s">
        <v>291</v>
      </c>
    </row>
    <row r="384" ht="15" customHeight="1">
      <c r="A384" s="25" t="s">
        <v>1534</v>
      </c>
      <c r="B384" s="25" t="s">
        <v>1535</v>
      </c>
      <c r="C384" s="25" t="s">
        <v>29</v>
      </c>
      <c r="D384" s="25" t="s">
        <v>557</v>
      </c>
      <c r="E384" s="25" t="s">
        <v>637</v>
      </c>
      <c r="F384" s="25" t="s">
        <v>814</v>
      </c>
      <c r="G384" s="25" t="s">
        <v>279</v>
      </c>
    </row>
    <row r="385" ht="15" customHeight="1">
      <c r="A385" s="25" t="s">
        <v>1536</v>
      </c>
      <c r="B385" s="25" t="s">
        <v>1537</v>
      </c>
      <c r="C385" s="25" t="s">
        <v>176</v>
      </c>
      <c r="D385" s="25" t="s">
        <v>562</v>
      </c>
      <c r="E385" s="25" t="s">
        <v>641</v>
      </c>
      <c r="F385" s="25" t="s">
        <v>626</v>
      </c>
      <c r="G385" s="25" t="s">
        <v>274</v>
      </c>
    </row>
    <row r="386" ht="15" customHeight="1">
      <c r="A386" s="25" t="s">
        <v>1538</v>
      </c>
      <c r="B386" s="25" t="s">
        <v>1539</v>
      </c>
      <c r="C386" s="25" t="s">
        <v>182</v>
      </c>
      <c r="D386" s="25" t="s">
        <v>538</v>
      </c>
      <c r="E386" s="25" t="s">
        <v>731</v>
      </c>
      <c r="F386" s="25" t="s">
        <v>1540</v>
      </c>
      <c r="G386" s="25" t="s">
        <v>291</v>
      </c>
    </row>
    <row r="387" ht="15" customHeight="1">
      <c r="A387" s="25" t="s">
        <v>1541</v>
      </c>
      <c r="B387" s="25" t="s">
        <v>1542</v>
      </c>
      <c r="C387" s="25" t="s">
        <v>185</v>
      </c>
      <c r="D387" s="25" t="s">
        <v>543</v>
      </c>
      <c r="E387" s="25" t="s">
        <v>1543</v>
      </c>
      <c r="F387" s="25" t="s">
        <v>1544</v>
      </c>
      <c r="G387" s="25" t="s">
        <v>285</v>
      </c>
    </row>
    <row r="388" ht="15" customHeight="1">
      <c r="A388" s="25" t="s">
        <v>1545</v>
      </c>
      <c r="B388" s="25" t="s">
        <v>1546</v>
      </c>
      <c r="C388" s="25" t="s">
        <v>182</v>
      </c>
      <c r="D388" s="25" t="s">
        <v>538</v>
      </c>
      <c r="E388" s="25" t="s">
        <v>601</v>
      </c>
      <c r="F388" s="25" t="s">
        <v>1547</v>
      </c>
      <c r="G388" s="25" t="s">
        <v>274</v>
      </c>
    </row>
    <row r="389" ht="15" customHeight="1">
      <c r="A389" s="25" t="s">
        <v>1548</v>
      </c>
      <c r="B389" s="25" t="s">
        <v>1549</v>
      </c>
      <c r="C389" s="25" t="s">
        <v>192</v>
      </c>
      <c r="D389" s="25" t="s">
        <v>882</v>
      </c>
      <c r="E389" s="25" t="s">
        <v>944</v>
      </c>
      <c r="F389" s="25" t="s">
        <v>1179</v>
      </c>
      <c r="G389" s="25" t="s">
        <v>291</v>
      </c>
    </row>
    <row r="390" ht="15" customHeight="1">
      <c r="A390" s="25" t="s">
        <v>1550</v>
      </c>
      <c r="B390" s="25" t="s">
        <v>1551</v>
      </c>
      <c r="C390" s="25" t="s">
        <v>192</v>
      </c>
      <c r="D390" s="25" t="s">
        <v>887</v>
      </c>
      <c r="E390" s="25" t="s">
        <v>754</v>
      </c>
      <c r="F390" s="25" t="s">
        <v>1182</v>
      </c>
      <c r="G390" s="25" t="s">
        <v>279</v>
      </c>
    </row>
    <row r="391" ht="15" customHeight="1">
      <c r="A391" s="25" t="s">
        <v>1552</v>
      </c>
      <c r="B391" s="25" t="s">
        <v>1553</v>
      </c>
      <c r="C391" s="25" t="s">
        <v>192</v>
      </c>
      <c r="D391" s="25" t="s">
        <v>891</v>
      </c>
      <c r="E391" s="25" t="s">
        <v>1013</v>
      </c>
      <c r="F391" s="25" t="s">
        <v>824</v>
      </c>
      <c r="G391" s="25" t="s">
        <v>274</v>
      </c>
    </row>
    <row r="392" ht="15" customHeight="1">
      <c r="A392" s="25" t="s">
        <v>1554</v>
      </c>
      <c r="B392" s="25" t="s">
        <v>1555</v>
      </c>
      <c r="C392" s="25" t="s">
        <v>195</v>
      </c>
      <c r="D392" s="25" t="s">
        <v>466</v>
      </c>
      <c r="E392" s="25" t="s">
        <v>1232</v>
      </c>
      <c r="F392" s="25" t="s">
        <v>1556</v>
      </c>
      <c r="G392" s="25" t="s">
        <v>291</v>
      </c>
    </row>
    <row r="393" ht="15" customHeight="1">
      <c r="A393" s="25" t="s">
        <v>1557</v>
      </c>
      <c r="B393" s="25" t="s">
        <v>1558</v>
      </c>
      <c r="C393" s="25" t="s">
        <v>195</v>
      </c>
      <c r="D393" s="25" t="s">
        <v>349</v>
      </c>
      <c r="E393" s="25" t="s">
        <v>413</v>
      </c>
      <c r="F393" s="25" t="s">
        <v>345</v>
      </c>
      <c r="G393" s="25" t="s">
        <v>285</v>
      </c>
    </row>
    <row r="394" ht="15" customHeight="1">
      <c r="A394" s="25" t="s">
        <v>1559</v>
      </c>
      <c r="B394" s="25" t="s">
        <v>1560</v>
      </c>
      <c r="C394" s="25" t="s">
        <v>195</v>
      </c>
      <c r="D394" s="25" t="s">
        <v>344</v>
      </c>
      <c r="E394" s="25" t="s">
        <v>585</v>
      </c>
      <c r="F394" s="25" t="s">
        <v>1561</v>
      </c>
      <c r="G394" s="25" t="s">
        <v>274</v>
      </c>
    </row>
    <row r="395" ht="15" customHeight="1">
      <c r="A395" s="25" t="s">
        <v>1562</v>
      </c>
      <c r="B395" s="25" t="s">
        <v>1563</v>
      </c>
      <c r="C395" s="25" t="s">
        <v>199</v>
      </c>
      <c r="D395" s="25" t="s">
        <v>843</v>
      </c>
      <c r="E395" s="25" t="s">
        <v>527</v>
      </c>
      <c r="F395" s="25" t="s">
        <v>1066</v>
      </c>
      <c r="G395" s="25" t="s">
        <v>291</v>
      </c>
    </row>
    <row r="396" ht="15" customHeight="1">
      <c r="A396" s="25" t="s">
        <v>1564</v>
      </c>
      <c r="B396" s="25" t="s">
        <v>1565</v>
      </c>
      <c r="C396" s="25" t="s">
        <v>199</v>
      </c>
      <c r="D396" s="25" t="s">
        <v>847</v>
      </c>
      <c r="E396" s="25" t="s">
        <v>1339</v>
      </c>
      <c r="F396" s="25" t="s">
        <v>1069</v>
      </c>
      <c r="G396" s="25" t="s">
        <v>279</v>
      </c>
    </row>
    <row r="397" ht="15" customHeight="1">
      <c r="A397" s="25" t="s">
        <v>1566</v>
      </c>
      <c r="B397" s="25" t="s">
        <v>1567</v>
      </c>
      <c r="C397" s="25" t="s">
        <v>199</v>
      </c>
      <c r="D397" s="25" t="s">
        <v>850</v>
      </c>
      <c r="E397" s="25" t="s">
        <v>534</v>
      </c>
      <c r="F397" s="25" t="s">
        <v>1073</v>
      </c>
      <c r="G397" s="25" t="s">
        <v>274</v>
      </c>
    </row>
    <row r="398" ht="15" customHeight="1">
      <c r="A398" s="25" t="s">
        <v>1568</v>
      </c>
      <c r="B398" s="25" t="s">
        <v>1569</v>
      </c>
      <c r="C398" s="25" t="s">
        <v>201</v>
      </c>
      <c r="D398" s="25" t="s">
        <v>401</v>
      </c>
      <c r="E398" s="25" t="s">
        <v>416</v>
      </c>
      <c r="F398" s="25" t="s">
        <v>767</v>
      </c>
      <c r="G398" s="25" t="s">
        <v>291</v>
      </c>
    </row>
    <row r="399" ht="15" customHeight="1">
      <c r="A399" s="25" t="s">
        <v>1570</v>
      </c>
      <c r="B399" s="25" t="s">
        <v>1571</v>
      </c>
      <c r="C399" s="25" t="s">
        <v>201</v>
      </c>
      <c r="D399" s="25" t="s">
        <v>406</v>
      </c>
      <c r="E399" s="25" t="s">
        <v>1348</v>
      </c>
      <c r="F399" s="25" t="s">
        <v>608</v>
      </c>
      <c r="G399" s="25" t="s">
        <v>285</v>
      </c>
    </row>
    <row r="400" ht="15" customHeight="1">
      <c r="A400" s="25" t="s">
        <v>1572</v>
      </c>
      <c r="B400" s="25" t="s">
        <v>1573</v>
      </c>
      <c r="C400" s="25" t="s">
        <v>201</v>
      </c>
      <c r="D400" s="25" t="s">
        <v>411</v>
      </c>
      <c r="E400" s="25" t="s">
        <v>920</v>
      </c>
      <c r="F400" s="25" t="s">
        <v>1352</v>
      </c>
      <c r="G400" s="25" t="s">
        <v>274</v>
      </c>
    </row>
    <row r="401" ht="15" customHeight="1">
      <c r="A401" s="25" t="s">
        <v>1574</v>
      </c>
      <c r="B401" s="25" t="s">
        <v>1575</v>
      </c>
      <c r="C401" s="25" t="s">
        <v>166</v>
      </c>
      <c r="D401" s="25" t="s">
        <v>714</v>
      </c>
      <c r="E401" s="25" t="s">
        <v>580</v>
      </c>
      <c r="F401" s="25" t="s">
        <v>581</v>
      </c>
      <c r="G401" s="25" t="s">
        <v>291</v>
      </c>
    </row>
    <row r="402" ht="15" customHeight="1">
      <c r="A402" s="25" t="s">
        <v>1576</v>
      </c>
      <c r="B402" s="25" t="s">
        <v>1577</v>
      </c>
      <c r="C402" s="25" t="s">
        <v>29</v>
      </c>
      <c r="D402" s="25" t="s">
        <v>718</v>
      </c>
      <c r="E402" s="25" t="s">
        <v>1232</v>
      </c>
      <c r="F402" s="25" t="s">
        <v>586</v>
      </c>
      <c r="G402" s="25" t="s">
        <v>279</v>
      </c>
    </row>
    <row r="403" ht="15" customHeight="1">
      <c r="A403" s="25" t="s">
        <v>1578</v>
      </c>
      <c r="B403" s="25" t="s">
        <v>1579</v>
      </c>
      <c r="C403" s="25" t="s">
        <v>176</v>
      </c>
      <c r="D403" s="25" t="s">
        <v>721</v>
      </c>
      <c r="E403" s="25" t="s">
        <v>985</v>
      </c>
      <c r="F403" s="25" t="s">
        <v>745</v>
      </c>
      <c r="G403" s="25" t="s">
        <v>274</v>
      </c>
    </row>
    <row r="404" ht="15" customHeight="1">
      <c r="A404" s="25" t="s">
        <v>1580</v>
      </c>
      <c r="B404" s="25" t="s">
        <v>1581</v>
      </c>
      <c r="C404" s="25" t="s">
        <v>188</v>
      </c>
      <c r="D404" s="25" t="s">
        <v>358</v>
      </c>
      <c r="E404" s="25" t="s">
        <v>580</v>
      </c>
      <c r="F404" s="25" t="s">
        <v>581</v>
      </c>
      <c r="G404" s="25" t="s">
        <v>291</v>
      </c>
    </row>
    <row r="405" ht="15" customHeight="1">
      <c r="A405" s="25" t="s">
        <v>1582</v>
      </c>
      <c r="B405" s="25" t="s">
        <v>1583</v>
      </c>
      <c r="C405" s="25" t="s">
        <v>188</v>
      </c>
      <c r="D405" s="25" t="s">
        <v>363</v>
      </c>
      <c r="E405" s="25" t="s">
        <v>1232</v>
      </c>
      <c r="F405" s="25" t="s">
        <v>586</v>
      </c>
      <c r="G405" s="25" t="s">
        <v>285</v>
      </c>
    </row>
    <row r="406" ht="15" customHeight="1">
      <c r="A406" s="25" t="s">
        <v>1584</v>
      </c>
      <c r="B406" s="25" t="s">
        <v>1585</v>
      </c>
      <c r="C406" s="25" t="s">
        <v>188</v>
      </c>
      <c r="D406" s="25" t="s">
        <v>368</v>
      </c>
      <c r="E406" s="25" t="s">
        <v>985</v>
      </c>
      <c r="F406" s="25" t="s">
        <v>745</v>
      </c>
      <c r="G406" s="25" t="s">
        <v>274</v>
      </c>
    </row>
    <row r="407" ht="15" customHeight="1">
      <c r="A407" s="25" t="s">
        <v>1586</v>
      </c>
      <c r="B407" s="25" t="s">
        <v>1587</v>
      </c>
      <c r="C407" s="25" t="s">
        <v>192</v>
      </c>
      <c r="D407" s="25" t="s">
        <v>330</v>
      </c>
      <c r="E407" s="25" t="s">
        <v>507</v>
      </c>
      <c r="F407" s="25" t="s">
        <v>960</v>
      </c>
      <c r="G407" s="25" t="s">
        <v>291</v>
      </c>
    </row>
    <row r="408" ht="15" customHeight="1">
      <c r="A408" s="25" t="s">
        <v>1588</v>
      </c>
      <c r="B408" s="25" t="s">
        <v>1589</v>
      </c>
      <c r="C408" s="25" t="s">
        <v>192</v>
      </c>
      <c r="D408" s="25" t="s">
        <v>335</v>
      </c>
      <c r="E408" s="25" t="s">
        <v>531</v>
      </c>
      <c r="F408" s="25" t="s">
        <v>892</v>
      </c>
      <c r="G408" s="25" t="s">
        <v>279</v>
      </c>
    </row>
    <row r="409" ht="15" customHeight="1">
      <c r="A409" s="25" t="s">
        <v>1590</v>
      </c>
      <c r="B409" s="25" t="s">
        <v>1591</v>
      </c>
      <c r="C409" s="25" t="s">
        <v>192</v>
      </c>
      <c r="D409" s="25" t="s">
        <v>330</v>
      </c>
      <c r="E409" s="25" t="s">
        <v>535</v>
      </c>
      <c r="F409" s="25" t="s">
        <v>649</v>
      </c>
      <c r="G409" s="25" t="s">
        <v>274</v>
      </c>
    </row>
    <row r="410" ht="15" customHeight="1">
      <c r="A410" s="25" t="s">
        <v>1592</v>
      </c>
      <c r="B410" s="25" t="s">
        <v>1593</v>
      </c>
      <c r="C410" s="25" t="s">
        <v>195</v>
      </c>
      <c r="D410" s="25" t="s">
        <v>739</v>
      </c>
      <c r="E410" s="25" t="s">
        <v>633</v>
      </c>
      <c r="F410" s="25" t="s">
        <v>634</v>
      </c>
      <c r="G410" s="25" t="s">
        <v>291</v>
      </c>
    </row>
    <row r="411" ht="15" customHeight="1">
      <c r="A411" s="25" t="s">
        <v>1594</v>
      </c>
      <c r="B411" s="25" t="s">
        <v>1595</v>
      </c>
      <c r="C411" s="25" t="s">
        <v>195</v>
      </c>
      <c r="D411" s="25" t="s">
        <v>744</v>
      </c>
      <c r="E411" s="25" t="s">
        <v>637</v>
      </c>
      <c r="F411" s="25" t="s">
        <v>638</v>
      </c>
      <c r="G411" s="25" t="s">
        <v>285</v>
      </c>
    </row>
    <row r="412" ht="15" customHeight="1">
      <c r="A412" s="25" t="s">
        <v>1596</v>
      </c>
      <c r="B412" s="25" t="s">
        <v>1597</v>
      </c>
      <c r="C412" s="25" t="s">
        <v>195</v>
      </c>
      <c r="D412" s="25" t="s">
        <v>749</v>
      </c>
      <c r="E412" s="25" t="s">
        <v>641</v>
      </c>
      <c r="F412" s="25" t="s">
        <v>814</v>
      </c>
      <c r="G412" s="25" t="s">
        <v>274</v>
      </c>
    </row>
    <row r="413" ht="15" customHeight="1">
      <c r="A413" s="25" t="s">
        <v>1598</v>
      </c>
      <c r="B413" s="25" t="s">
        <v>1599</v>
      </c>
      <c r="C413" s="25" t="s">
        <v>199</v>
      </c>
      <c r="D413" s="25" t="s">
        <v>753</v>
      </c>
      <c r="E413" s="25" t="s">
        <v>374</v>
      </c>
      <c r="F413" s="25" t="s">
        <v>1121</v>
      </c>
      <c r="G413" s="25" t="s">
        <v>291</v>
      </c>
    </row>
    <row r="414" ht="15" customHeight="1">
      <c r="A414" s="25" t="s">
        <v>1600</v>
      </c>
      <c r="B414" s="25" t="s">
        <v>1601</v>
      </c>
      <c r="C414" s="25" t="s">
        <v>199</v>
      </c>
      <c r="D414" s="25" t="s">
        <v>758</v>
      </c>
      <c r="E414" s="25" t="s">
        <v>746</v>
      </c>
      <c r="F414" s="25" t="s">
        <v>1044</v>
      </c>
      <c r="G414" s="25" t="s">
        <v>279</v>
      </c>
    </row>
    <row r="415" ht="15" customHeight="1">
      <c r="A415" s="25" t="s">
        <v>1602</v>
      </c>
      <c r="B415" s="25" t="s">
        <v>1603</v>
      </c>
      <c r="C415" s="25" t="s">
        <v>199</v>
      </c>
      <c r="D415" s="25" t="s">
        <v>762</v>
      </c>
      <c r="E415" s="25" t="s">
        <v>1126</v>
      </c>
      <c r="F415" s="25" t="s">
        <v>1127</v>
      </c>
      <c r="G415" s="25" t="s">
        <v>274</v>
      </c>
    </row>
    <row r="416" ht="15" customHeight="1">
      <c r="A416" s="25" t="s">
        <v>1604</v>
      </c>
      <c r="B416" s="25" t="s">
        <v>1605</v>
      </c>
      <c r="C416" s="25" t="s">
        <v>201</v>
      </c>
      <c r="D416" s="25" t="s">
        <v>1076</v>
      </c>
      <c r="E416" s="25" t="s">
        <v>1517</v>
      </c>
      <c r="F416" s="25" t="s">
        <v>1606</v>
      </c>
      <c r="G416" s="25" t="s">
        <v>291</v>
      </c>
    </row>
    <row r="417" ht="15" customHeight="1">
      <c r="A417" s="25" t="s">
        <v>1607</v>
      </c>
      <c r="B417" s="25" t="s">
        <v>1608</v>
      </c>
      <c r="C417" s="25" t="s">
        <v>201</v>
      </c>
      <c r="D417" s="25" t="s">
        <v>1079</v>
      </c>
      <c r="E417" s="25" t="s">
        <v>421</v>
      </c>
      <c r="F417" s="25" t="s">
        <v>833</v>
      </c>
      <c r="G417" s="25" t="s">
        <v>285</v>
      </c>
    </row>
    <row r="418" ht="15" customHeight="1">
      <c r="A418" s="25" t="s">
        <v>1609</v>
      </c>
      <c r="B418" s="25" t="s">
        <v>1610</v>
      </c>
      <c r="C418" s="25" t="s">
        <v>201</v>
      </c>
      <c r="D418" s="25" t="s">
        <v>1082</v>
      </c>
      <c r="E418" s="25" t="s">
        <v>408</v>
      </c>
      <c r="F418" s="25" t="s">
        <v>486</v>
      </c>
      <c r="G418" s="25" t="s">
        <v>274</v>
      </c>
    </row>
    <row r="419" ht="15" customHeight="1">
      <c r="A419" s="25" t="s">
        <v>1611</v>
      </c>
      <c r="B419" s="25" t="s">
        <v>1612</v>
      </c>
      <c r="C419" s="25" t="s">
        <v>203</v>
      </c>
      <c r="D419" s="25" t="s">
        <v>1613</v>
      </c>
      <c r="E419" s="25" t="s">
        <v>345</v>
      </c>
      <c r="F419" s="25" t="s">
        <v>930</v>
      </c>
      <c r="G419" s="25" t="s">
        <v>291</v>
      </c>
    </row>
    <row r="420" ht="15" customHeight="1">
      <c r="A420" s="25" t="s">
        <v>1614</v>
      </c>
      <c r="B420" s="25" t="s">
        <v>1615</v>
      </c>
      <c r="C420" s="25" t="s">
        <v>203</v>
      </c>
      <c r="D420" s="25" t="s">
        <v>1616</v>
      </c>
      <c r="E420" s="25" t="s">
        <v>933</v>
      </c>
      <c r="F420" s="25" t="s">
        <v>934</v>
      </c>
      <c r="G420" s="25" t="s">
        <v>279</v>
      </c>
    </row>
    <row r="421" ht="15" customHeight="1">
      <c r="A421" s="25" t="s">
        <v>1617</v>
      </c>
      <c r="B421" s="25" t="s">
        <v>1618</v>
      </c>
      <c r="C421" s="25" t="s">
        <v>203</v>
      </c>
      <c r="D421" s="25" t="s">
        <v>1619</v>
      </c>
      <c r="E421" s="25" t="s">
        <v>586</v>
      </c>
      <c r="F421" s="25" t="s">
        <v>496</v>
      </c>
      <c r="G421" s="25" t="s">
        <v>274</v>
      </c>
    </row>
    <row r="422" ht="15" customHeight="1">
      <c r="A422" s="25" t="s">
        <v>1620</v>
      </c>
      <c r="B422" s="25" t="s">
        <v>1621</v>
      </c>
      <c r="C422" s="25" t="s">
        <v>182</v>
      </c>
      <c r="D422" s="25" t="s">
        <v>594</v>
      </c>
      <c r="E422" s="25" t="s">
        <v>539</v>
      </c>
      <c r="F422" s="25" t="s">
        <v>820</v>
      </c>
      <c r="G422" s="25" t="s">
        <v>291</v>
      </c>
    </row>
    <row r="423" ht="15" customHeight="1">
      <c r="A423" s="25" t="s">
        <v>1622</v>
      </c>
      <c r="B423" s="25" t="s">
        <v>1623</v>
      </c>
      <c r="C423" s="25" t="s">
        <v>185</v>
      </c>
      <c r="D423" s="25" t="s">
        <v>599</v>
      </c>
      <c r="E423" s="25" t="s">
        <v>824</v>
      </c>
      <c r="F423" s="25" t="s">
        <v>825</v>
      </c>
      <c r="G423" s="25" t="s">
        <v>285</v>
      </c>
    </row>
    <row r="424" ht="15" customHeight="1">
      <c r="A424" s="25" t="s">
        <v>1624</v>
      </c>
      <c r="B424" s="25" t="s">
        <v>1625</v>
      </c>
      <c r="C424" s="25" t="s">
        <v>182</v>
      </c>
      <c r="D424" s="25" t="s">
        <v>604</v>
      </c>
      <c r="E424" s="25" t="s">
        <v>548</v>
      </c>
      <c r="F424" s="25" t="s">
        <v>829</v>
      </c>
      <c r="G424" s="25" t="s">
        <v>274</v>
      </c>
    </row>
    <row r="425" ht="15" customHeight="1">
      <c r="A425" s="25" t="s">
        <v>1626</v>
      </c>
      <c r="B425" s="25" t="s">
        <v>1627</v>
      </c>
      <c r="C425" s="25" t="s">
        <v>166</v>
      </c>
      <c r="D425" s="25" t="s">
        <v>950</v>
      </c>
      <c r="E425" s="25" t="s">
        <v>629</v>
      </c>
      <c r="F425" s="25" t="s">
        <v>1266</v>
      </c>
      <c r="G425" s="25" t="s">
        <v>291</v>
      </c>
    </row>
    <row r="426" ht="15" customHeight="1">
      <c r="A426" s="25" t="s">
        <v>1628</v>
      </c>
      <c r="B426" s="25" t="s">
        <v>1629</v>
      </c>
      <c r="C426" s="25" t="s">
        <v>29</v>
      </c>
      <c r="D426" s="25" t="s">
        <v>954</v>
      </c>
      <c r="E426" s="25" t="s">
        <v>621</v>
      </c>
      <c r="F426" s="25" t="s">
        <v>630</v>
      </c>
      <c r="G426" s="25" t="s">
        <v>279</v>
      </c>
    </row>
    <row r="427" ht="15" customHeight="1">
      <c r="A427" s="25" t="s">
        <v>1630</v>
      </c>
      <c r="B427" s="25" t="s">
        <v>1631</v>
      </c>
      <c r="C427" s="25" t="s">
        <v>176</v>
      </c>
      <c r="D427" s="25" t="s">
        <v>957</v>
      </c>
      <c r="E427" s="25" t="s">
        <v>800</v>
      </c>
      <c r="F427" s="25" t="s">
        <v>600</v>
      </c>
      <c r="G427" s="25" t="s">
        <v>274</v>
      </c>
    </row>
    <row r="428" ht="15" customHeight="1">
      <c r="A428" s="25" t="s">
        <v>1632</v>
      </c>
      <c r="B428" s="25" t="s">
        <v>1633</v>
      </c>
      <c r="C428" s="25" t="s">
        <v>192</v>
      </c>
      <c r="D428" s="25" t="s">
        <v>373</v>
      </c>
      <c r="E428" s="25" t="s">
        <v>491</v>
      </c>
      <c r="F428" s="25" t="s">
        <v>1007</v>
      </c>
      <c r="G428" s="25" t="s">
        <v>291</v>
      </c>
    </row>
    <row r="429" ht="15" customHeight="1">
      <c r="A429" s="25" t="s">
        <v>1634</v>
      </c>
      <c r="B429" s="25" t="s">
        <v>1635</v>
      </c>
      <c r="C429" s="25" t="s">
        <v>192</v>
      </c>
      <c r="D429" s="25" t="s">
        <v>378</v>
      </c>
      <c r="E429" s="25" t="s">
        <v>355</v>
      </c>
      <c r="F429" s="25" t="s">
        <v>754</v>
      </c>
      <c r="G429" s="25" t="s">
        <v>285</v>
      </c>
    </row>
    <row r="430" ht="15" customHeight="1">
      <c r="A430" s="25" t="s">
        <v>1636</v>
      </c>
      <c r="B430" s="25" t="s">
        <v>1637</v>
      </c>
      <c r="C430" s="25" t="s">
        <v>192</v>
      </c>
      <c r="D430" s="25" t="s">
        <v>383</v>
      </c>
      <c r="E430" s="25" t="s">
        <v>746</v>
      </c>
      <c r="F430" s="25" t="s">
        <v>595</v>
      </c>
      <c r="G430" s="25" t="s">
        <v>274</v>
      </c>
    </row>
    <row r="431" ht="15" customHeight="1">
      <c r="A431" s="25" t="s">
        <v>1638</v>
      </c>
      <c r="B431" s="25" t="s">
        <v>1639</v>
      </c>
      <c r="C431" s="25" t="s">
        <v>195</v>
      </c>
      <c r="D431" s="25" t="s">
        <v>579</v>
      </c>
      <c r="E431" s="25" t="s">
        <v>1517</v>
      </c>
      <c r="F431" s="25" t="s">
        <v>1606</v>
      </c>
      <c r="G431" s="25" t="s">
        <v>291</v>
      </c>
    </row>
    <row r="432" ht="15" customHeight="1">
      <c r="A432" s="25" t="s">
        <v>1640</v>
      </c>
      <c r="B432" s="25" t="s">
        <v>1641</v>
      </c>
      <c r="C432" s="25" t="s">
        <v>195</v>
      </c>
      <c r="D432" s="25" t="s">
        <v>584</v>
      </c>
      <c r="E432" s="25" t="s">
        <v>421</v>
      </c>
      <c r="F432" s="25" t="s">
        <v>833</v>
      </c>
      <c r="G432" s="25" t="s">
        <v>279</v>
      </c>
    </row>
    <row r="433" ht="15" customHeight="1">
      <c r="A433" s="25" t="s">
        <v>1642</v>
      </c>
      <c r="B433" s="25" t="s">
        <v>1643</v>
      </c>
      <c r="C433" s="25" t="s">
        <v>195</v>
      </c>
      <c r="D433" s="25" t="s">
        <v>589</v>
      </c>
      <c r="E433" s="25" t="s">
        <v>408</v>
      </c>
      <c r="F433" s="25" t="s">
        <v>486</v>
      </c>
      <c r="G433" s="25" t="s">
        <v>274</v>
      </c>
    </row>
    <row r="434" ht="15" customHeight="1">
      <c r="A434" s="25" t="s">
        <v>1644</v>
      </c>
      <c r="B434" s="25" t="s">
        <v>1645</v>
      </c>
      <c r="C434" s="25" t="s">
        <v>199</v>
      </c>
      <c r="D434" s="25" t="s">
        <v>701</v>
      </c>
      <c r="E434" s="25" t="s">
        <v>621</v>
      </c>
      <c r="F434" s="25" t="s">
        <v>1646</v>
      </c>
      <c r="G434" s="25" t="s">
        <v>291</v>
      </c>
    </row>
    <row r="435" ht="15" customHeight="1">
      <c r="A435" s="25" t="s">
        <v>1647</v>
      </c>
      <c r="B435" s="25" t="s">
        <v>1648</v>
      </c>
      <c r="C435" s="25" t="s">
        <v>199</v>
      </c>
      <c r="D435" s="25" t="s">
        <v>705</v>
      </c>
      <c r="E435" s="25" t="s">
        <v>1024</v>
      </c>
      <c r="F435" s="25" t="s">
        <v>527</v>
      </c>
      <c r="G435" s="25" t="s">
        <v>285</v>
      </c>
    </row>
    <row r="436" ht="15" customHeight="1">
      <c r="A436" s="25" t="s">
        <v>1649</v>
      </c>
      <c r="B436" s="25" t="s">
        <v>1650</v>
      </c>
      <c r="C436" s="25" t="s">
        <v>199</v>
      </c>
      <c r="D436" s="25" t="s">
        <v>701</v>
      </c>
      <c r="E436" s="25" t="s">
        <v>1651</v>
      </c>
      <c r="F436" s="25" t="s">
        <v>1246</v>
      </c>
      <c r="G436" s="25" t="s">
        <v>274</v>
      </c>
    </row>
    <row r="437" ht="15" customHeight="1">
      <c r="A437" s="25" t="s">
        <v>1652</v>
      </c>
      <c r="B437" s="25" t="s">
        <v>1653</v>
      </c>
      <c r="C437" s="25" t="s">
        <v>201</v>
      </c>
      <c r="D437" s="25" t="s">
        <v>466</v>
      </c>
      <c r="E437" s="25" t="s">
        <v>685</v>
      </c>
      <c r="F437" s="25" t="s">
        <v>1132</v>
      </c>
      <c r="G437" s="25" t="s">
        <v>291</v>
      </c>
    </row>
    <row r="438" ht="15" customHeight="1">
      <c r="A438" s="25" t="s">
        <v>1654</v>
      </c>
      <c r="B438" s="25" t="s">
        <v>1655</v>
      </c>
      <c r="C438" s="25" t="s">
        <v>201</v>
      </c>
      <c r="D438" s="25" t="s">
        <v>349</v>
      </c>
      <c r="E438" s="25" t="s">
        <v>1131</v>
      </c>
      <c r="F438" s="25" t="s">
        <v>402</v>
      </c>
      <c r="G438" s="25" t="s">
        <v>279</v>
      </c>
    </row>
    <row r="439" ht="15" customHeight="1">
      <c r="A439" s="25" t="s">
        <v>1656</v>
      </c>
      <c r="B439" s="25" t="s">
        <v>1657</v>
      </c>
      <c r="C439" s="25" t="s">
        <v>201</v>
      </c>
      <c r="D439" s="25" t="s">
        <v>344</v>
      </c>
      <c r="E439" s="25" t="s">
        <v>1348</v>
      </c>
      <c r="F439" s="25" t="s">
        <v>523</v>
      </c>
      <c r="G439" s="25" t="s">
        <v>274</v>
      </c>
    </row>
    <row r="440" ht="15" customHeight="1">
      <c r="A440" s="25" t="s">
        <v>1658</v>
      </c>
      <c r="B440" s="25" t="s">
        <v>1659</v>
      </c>
      <c r="C440" s="25" t="s">
        <v>188</v>
      </c>
      <c r="D440" s="25" t="s">
        <v>1086</v>
      </c>
      <c r="E440" s="25" t="s">
        <v>345</v>
      </c>
      <c r="F440" s="25" t="s">
        <v>930</v>
      </c>
      <c r="G440" s="25" t="s">
        <v>291</v>
      </c>
    </row>
    <row r="441" ht="15" customHeight="1">
      <c r="A441" s="25" t="s">
        <v>1660</v>
      </c>
      <c r="B441" s="25" t="s">
        <v>1661</v>
      </c>
      <c r="C441" s="25" t="s">
        <v>188</v>
      </c>
      <c r="D441" s="25" t="s">
        <v>1090</v>
      </c>
      <c r="E441" s="25" t="s">
        <v>933</v>
      </c>
      <c r="F441" s="25" t="s">
        <v>934</v>
      </c>
      <c r="G441" s="25" t="s">
        <v>285</v>
      </c>
    </row>
    <row r="442" ht="15" customHeight="1">
      <c r="A442" s="25" t="s">
        <v>1662</v>
      </c>
      <c r="B442" s="25" t="s">
        <v>1663</v>
      </c>
      <c r="C442" s="25" t="s">
        <v>188</v>
      </c>
      <c r="D442" s="25" t="s">
        <v>1093</v>
      </c>
      <c r="E442" s="25" t="s">
        <v>586</v>
      </c>
      <c r="F442" s="25" t="s">
        <v>496</v>
      </c>
      <c r="G442" s="25" t="s">
        <v>274</v>
      </c>
    </row>
    <row r="443" ht="15" customHeight="1">
      <c r="A443" s="25" t="s">
        <v>1664</v>
      </c>
      <c r="B443" s="25" t="s">
        <v>1665</v>
      </c>
      <c r="C443" s="25" t="s">
        <v>166</v>
      </c>
      <c r="D443" s="25" t="s">
        <v>1039</v>
      </c>
      <c r="E443" s="25" t="s">
        <v>478</v>
      </c>
      <c r="F443" s="25" t="s">
        <v>479</v>
      </c>
      <c r="G443" s="25" t="s">
        <v>291</v>
      </c>
    </row>
    <row r="444" ht="15" customHeight="1">
      <c r="A444" s="25" t="s">
        <v>1666</v>
      </c>
      <c r="B444" s="25" t="s">
        <v>1667</v>
      </c>
      <c r="C444" s="25" t="s">
        <v>29</v>
      </c>
      <c r="D444" s="25" t="s">
        <v>1043</v>
      </c>
      <c r="E444" s="25" t="s">
        <v>833</v>
      </c>
      <c r="F444" s="25" t="s">
        <v>1020</v>
      </c>
      <c r="G444" s="25" t="s">
        <v>279</v>
      </c>
    </row>
    <row r="445" ht="15" customHeight="1">
      <c r="A445" s="25" t="s">
        <v>1668</v>
      </c>
      <c r="B445" s="25" t="s">
        <v>1669</v>
      </c>
      <c r="C445" s="25" t="s">
        <v>176</v>
      </c>
      <c r="D445" s="25" t="s">
        <v>1047</v>
      </c>
      <c r="E445" s="25" t="s">
        <v>902</v>
      </c>
      <c r="F445" s="25" t="s">
        <v>1024</v>
      </c>
      <c r="G445" s="25" t="s">
        <v>274</v>
      </c>
    </row>
    <row r="446" ht="15" customHeight="1">
      <c r="A446" s="25" t="s">
        <v>1670</v>
      </c>
      <c r="B446" s="25" t="s">
        <v>1671</v>
      </c>
      <c r="C446" s="25" t="s">
        <v>182</v>
      </c>
      <c r="D446" s="25" t="s">
        <v>1027</v>
      </c>
      <c r="E446" s="25" t="s">
        <v>679</v>
      </c>
      <c r="F446" s="25" t="s">
        <v>1672</v>
      </c>
      <c r="G446" s="25" t="s">
        <v>291</v>
      </c>
    </row>
    <row r="447" ht="15" customHeight="1">
      <c r="A447" s="25" t="s">
        <v>1673</v>
      </c>
      <c r="B447" s="25" t="s">
        <v>1674</v>
      </c>
      <c r="C447" s="25" t="s">
        <v>185</v>
      </c>
      <c r="D447" s="25" t="s">
        <v>1031</v>
      </c>
      <c r="E447" s="25" t="s">
        <v>359</v>
      </c>
      <c r="F447" s="25" t="s">
        <v>1675</v>
      </c>
      <c r="G447" s="25" t="s">
        <v>285</v>
      </c>
    </row>
    <row r="448" ht="15" customHeight="1">
      <c r="A448" s="25" t="s">
        <v>1676</v>
      </c>
      <c r="B448" s="25" t="s">
        <v>1677</v>
      </c>
      <c r="C448" s="25" t="s">
        <v>182</v>
      </c>
      <c r="D448" s="25" t="s">
        <v>1035</v>
      </c>
      <c r="E448" s="25" t="s">
        <v>336</v>
      </c>
      <c r="F448" s="25" t="s">
        <v>1678</v>
      </c>
      <c r="G448" s="25" t="s">
        <v>274</v>
      </c>
    </row>
    <row r="449" ht="15" customHeight="1">
      <c r="A449" s="25" t="s">
        <v>1679</v>
      </c>
      <c r="B449" s="25" t="s">
        <v>1680</v>
      </c>
      <c r="C449" s="25" t="s">
        <v>192</v>
      </c>
      <c r="D449" s="25" t="s">
        <v>819</v>
      </c>
      <c r="E449" s="25" t="s">
        <v>754</v>
      </c>
      <c r="F449" s="25" t="s">
        <v>1681</v>
      </c>
      <c r="G449" s="25" t="s">
        <v>291</v>
      </c>
    </row>
    <row r="450" ht="15" customHeight="1">
      <c r="A450" s="25" t="s">
        <v>1682</v>
      </c>
      <c r="B450" s="25" t="s">
        <v>1683</v>
      </c>
      <c r="C450" s="25" t="s">
        <v>192</v>
      </c>
      <c r="D450" s="25" t="s">
        <v>823</v>
      </c>
      <c r="E450" s="25" t="s">
        <v>510</v>
      </c>
      <c r="F450" s="25" t="s">
        <v>511</v>
      </c>
      <c r="G450" s="25" t="s">
        <v>279</v>
      </c>
    </row>
    <row r="451" ht="15" customHeight="1">
      <c r="A451" s="25" t="s">
        <v>1684</v>
      </c>
      <c r="B451" s="25" t="s">
        <v>1685</v>
      </c>
      <c r="C451" s="25" t="s">
        <v>192</v>
      </c>
      <c r="D451" s="25" t="s">
        <v>828</v>
      </c>
      <c r="E451" s="25" t="s">
        <v>722</v>
      </c>
      <c r="F451" s="25" t="s">
        <v>1280</v>
      </c>
      <c r="G451" s="25" t="s">
        <v>274</v>
      </c>
    </row>
    <row r="452" ht="15" customHeight="1">
      <c r="A452" s="25" t="s">
        <v>1686</v>
      </c>
      <c r="B452" s="25" t="s">
        <v>1687</v>
      </c>
      <c r="C452" s="25" t="s">
        <v>195</v>
      </c>
      <c r="D452" s="25" t="s">
        <v>271</v>
      </c>
      <c r="E452" s="25" t="s">
        <v>633</v>
      </c>
      <c r="F452" s="25" t="s">
        <v>634</v>
      </c>
      <c r="G452" s="25" t="s">
        <v>291</v>
      </c>
    </row>
    <row r="453" ht="15" customHeight="1">
      <c r="A453" s="25" t="s">
        <v>1688</v>
      </c>
      <c r="B453" s="25" t="s">
        <v>1689</v>
      </c>
      <c r="C453" s="25" t="s">
        <v>195</v>
      </c>
      <c r="D453" s="25" t="s">
        <v>321</v>
      </c>
      <c r="E453" s="25" t="s">
        <v>637</v>
      </c>
      <c r="F453" s="25" t="s">
        <v>638</v>
      </c>
      <c r="G453" s="25" t="s">
        <v>285</v>
      </c>
    </row>
    <row r="454" ht="15" customHeight="1">
      <c r="A454" s="25" t="s">
        <v>1690</v>
      </c>
      <c r="B454" s="25" t="s">
        <v>1691</v>
      </c>
      <c r="C454" s="25" t="s">
        <v>195</v>
      </c>
      <c r="D454" s="25" t="s">
        <v>282</v>
      </c>
      <c r="E454" s="25" t="s">
        <v>641</v>
      </c>
      <c r="F454" s="25" t="s">
        <v>814</v>
      </c>
      <c r="G454" s="25" t="s">
        <v>274</v>
      </c>
    </row>
    <row r="455" ht="15" customHeight="1">
      <c r="A455" s="25" t="s">
        <v>1692</v>
      </c>
      <c r="B455" s="25" t="s">
        <v>1693</v>
      </c>
      <c r="C455" s="25" t="s">
        <v>199</v>
      </c>
      <c r="D455" s="25" t="s">
        <v>303</v>
      </c>
      <c r="E455" s="25" t="s">
        <v>754</v>
      </c>
      <c r="F455" s="25" t="s">
        <v>1694</v>
      </c>
      <c r="G455" s="25" t="s">
        <v>291</v>
      </c>
    </row>
    <row r="456" ht="15" customHeight="1">
      <c r="A456" s="25" t="s">
        <v>1695</v>
      </c>
      <c r="B456" s="25" t="s">
        <v>1696</v>
      </c>
      <c r="C456" s="25" t="s">
        <v>199</v>
      </c>
      <c r="D456" s="25" t="s">
        <v>392</v>
      </c>
      <c r="E456" s="25" t="s">
        <v>510</v>
      </c>
      <c r="F456" s="25" t="s">
        <v>645</v>
      </c>
      <c r="G456" s="25" t="s">
        <v>279</v>
      </c>
    </row>
    <row r="457" ht="15" customHeight="1">
      <c r="A457" s="25" t="s">
        <v>1697</v>
      </c>
      <c r="B457" s="25" t="s">
        <v>1698</v>
      </c>
      <c r="C457" s="25" t="s">
        <v>199</v>
      </c>
      <c r="D457" s="25" t="s">
        <v>308</v>
      </c>
      <c r="E457" s="25" t="s">
        <v>722</v>
      </c>
      <c r="F457" s="25" t="s">
        <v>601</v>
      </c>
      <c r="G457" s="25" t="s">
        <v>274</v>
      </c>
    </row>
    <row r="458" ht="15" customHeight="1">
      <c r="A458" s="25" t="s">
        <v>1699</v>
      </c>
      <c r="B458" s="25" t="s">
        <v>1700</v>
      </c>
      <c r="C458" s="25" t="s">
        <v>201</v>
      </c>
      <c r="D458" s="25" t="s">
        <v>919</v>
      </c>
      <c r="E458" s="25" t="s">
        <v>1348</v>
      </c>
      <c r="F458" s="25" t="s">
        <v>686</v>
      </c>
      <c r="G458" s="25" t="s">
        <v>291</v>
      </c>
    </row>
    <row r="459" ht="15" customHeight="1">
      <c r="A459" s="25" t="s">
        <v>1701</v>
      </c>
      <c r="B459" s="25" t="s">
        <v>1702</v>
      </c>
      <c r="C459" s="25" t="s">
        <v>201</v>
      </c>
      <c r="D459" s="25" t="s">
        <v>923</v>
      </c>
      <c r="E459" s="25" t="s">
        <v>685</v>
      </c>
      <c r="F459" s="25" t="s">
        <v>515</v>
      </c>
      <c r="G459" s="25" t="s">
        <v>285</v>
      </c>
    </row>
    <row r="460" ht="15" customHeight="1">
      <c r="A460" s="25" t="s">
        <v>1703</v>
      </c>
      <c r="B460" s="25" t="s">
        <v>1704</v>
      </c>
      <c r="C460" s="25" t="s">
        <v>201</v>
      </c>
      <c r="D460" s="25" t="s">
        <v>927</v>
      </c>
      <c r="E460" s="25" t="s">
        <v>416</v>
      </c>
      <c r="F460" s="25" t="s">
        <v>617</v>
      </c>
      <c r="G460" s="25" t="s">
        <v>274</v>
      </c>
    </row>
    <row r="461" ht="15" customHeight="1">
      <c r="A461" s="25" t="s">
        <v>1705</v>
      </c>
      <c r="B461" s="25" t="s">
        <v>1706</v>
      </c>
      <c r="C461" s="25" t="s">
        <v>203</v>
      </c>
      <c r="D461" s="25" t="s">
        <v>776</v>
      </c>
      <c r="E461" s="25" t="s">
        <v>800</v>
      </c>
      <c r="F461" s="25" t="s">
        <v>715</v>
      </c>
      <c r="G461" s="25" t="s">
        <v>291</v>
      </c>
    </row>
    <row r="462" ht="15" customHeight="1">
      <c r="A462" s="25" t="s">
        <v>1707</v>
      </c>
      <c r="B462" s="25" t="s">
        <v>1708</v>
      </c>
      <c r="C462" s="25" t="s">
        <v>203</v>
      </c>
      <c r="D462" s="25" t="s">
        <v>780</v>
      </c>
      <c r="E462" s="25" t="s">
        <v>934</v>
      </c>
      <c r="F462" s="25" t="s">
        <v>450</v>
      </c>
      <c r="G462" s="25" t="s">
        <v>279</v>
      </c>
    </row>
    <row r="463" ht="15" customHeight="1">
      <c r="A463" s="25" t="s">
        <v>1709</v>
      </c>
      <c r="B463" s="25" t="s">
        <v>1710</v>
      </c>
      <c r="C463" s="25" t="s">
        <v>203</v>
      </c>
      <c r="D463" s="25" t="s">
        <v>784</v>
      </c>
      <c r="E463" s="25" t="s">
        <v>496</v>
      </c>
      <c r="F463" s="25" t="s">
        <v>722</v>
      </c>
      <c r="G463" s="25" t="s">
        <v>274</v>
      </c>
    </row>
    <row r="464" ht="15" customHeight="1">
      <c r="A464" s="25" t="s">
        <v>1711</v>
      </c>
      <c r="B464" s="25" t="s">
        <v>1712</v>
      </c>
      <c r="C464" s="25" t="s">
        <v>188</v>
      </c>
      <c r="D464" s="25" t="s">
        <v>1016</v>
      </c>
      <c r="E464" s="25" t="s">
        <v>345</v>
      </c>
      <c r="F464" s="25" t="s">
        <v>930</v>
      </c>
      <c r="G464" s="25" t="s">
        <v>291</v>
      </c>
    </row>
    <row r="465" ht="15" customHeight="1">
      <c r="A465" s="25" t="s">
        <v>1713</v>
      </c>
      <c r="B465" s="25" t="s">
        <v>1714</v>
      </c>
      <c r="C465" s="25" t="s">
        <v>188</v>
      </c>
      <c r="D465" s="25" t="s">
        <v>1019</v>
      </c>
      <c r="E465" s="25" t="s">
        <v>933</v>
      </c>
      <c r="F465" s="25" t="s">
        <v>934</v>
      </c>
      <c r="G465" s="25" t="s">
        <v>285</v>
      </c>
    </row>
    <row r="466" ht="15" customHeight="1">
      <c r="A466" s="25" t="s">
        <v>1715</v>
      </c>
      <c r="B466" s="25" t="s">
        <v>1716</v>
      </c>
      <c r="C466" s="25" t="s">
        <v>188</v>
      </c>
      <c r="D466" s="25" t="s">
        <v>1023</v>
      </c>
      <c r="E466" s="25" t="s">
        <v>586</v>
      </c>
      <c r="F466" s="25" t="s">
        <v>496</v>
      </c>
      <c r="G466" s="25" t="s">
        <v>274</v>
      </c>
    </row>
    <row r="467" ht="15" customHeight="1">
      <c r="A467" s="25" t="s">
        <v>1717</v>
      </c>
      <c r="B467" s="25" t="s">
        <v>1718</v>
      </c>
      <c r="C467" s="25" t="s">
        <v>166</v>
      </c>
      <c r="D467" s="25" t="s">
        <v>1210</v>
      </c>
      <c r="E467" s="25" t="s">
        <v>833</v>
      </c>
      <c r="F467" s="25" t="s">
        <v>834</v>
      </c>
      <c r="G467" s="25" t="s">
        <v>291</v>
      </c>
    </row>
    <row r="468" ht="15" customHeight="1">
      <c r="A468" s="25" t="s">
        <v>1719</v>
      </c>
      <c r="B468" s="25" t="s">
        <v>1720</v>
      </c>
      <c r="C468" s="25" t="s">
        <v>29</v>
      </c>
      <c r="D468" s="25" t="s">
        <v>1214</v>
      </c>
      <c r="E468" s="25" t="s">
        <v>985</v>
      </c>
      <c r="F468" s="25" t="s">
        <v>1251</v>
      </c>
      <c r="G468" s="25" t="s">
        <v>279</v>
      </c>
    </row>
    <row r="469" ht="15" customHeight="1">
      <c r="A469" s="25" t="s">
        <v>1721</v>
      </c>
      <c r="B469" s="25" t="s">
        <v>1722</v>
      </c>
      <c r="C469" s="25" t="s">
        <v>176</v>
      </c>
      <c r="D469" s="25" t="s">
        <v>1217</v>
      </c>
      <c r="E469" s="25" t="s">
        <v>478</v>
      </c>
      <c r="F469" s="25" t="s">
        <v>1254</v>
      </c>
      <c r="G469" s="25" t="s">
        <v>274</v>
      </c>
    </row>
    <row r="470" ht="15" customHeight="1">
      <c r="A470" s="25" t="s">
        <v>1723</v>
      </c>
      <c r="B470" s="25" t="s">
        <v>1724</v>
      </c>
      <c r="C470" s="25" t="s">
        <v>192</v>
      </c>
      <c r="D470" s="25" t="s">
        <v>725</v>
      </c>
      <c r="E470" s="25" t="s">
        <v>1155</v>
      </c>
      <c r="F470" s="25" t="s">
        <v>1725</v>
      </c>
      <c r="G470" s="25" t="s">
        <v>291</v>
      </c>
    </row>
    <row r="471" ht="15" customHeight="1">
      <c r="A471" s="25" t="s">
        <v>1726</v>
      </c>
      <c r="B471" s="25" t="s">
        <v>1727</v>
      </c>
      <c r="C471" s="25" t="s">
        <v>192</v>
      </c>
      <c r="D471" s="25" t="s">
        <v>730</v>
      </c>
      <c r="E471" s="25" t="s">
        <v>1126</v>
      </c>
      <c r="F471" s="25" t="s">
        <v>661</v>
      </c>
      <c r="G471" s="25" t="s">
        <v>285</v>
      </c>
    </row>
    <row r="472" ht="15" customHeight="1">
      <c r="A472" s="25" t="s">
        <v>1728</v>
      </c>
      <c r="B472" s="25" t="s">
        <v>1729</v>
      </c>
      <c r="C472" s="25" t="s">
        <v>192</v>
      </c>
      <c r="D472" s="25" t="s">
        <v>735</v>
      </c>
      <c r="E472" s="25" t="s">
        <v>309</v>
      </c>
      <c r="F472" s="25" t="s">
        <v>1730</v>
      </c>
      <c r="G472" s="25" t="s">
        <v>274</v>
      </c>
    </row>
    <row r="473" ht="15" customHeight="1">
      <c r="A473" s="25" t="s">
        <v>1731</v>
      </c>
      <c r="B473" s="25" t="s">
        <v>1732</v>
      </c>
      <c r="C473" s="25" t="s">
        <v>195</v>
      </c>
      <c r="D473" s="25" t="s">
        <v>466</v>
      </c>
      <c r="E473" s="25" t="s">
        <v>920</v>
      </c>
      <c r="F473" s="25" t="s">
        <v>417</v>
      </c>
      <c r="G473" s="25" t="s">
        <v>291</v>
      </c>
    </row>
    <row r="474" ht="15" customHeight="1">
      <c r="A474" s="25" t="s">
        <v>1733</v>
      </c>
      <c r="B474" s="25" t="s">
        <v>1734</v>
      </c>
      <c r="C474" s="25" t="s">
        <v>195</v>
      </c>
      <c r="D474" s="25" t="s">
        <v>349</v>
      </c>
      <c r="E474" s="25" t="s">
        <v>416</v>
      </c>
      <c r="F474" s="25" t="s">
        <v>421</v>
      </c>
      <c r="G474" s="25" t="s">
        <v>279</v>
      </c>
    </row>
    <row r="475" ht="15" customHeight="1">
      <c r="A475" s="25" t="s">
        <v>1735</v>
      </c>
      <c r="B475" s="25" t="s">
        <v>1736</v>
      </c>
      <c r="C475" s="25" t="s">
        <v>195</v>
      </c>
      <c r="D475" s="25" t="s">
        <v>344</v>
      </c>
      <c r="E475" s="25" t="s">
        <v>402</v>
      </c>
      <c r="F475" s="25" t="s">
        <v>1366</v>
      </c>
      <c r="G475" s="25" t="s">
        <v>274</v>
      </c>
    </row>
    <row r="476" ht="15" customHeight="1">
      <c r="A476" s="25" t="s">
        <v>1737</v>
      </c>
      <c r="B476" s="25" t="s">
        <v>1738</v>
      </c>
      <c r="C476" s="25" t="s">
        <v>199</v>
      </c>
      <c r="D476" s="25" t="s">
        <v>330</v>
      </c>
      <c r="E476" s="25" t="s">
        <v>657</v>
      </c>
      <c r="F476" s="25" t="s">
        <v>1739</v>
      </c>
      <c r="G476" s="25" t="s">
        <v>291</v>
      </c>
    </row>
    <row r="477" ht="15" customHeight="1">
      <c r="A477" s="25" t="s">
        <v>1740</v>
      </c>
      <c r="B477" s="25" t="s">
        <v>1741</v>
      </c>
      <c r="C477" s="25" t="s">
        <v>199</v>
      </c>
      <c r="D477" s="25" t="s">
        <v>335</v>
      </c>
      <c r="E477" s="25" t="s">
        <v>558</v>
      </c>
      <c r="F477" s="25" t="s">
        <v>600</v>
      </c>
      <c r="G477" s="25" t="s">
        <v>285</v>
      </c>
    </row>
    <row r="478" ht="15" customHeight="1">
      <c r="A478" s="25" t="s">
        <v>1742</v>
      </c>
      <c r="B478" s="25" t="s">
        <v>1743</v>
      </c>
      <c r="C478" s="25" t="s">
        <v>199</v>
      </c>
      <c r="D478" s="25" t="s">
        <v>330</v>
      </c>
      <c r="E478" s="25" t="s">
        <v>1529</v>
      </c>
      <c r="F478" s="25" t="s">
        <v>317</v>
      </c>
      <c r="G478" s="25" t="s">
        <v>274</v>
      </c>
    </row>
    <row r="479" ht="15" customHeight="1">
      <c r="A479" s="25" t="s">
        <v>1744</v>
      </c>
      <c r="B479" s="25" t="s">
        <v>1745</v>
      </c>
      <c r="C479" s="25" t="s">
        <v>201</v>
      </c>
      <c r="D479" s="25" t="s">
        <v>579</v>
      </c>
      <c r="E479" s="25" t="s">
        <v>980</v>
      </c>
      <c r="F479" s="25" t="s">
        <v>609</v>
      </c>
      <c r="G479" s="25" t="s">
        <v>291</v>
      </c>
    </row>
    <row r="480" ht="15" customHeight="1">
      <c r="A480" s="25" t="s">
        <v>1746</v>
      </c>
      <c r="B480" s="25" t="s">
        <v>1747</v>
      </c>
      <c r="C480" s="25" t="s">
        <v>201</v>
      </c>
      <c r="D480" s="25" t="s">
        <v>584</v>
      </c>
      <c r="E480" s="25" t="s">
        <v>608</v>
      </c>
      <c r="F480" s="25" t="s">
        <v>590</v>
      </c>
      <c r="G480" s="25" t="s">
        <v>279</v>
      </c>
    </row>
    <row r="481" ht="15" customHeight="1">
      <c r="A481" s="25" t="s">
        <v>1748</v>
      </c>
      <c r="B481" s="25" t="s">
        <v>1749</v>
      </c>
      <c r="C481" s="25" t="s">
        <v>201</v>
      </c>
      <c r="D481" s="25" t="s">
        <v>589</v>
      </c>
      <c r="E481" s="25" t="s">
        <v>421</v>
      </c>
      <c r="F481" s="25" t="s">
        <v>1404</v>
      </c>
      <c r="G481" s="25" t="s">
        <v>274</v>
      </c>
    </row>
    <row r="482" ht="15" customHeight="1">
      <c r="A482" s="25" t="s">
        <v>1750</v>
      </c>
      <c r="B482" s="25" t="s">
        <v>1751</v>
      </c>
      <c r="C482" s="25" t="s">
        <v>188</v>
      </c>
      <c r="D482" s="25" t="s">
        <v>428</v>
      </c>
      <c r="E482" s="25" t="s">
        <v>633</v>
      </c>
      <c r="F482" s="25" t="s">
        <v>634</v>
      </c>
      <c r="G482" s="25" t="s">
        <v>291</v>
      </c>
    </row>
    <row r="483" ht="15" customHeight="1">
      <c r="A483" s="25" t="s">
        <v>1752</v>
      </c>
      <c r="B483" s="25" t="s">
        <v>1753</v>
      </c>
      <c r="C483" s="25" t="s">
        <v>188</v>
      </c>
      <c r="D483" s="25" t="s">
        <v>433</v>
      </c>
      <c r="E483" s="25" t="s">
        <v>637</v>
      </c>
      <c r="F483" s="25" t="s">
        <v>638</v>
      </c>
      <c r="G483" s="25" t="s">
        <v>285</v>
      </c>
    </row>
    <row r="484" ht="15" customHeight="1">
      <c r="A484" s="25" t="s">
        <v>1754</v>
      </c>
      <c r="B484" s="25" t="s">
        <v>1755</v>
      </c>
      <c r="C484" s="25" t="s">
        <v>188</v>
      </c>
      <c r="D484" s="25" t="s">
        <v>438</v>
      </c>
      <c r="E484" s="25" t="s">
        <v>641</v>
      </c>
      <c r="F484" s="25" t="s">
        <v>814</v>
      </c>
      <c r="G484" s="25" t="s">
        <v>274</v>
      </c>
    </row>
    <row r="485" ht="15" customHeight="1">
      <c r="A485" s="25" t="s">
        <v>1756</v>
      </c>
      <c r="B485" s="25" t="s">
        <v>1757</v>
      </c>
      <c r="C485" s="25" t="s">
        <v>166</v>
      </c>
      <c r="D485" s="25" t="s">
        <v>490</v>
      </c>
      <c r="E485" s="25" t="s">
        <v>1284</v>
      </c>
      <c r="F485" s="25" t="s">
        <v>1758</v>
      </c>
      <c r="G485" s="25" t="s">
        <v>291</v>
      </c>
    </row>
    <row r="486" ht="15" customHeight="1">
      <c r="A486" s="25" t="s">
        <v>1759</v>
      </c>
      <c r="B486" s="25" t="s">
        <v>1760</v>
      </c>
      <c r="C486" s="25" t="s">
        <v>29</v>
      </c>
      <c r="D486" s="25" t="s">
        <v>495</v>
      </c>
      <c r="E486" s="25" t="s">
        <v>586</v>
      </c>
      <c r="F486" s="25" t="s">
        <v>558</v>
      </c>
      <c r="G486" s="25" t="s">
        <v>279</v>
      </c>
    </row>
    <row r="487" ht="15" customHeight="1">
      <c r="A487" s="25" t="s">
        <v>1761</v>
      </c>
      <c r="B487" s="25" t="s">
        <v>1762</v>
      </c>
      <c r="C487" s="25" t="s">
        <v>176</v>
      </c>
      <c r="D487" s="25" t="s">
        <v>500</v>
      </c>
      <c r="E487" s="25" t="s">
        <v>745</v>
      </c>
      <c r="F487" s="25" t="s">
        <v>1529</v>
      </c>
      <c r="G487" s="25" t="s">
        <v>274</v>
      </c>
    </row>
    <row r="488" ht="15" customHeight="1">
      <c r="A488" s="25" t="s">
        <v>1763</v>
      </c>
      <c r="B488" s="25" t="s">
        <v>1764</v>
      </c>
      <c r="C488" s="25" t="s">
        <v>182</v>
      </c>
      <c r="D488" s="25" t="s">
        <v>454</v>
      </c>
      <c r="E488" s="25" t="s">
        <v>645</v>
      </c>
      <c r="F488" s="25" t="s">
        <v>1162</v>
      </c>
      <c r="G488" s="25" t="s">
        <v>291</v>
      </c>
    </row>
    <row r="489" ht="15" customHeight="1">
      <c r="A489" s="25" t="s">
        <v>1765</v>
      </c>
      <c r="B489" s="25" t="s">
        <v>1766</v>
      </c>
      <c r="C489" s="25" t="s">
        <v>185</v>
      </c>
      <c r="D489" s="25" t="s">
        <v>458</v>
      </c>
      <c r="E489" s="25" t="s">
        <v>568</v>
      </c>
      <c r="F489" s="25" t="s">
        <v>792</v>
      </c>
      <c r="G489" s="25" t="s">
        <v>285</v>
      </c>
    </row>
    <row r="490" ht="15" customHeight="1">
      <c r="A490" s="25" t="s">
        <v>1767</v>
      </c>
      <c r="B490" s="25" t="s">
        <v>1768</v>
      </c>
      <c r="C490" s="25" t="s">
        <v>182</v>
      </c>
      <c r="D490" s="25" t="s">
        <v>462</v>
      </c>
      <c r="E490" s="25" t="s">
        <v>652</v>
      </c>
      <c r="F490" s="25" t="s">
        <v>1167</v>
      </c>
      <c r="G490" s="25" t="s">
        <v>274</v>
      </c>
    </row>
    <row r="491" ht="15" customHeight="1">
      <c r="A491" s="25" t="s">
        <v>1769</v>
      </c>
      <c r="B491" s="25" t="s">
        <v>1770</v>
      </c>
      <c r="C491" s="25" t="s">
        <v>192</v>
      </c>
      <c r="D491" s="25" t="s">
        <v>466</v>
      </c>
      <c r="E491" s="25" t="s">
        <v>429</v>
      </c>
      <c r="F491" s="25" t="s">
        <v>1771</v>
      </c>
      <c r="G491" s="25" t="s">
        <v>291</v>
      </c>
    </row>
    <row r="492" ht="15" customHeight="1">
      <c r="A492" s="25" t="s">
        <v>1772</v>
      </c>
      <c r="B492" s="25" t="s">
        <v>1773</v>
      </c>
      <c r="C492" s="25" t="s">
        <v>192</v>
      </c>
      <c r="D492" s="25" t="s">
        <v>349</v>
      </c>
      <c r="E492" s="25" t="s">
        <v>638</v>
      </c>
      <c r="F492" s="25" t="s">
        <v>851</v>
      </c>
      <c r="G492" s="25" t="s">
        <v>279</v>
      </c>
    </row>
    <row r="493" ht="15" customHeight="1">
      <c r="A493" s="25" t="s">
        <v>1774</v>
      </c>
      <c r="B493" s="25" t="s">
        <v>1775</v>
      </c>
      <c r="C493" s="25" t="s">
        <v>192</v>
      </c>
      <c r="D493" s="25" t="s">
        <v>344</v>
      </c>
      <c r="E493" s="25" t="s">
        <v>814</v>
      </c>
      <c r="F493" s="25" t="s">
        <v>393</v>
      </c>
      <c r="G493" s="25" t="s">
        <v>274</v>
      </c>
    </row>
    <row r="494" ht="15" customHeight="1">
      <c r="A494" s="25" t="s">
        <v>1776</v>
      </c>
      <c r="B494" s="25" t="s">
        <v>1777</v>
      </c>
      <c r="C494" s="25" t="s">
        <v>195</v>
      </c>
      <c r="D494" s="25" t="s">
        <v>739</v>
      </c>
      <c r="E494" s="25" t="s">
        <v>1517</v>
      </c>
      <c r="F494" s="25" t="s">
        <v>1606</v>
      </c>
      <c r="G494" s="25" t="s">
        <v>291</v>
      </c>
    </row>
    <row r="495" ht="15" customHeight="1">
      <c r="A495" s="25" t="s">
        <v>1778</v>
      </c>
      <c r="B495" s="25" t="s">
        <v>1779</v>
      </c>
      <c r="C495" s="25" t="s">
        <v>195</v>
      </c>
      <c r="D495" s="25" t="s">
        <v>744</v>
      </c>
      <c r="E495" s="25" t="s">
        <v>421</v>
      </c>
      <c r="F495" s="25" t="s">
        <v>833</v>
      </c>
      <c r="G495" s="25" t="s">
        <v>285</v>
      </c>
    </row>
    <row r="496" ht="15" customHeight="1">
      <c r="A496" s="25" t="s">
        <v>1780</v>
      </c>
      <c r="B496" s="25" t="s">
        <v>1781</v>
      </c>
      <c r="C496" s="25" t="s">
        <v>195</v>
      </c>
      <c r="D496" s="25" t="s">
        <v>749</v>
      </c>
      <c r="E496" s="25" t="s">
        <v>408</v>
      </c>
      <c r="F496" s="25" t="s">
        <v>486</v>
      </c>
      <c r="G496" s="25" t="s">
        <v>274</v>
      </c>
    </row>
    <row r="497" ht="15" customHeight="1">
      <c r="A497" s="25" t="s">
        <v>1782</v>
      </c>
      <c r="B497" s="25" t="s">
        <v>1783</v>
      </c>
      <c r="C497" s="25" t="s">
        <v>199</v>
      </c>
      <c r="D497" s="25" t="s">
        <v>288</v>
      </c>
      <c r="E497" s="25" t="s">
        <v>1155</v>
      </c>
      <c r="F497" s="25" t="s">
        <v>1087</v>
      </c>
      <c r="G497" s="25" t="s">
        <v>291</v>
      </c>
    </row>
    <row r="498" ht="15" customHeight="1">
      <c r="A498" s="25" t="s">
        <v>1784</v>
      </c>
      <c r="B498" s="25" t="s">
        <v>1785</v>
      </c>
      <c r="C498" s="25" t="s">
        <v>199</v>
      </c>
      <c r="D498" s="25" t="s">
        <v>294</v>
      </c>
      <c r="E498" s="25" t="s">
        <v>1126</v>
      </c>
      <c r="F498" s="25" t="s">
        <v>1357</v>
      </c>
      <c r="G498" s="25" t="s">
        <v>279</v>
      </c>
    </row>
    <row r="499" ht="15" customHeight="1">
      <c r="A499" s="25" t="s">
        <v>1786</v>
      </c>
      <c r="B499" s="25" t="s">
        <v>1787</v>
      </c>
      <c r="C499" s="25" t="s">
        <v>199</v>
      </c>
      <c r="D499" s="25" t="s">
        <v>288</v>
      </c>
      <c r="E499" s="25" t="s">
        <v>309</v>
      </c>
      <c r="F499" s="25" t="s">
        <v>674</v>
      </c>
      <c r="G499" s="25" t="s">
        <v>274</v>
      </c>
    </row>
    <row r="500" ht="15" customHeight="1">
      <c r="A500" s="25" t="s">
        <v>1788</v>
      </c>
      <c r="B500" s="25" t="s">
        <v>1789</v>
      </c>
      <c r="C500" s="25" t="s">
        <v>201</v>
      </c>
      <c r="D500" s="25" t="s">
        <v>401</v>
      </c>
      <c r="E500" s="25" t="s">
        <v>685</v>
      </c>
      <c r="F500" s="25" t="s">
        <v>1132</v>
      </c>
      <c r="G500" s="25" t="s">
        <v>291</v>
      </c>
    </row>
    <row r="501" ht="15" customHeight="1">
      <c r="A501" s="25" t="s">
        <v>1790</v>
      </c>
      <c r="B501" s="25" t="s">
        <v>1791</v>
      </c>
      <c r="C501" s="25" t="s">
        <v>201</v>
      </c>
      <c r="D501" s="25" t="s">
        <v>406</v>
      </c>
      <c r="E501" s="25" t="s">
        <v>1131</v>
      </c>
      <c r="F501" s="25" t="s">
        <v>402</v>
      </c>
      <c r="G501" s="25" t="s">
        <v>285</v>
      </c>
    </row>
    <row r="502" ht="15" customHeight="1">
      <c r="A502" s="25" t="s">
        <v>1792</v>
      </c>
      <c r="B502" s="25" t="s">
        <v>1793</v>
      </c>
      <c r="C502" s="25" t="s">
        <v>201</v>
      </c>
      <c r="D502" s="25" t="s">
        <v>411</v>
      </c>
      <c r="E502" s="25" t="s">
        <v>1348</v>
      </c>
      <c r="F502" s="25" t="s">
        <v>523</v>
      </c>
      <c r="G502" s="25" t="s">
        <v>274</v>
      </c>
    </row>
    <row r="504" ht="15" customHeight="1">
      <c r="I504" s="16" t="s">
        <v>1794</v>
      </c>
    </row>
  </sheetData>
  <printOptions headings="0" gridLines="0"/>
  <pageMargins left="0.75" right="0.75" top="1" bottom="1" header="0.51181102362204689" footer="0.51181102362204689"/>
  <pageSetup paperSize="9" scale="100" fitToWidth="1" fitToHeight="1" pageOrder="downThenOver" orientation="portrait" usePrinterDefaults="1" blackAndWhite="0" draft="0" cellComments="none" useFirstPageNumber="0" errors="displayed" horizontalDpi="300" verticalDpi="300" copies="1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filterMode="0">
    <outlinePr applyStyles="0" summaryBelow="1" summaryRight="1" showOutlineSymbols="1"/>
    <pageSetUpPr autoPageBreaks="1" fitToPage="0"/>
  </sheetPr>
  <sheetViews>
    <sheetView showFormulas="0" showGridLines="0" showRowColHeaders="1" showZeros="1" showRuler="1" view="normal" topLeftCell="A1" zoomScale="100" workbookViewId="0">
      <pane ySplit="1" topLeftCell="A2" activePane="bottomLeft" state="frozen"/>
      <selection activeCell="A1" activeCellId="0" sqref="A1"/>
    </sheetView>
  </sheetViews>
  <sheetFormatPr defaultColWidth="8.6796875" defaultRowHeight="14.25"/>
  <cols>
    <col customWidth="1" min="1" max="1" style="1" width="12"/>
    <col customWidth="1" min="2" max="2" style="1" width="20"/>
    <col customWidth="1" min="3" max="3" style="1" width="16"/>
    <col customWidth="1" min="4" max="4" style="1" width="12"/>
    <col customWidth="1" min="5" max="5" style="1" width="20"/>
    <col customWidth="1" min="6" max="6" style="1" width="24"/>
    <col customWidth="1" min="7" max="7" style="1" width="44"/>
  </cols>
  <sheetData>
    <row r="1" ht="23.25" customHeight="1">
      <c r="A1" s="24" t="s">
        <v>127</v>
      </c>
      <c r="B1" s="24" t="s">
        <v>113</v>
      </c>
      <c r="C1" s="24" t="s">
        <v>1795</v>
      </c>
      <c r="D1" s="24" t="s">
        <v>116</v>
      </c>
      <c r="E1" s="24" t="s">
        <v>1796</v>
      </c>
      <c r="F1" s="24" t="s">
        <v>31</v>
      </c>
      <c r="G1" s="24" t="s">
        <v>1797</v>
      </c>
    </row>
    <row r="2" ht="15" customHeight="1">
      <c r="A2" s="25" t="s">
        <v>1798</v>
      </c>
      <c r="B2" s="25" t="s">
        <v>1799</v>
      </c>
      <c r="C2" s="25" t="s">
        <v>1800</v>
      </c>
      <c r="D2" s="25" t="s">
        <v>1801</v>
      </c>
      <c r="E2" s="25" t="s">
        <v>1802</v>
      </c>
      <c r="F2" s="25" t="s">
        <v>1803</v>
      </c>
      <c r="G2" s="25" t="s">
        <v>1804</v>
      </c>
    </row>
    <row r="3" ht="15" customHeight="1">
      <c r="A3" s="25" t="s">
        <v>1805</v>
      </c>
      <c r="B3" s="25" t="s">
        <v>1806</v>
      </c>
      <c r="C3" s="25" t="s">
        <v>1807</v>
      </c>
      <c r="D3" s="25" t="s">
        <v>1808</v>
      </c>
      <c r="E3" s="25" t="s">
        <v>1809</v>
      </c>
      <c r="F3" s="25" t="s">
        <v>1810</v>
      </c>
      <c r="G3" s="25" t="s">
        <v>1811</v>
      </c>
    </row>
    <row r="4" ht="15" customHeight="1">
      <c r="A4" s="25" t="s">
        <v>1812</v>
      </c>
      <c r="B4" s="25" t="s">
        <v>1813</v>
      </c>
      <c r="C4" s="25" t="s">
        <v>1814</v>
      </c>
      <c r="D4" s="25" t="s">
        <v>1815</v>
      </c>
      <c r="E4" s="25" t="s">
        <v>1816</v>
      </c>
      <c r="F4" s="25" t="s">
        <v>1817</v>
      </c>
      <c r="G4" s="25" t="s">
        <v>1818</v>
      </c>
    </row>
    <row r="5" ht="15" customHeight="1">
      <c r="A5" s="25" t="s">
        <v>1819</v>
      </c>
      <c r="B5" s="25" t="s">
        <v>1820</v>
      </c>
      <c r="C5" s="25" t="s">
        <v>1821</v>
      </c>
      <c r="D5" s="25" t="s">
        <v>1822</v>
      </c>
      <c r="E5" s="25" t="s">
        <v>1823</v>
      </c>
      <c r="F5" s="25" t="s">
        <v>1824</v>
      </c>
      <c r="G5" s="25" t="s">
        <v>1825</v>
      </c>
    </row>
    <row r="6" ht="15" customHeight="1">
      <c r="A6" s="25" t="s">
        <v>1826</v>
      </c>
      <c r="B6" s="25" t="s">
        <v>1827</v>
      </c>
      <c r="C6" s="25" t="s">
        <v>1828</v>
      </c>
      <c r="D6" s="25" t="s">
        <v>1829</v>
      </c>
      <c r="E6" s="25" t="s">
        <v>1830</v>
      </c>
      <c r="F6" s="25" t="s">
        <v>1831</v>
      </c>
      <c r="G6" s="25" t="s">
        <v>1832</v>
      </c>
    </row>
    <row r="7" ht="15" customHeight="1">
      <c r="A7" s="25" t="s">
        <v>1833</v>
      </c>
      <c r="B7" s="25" t="s">
        <v>1834</v>
      </c>
      <c r="C7" s="25" t="s">
        <v>1835</v>
      </c>
      <c r="D7" s="25" t="s">
        <v>1836</v>
      </c>
      <c r="E7" s="25" t="s">
        <v>1837</v>
      </c>
      <c r="F7" s="25" t="s">
        <v>1838</v>
      </c>
      <c r="G7" s="25" t="s">
        <v>1839</v>
      </c>
    </row>
    <row r="8" ht="15" customHeight="1">
      <c r="A8" s="25" t="s">
        <v>1840</v>
      </c>
      <c r="B8" s="25" t="s">
        <v>1841</v>
      </c>
      <c r="C8" s="25" t="s">
        <v>1842</v>
      </c>
      <c r="D8" s="25" t="s">
        <v>1843</v>
      </c>
      <c r="E8" s="25" t="s">
        <v>1844</v>
      </c>
      <c r="F8" s="25" t="s">
        <v>1845</v>
      </c>
      <c r="G8" s="25" t="s">
        <v>1846</v>
      </c>
    </row>
    <row r="9" ht="15" customHeight="1">
      <c r="A9" s="25" t="s">
        <v>1847</v>
      </c>
      <c r="B9" s="25" t="s">
        <v>1848</v>
      </c>
      <c r="C9" s="25" t="s">
        <v>1849</v>
      </c>
      <c r="D9" s="25" t="s">
        <v>1850</v>
      </c>
      <c r="E9" s="25" t="s">
        <v>1851</v>
      </c>
      <c r="F9" s="25" t="s">
        <v>1852</v>
      </c>
      <c r="G9" s="25" t="s">
        <v>1853</v>
      </c>
    </row>
    <row r="10" ht="15" customHeight="1">
      <c r="A10" s="25" t="s">
        <v>1854</v>
      </c>
      <c r="B10" s="25" t="s">
        <v>1855</v>
      </c>
      <c r="C10" s="25" t="s">
        <v>1856</v>
      </c>
      <c r="D10" s="25" t="s">
        <v>1857</v>
      </c>
      <c r="E10" s="25" t="s">
        <v>1858</v>
      </c>
      <c r="F10" s="25" t="s">
        <v>1859</v>
      </c>
      <c r="G10" s="25" t="s">
        <v>1860</v>
      </c>
    </row>
    <row r="11" ht="15" customHeight="1">
      <c r="A11" s="25" t="s">
        <v>1861</v>
      </c>
      <c r="B11" s="25" t="s">
        <v>1862</v>
      </c>
      <c r="C11" s="25" t="s">
        <v>1863</v>
      </c>
      <c r="D11" s="25" t="s">
        <v>1864</v>
      </c>
      <c r="E11" s="25" t="s">
        <v>1865</v>
      </c>
      <c r="F11" s="25" t="s">
        <v>1866</v>
      </c>
      <c r="G11" s="25" t="s">
        <v>1867</v>
      </c>
    </row>
    <row r="12" ht="15" customHeight="1">
      <c r="A12" s="25" t="s">
        <v>1868</v>
      </c>
      <c r="B12" s="25" t="s">
        <v>1869</v>
      </c>
      <c r="C12" s="25" t="s">
        <v>1870</v>
      </c>
      <c r="D12" s="25" t="s">
        <v>1871</v>
      </c>
      <c r="E12" s="25" t="s">
        <v>1802</v>
      </c>
      <c r="F12" s="25" t="s">
        <v>1872</v>
      </c>
      <c r="G12" s="25" t="s">
        <v>1873</v>
      </c>
    </row>
    <row r="13" ht="15" customHeight="1">
      <c r="A13" s="25" t="s">
        <v>1874</v>
      </c>
      <c r="B13" s="25" t="s">
        <v>1875</v>
      </c>
      <c r="C13" s="25" t="s">
        <v>1876</v>
      </c>
      <c r="D13" s="25" t="s">
        <v>1877</v>
      </c>
      <c r="E13" s="25" t="s">
        <v>1878</v>
      </c>
      <c r="F13" s="25" t="s">
        <v>1879</v>
      </c>
      <c r="G13" s="25" t="s">
        <v>1880</v>
      </c>
    </row>
    <row r="14" ht="15" customHeight="1">
      <c r="A14" s="25" t="s">
        <v>1881</v>
      </c>
      <c r="B14" s="25" t="s">
        <v>1882</v>
      </c>
      <c r="C14" s="25" t="s">
        <v>1883</v>
      </c>
      <c r="D14" s="25" t="s">
        <v>1884</v>
      </c>
      <c r="E14" s="25" t="s">
        <v>1885</v>
      </c>
      <c r="F14" s="25" t="s">
        <v>1886</v>
      </c>
      <c r="G14" s="25" t="s">
        <v>1887</v>
      </c>
    </row>
    <row r="15" ht="15" customHeight="1">
      <c r="A15" s="25" t="s">
        <v>1888</v>
      </c>
      <c r="B15" s="25" t="s">
        <v>1889</v>
      </c>
      <c r="C15" s="25" t="s">
        <v>1890</v>
      </c>
      <c r="D15" s="25" t="s">
        <v>1891</v>
      </c>
      <c r="E15" s="25" t="s">
        <v>1892</v>
      </c>
      <c r="F15" s="25" t="s">
        <v>1893</v>
      </c>
      <c r="G15" s="25" t="s">
        <v>1894</v>
      </c>
    </row>
    <row r="16" ht="15" customHeight="1">
      <c r="A16" s="25" t="s">
        <v>1895</v>
      </c>
      <c r="B16" s="25" t="s">
        <v>1896</v>
      </c>
      <c r="C16" s="25" t="s">
        <v>1897</v>
      </c>
      <c r="D16" s="25" t="s">
        <v>1898</v>
      </c>
      <c r="E16" s="25" t="s">
        <v>1899</v>
      </c>
      <c r="F16" s="25" t="s">
        <v>1900</v>
      </c>
      <c r="G16" s="25" t="s">
        <v>1901</v>
      </c>
    </row>
    <row r="17" ht="15" customHeight="1">
      <c r="A17" s="25" t="s">
        <v>1902</v>
      </c>
      <c r="B17" s="25" t="s">
        <v>1903</v>
      </c>
      <c r="C17" s="25" t="s">
        <v>1904</v>
      </c>
      <c r="D17" s="25" t="s">
        <v>1905</v>
      </c>
      <c r="E17" s="25" t="s">
        <v>1837</v>
      </c>
      <c r="F17" s="25" t="s">
        <v>1906</v>
      </c>
      <c r="G17" s="25" t="s">
        <v>1907</v>
      </c>
    </row>
    <row r="18" ht="15" customHeight="1">
      <c r="A18" s="25" t="s">
        <v>1908</v>
      </c>
      <c r="B18" s="25" t="s">
        <v>1909</v>
      </c>
      <c r="C18" s="25" t="s">
        <v>1910</v>
      </c>
      <c r="D18" s="25" t="s">
        <v>1911</v>
      </c>
      <c r="E18" s="25" t="s">
        <v>1844</v>
      </c>
      <c r="F18" s="25" t="s">
        <v>1912</v>
      </c>
      <c r="G18" s="25" t="s">
        <v>1913</v>
      </c>
    </row>
    <row r="19" ht="15" customHeight="1">
      <c r="A19" s="25" t="s">
        <v>1914</v>
      </c>
      <c r="B19" s="25" t="s">
        <v>1915</v>
      </c>
      <c r="C19" s="25" t="s">
        <v>1916</v>
      </c>
      <c r="D19" s="25" t="s">
        <v>1917</v>
      </c>
      <c r="E19" s="25" t="s">
        <v>1851</v>
      </c>
      <c r="F19" s="25" t="s">
        <v>1918</v>
      </c>
      <c r="G19" s="25" t="s">
        <v>1919</v>
      </c>
    </row>
    <row r="20" ht="15" customHeight="1">
      <c r="A20" s="25" t="s">
        <v>1920</v>
      </c>
      <c r="B20" s="25" t="s">
        <v>1921</v>
      </c>
      <c r="C20" s="25" t="s">
        <v>1922</v>
      </c>
      <c r="D20" s="25" t="s">
        <v>1923</v>
      </c>
      <c r="E20" s="25" t="s">
        <v>1924</v>
      </c>
      <c r="F20" s="25" t="s">
        <v>1925</v>
      </c>
      <c r="G20" s="25" t="s">
        <v>1926</v>
      </c>
    </row>
    <row r="21" ht="15" customHeight="1">
      <c r="A21" s="25" t="s">
        <v>1927</v>
      </c>
      <c r="B21" s="25" t="s">
        <v>1928</v>
      </c>
      <c r="C21" s="25" t="s">
        <v>1929</v>
      </c>
      <c r="D21" s="25" t="s">
        <v>1930</v>
      </c>
      <c r="E21" s="25" t="s">
        <v>1865</v>
      </c>
      <c r="F21" s="25" t="s">
        <v>1931</v>
      </c>
      <c r="G21" s="25" t="s">
        <v>1932</v>
      </c>
    </row>
    <row r="22" ht="15" customHeight="1">
      <c r="A22" s="25" t="s">
        <v>1933</v>
      </c>
      <c r="B22" s="25" t="s">
        <v>1934</v>
      </c>
      <c r="C22" s="25" t="s">
        <v>1935</v>
      </c>
      <c r="D22" s="25" t="s">
        <v>1936</v>
      </c>
      <c r="E22" s="25" t="s">
        <v>1937</v>
      </c>
      <c r="F22" s="25" t="s">
        <v>1938</v>
      </c>
      <c r="G22" s="25" t="s">
        <v>1939</v>
      </c>
    </row>
    <row r="23" ht="15" customHeight="1">
      <c r="A23" s="25" t="s">
        <v>1940</v>
      </c>
      <c r="B23" s="25" t="s">
        <v>1941</v>
      </c>
      <c r="C23" s="25" t="s">
        <v>1942</v>
      </c>
      <c r="D23" s="25" t="s">
        <v>1943</v>
      </c>
      <c r="E23" s="25" t="s">
        <v>1944</v>
      </c>
      <c r="F23" s="25" t="s">
        <v>1945</v>
      </c>
      <c r="G23" s="25" t="s">
        <v>1946</v>
      </c>
    </row>
    <row r="24" ht="15" customHeight="1">
      <c r="A24" s="25" t="s">
        <v>1947</v>
      </c>
      <c r="B24" s="25" t="s">
        <v>1948</v>
      </c>
      <c r="C24" s="25" t="s">
        <v>1949</v>
      </c>
      <c r="D24" s="25" t="s">
        <v>1950</v>
      </c>
      <c r="E24" s="25" t="s">
        <v>1885</v>
      </c>
      <c r="F24" s="25" t="s">
        <v>1951</v>
      </c>
      <c r="G24" s="25" t="s">
        <v>1952</v>
      </c>
    </row>
    <row r="25" ht="15" customHeight="1">
      <c r="A25" s="25" t="s">
        <v>1953</v>
      </c>
      <c r="B25" s="25" t="s">
        <v>1954</v>
      </c>
      <c r="C25" s="25" t="s">
        <v>1955</v>
      </c>
      <c r="D25" s="25" t="s">
        <v>1956</v>
      </c>
      <c r="E25" s="25" t="s">
        <v>1892</v>
      </c>
      <c r="F25" s="25" t="s">
        <v>1957</v>
      </c>
      <c r="G25" s="25" t="s">
        <v>1958</v>
      </c>
    </row>
    <row r="26" ht="15" customHeight="1">
      <c r="A26" s="25" t="s">
        <v>1959</v>
      </c>
      <c r="B26" s="25" t="s">
        <v>1960</v>
      </c>
      <c r="C26" s="25" t="s">
        <v>1961</v>
      </c>
      <c r="D26" s="25" t="s">
        <v>1962</v>
      </c>
      <c r="E26" s="25" t="s">
        <v>1963</v>
      </c>
      <c r="F26" s="25" t="s">
        <v>1964</v>
      </c>
      <c r="G26" s="25" t="s">
        <v>1965</v>
      </c>
    </row>
    <row r="27" ht="15" customHeight="1">
      <c r="A27" s="25" t="s">
        <v>1966</v>
      </c>
      <c r="B27" s="25" t="s">
        <v>1967</v>
      </c>
      <c r="C27" s="25" t="s">
        <v>1968</v>
      </c>
      <c r="D27" s="25" t="s">
        <v>1969</v>
      </c>
      <c r="E27" s="25" t="s">
        <v>1837</v>
      </c>
      <c r="F27" s="25" t="s">
        <v>1970</v>
      </c>
      <c r="G27" s="25" t="s">
        <v>1971</v>
      </c>
    </row>
    <row r="28" ht="15" customHeight="1">
      <c r="A28" s="25" t="s">
        <v>1972</v>
      </c>
      <c r="B28" s="25" t="s">
        <v>1973</v>
      </c>
      <c r="C28" s="25" t="s">
        <v>1974</v>
      </c>
      <c r="D28" s="25" t="s">
        <v>1808</v>
      </c>
      <c r="E28" s="25" t="s">
        <v>1975</v>
      </c>
      <c r="F28" s="25" t="s">
        <v>1976</v>
      </c>
      <c r="G28" s="25" t="s">
        <v>1977</v>
      </c>
    </row>
    <row r="29" ht="15" customHeight="1">
      <c r="A29" s="25" t="s">
        <v>1978</v>
      </c>
      <c r="B29" s="25" t="s">
        <v>1979</v>
      </c>
      <c r="C29" s="25" t="s">
        <v>1980</v>
      </c>
      <c r="D29" s="25" t="s">
        <v>1981</v>
      </c>
      <c r="E29" s="25" t="s">
        <v>1851</v>
      </c>
      <c r="F29" s="25" t="s">
        <v>1982</v>
      </c>
      <c r="G29" s="25" t="s">
        <v>1983</v>
      </c>
    </row>
    <row r="30" ht="15" customHeight="1">
      <c r="A30" s="25" t="s">
        <v>1984</v>
      </c>
      <c r="B30" s="25" t="s">
        <v>1985</v>
      </c>
      <c r="C30" s="25" t="s">
        <v>1986</v>
      </c>
      <c r="D30" s="25" t="s">
        <v>1987</v>
      </c>
      <c r="E30" s="25" t="s">
        <v>1988</v>
      </c>
      <c r="F30" s="25" t="s">
        <v>1989</v>
      </c>
      <c r="G30" s="25" t="s">
        <v>1990</v>
      </c>
    </row>
    <row r="31" ht="15" customHeight="1">
      <c r="A31" s="25" t="s">
        <v>1991</v>
      </c>
      <c r="B31" s="25" t="s">
        <v>1992</v>
      </c>
      <c r="C31" s="25" t="s">
        <v>1993</v>
      </c>
      <c r="D31" s="25" t="s">
        <v>1994</v>
      </c>
      <c r="E31" s="25" t="s">
        <v>1865</v>
      </c>
      <c r="F31" s="25" t="s">
        <v>1995</v>
      </c>
      <c r="G31" s="25" t="s">
        <v>1996</v>
      </c>
    </row>
    <row r="32" ht="15" customHeight="1">
      <c r="A32" s="25" t="s">
        <v>1997</v>
      </c>
      <c r="B32" s="25" t="s">
        <v>1998</v>
      </c>
      <c r="C32" s="25" t="s">
        <v>1999</v>
      </c>
      <c r="D32" s="25" t="s">
        <v>2000</v>
      </c>
      <c r="E32" s="25" t="s">
        <v>2001</v>
      </c>
      <c r="F32" s="25" t="s">
        <v>2002</v>
      </c>
      <c r="G32" s="25" t="s">
        <v>2003</v>
      </c>
    </row>
    <row r="33" ht="15" customHeight="1">
      <c r="A33" s="25" t="s">
        <v>2004</v>
      </c>
      <c r="B33" s="25" t="s">
        <v>2005</v>
      </c>
      <c r="C33" s="25" t="s">
        <v>2006</v>
      </c>
      <c r="D33" s="25" t="s">
        <v>2007</v>
      </c>
      <c r="E33" s="25" t="s">
        <v>1944</v>
      </c>
      <c r="F33" s="25" t="s">
        <v>2008</v>
      </c>
      <c r="G33" s="25" t="s">
        <v>2009</v>
      </c>
    </row>
    <row r="34" ht="15" customHeight="1">
      <c r="A34" s="25" t="s">
        <v>2010</v>
      </c>
      <c r="B34" s="25" t="s">
        <v>2011</v>
      </c>
      <c r="C34" s="25" t="s">
        <v>2012</v>
      </c>
      <c r="D34" s="25" t="s">
        <v>2013</v>
      </c>
      <c r="E34" s="25" t="s">
        <v>1885</v>
      </c>
      <c r="F34" s="25" t="s">
        <v>2014</v>
      </c>
      <c r="G34" s="25" t="s">
        <v>2015</v>
      </c>
    </row>
    <row r="35" ht="15" customHeight="1">
      <c r="A35" s="25" t="s">
        <v>2016</v>
      </c>
      <c r="B35" s="25" t="s">
        <v>2017</v>
      </c>
      <c r="C35" s="25" t="s">
        <v>2018</v>
      </c>
      <c r="D35" s="25" t="s">
        <v>2019</v>
      </c>
      <c r="E35" s="25" t="s">
        <v>1892</v>
      </c>
      <c r="F35" s="25" t="s">
        <v>2020</v>
      </c>
      <c r="G35" s="25" t="s">
        <v>2021</v>
      </c>
    </row>
    <row r="36" ht="15" customHeight="1">
      <c r="A36" s="25" t="s">
        <v>2022</v>
      </c>
      <c r="B36" s="25" t="s">
        <v>2023</v>
      </c>
      <c r="C36" s="25" t="s">
        <v>2024</v>
      </c>
      <c r="D36" s="25" t="s">
        <v>2025</v>
      </c>
      <c r="E36" s="25" t="s">
        <v>1963</v>
      </c>
      <c r="F36" s="25" t="s">
        <v>2026</v>
      </c>
      <c r="G36" s="25" t="s">
        <v>2027</v>
      </c>
    </row>
    <row r="37" ht="15" customHeight="1">
      <c r="A37" s="25" t="s">
        <v>2028</v>
      </c>
      <c r="B37" s="25" t="s">
        <v>2029</v>
      </c>
      <c r="C37" s="25" t="s">
        <v>2030</v>
      </c>
      <c r="D37" s="25" t="s">
        <v>2031</v>
      </c>
      <c r="E37" s="25" t="s">
        <v>1837</v>
      </c>
      <c r="F37" s="25" t="s">
        <v>2032</v>
      </c>
      <c r="G37" s="25" t="s">
        <v>2033</v>
      </c>
    </row>
    <row r="38" ht="15" customHeight="1">
      <c r="A38" s="25" t="s">
        <v>2034</v>
      </c>
      <c r="B38" s="25" t="s">
        <v>2035</v>
      </c>
      <c r="C38" s="25" t="s">
        <v>2036</v>
      </c>
      <c r="D38" s="25" t="s">
        <v>2037</v>
      </c>
      <c r="E38" s="25" t="s">
        <v>1975</v>
      </c>
      <c r="F38" s="25" t="s">
        <v>2038</v>
      </c>
      <c r="G38" s="25" t="s">
        <v>2039</v>
      </c>
    </row>
    <row r="39" ht="15" customHeight="1">
      <c r="A39" s="25" t="s">
        <v>2040</v>
      </c>
      <c r="B39" s="25" t="s">
        <v>2041</v>
      </c>
      <c r="C39" s="25" t="s">
        <v>2042</v>
      </c>
      <c r="D39" s="25" t="s">
        <v>2043</v>
      </c>
      <c r="E39" s="25" t="s">
        <v>1851</v>
      </c>
      <c r="F39" s="25" t="s">
        <v>2044</v>
      </c>
      <c r="G39" s="25" t="s">
        <v>2045</v>
      </c>
    </row>
    <row r="40" ht="15" customHeight="1">
      <c r="A40" s="25" t="s">
        <v>2046</v>
      </c>
      <c r="B40" s="25" t="s">
        <v>2047</v>
      </c>
      <c r="C40" s="25" t="s">
        <v>2048</v>
      </c>
      <c r="D40" s="25" t="s">
        <v>2049</v>
      </c>
      <c r="E40" s="25" t="s">
        <v>1924</v>
      </c>
      <c r="F40" s="25" t="s">
        <v>2050</v>
      </c>
      <c r="G40" s="25" t="s">
        <v>2051</v>
      </c>
    </row>
    <row r="41" ht="15" customHeight="1">
      <c r="A41" s="25" t="s">
        <v>2052</v>
      </c>
      <c r="B41" s="25" t="s">
        <v>2053</v>
      </c>
      <c r="C41" s="25" t="s">
        <v>2054</v>
      </c>
      <c r="D41" s="25" t="s">
        <v>2055</v>
      </c>
      <c r="E41" s="25" t="s">
        <v>1865</v>
      </c>
      <c r="F41" s="25" t="s">
        <v>2056</v>
      </c>
      <c r="G41" s="25" t="s">
        <v>2057</v>
      </c>
    </row>
    <row r="42" ht="15" customHeight="1">
      <c r="A42" s="25" t="s">
        <v>2058</v>
      </c>
      <c r="B42" s="25" t="s">
        <v>2059</v>
      </c>
      <c r="C42" s="25" t="s">
        <v>2060</v>
      </c>
      <c r="D42" s="25" t="s">
        <v>2061</v>
      </c>
      <c r="E42" s="25" t="s">
        <v>1937</v>
      </c>
      <c r="F42" s="25" t="s">
        <v>2062</v>
      </c>
      <c r="G42" s="25" t="s">
        <v>2063</v>
      </c>
    </row>
    <row r="43" ht="15" customHeight="1">
      <c r="A43" s="25" t="s">
        <v>2064</v>
      </c>
      <c r="B43" s="25" t="s">
        <v>2065</v>
      </c>
      <c r="C43" s="25" t="s">
        <v>2066</v>
      </c>
      <c r="D43" s="25" t="s">
        <v>2067</v>
      </c>
      <c r="E43" s="25" t="s">
        <v>1944</v>
      </c>
      <c r="F43" s="25" t="s">
        <v>2068</v>
      </c>
      <c r="G43" s="25" t="s">
        <v>2069</v>
      </c>
    </row>
    <row r="44" ht="15" customHeight="1">
      <c r="A44" s="25" t="s">
        <v>2070</v>
      </c>
      <c r="B44" s="25" t="s">
        <v>2071</v>
      </c>
      <c r="C44" s="25" t="s">
        <v>2072</v>
      </c>
      <c r="D44" s="25" t="s">
        <v>2073</v>
      </c>
      <c r="E44" s="25" t="s">
        <v>1885</v>
      </c>
      <c r="F44" s="25" t="s">
        <v>2074</v>
      </c>
      <c r="G44" s="25" t="s">
        <v>2075</v>
      </c>
    </row>
    <row r="45" ht="15" customHeight="1">
      <c r="A45" s="25" t="s">
        <v>2076</v>
      </c>
      <c r="B45" s="25" t="s">
        <v>2077</v>
      </c>
      <c r="C45" s="25" t="s">
        <v>2078</v>
      </c>
      <c r="D45" s="25" t="s">
        <v>2079</v>
      </c>
      <c r="E45" s="25" t="s">
        <v>1892</v>
      </c>
      <c r="F45" s="25" t="s">
        <v>2080</v>
      </c>
      <c r="G45" s="25" t="s">
        <v>2081</v>
      </c>
    </row>
    <row r="46" ht="15" customHeight="1">
      <c r="A46" s="25" t="s">
        <v>2082</v>
      </c>
      <c r="B46" s="25" t="s">
        <v>2083</v>
      </c>
      <c r="C46" s="25" t="s">
        <v>2084</v>
      </c>
      <c r="D46" s="25" t="s">
        <v>2085</v>
      </c>
      <c r="E46" s="25" t="s">
        <v>1963</v>
      </c>
      <c r="F46" s="25" t="s">
        <v>2086</v>
      </c>
      <c r="G46" s="25" t="s">
        <v>2087</v>
      </c>
    </row>
    <row r="47" ht="15" customHeight="1">
      <c r="A47" s="25" t="s">
        <v>2088</v>
      </c>
      <c r="B47" s="25" t="s">
        <v>2089</v>
      </c>
      <c r="C47" s="25" t="s">
        <v>2090</v>
      </c>
      <c r="D47" s="25" t="s">
        <v>2091</v>
      </c>
      <c r="E47" s="25" t="s">
        <v>1837</v>
      </c>
      <c r="F47" s="25" t="s">
        <v>2092</v>
      </c>
      <c r="G47" s="25" t="s">
        <v>2093</v>
      </c>
    </row>
    <row r="48" ht="15" customHeight="1">
      <c r="A48" s="25" t="s">
        <v>2094</v>
      </c>
      <c r="B48" s="25" t="s">
        <v>2095</v>
      </c>
      <c r="C48" s="25" t="s">
        <v>2096</v>
      </c>
      <c r="D48" s="25" t="s">
        <v>2097</v>
      </c>
      <c r="E48" s="25" t="s">
        <v>1975</v>
      </c>
      <c r="F48" s="25" t="s">
        <v>2098</v>
      </c>
      <c r="G48" s="25" t="s">
        <v>2099</v>
      </c>
    </row>
    <row r="49" ht="15" customHeight="1">
      <c r="A49" s="25" t="s">
        <v>2100</v>
      </c>
      <c r="B49" s="25" t="s">
        <v>2101</v>
      </c>
      <c r="C49" s="25" t="s">
        <v>2102</v>
      </c>
      <c r="D49" s="25" t="s">
        <v>2103</v>
      </c>
      <c r="E49" s="25" t="s">
        <v>1851</v>
      </c>
      <c r="F49" s="25" t="s">
        <v>2104</v>
      </c>
      <c r="G49" s="25" t="s">
        <v>2105</v>
      </c>
    </row>
    <row r="50" ht="15" customHeight="1">
      <c r="A50" s="25" t="s">
        <v>2106</v>
      </c>
      <c r="B50" s="25" t="s">
        <v>2107</v>
      </c>
      <c r="C50" s="25" t="s">
        <v>2108</v>
      </c>
      <c r="D50" s="25" t="s">
        <v>2109</v>
      </c>
      <c r="E50" s="25" t="s">
        <v>1924</v>
      </c>
      <c r="F50" s="25" t="s">
        <v>2110</v>
      </c>
      <c r="G50" s="25" t="s">
        <v>2111</v>
      </c>
    </row>
    <row r="51" ht="15" customHeight="1">
      <c r="A51" s="25" t="s">
        <v>2112</v>
      </c>
      <c r="B51" s="25" t="s">
        <v>2113</v>
      </c>
      <c r="C51" s="25" t="s">
        <v>2114</v>
      </c>
      <c r="D51" s="25" t="s">
        <v>2115</v>
      </c>
      <c r="E51" s="25" t="s">
        <v>1865</v>
      </c>
      <c r="F51" s="25" t="s">
        <v>2116</v>
      </c>
      <c r="G51" s="25" t="s">
        <v>2117</v>
      </c>
    </row>
    <row r="53" ht="15" customHeight="1">
      <c r="I53" s="16" t="s">
        <v>1794</v>
      </c>
    </row>
  </sheetData>
  <printOptions headings="0" gridLines="0"/>
  <pageMargins left="0.75" right="0.75" top="1" bottom="1" header="0.51181102362204689" footer="0.51181102362204689"/>
  <pageSetup paperSize="9" scale="100" fitToWidth="1" fitToHeight="1" pageOrder="downThenOver" orientation="portrait" usePrinterDefaults="1" blackAndWhite="0" draft="0" cellComments="none" useFirstPageNumber="0" errors="displayed" horizontalDpi="300" verticalDpi="300" copies="1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filterMode="0">
    <outlinePr applyStyles="0" summaryBelow="1" summaryRight="1" showOutlineSymbols="1"/>
    <pageSetUpPr autoPageBreaks="1" fitToPage="0"/>
  </sheetPr>
  <sheetViews>
    <sheetView showFormulas="0" showGridLines="0" showRowColHeaders="1" showZeros="1" showRuler="1" view="normal" topLeftCell="A1" zoomScale="100" workbookViewId="0">
      <pane ySplit="1" topLeftCell="A2" activePane="bottomLeft" state="frozen"/>
      <selection activeCell="A1" activeCellId="0" sqref="A1"/>
    </sheetView>
  </sheetViews>
  <sheetFormatPr defaultColWidth="8.6796875" defaultRowHeight="14.25"/>
  <cols>
    <col customWidth="1" min="1" max="3" style="1" width="12"/>
    <col customWidth="1" min="4" max="4" style="1" width="14"/>
    <col customWidth="1" min="5" max="5" style="1" width="12"/>
    <col customWidth="1" min="6" max="6" style="1" width="14"/>
    <col customWidth="1" min="7" max="7" style="1" width="12"/>
  </cols>
  <sheetData>
    <row r="1" ht="23.25" customHeight="1">
      <c r="A1" s="24" t="s">
        <v>73</v>
      </c>
      <c r="B1" s="24" t="s">
        <v>263</v>
      </c>
      <c r="C1" s="24" t="s">
        <v>38</v>
      </c>
      <c r="D1" s="24" t="s">
        <v>2118</v>
      </c>
      <c r="E1" s="24" t="s">
        <v>126</v>
      </c>
      <c r="F1" s="24" t="s">
        <v>127</v>
      </c>
      <c r="G1" s="24" t="s">
        <v>226</v>
      </c>
    </row>
    <row r="2" ht="15" customHeight="1">
      <c r="A2" s="25" t="s">
        <v>2119</v>
      </c>
      <c r="B2" s="25" t="s">
        <v>2120</v>
      </c>
      <c r="C2" s="25" t="s">
        <v>2121</v>
      </c>
      <c r="D2" s="25" t="s">
        <v>2122</v>
      </c>
      <c r="E2" s="25" t="s">
        <v>2123</v>
      </c>
      <c r="F2" s="25" t="s">
        <v>1874</v>
      </c>
      <c r="G2" s="25" t="s">
        <v>167</v>
      </c>
    </row>
    <row r="3" ht="15" customHeight="1">
      <c r="A3" s="25" t="s">
        <v>2119</v>
      </c>
      <c r="B3" s="25" t="s">
        <v>2124</v>
      </c>
      <c r="C3" s="25" t="s">
        <v>2125</v>
      </c>
      <c r="D3" s="25" t="s">
        <v>2126</v>
      </c>
      <c r="E3" s="25" t="s">
        <v>2127</v>
      </c>
      <c r="F3" s="25" t="s">
        <v>1840</v>
      </c>
      <c r="G3" s="25" t="s">
        <v>172</v>
      </c>
    </row>
    <row r="4" ht="15" customHeight="1">
      <c r="A4" s="25" t="s">
        <v>2128</v>
      </c>
      <c r="B4" s="25" t="s">
        <v>280</v>
      </c>
      <c r="C4" s="25" t="s">
        <v>2129</v>
      </c>
      <c r="D4" s="25" t="s">
        <v>2130</v>
      </c>
      <c r="E4" s="25" t="s">
        <v>2131</v>
      </c>
      <c r="F4" s="25" t="s">
        <v>1947</v>
      </c>
      <c r="G4" s="25" t="s">
        <v>177</v>
      </c>
    </row>
    <row r="5" ht="15" customHeight="1">
      <c r="A5" s="25" t="s">
        <v>2128</v>
      </c>
      <c r="B5" s="25" t="s">
        <v>2132</v>
      </c>
      <c r="C5" s="25" t="s">
        <v>2133</v>
      </c>
      <c r="D5" s="25" t="s">
        <v>2134</v>
      </c>
      <c r="E5" s="25" t="s">
        <v>2135</v>
      </c>
      <c r="F5" s="25" t="s">
        <v>2082</v>
      </c>
      <c r="G5" s="25" t="s">
        <v>189</v>
      </c>
    </row>
    <row r="6" ht="15" customHeight="1">
      <c r="A6" s="25" t="s">
        <v>2136</v>
      </c>
      <c r="B6" s="25" t="s">
        <v>2137</v>
      </c>
      <c r="C6" s="25" t="s">
        <v>2138</v>
      </c>
      <c r="D6" s="25" t="s">
        <v>2139</v>
      </c>
      <c r="E6" s="25" t="s">
        <v>2140</v>
      </c>
      <c r="F6" s="25" t="s">
        <v>1847</v>
      </c>
      <c r="G6" s="25" t="s">
        <v>193</v>
      </c>
    </row>
    <row r="7" ht="15" customHeight="1">
      <c r="A7" s="25" t="s">
        <v>2136</v>
      </c>
      <c r="B7" s="25" t="s">
        <v>614</v>
      </c>
      <c r="C7" s="25" t="s">
        <v>2125</v>
      </c>
      <c r="D7" s="25" t="s">
        <v>2141</v>
      </c>
      <c r="E7" s="25" t="s">
        <v>2142</v>
      </c>
      <c r="F7" s="25" t="s">
        <v>1997</v>
      </c>
      <c r="G7" s="25" t="s">
        <v>200</v>
      </c>
    </row>
    <row r="8" ht="15" customHeight="1">
      <c r="A8" s="25" t="s">
        <v>2143</v>
      </c>
      <c r="B8" s="25" t="s">
        <v>2144</v>
      </c>
      <c r="C8" s="25" t="s">
        <v>2145</v>
      </c>
      <c r="D8" s="25" t="s">
        <v>2146</v>
      </c>
      <c r="E8" s="25" t="s">
        <v>2147</v>
      </c>
      <c r="F8" s="25" t="s">
        <v>1920</v>
      </c>
      <c r="G8" s="25" t="s">
        <v>167</v>
      </c>
    </row>
    <row r="9" ht="15" customHeight="1">
      <c r="A9" s="25" t="s">
        <v>2143</v>
      </c>
      <c r="B9" s="25" t="s">
        <v>2148</v>
      </c>
      <c r="C9" s="25" t="s">
        <v>2121</v>
      </c>
      <c r="D9" s="25" t="s">
        <v>2149</v>
      </c>
      <c r="E9" s="25" t="s">
        <v>2150</v>
      </c>
      <c r="F9" s="25" t="s">
        <v>2064</v>
      </c>
      <c r="G9" s="25" t="s">
        <v>177</v>
      </c>
    </row>
    <row r="10" ht="15" customHeight="1">
      <c r="A10" s="25" t="s">
        <v>2151</v>
      </c>
      <c r="B10" s="25" t="s">
        <v>2152</v>
      </c>
      <c r="C10" s="25" t="s">
        <v>2153</v>
      </c>
      <c r="D10" s="25" t="s">
        <v>2154</v>
      </c>
      <c r="E10" s="25" t="s">
        <v>2155</v>
      </c>
      <c r="F10" s="25" t="s">
        <v>1826</v>
      </c>
      <c r="G10" s="25" t="s">
        <v>172</v>
      </c>
    </row>
    <row r="11" ht="15" customHeight="1">
      <c r="A11" s="25" t="s">
        <v>2151</v>
      </c>
      <c r="B11" s="25" t="s">
        <v>2156</v>
      </c>
      <c r="C11" s="25" t="s">
        <v>2157</v>
      </c>
      <c r="D11" s="25" t="s">
        <v>2158</v>
      </c>
      <c r="E11" s="25" t="s">
        <v>2159</v>
      </c>
      <c r="F11" s="25" t="s">
        <v>2028</v>
      </c>
      <c r="G11" s="25" t="s">
        <v>186</v>
      </c>
    </row>
    <row r="12" ht="15" customHeight="1">
      <c r="A12" s="25" t="s">
        <v>2160</v>
      </c>
      <c r="B12" s="25" t="s">
        <v>2161</v>
      </c>
      <c r="C12" s="25" t="s">
        <v>2145</v>
      </c>
      <c r="D12" s="25" t="s">
        <v>2162</v>
      </c>
      <c r="E12" s="25" t="s">
        <v>2163</v>
      </c>
      <c r="F12" s="25" t="s">
        <v>1888</v>
      </c>
      <c r="G12" s="25" t="s">
        <v>200</v>
      </c>
    </row>
    <row r="13" ht="15" customHeight="1">
      <c r="A13" s="25" t="s">
        <v>2160</v>
      </c>
      <c r="B13" s="25" t="s">
        <v>2164</v>
      </c>
      <c r="C13" s="25" t="s">
        <v>2125</v>
      </c>
      <c r="D13" s="25" t="s">
        <v>2165</v>
      </c>
      <c r="E13" s="25" t="s">
        <v>2166</v>
      </c>
      <c r="F13" s="25" t="s">
        <v>1978</v>
      </c>
      <c r="G13" s="25" t="s">
        <v>167</v>
      </c>
    </row>
    <row r="14" ht="15" customHeight="1">
      <c r="A14" s="25" t="s">
        <v>2167</v>
      </c>
      <c r="B14" s="25" t="s">
        <v>2168</v>
      </c>
      <c r="C14" s="25" t="s">
        <v>2121</v>
      </c>
      <c r="D14" s="25" t="s">
        <v>2169</v>
      </c>
      <c r="E14" s="25" t="s">
        <v>2170</v>
      </c>
      <c r="F14" s="25" t="s">
        <v>1854</v>
      </c>
      <c r="G14" s="25" t="s">
        <v>193</v>
      </c>
    </row>
    <row r="15" ht="15" customHeight="1">
      <c r="A15" s="25" t="s">
        <v>2167</v>
      </c>
      <c r="B15" s="25" t="s">
        <v>2171</v>
      </c>
      <c r="C15" s="25" t="s">
        <v>2125</v>
      </c>
      <c r="D15" s="25" t="s">
        <v>2172</v>
      </c>
      <c r="E15" s="25" t="s">
        <v>2173</v>
      </c>
      <c r="F15" s="25" t="s">
        <v>2058</v>
      </c>
      <c r="G15" s="25" t="s">
        <v>177</v>
      </c>
    </row>
    <row r="16" ht="15" customHeight="1">
      <c r="A16" s="25" t="s">
        <v>2174</v>
      </c>
      <c r="B16" s="25" t="s">
        <v>2175</v>
      </c>
      <c r="C16" s="25" t="s">
        <v>2129</v>
      </c>
      <c r="D16" s="25" t="s">
        <v>2176</v>
      </c>
      <c r="E16" s="25" t="s">
        <v>2177</v>
      </c>
      <c r="F16" s="25" t="s">
        <v>1908</v>
      </c>
      <c r="G16" s="25" t="s">
        <v>189</v>
      </c>
    </row>
    <row r="17" ht="15" customHeight="1">
      <c r="A17" s="25" t="s">
        <v>2174</v>
      </c>
      <c r="B17" s="25" t="s">
        <v>1598</v>
      </c>
      <c r="C17" s="25" t="s">
        <v>2133</v>
      </c>
      <c r="D17" s="25" t="s">
        <v>2178</v>
      </c>
      <c r="E17" s="25" t="s">
        <v>2179</v>
      </c>
      <c r="F17" s="25" t="s">
        <v>2004</v>
      </c>
      <c r="G17" s="25" t="s">
        <v>167</v>
      </c>
    </row>
    <row r="18" ht="15" customHeight="1">
      <c r="A18" s="25" t="s">
        <v>2180</v>
      </c>
      <c r="B18" s="25" t="s">
        <v>2181</v>
      </c>
      <c r="C18" s="25" t="s">
        <v>2121</v>
      </c>
      <c r="D18" s="25" t="s">
        <v>2182</v>
      </c>
      <c r="E18" s="25" t="s">
        <v>2183</v>
      </c>
      <c r="F18" s="25" t="s">
        <v>2106</v>
      </c>
      <c r="G18" s="25" t="s">
        <v>172</v>
      </c>
    </row>
    <row r="19" ht="15" customHeight="1">
      <c r="A19" s="25" t="s">
        <v>2180</v>
      </c>
      <c r="B19" s="25" t="s">
        <v>2184</v>
      </c>
      <c r="C19" s="25" t="s">
        <v>2125</v>
      </c>
      <c r="D19" s="25" t="s">
        <v>2185</v>
      </c>
      <c r="E19" s="25" t="s">
        <v>2186</v>
      </c>
      <c r="F19" s="25" t="s">
        <v>1833</v>
      </c>
      <c r="G19" s="25" t="s">
        <v>200</v>
      </c>
    </row>
    <row r="20" ht="15" customHeight="1">
      <c r="A20" s="25" t="s">
        <v>2187</v>
      </c>
      <c r="B20" s="25" t="s">
        <v>2188</v>
      </c>
      <c r="C20" s="25" t="s">
        <v>2145</v>
      </c>
      <c r="D20" s="25" t="s">
        <v>2189</v>
      </c>
      <c r="E20" s="25" t="s">
        <v>2190</v>
      </c>
      <c r="F20" s="25" t="s">
        <v>1953</v>
      </c>
      <c r="G20" s="25" t="s">
        <v>177</v>
      </c>
    </row>
    <row r="21" ht="15" customHeight="1">
      <c r="A21" s="25" t="s">
        <v>2187</v>
      </c>
      <c r="B21" s="25" t="s">
        <v>2191</v>
      </c>
      <c r="C21" s="25" t="s">
        <v>2121</v>
      </c>
      <c r="D21" s="25" t="s">
        <v>2192</v>
      </c>
      <c r="E21" s="25" t="s">
        <v>2193</v>
      </c>
      <c r="F21" s="25" t="s">
        <v>1895</v>
      </c>
      <c r="G21" s="25" t="s">
        <v>167</v>
      </c>
    </row>
    <row r="22" ht="15" customHeight="1">
      <c r="A22" s="25" t="s">
        <v>2194</v>
      </c>
      <c r="B22" s="25" t="s">
        <v>2195</v>
      </c>
      <c r="C22" s="25" t="s">
        <v>2153</v>
      </c>
      <c r="D22" s="25" t="s">
        <v>2196</v>
      </c>
      <c r="E22" s="25" t="s">
        <v>2197</v>
      </c>
      <c r="F22" s="25" t="s">
        <v>2034</v>
      </c>
      <c r="G22" s="25" t="s">
        <v>193</v>
      </c>
    </row>
    <row r="23" ht="15" customHeight="1">
      <c r="A23" s="25" t="s">
        <v>2194</v>
      </c>
      <c r="B23" s="25" t="s">
        <v>2198</v>
      </c>
      <c r="C23" s="25" t="s">
        <v>2199</v>
      </c>
      <c r="D23" s="25" t="s">
        <v>2200</v>
      </c>
      <c r="E23" s="25" t="s">
        <v>2201</v>
      </c>
      <c r="F23" s="25" t="s">
        <v>2100</v>
      </c>
      <c r="G23" s="25" t="s">
        <v>189</v>
      </c>
    </row>
    <row r="24" ht="15" customHeight="1">
      <c r="A24" s="25" t="s">
        <v>2202</v>
      </c>
      <c r="B24" s="25" t="s">
        <v>647</v>
      </c>
      <c r="C24" s="25" t="s">
        <v>2121</v>
      </c>
      <c r="D24" s="25" t="s">
        <v>2203</v>
      </c>
      <c r="E24" s="25" t="s">
        <v>2204</v>
      </c>
      <c r="F24" s="25" t="s">
        <v>1819</v>
      </c>
      <c r="G24" s="25" t="s">
        <v>200</v>
      </c>
    </row>
    <row r="25" ht="15" customHeight="1">
      <c r="A25" s="25" t="s">
        <v>2202</v>
      </c>
      <c r="B25" s="25" t="s">
        <v>2205</v>
      </c>
      <c r="C25" s="25" t="s">
        <v>2125</v>
      </c>
      <c r="D25" s="25" t="s">
        <v>2206</v>
      </c>
      <c r="E25" s="25" t="s">
        <v>2207</v>
      </c>
      <c r="F25" s="25" t="s">
        <v>1966</v>
      </c>
      <c r="G25" s="25" t="s">
        <v>167</v>
      </c>
    </row>
    <row r="26" ht="15" customHeight="1">
      <c r="A26" s="25" t="s">
        <v>2208</v>
      </c>
      <c r="B26" s="25" t="s">
        <v>356</v>
      </c>
      <c r="C26" s="25" t="s">
        <v>2121</v>
      </c>
      <c r="D26" s="25" t="s">
        <v>2209</v>
      </c>
      <c r="E26" s="25" t="s">
        <v>2210</v>
      </c>
      <c r="F26" s="25" t="s">
        <v>1881</v>
      </c>
      <c r="G26" s="25" t="s">
        <v>172</v>
      </c>
    </row>
    <row r="27" ht="15" customHeight="1">
      <c r="A27" s="25" t="s">
        <v>2208</v>
      </c>
      <c r="B27" s="25" t="s">
        <v>2211</v>
      </c>
      <c r="C27" s="25" t="s">
        <v>2145</v>
      </c>
      <c r="D27" s="25" t="s">
        <v>2212</v>
      </c>
      <c r="E27" s="25" t="s">
        <v>2213</v>
      </c>
      <c r="F27" s="25" t="s">
        <v>2016</v>
      </c>
      <c r="G27" s="25" t="s">
        <v>177</v>
      </c>
    </row>
    <row r="28" ht="15" customHeight="1">
      <c r="A28" s="25" t="s">
        <v>2214</v>
      </c>
      <c r="B28" s="25" t="s">
        <v>2215</v>
      </c>
      <c r="C28" s="25" t="s">
        <v>2153</v>
      </c>
      <c r="D28" s="25" t="s">
        <v>2216</v>
      </c>
      <c r="E28" s="25" t="s">
        <v>2217</v>
      </c>
      <c r="F28" s="25" t="s">
        <v>2076</v>
      </c>
      <c r="G28" s="25" t="s">
        <v>189</v>
      </c>
    </row>
    <row r="29" ht="15" customHeight="1">
      <c r="A29" s="25" t="s">
        <v>2214</v>
      </c>
      <c r="B29" s="25" t="s">
        <v>1160</v>
      </c>
      <c r="C29" s="25" t="s">
        <v>2157</v>
      </c>
      <c r="D29" s="25" t="s">
        <v>2218</v>
      </c>
      <c r="E29" s="25" t="s">
        <v>2219</v>
      </c>
      <c r="F29" s="25" t="s">
        <v>1798</v>
      </c>
      <c r="G29" s="25" t="s">
        <v>193</v>
      </c>
    </row>
    <row r="30" ht="15" customHeight="1">
      <c r="A30" s="25" t="s">
        <v>2220</v>
      </c>
      <c r="B30" s="25" t="s">
        <v>2221</v>
      </c>
      <c r="C30" s="25" t="s">
        <v>2125</v>
      </c>
      <c r="D30" s="25" t="s">
        <v>2222</v>
      </c>
      <c r="E30" s="25" t="s">
        <v>2223</v>
      </c>
      <c r="F30" s="25" t="s">
        <v>1933</v>
      </c>
      <c r="G30" s="25" t="s">
        <v>167</v>
      </c>
    </row>
    <row r="31" ht="15" customHeight="1">
      <c r="A31" s="25" t="s">
        <v>2220</v>
      </c>
      <c r="B31" s="25" t="s">
        <v>2224</v>
      </c>
      <c r="C31" s="25" t="s">
        <v>2145</v>
      </c>
      <c r="D31" s="25" t="s">
        <v>2225</v>
      </c>
      <c r="E31" s="25" t="s">
        <v>2226</v>
      </c>
      <c r="F31" s="25" t="s">
        <v>2046</v>
      </c>
      <c r="G31" s="25" t="s">
        <v>200</v>
      </c>
    </row>
    <row r="32" ht="15" customHeight="1">
      <c r="A32" s="25" t="s">
        <v>2227</v>
      </c>
      <c r="B32" s="25" t="s">
        <v>2228</v>
      </c>
      <c r="C32" s="25" t="s">
        <v>2121</v>
      </c>
      <c r="D32" s="25" t="s">
        <v>2122</v>
      </c>
      <c r="E32" s="25" t="s">
        <v>2229</v>
      </c>
      <c r="F32" s="25" t="s">
        <v>2112</v>
      </c>
      <c r="G32" s="25" t="s">
        <v>177</v>
      </c>
    </row>
    <row r="33" ht="15" customHeight="1">
      <c r="A33" s="25" t="s">
        <v>2227</v>
      </c>
      <c r="B33" s="25" t="s">
        <v>2230</v>
      </c>
      <c r="C33" s="25" t="s">
        <v>2125</v>
      </c>
      <c r="D33" s="25" t="s">
        <v>2162</v>
      </c>
      <c r="E33" s="25" t="s">
        <v>2231</v>
      </c>
      <c r="F33" s="25" t="s">
        <v>1868</v>
      </c>
      <c r="G33" s="25" t="s">
        <v>172</v>
      </c>
    </row>
    <row r="34" ht="15" customHeight="1">
      <c r="A34" s="25" t="s">
        <v>2232</v>
      </c>
      <c r="B34" s="25" t="s">
        <v>2233</v>
      </c>
      <c r="C34" s="25" t="s">
        <v>2234</v>
      </c>
      <c r="D34" s="25" t="s">
        <v>2130</v>
      </c>
      <c r="E34" s="25" t="s">
        <v>2235</v>
      </c>
      <c r="F34" s="25" t="s">
        <v>1972</v>
      </c>
      <c r="G34" s="25" t="s">
        <v>167</v>
      </c>
    </row>
    <row r="35" ht="15" customHeight="1">
      <c r="A35" s="25" t="s">
        <v>2232</v>
      </c>
      <c r="B35" s="25" t="s">
        <v>1290</v>
      </c>
      <c r="C35" s="25" t="s">
        <v>2133</v>
      </c>
      <c r="D35" s="25" t="s">
        <v>2134</v>
      </c>
      <c r="E35" s="25" t="s">
        <v>2236</v>
      </c>
      <c r="F35" s="25" t="s">
        <v>1914</v>
      </c>
      <c r="G35" s="25" t="s">
        <v>193</v>
      </c>
    </row>
    <row r="36" ht="15" customHeight="1">
      <c r="A36" s="25" t="s">
        <v>2237</v>
      </c>
      <c r="B36" s="25" t="s">
        <v>2238</v>
      </c>
      <c r="C36" s="25" t="s">
        <v>2145</v>
      </c>
      <c r="D36" s="25" t="s">
        <v>2139</v>
      </c>
      <c r="E36" s="25" t="s">
        <v>2239</v>
      </c>
      <c r="F36" s="25" t="s">
        <v>2052</v>
      </c>
      <c r="G36" s="25" t="s">
        <v>189</v>
      </c>
    </row>
    <row r="37" ht="15" customHeight="1">
      <c r="A37" s="25" t="s">
        <v>2237</v>
      </c>
      <c r="B37" s="25" t="s">
        <v>614</v>
      </c>
      <c r="C37" s="25" t="s">
        <v>2121</v>
      </c>
      <c r="D37" s="25" t="s">
        <v>2165</v>
      </c>
      <c r="E37" s="25" t="s">
        <v>2240</v>
      </c>
      <c r="F37" s="25" t="s">
        <v>1812</v>
      </c>
      <c r="G37" s="25" t="s">
        <v>200</v>
      </c>
    </row>
    <row r="38" ht="15" customHeight="1">
      <c r="A38" s="25" t="s">
        <v>2241</v>
      </c>
      <c r="B38" s="25" t="s">
        <v>2242</v>
      </c>
      <c r="C38" s="25" t="s">
        <v>2125</v>
      </c>
      <c r="D38" s="25" t="s">
        <v>2178</v>
      </c>
      <c r="E38" s="25" t="s">
        <v>2243</v>
      </c>
      <c r="F38" s="25" t="s">
        <v>1959</v>
      </c>
      <c r="G38" s="25" t="s">
        <v>167</v>
      </c>
    </row>
    <row r="39" ht="15" customHeight="1">
      <c r="A39" s="25" t="s">
        <v>2241</v>
      </c>
      <c r="B39" s="25" t="s">
        <v>2244</v>
      </c>
      <c r="C39" s="25" t="s">
        <v>2245</v>
      </c>
      <c r="D39" s="25" t="s">
        <v>2182</v>
      </c>
      <c r="E39" s="25" t="s">
        <v>2246</v>
      </c>
      <c r="F39" s="25" t="s">
        <v>1861</v>
      </c>
      <c r="G39" s="25" t="s">
        <v>172</v>
      </c>
    </row>
    <row r="40" ht="15" customHeight="1">
      <c r="A40" s="25" t="s">
        <v>2247</v>
      </c>
      <c r="B40" s="25" t="s">
        <v>1033</v>
      </c>
      <c r="C40" s="25" t="s">
        <v>2234</v>
      </c>
      <c r="D40" s="25" t="s">
        <v>2185</v>
      </c>
      <c r="E40" s="25" t="s">
        <v>2248</v>
      </c>
      <c r="F40" s="25" t="s">
        <v>2010</v>
      </c>
      <c r="G40" s="25" t="s">
        <v>177</v>
      </c>
    </row>
    <row r="41" ht="15" customHeight="1">
      <c r="A41" s="25" t="s">
        <v>2247</v>
      </c>
      <c r="B41" s="25" t="s">
        <v>2249</v>
      </c>
      <c r="C41" s="25" t="s">
        <v>2199</v>
      </c>
      <c r="D41" s="25" t="s">
        <v>2169</v>
      </c>
      <c r="E41" s="25" t="s">
        <v>2250</v>
      </c>
      <c r="F41" s="25" t="s">
        <v>2094</v>
      </c>
      <c r="G41" s="25" t="s">
        <v>189</v>
      </c>
    </row>
    <row r="42" ht="15" customHeight="1">
      <c r="A42" s="25" t="s">
        <v>2251</v>
      </c>
      <c r="B42" s="25" t="s">
        <v>2252</v>
      </c>
      <c r="C42" s="25" t="s">
        <v>2125</v>
      </c>
      <c r="D42" s="25" t="s">
        <v>2172</v>
      </c>
      <c r="E42" s="25" t="s">
        <v>2253</v>
      </c>
      <c r="F42" s="25" t="s">
        <v>1927</v>
      </c>
      <c r="G42" s="25" t="s">
        <v>193</v>
      </c>
    </row>
    <row r="43" ht="15" customHeight="1">
      <c r="A43" s="25" t="s">
        <v>2251</v>
      </c>
      <c r="B43" s="25" t="s">
        <v>2254</v>
      </c>
      <c r="C43" s="25" t="s">
        <v>2121</v>
      </c>
      <c r="D43" s="25" t="s">
        <v>2176</v>
      </c>
      <c r="E43" s="25" t="s">
        <v>2255</v>
      </c>
      <c r="F43" s="25" t="s">
        <v>1805</v>
      </c>
      <c r="G43" s="25" t="s">
        <v>167</v>
      </c>
    </row>
    <row r="44" ht="15" customHeight="1">
      <c r="A44" s="25" t="s">
        <v>2256</v>
      </c>
      <c r="B44" s="25" t="s">
        <v>2257</v>
      </c>
      <c r="C44" s="25" t="s">
        <v>2145</v>
      </c>
      <c r="D44" s="25" t="s">
        <v>2258</v>
      </c>
      <c r="E44" s="25" t="s">
        <v>2259</v>
      </c>
      <c r="F44" s="25" t="s">
        <v>2040</v>
      </c>
      <c r="G44" s="25" t="s">
        <v>200</v>
      </c>
    </row>
    <row r="45" ht="15" customHeight="1">
      <c r="A45" s="25" t="s">
        <v>2256</v>
      </c>
      <c r="B45" s="25" t="s">
        <v>1501</v>
      </c>
      <c r="C45" s="25" t="s">
        <v>2125</v>
      </c>
      <c r="D45" s="25" t="s">
        <v>2260</v>
      </c>
      <c r="E45" s="25" t="s">
        <v>2261</v>
      </c>
      <c r="F45" s="25" t="s">
        <v>1902</v>
      </c>
      <c r="G45" s="25" t="s">
        <v>172</v>
      </c>
    </row>
    <row r="46" ht="15" customHeight="1">
      <c r="A46" s="25" t="s">
        <v>2262</v>
      </c>
      <c r="B46" s="25" t="s">
        <v>2263</v>
      </c>
      <c r="C46" s="25" t="s">
        <v>2153</v>
      </c>
      <c r="D46" s="25" t="s">
        <v>2264</v>
      </c>
      <c r="E46" s="25" t="s">
        <v>2265</v>
      </c>
      <c r="F46" s="25" t="s">
        <v>1984</v>
      </c>
      <c r="G46" s="25" t="s">
        <v>177</v>
      </c>
    </row>
    <row r="47" ht="15" customHeight="1">
      <c r="A47" s="25" t="s">
        <v>2262</v>
      </c>
      <c r="B47" s="25" t="s">
        <v>2266</v>
      </c>
      <c r="C47" s="25" t="s">
        <v>2157</v>
      </c>
      <c r="D47" s="25" t="s">
        <v>2218</v>
      </c>
      <c r="E47" s="25" t="s">
        <v>2267</v>
      </c>
      <c r="F47" s="25" t="s">
        <v>2022</v>
      </c>
      <c r="G47" s="25" t="s">
        <v>167</v>
      </c>
    </row>
    <row r="48" ht="15" customHeight="1">
      <c r="A48" s="25" t="s">
        <v>2268</v>
      </c>
      <c r="B48" s="25" t="s">
        <v>2269</v>
      </c>
      <c r="C48" s="25" t="s">
        <v>2121</v>
      </c>
      <c r="D48" s="25" t="s">
        <v>2222</v>
      </c>
      <c r="E48" s="25" t="s">
        <v>2270</v>
      </c>
      <c r="F48" s="25" t="s">
        <v>2088</v>
      </c>
      <c r="G48" s="25" t="s">
        <v>193</v>
      </c>
    </row>
    <row r="49" ht="15" customHeight="1">
      <c r="A49" s="25" t="s">
        <v>2268</v>
      </c>
      <c r="B49" s="25" t="s">
        <v>2271</v>
      </c>
      <c r="C49" s="25" t="s">
        <v>2145</v>
      </c>
      <c r="D49" s="25" t="s">
        <v>2225</v>
      </c>
      <c r="E49" s="25" t="s">
        <v>2272</v>
      </c>
      <c r="F49" s="25" t="s">
        <v>1940</v>
      </c>
      <c r="G49" s="25" t="s">
        <v>189</v>
      </c>
    </row>
    <row r="50" ht="15" customHeight="1">
      <c r="A50" s="25" t="s">
        <v>2273</v>
      </c>
      <c r="B50" s="25" t="s">
        <v>2274</v>
      </c>
      <c r="C50" s="25" t="s">
        <v>2125</v>
      </c>
      <c r="D50" s="25" t="s">
        <v>2146</v>
      </c>
      <c r="E50" s="25" t="s">
        <v>2275</v>
      </c>
      <c r="F50" s="25" t="s">
        <v>2070</v>
      </c>
      <c r="G50" s="25" t="s">
        <v>200</v>
      </c>
    </row>
    <row r="51" ht="15" customHeight="1">
      <c r="A51" s="25" t="s">
        <v>2273</v>
      </c>
      <c r="B51" s="25" t="s">
        <v>2276</v>
      </c>
      <c r="C51" s="25" t="s">
        <v>2121</v>
      </c>
      <c r="D51" s="25" t="s">
        <v>2126</v>
      </c>
      <c r="E51" s="25" t="s">
        <v>2277</v>
      </c>
      <c r="F51" s="25" t="s">
        <v>1991</v>
      </c>
      <c r="G51" s="25" t="s">
        <v>167</v>
      </c>
    </row>
    <row r="52" ht="15" customHeight="1">
      <c r="A52" s="25" t="s">
        <v>2278</v>
      </c>
      <c r="B52" s="25" t="s">
        <v>2279</v>
      </c>
      <c r="C52" s="25" t="s">
        <v>2153</v>
      </c>
      <c r="D52" s="25" t="s">
        <v>2130</v>
      </c>
      <c r="E52" s="25" t="s">
        <v>2280</v>
      </c>
      <c r="F52" s="25" t="s">
        <v>1874</v>
      </c>
      <c r="G52" s="25" t="s">
        <v>172</v>
      </c>
    </row>
    <row r="53" ht="15" customHeight="1">
      <c r="A53" s="25" t="s">
        <v>2278</v>
      </c>
      <c r="B53" s="25" t="s">
        <v>2281</v>
      </c>
      <c r="C53" s="25" t="s">
        <v>2133</v>
      </c>
      <c r="D53" s="25" t="s">
        <v>2158</v>
      </c>
      <c r="E53" s="25" t="s">
        <v>2282</v>
      </c>
      <c r="F53" s="25" t="s">
        <v>1840</v>
      </c>
      <c r="G53" s="25" t="s">
        <v>177</v>
      </c>
    </row>
    <row r="54" ht="15" customHeight="1">
      <c r="A54" s="25" t="s">
        <v>2283</v>
      </c>
      <c r="B54" s="25" t="s">
        <v>1550</v>
      </c>
      <c r="C54" s="25" t="s">
        <v>2145</v>
      </c>
      <c r="D54" s="25" t="s">
        <v>2149</v>
      </c>
      <c r="E54" s="25" t="s">
        <v>2284</v>
      </c>
      <c r="F54" s="25" t="s">
        <v>1947</v>
      </c>
      <c r="G54" s="25" t="s">
        <v>189</v>
      </c>
    </row>
    <row r="55" ht="15" customHeight="1">
      <c r="A55" s="25" t="s">
        <v>2283</v>
      </c>
      <c r="B55" s="25" t="s">
        <v>2285</v>
      </c>
      <c r="C55" s="25" t="s">
        <v>2121</v>
      </c>
      <c r="D55" s="25" t="s">
        <v>2216</v>
      </c>
      <c r="E55" s="25" t="s">
        <v>2286</v>
      </c>
      <c r="F55" s="25" t="s">
        <v>2082</v>
      </c>
      <c r="G55" s="25" t="s">
        <v>193</v>
      </c>
    </row>
    <row r="56" ht="15" customHeight="1">
      <c r="A56" s="25" t="s">
        <v>2287</v>
      </c>
      <c r="B56" s="25" t="s">
        <v>386</v>
      </c>
      <c r="C56" s="25" t="s">
        <v>2125</v>
      </c>
      <c r="D56" s="25" t="s">
        <v>2200</v>
      </c>
      <c r="E56" s="25" t="s">
        <v>2288</v>
      </c>
      <c r="F56" s="25" t="s">
        <v>1847</v>
      </c>
      <c r="G56" s="25" t="s">
        <v>167</v>
      </c>
    </row>
    <row r="57" ht="15" customHeight="1">
      <c r="A57" s="25" t="s">
        <v>2287</v>
      </c>
      <c r="B57" s="25" t="s">
        <v>2289</v>
      </c>
      <c r="C57" s="25" t="s">
        <v>2121</v>
      </c>
      <c r="D57" s="25" t="s">
        <v>2203</v>
      </c>
      <c r="E57" s="25" t="s">
        <v>2290</v>
      </c>
      <c r="F57" s="25" t="s">
        <v>1997</v>
      </c>
      <c r="G57" s="25" t="s">
        <v>200</v>
      </c>
    </row>
    <row r="58" ht="15" customHeight="1">
      <c r="A58" s="25" t="s">
        <v>2291</v>
      </c>
      <c r="B58" s="25" t="s">
        <v>2292</v>
      </c>
      <c r="C58" s="25" t="s">
        <v>2129</v>
      </c>
      <c r="D58" s="25" t="s">
        <v>2293</v>
      </c>
      <c r="E58" s="25" t="s">
        <v>2294</v>
      </c>
      <c r="F58" s="25" t="s">
        <v>1920</v>
      </c>
      <c r="G58" s="25" t="s">
        <v>172</v>
      </c>
    </row>
    <row r="59" ht="15" customHeight="1">
      <c r="A59" s="25" t="s">
        <v>2291</v>
      </c>
      <c r="B59" s="25" t="s">
        <v>2295</v>
      </c>
      <c r="C59" s="25" t="s">
        <v>2157</v>
      </c>
      <c r="D59" s="25" t="s">
        <v>2209</v>
      </c>
      <c r="E59" s="25" t="s">
        <v>2296</v>
      </c>
      <c r="F59" s="25" t="s">
        <v>2064</v>
      </c>
      <c r="G59" s="25" t="s">
        <v>177</v>
      </c>
    </row>
    <row r="60" ht="15" customHeight="1">
      <c r="A60" s="25" t="s">
        <v>2297</v>
      </c>
      <c r="B60" s="25" t="s">
        <v>2298</v>
      </c>
      <c r="C60" s="25" t="s">
        <v>2125</v>
      </c>
      <c r="D60" s="25" t="s">
        <v>2212</v>
      </c>
      <c r="E60" s="25" t="s">
        <v>2299</v>
      </c>
      <c r="F60" s="25" t="s">
        <v>1826</v>
      </c>
      <c r="G60" s="25" t="s">
        <v>167</v>
      </c>
    </row>
    <row r="61" ht="15" customHeight="1">
      <c r="A61" s="25" t="s">
        <v>2297</v>
      </c>
      <c r="B61" s="25" t="s">
        <v>2300</v>
      </c>
      <c r="C61" s="25" t="s">
        <v>2121</v>
      </c>
      <c r="D61" s="25" t="s">
        <v>2301</v>
      </c>
      <c r="E61" s="25" t="s">
        <v>2302</v>
      </c>
      <c r="F61" s="25" t="s">
        <v>2028</v>
      </c>
      <c r="G61" s="25" t="s">
        <v>193</v>
      </c>
    </row>
    <row r="62" ht="15" customHeight="1">
      <c r="A62" s="25" t="s">
        <v>2303</v>
      </c>
      <c r="B62" s="25" t="s">
        <v>464</v>
      </c>
      <c r="C62" s="25" t="s">
        <v>2145</v>
      </c>
      <c r="D62" s="25" t="s">
        <v>2304</v>
      </c>
      <c r="E62" s="25" t="s">
        <v>2305</v>
      </c>
      <c r="F62" s="25" t="s">
        <v>1888</v>
      </c>
      <c r="G62" s="25" t="s">
        <v>189</v>
      </c>
    </row>
    <row r="63" ht="15" customHeight="1">
      <c r="A63" s="25" t="s">
        <v>2303</v>
      </c>
      <c r="B63" s="25" t="s">
        <v>2306</v>
      </c>
      <c r="C63" s="25" t="s">
        <v>2125</v>
      </c>
      <c r="D63" s="25" t="s">
        <v>2307</v>
      </c>
      <c r="E63" s="25" t="s">
        <v>2308</v>
      </c>
      <c r="F63" s="25" t="s">
        <v>1978</v>
      </c>
      <c r="G63" s="25" t="s">
        <v>200</v>
      </c>
    </row>
    <row r="64" ht="15" customHeight="1">
      <c r="A64" s="25" t="s">
        <v>2309</v>
      </c>
      <c r="B64" s="25" t="s">
        <v>2310</v>
      </c>
      <c r="C64" s="25" t="s">
        <v>2234</v>
      </c>
      <c r="D64" s="25" t="s">
        <v>2196</v>
      </c>
      <c r="E64" s="25" t="s">
        <v>2311</v>
      </c>
      <c r="F64" s="25" t="s">
        <v>1854</v>
      </c>
      <c r="G64" s="25" t="s">
        <v>167</v>
      </c>
    </row>
    <row r="65" ht="15" customHeight="1">
      <c r="A65" s="25" t="s">
        <v>2309</v>
      </c>
      <c r="B65" s="25" t="s">
        <v>2312</v>
      </c>
      <c r="C65" s="25" t="s">
        <v>2133</v>
      </c>
      <c r="D65" s="25" t="s">
        <v>2122</v>
      </c>
      <c r="E65" s="25" t="s">
        <v>2313</v>
      </c>
      <c r="F65" s="25" t="s">
        <v>2058</v>
      </c>
      <c r="G65" s="25" t="s">
        <v>172</v>
      </c>
    </row>
    <row r="66" ht="15" customHeight="1">
      <c r="A66" s="25" t="s">
        <v>2314</v>
      </c>
      <c r="B66" s="25" t="s">
        <v>687</v>
      </c>
      <c r="C66" s="25" t="s">
        <v>2145</v>
      </c>
      <c r="D66" s="25" t="s">
        <v>2162</v>
      </c>
      <c r="E66" s="25" t="s">
        <v>2315</v>
      </c>
      <c r="F66" s="25" t="s">
        <v>1908</v>
      </c>
      <c r="G66" s="25" t="s">
        <v>177</v>
      </c>
    </row>
    <row r="67" ht="15" customHeight="1">
      <c r="A67" s="25" t="s">
        <v>2314</v>
      </c>
      <c r="B67" s="25" t="s">
        <v>2316</v>
      </c>
      <c r="C67" s="25" t="s">
        <v>2125</v>
      </c>
      <c r="D67" s="25" t="s">
        <v>2130</v>
      </c>
      <c r="E67" s="25" t="s">
        <v>2317</v>
      </c>
      <c r="F67" s="25" t="s">
        <v>2004</v>
      </c>
      <c r="G67" s="25" t="s">
        <v>189</v>
      </c>
    </row>
    <row r="68" ht="15" customHeight="1">
      <c r="A68" s="25" t="s">
        <v>2318</v>
      </c>
      <c r="B68" s="25" t="s">
        <v>2319</v>
      </c>
      <c r="C68" s="25" t="s">
        <v>2121</v>
      </c>
      <c r="D68" s="25" t="s">
        <v>2189</v>
      </c>
      <c r="E68" s="25" t="s">
        <v>2320</v>
      </c>
      <c r="F68" s="25" t="s">
        <v>2106</v>
      </c>
      <c r="G68" s="25" t="s">
        <v>193</v>
      </c>
    </row>
    <row r="69" ht="15" customHeight="1">
      <c r="A69" s="25" t="s">
        <v>2318</v>
      </c>
      <c r="B69" s="25" t="s">
        <v>1059</v>
      </c>
      <c r="C69" s="25" t="s">
        <v>2145</v>
      </c>
      <c r="D69" s="25" t="s">
        <v>2192</v>
      </c>
      <c r="E69" s="25" t="s">
        <v>2321</v>
      </c>
      <c r="F69" s="25" t="s">
        <v>1833</v>
      </c>
      <c r="G69" s="25" t="s">
        <v>167</v>
      </c>
    </row>
    <row r="70" ht="15" customHeight="1">
      <c r="A70" s="25" t="s">
        <v>2322</v>
      </c>
      <c r="B70" s="25" t="s">
        <v>2323</v>
      </c>
      <c r="C70" s="25" t="s">
        <v>2153</v>
      </c>
      <c r="D70" s="25" t="s">
        <v>2324</v>
      </c>
      <c r="E70" s="25" t="s">
        <v>2325</v>
      </c>
      <c r="F70" s="25" t="s">
        <v>1953</v>
      </c>
      <c r="G70" s="25" t="s">
        <v>200</v>
      </c>
    </row>
    <row r="71" ht="15" customHeight="1">
      <c r="A71" s="25" t="s">
        <v>2322</v>
      </c>
      <c r="B71" s="25" t="s">
        <v>619</v>
      </c>
      <c r="C71" s="25" t="s">
        <v>2157</v>
      </c>
      <c r="D71" s="25" t="s">
        <v>2178</v>
      </c>
      <c r="E71" s="25" t="s">
        <v>2326</v>
      </c>
      <c r="F71" s="25" t="s">
        <v>1895</v>
      </c>
      <c r="G71" s="25" t="s">
        <v>172</v>
      </c>
    </row>
    <row r="72" ht="15" customHeight="1">
      <c r="A72" s="25" t="s">
        <v>2327</v>
      </c>
      <c r="B72" s="25" t="s">
        <v>2328</v>
      </c>
      <c r="C72" s="25" t="s">
        <v>2121</v>
      </c>
      <c r="D72" s="25" t="s">
        <v>2182</v>
      </c>
      <c r="E72" s="25" t="s">
        <v>2329</v>
      </c>
      <c r="F72" s="25" t="s">
        <v>2034</v>
      </c>
      <c r="G72" s="25" t="s">
        <v>177</v>
      </c>
    </row>
    <row r="73" ht="15" customHeight="1">
      <c r="A73" s="25" t="s">
        <v>2327</v>
      </c>
      <c r="B73" s="25" t="s">
        <v>2330</v>
      </c>
      <c r="C73" s="25" t="s">
        <v>2125</v>
      </c>
      <c r="D73" s="25" t="s">
        <v>2185</v>
      </c>
      <c r="E73" s="25" t="s">
        <v>2331</v>
      </c>
      <c r="F73" s="25" t="s">
        <v>2100</v>
      </c>
      <c r="G73" s="25" t="s">
        <v>167</v>
      </c>
    </row>
    <row r="74" ht="15" customHeight="1">
      <c r="A74" s="25" t="s">
        <v>2332</v>
      </c>
      <c r="B74" s="25" t="s">
        <v>1334</v>
      </c>
      <c r="C74" s="25" t="s">
        <v>2145</v>
      </c>
      <c r="D74" s="25" t="s">
        <v>2169</v>
      </c>
      <c r="E74" s="25" t="s">
        <v>2333</v>
      </c>
      <c r="F74" s="25" t="s">
        <v>1819</v>
      </c>
      <c r="G74" s="25" t="s">
        <v>193</v>
      </c>
    </row>
    <row r="75" ht="15" customHeight="1">
      <c r="A75" s="25" t="s">
        <v>2332</v>
      </c>
      <c r="B75" s="25" t="s">
        <v>2334</v>
      </c>
      <c r="C75" s="25" t="s">
        <v>2121</v>
      </c>
      <c r="D75" s="25" t="s">
        <v>2172</v>
      </c>
      <c r="E75" s="25" t="s">
        <v>2335</v>
      </c>
      <c r="F75" s="25" t="s">
        <v>1966</v>
      </c>
      <c r="G75" s="25" t="s">
        <v>189</v>
      </c>
    </row>
    <row r="76" ht="15" customHeight="1">
      <c r="A76" s="25" t="s">
        <v>2336</v>
      </c>
      <c r="B76" s="25" t="s">
        <v>2337</v>
      </c>
      <c r="C76" s="25" t="s">
        <v>2153</v>
      </c>
      <c r="D76" s="25" t="s">
        <v>2338</v>
      </c>
      <c r="E76" s="25" t="s">
        <v>2339</v>
      </c>
      <c r="F76" s="25" t="s">
        <v>1881</v>
      </c>
      <c r="G76" s="25" t="s">
        <v>200</v>
      </c>
    </row>
    <row r="77" ht="15" customHeight="1">
      <c r="A77" s="25" t="s">
        <v>2336</v>
      </c>
      <c r="B77" s="25" t="s">
        <v>2340</v>
      </c>
      <c r="C77" s="25" t="s">
        <v>2199</v>
      </c>
      <c r="D77" s="25" t="s">
        <v>2218</v>
      </c>
      <c r="E77" s="25" t="s">
        <v>2341</v>
      </c>
      <c r="F77" s="25" t="s">
        <v>2016</v>
      </c>
      <c r="G77" s="25" t="s">
        <v>167</v>
      </c>
    </row>
    <row r="78" ht="15" customHeight="1">
      <c r="A78" s="25" t="s">
        <v>2342</v>
      </c>
      <c r="B78" s="25" t="s">
        <v>1778</v>
      </c>
      <c r="C78" s="25" t="s">
        <v>2125</v>
      </c>
      <c r="D78" s="25" t="s">
        <v>2222</v>
      </c>
      <c r="E78" s="25" t="s">
        <v>2343</v>
      </c>
      <c r="F78" s="25" t="s">
        <v>2076</v>
      </c>
      <c r="G78" s="25" t="s">
        <v>172</v>
      </c>
    </row>
    <row r="79" ht="15" customHeight="1">
      <c r="A79" s="25" t="s">
        <v>2342</v>
      </c>
      <c r="B79" s="25" t="s">
        <v>2344</v>
      </c>
      <c r="C79" s="25" t="s">
        <v>2121</v>
      </c>
      <c r="D79" s="25" t="s">
        <v>2225</v>
      </c>
      <c r="E79" s="25" t="s">
        <v>2345</v>
      </c>
      <c r="F79" s="25" t="s">
        <v>1798</v>
      </c>
      <c r="G79" s="25" t="s">
        <v>177</v>
      </c>
    </row>
    <row r="80" ht="15" customHeight="1">
      <c r="A80" s="25" t="s">
        <v>2346</v>
      </c>
      <c r="B80" s="25" t="s">
        <v>2347</v>
      </c>
      <c r="C80" s="25" t="s">
        <v>2145</v>
      </c>
      <c r="D80" s="25" t="s">
        <v>2134</v>
      </c>
      <c r="E80" s="25" t="s">
        <v>2348</v>
      </c>
      <c r="F80" s="25" t="s">
        <v>1933</v>
      </c>
      <c r="G80" s="25" t="s">
        <v>189</v>
      </c>
    </row>
    <row r="81" ht="15" customHeight="1">
      <c r="A81" s="25" t="s">
        <v>2346</v>
      </c>
      <c r="B81" s="25" t="s">
        <v>993</v>
      </c>
      <c r="C81" s="25" t="s">
        <v>2125</v>
      </c>
      <c r="D81" s="25" t="s">
        <v>2139</v>
      </c>
      <c r="E81" s="25" t="s">
        <v>2349</v>
      </c>
      <c r="F81" s="25" t="s">
        <v>2046</v>
      </c>
      <c r="G81" s="25" t="s">
        <v>193</v>
      </c>
    </row>
    <row r="82" ht="15" customHeight="1">
      <c r="A82" s="25" t="s">
        <v>2350</v>
      </c>
      <c r="B82" s="25" t="s">
        <v>1584</v>
      </c>
      <c r="C82" s="25" t="s">
        <v>2234</v>
      </c>
      <c r="D82" s="25" t="s">
        <v>2141</v>
      </c>
      <c r="E82" s="25" t="s">
        <v>2351</v>
      </c>
      <c r="F82" s="25" t="s">
        <v>2112</v>
      </c>
      <c r="G82" s="25" t="s">
        <v>167</v>
      </c>
    </row>
    <row r="83" ht="15" customHeight="1">
      <c r="A83" s="25" t="s">
        <v>2350</v>
      </c>
      <c r="B83" s="25" t="s">
        <v>2352</v>
      </c>
      <c r="C83" s="25" t="s">
        <v>2133</v>
      </c>
      <c r="D83" s="25" t="s">
        <v>2122</v>
      </c>
      <c r="E83" s="25" t="s">
        <v>2353</v>
      </c>
      <c r="F83" s="25" t="s">
        <v>1868</v>
      </c>
      <c r="G83" s="25" t="s">
        <v>200</v>
      </c>
    </row>
    <row r="84" ht="15" customHeight="1">
      <c r="A84" s="25" t="s">
        <v>2354</v>
      </c>
      <c r="B84" s="25" t="s">
        <v>2355</v>
      </c>
      <c r="C84" s="25" t="s">
        <v>2145</v>
      </c>
      <c r="D84" s="25" t="s">
        <v>2162</v>
      </c>
      <c r="E84" s="25" t="s">
        <v>2356</v>
      </c>
      <c r="F84" s="25" t="s">
        <v>1972</v>
      </c>
      <c r="G84" s="25" t="s">
        <v>172</v>
      </c>
    </row>
    <row r="85" ht="15" customHeight="1">
      <c r="A85" s="25" t="s">
        <v>2354</v>
      </c>
      <c r="B85" s="25" t="s">
        <v>2357</v>
      </c>
      <c r="C85" s="25" t="s">
        <v>2125</v>
      </c>
      <c r="D85" s="25" t="s">
        <v>2130</v>
      </c>
      <c r="E85" s="25" t="s">
        <v>2358</v>
      </c>
      <c r="F85" s="25" t="s">
        <v>1914</v>
      </c>
      <c r="G85" s="25" t="s">
        <v>177</v>
      </c>
    </row>
    <row r="86" ht="15" customHeight="1">
      <c r="A86" s="25" t="s">
        <v>2359</v>
      </c>
      <c r="B86" s="25" t="s">
        <v>1548</v>
      </c>
      <c r="C86" s="25" t="s">
        <v>2121</v>
      </c>
      <c r="D86" s="25" t="s">
        <v>2360</v>
      </c>
      <c r="E86" s="25" t="s">
        <v>2361</v>
      </c>
      <c r="F86" s="25" t="s">
        <v>2052</v>
      </c>
      <c r="G86" s="25" t="s">
        <v>167</v>
      </c>
    </row>
    <row r="87" ht="15" customHeight="1">
      <c r="A87" s="25" t="s">
        <v>2359</v>
      </c>
      <c r="B87" s="25" t="s">
        <v>1149</v>
      </c>
      <c r="C87" s="25" t="s">
        <v>2125</v>
      </c>
      <c r="D87" s="25" t="s">
        <v>2362</v>
      </c>
      <c r="E87" s="25" t="s">
        <v>2363</v>
      </c>
      <c r="F87" s="25" t="s">
        <v>1812</v>
      </c>
      <c r="G87" s="25" t="s">
        <v>193</v>
      </c>
    </row>
    <row r="88" ht="15" customHeight="1">
      <c r="A88" s="25" t="s">
        <v>2364</v>
      </c>
      <c r="B88" s="25" t="s">
        <v>2365</v>
      </c>
      <c r="C88" s="25" t="s">
        <v>2129</v>
      </c>
      <c r="D88" s="25" t="s">
        <v>2366</v>
      </c>
      <c r="E88" s="25" t="s">
        <v>2367</v>
      </c>
      <c r="F88" s="25" t="s">
        <v>1959</v>
      </c>
      <c r="G88" s="25" t="s">
        <v>189</v>
      </c>
    </row>
    <row r="89" ht="15" customHeight="1">
      <c r="A89" s="25" t="s">
        <v>2364</v>
      </c>
      <c r="B89" s="25" t="s">
        <v>342</v>
      </c>
      <c r="C89" s="25" t="s">
        <v>2157</v>
      </c>
      <c r="D89" s="25" t="s">
        <v>2200</v>
      </c>
      <c r="E89" s="25" t="s">
        <v>2368</v>
      </c>
      <c r="F89" s="25" t="s">
        <v>1861</v>
      </c>
      <c r="G89" s="25" t="s">
        <v>200</v>
      </c>
    </row>
    <row r="90" ht="15" customHeight="1">
      <c r="A90" s="25" t="s">
        <v>2369</v>
      </c>
      <c r="B90" s="25" t="s">
        <v>2370</v>
      </c>
      <c r="C90" s="25" t="s">
        <v>2121</v>
      </c>
      <c r="D90" s="25" t="s">
        <v>2203</v>
      </c>
      <c r="E90" s="25" t="s">
        <v>2371</v>
      </c>
      <c r="F90" s="25" t="s">
        <v>2010</v>
      </c>
      <c r="G90" s="25" t="s">
        <v>167</v>
      </c>
    </row>
    <row r="91" ht="15" customHeight="1">
      <c r="A91" s="25" t="s">
        <v>2369</v>
      </c>
      <c r="B91" s="25" t="s">
        <v>2372</v>
      </c>
      <c r="C91" s="25" t="s">
        <v>2125</v>
      </c>
      <c r="D91" s="25" t="s">
        <v>2154</v>
      </c>
      <c r="E91" s="25" t="s">
        <v>2373</v>
      </c>
      <c r="F91" s="25" t="s">
        <v>2094</v>
      </c>
      <c r="G91" s="25" t="s">
        <v>172</v>
      </c>
    </row>
    <row r="92" ht="15" customHeight="1">
      <c r="A92" s="25" t="s">
        <v>2374</v>
      </c>
      <c r="B92" s="25" t="s">
        <v>2375</v>
      </c>
      <c r="C92" s="25" t="s">
        <v>2145</v>
      </c>
      <c r="D92" s="25" t="s">
        <v>2146</v>
      </c>
      <c r="E92" s="25" t="s">
        <v>2376</v>
      </c>
      <c r="F92" s="25" t="s">
        <v>1927</v>
      </c>
      <c r="G92" s="25" t="s">
        <v>177</v>
      </c>
    </row>
    <row r="93" ht="15" customHeight="1">
      <c r="A93" s="25" t="s">
        <v>2374</v>
      </c>
      <c r="B93" s="25" t="s">
        <v>555</v>
      </c>
      <c r="C93" s="25" t="s">
        <v>2121</v>
      </c>
      <c r="D93" s="25" t="s">
        <v>2126</v>
      </c>
      <c r="E93" s="25" t="s">
        <v>2377</v>
      </c>
      <c r="F93" s="25" t="s">
        <v>1805</v>
      </c>
      <c r="G93" s="25" t="s">
        <v>189</v>
      </c>
    </row>
    <row r="94" ht="15" customHeight="1">
      <c r="A94" s="25" t="s">
        <v>2378</v>
      </c>
      <c r="B94" s="25" t="s">
        <v>2379</v>
      </c>
      <c r="C94" s="25" t="s">
        <v>2153</v>
      </c>
      <c r="D94" s="25" t="s">
        <v>2380</v>
      </c>
      <c r="E94" s="25" t="s">
        <v>2381</v>
      </c>
      <c r="F94" s="25" t="s">
        <v>2040</v>
      </c>
      <c r="G94" s="25" t="s">
        <v>193</v>
      </c>
    </row>
    <row r="95" ht="15" customHeight="1">
      <c r="A95" s="25" t="s">
        <v>2378</v>
      </c>
      <c r="B95" s="25" t="s">
        <v>1084</v>
      </c>
      <c r="C95" s="25" t="s">
        <v>2199</v>
      </c>
      <c r="D95" s="25" t="s">
        <v>2258</v>
      </c>
      <c r="E95" s="25" t="s">
        <v>2382</v>
      </c>
      <c r="F95" s="25" t="s">
        <v>1902</v>
      </c>
      <c r="G95" s="25" t="s">
        <v>167</v>
      </c>
    </row>
    <row r="96" ht="15" customHeight="1">
      <c r="A96" s="25" t="s">
        <v>2383</v>
      </c>
      <c r="B96" s="25" t="s">
        <v>2384</v>
      </c>
      <c r="C96" s="25" t="s">
        <v>2121</v>
      </c>
      <c r="D96" s="25" t="s">
        <v>2260</v>
      </c>
      <c r="E96" s="25" t="s">
        <v>2385</v>
      </c>
      <c r="F96" s="25" t="s">
        <v>1984</v>
      </c>
      <c r="G96" s="25" t="s">
        <v>200</v>
      </c>
    </row>
    <row r="97" ht="15" customHeight="1">
      <c r="A97" s="25" t="s">
        <v>2383</v>
      </c>
      <c r="B97" s="25" t="s">
        <v>2386</v>
      </c>
      <c r="C97" s="25" t="s">
        <v>2125</v>
      </c>
      <c r="D97" s="25" t="s">
        <v>2165</v>
      </c>
      <c r="E97" s="25" t="s">
        <v>2387</v>
      </c>
      <c r="F97" s="25" t="s">
        <v>2022</v>
      </c>
      <c r="G97" s="25" t="s">
        <v>172</v>
      </c>
    </row>
    <row r="98" ht="15" customHeight="1">
      <c r="A98" s="25" t="s">
        <v>2388</v>
      </c>
      <c r="B98" s="25" t="s">
        <v>592</v>
      </c>
      <c r="C98" s="25" t="s">
        <v>2145</v>
      </c>
      <c r="D98" s="25" t="s">
        <v>2169</v>
      </c>
      <c r="E98" s="25" t="s">
        <v>2389</v>
      </c>
      <c r="F98" s="25" t="s">
        <v>2088</v>
      </c>
      <c r="G98" s="25" t="s">
        <v>177</v>
      </c>
    </row>
    <row r="99" ht="15" customHeight="1">
      <c r="A99" s="25" t="s">
        <v>2388</v>
      </c>
      <c r="B99" s="25" t="s">
        <v>2390</v>
      </c>
      <c r="C99" s="25" t="s">
        <v>2121</v>
      </c>
      <c r="D99" s="25" t="s">
        <v>2172</v>
      </c>
      <c r="E99" s="25" t="s">
        <v>2391</v>
      </c>
      <c r="F99" s="25" t="s">
        <v>1940</v>
      </c>
      <c r="G99" s="25" t="s">
        <v>167</v>
      </c>
    </row>
    <row r="100" ht="15" customHeight="1">
      <c r="A100" s="25" t="s">
        <v>2392</v>
      </c>
      <c r="B100" s="25" t="s">
        <v>2393</v>
      </c>
      <c r="C100" s="25" t="s">
        <v>2153</v>
      </c>
      <c r="D100" s="25" t="s">
        <v>2301</v>
      </c>
      <c r="E100" s="25" t="s">
        <v>2394</v>
      </c>
      <c r="F100" s="25" t="s">
        <v>2070</v>
      </c>
      <c r="G100" s="25" t="s">
        <v>193</v>
      </c>
    </row>
    <row r="101" ht="15" customHeight="1">
      <c r="A101" s="25" t="s">
        <v>2392</v>
      </c>
      <c r="B101" s="25" t="s">
        <v>1398</v>
      </c>
      <c r="C101" s="25" t="s">
        <v>2133</v>
      </c>
      <c r="D101" s="25" t="s">
        <v>2218</v>
      </c>
      <c r="E101" s="25" t="s">
        <v>2395</v>
      </c>
      <c r="F101" s="25" t="s">
        <v>1991</v>
      </c>
      <c r="G101" s="25" t="s">
        <v>189</v>
      </c>
    </row>
    <row r="102" ht="15" customHeight="1">
      <c r="A102" s="25" t="s">
        <v>2396</v>
      </c>
      <c r="B102" s="25" t="s">
        <v>2397</v>
      </c>
      <c r="C102" s="25" t="s">
        <v>2145</v>
      </c>
      <c r="D102" s="25" t="s">
        <v>2222</v>
      </c>
      <c r="E102" s="25" t="s">
        <v>2398</v>
      </c>
      <c r="F102" s="25" t="s">
        <v>1874</v>
      </c>
      <c r="G102" s="25" t="s">
        <v>200</v>
      </c>
    </row>
    <row r="103" ht="15" customHeight="1">
      <c r="A103" s="25" t="s">
        <v>2396</v>
      </c>
      <c r="B103" s="25" t="s">
        <v>2399</v>
      </c>
      <c r="C103" s="25" t="s">
        <v>2121</v>
      </c>
      <c r="D103" s="25" t="s">
        <v>2154</v>
      </c>
      <c r="E103" s="25" t="s">
        <v>2400</v>
      </c>
      <c r="F103" s="25" t="s">
        <v>1840</v>
      </c>
      <c r="G103" s="25" t="s">
        <v>167</v>
      </c>
    </row>
    <row r="104" ht="15" customHeight="1">
      <c r="A104" s="25" t="s">
        <v>2401</v>
      </c>
      <c r="B104" s="25" t="s">
        <v>2402</v>
      </c>
      <c r="C104" s="25" t="s">
        <v>2125</v>
      </c>
      <c r="D104" s="25" t="s">
        <v>2146</v>
      </c>
      <c r="E104" s="25" t="s">
        <v>2403</v>
      </c>
      <c r="F104" s="25" t="s">
        <v>1947</v>
      </c>
      <c r="G104" s="25" t="s">
        <v>172</v>
      </c>
    </row>
    <row r="105" ht="15" customHeight="1">
      <c r="A105" s="25" t="s">
        <v>2401</v>
      </c>
      <c r="B105" s="25" t="s">
        <v>2404</v>
      </c>
      <c r="C105" s="25" t="s">
        <v>2121</v>
      </c>
      <c r="D105" s="25" t="s">
        <v>2126</v>
      </c>
      <c r="E105" s="25" t="s">
        <v>2405</v>
      </c>
      <c r="F105" s="25" t="s">
        <v>2082</v>
      </c>
      <c r="G105" s="25" t="s">
        <v>177</v>
      </c>
    </row>
    <row r="106" ht="15" customHeight="1">
      <c r="A106" s="25" t="s">
        <v>2406</v>
      </c>
      <c r="B106" s="25" t="s">
        <v>1377</v>
      </c>
      <c r="C106" s="25" t="s">
        <v>2129</v>
      </c>
      <c r="D106" s="25" t="s">
        <v>2141</v>
      </c>
      <c r="E106" s="25" t="s">
        <v>2407</v>
      </c>
      <c r="F106" s="25" t="s">
        <v>1847</v>
      </c>
      <c r="G106" s="25" t="s">
        <v>189</v>
      </c>
    </row>
    <row r="107" ht="15" customHeight="1">
      <c r="A107" s="25" t="s">
        <v>2406</v>
      </c>
      <c r="B107" s="25" t="s">
        <v>2408</v>
      </c>
      <c r="C107" s="25" t="s">
        <v>2157</v>
      </c>
      <c r="D107" s="25" t="s">
        <v>2258</v>
      </c>
      <c r="E107" s="25" t="s">
        <v>2409</v>
      </c>
      <c r="F107" s="25" t="s">
        <v>1997</v>
      </c>
      <c r="G107" s="25" t="s">
        <v>193</v>
      </c>
    </row>
    <row r="108" ht="15" customHeight="1">
      <c r="A108" s="25" t="s">
        <v>2410</v>
      </c>
      <c r="B108" s="25" t="s">
        <v>2411</v>
      </c>
      <c r="C108" s="25" t="s">
        <v>2125</v>
      </c>
      <c r="D108" s="25" t="s">
        <v>2260</v>
      </c>
      <c r="E108" s="25" t="s">
        <v>2412</v>
      </c>
      <c r="F108" s="25" t="s">
        <v>1920</v>
      </c>
      <c r="G108" s="25" t="s">
        <v>167</v>
      </c>
    </row>
    <row r="109" ht="15" customHeight="1">
      <c r="A109" s="25" t="s">
        <v>2410</v>
      </c>
      <c r="B109" s="25" t="s">
        <v>2413</v>
      </c>
      <c r="C109" s="25" t="s">
        <v>2121</v>
      </c>
      <c r="D109" s="25" t="s">
        <v>2264</v>
      </c>
      <c r="E109" s="25" t="s">
        <v>2414</v>
      </c>
      <c r="F109" s="25" t="s">
        <v>2064</v>
      </c>
      <c r="G109" s="25" t="s">
        <v>200</v>
      </c>
    </row>
    <row r="110" ht="15" customHeight="1">
      <c r="A110" s="25" t="s">
        <v>2415</v>
      </c>
      <c r="B110" s="25" t="s">
        <v>2416</v>
      </c>
      <c r="C110" s="25" t="s">
        <v>2145</v>
      </c>
      <c r="D110" s="25" t="s">
        <v>2178</v>
      </c>
      <c r="E110" s="25" t="s">
        <v>2417</v>
      </c>
      <c r="F110" s="25" t="s">
        <v>1826</v>
      </c>
      <c r="G110" s="25" t="s">
        <v>172</v>
      </c>
    </row>
    <row r="111" ht="15" customHeight="1">
      <c r="A111" s="25" t="s">
        <v>2415</v>
      </c>
      <c r="B111" s="25" t="s">
        <v>1077</v>
      </c>
      <c r="C111" s="25" t="s">
        <v>2234</v>
      </c>
      <c r="D111" s="25" t="s">
        <v>2130</v>
      </c>
      <c r="E111" s="25" t="s">
        <v>2418</v>
      </c>
      <c r="F111" s="25" t="s">
        <v>2028</v>
      </c>
      <c r="G111" s="25" t="s">
        <v>177</v>
      </c>
    </row>
    <row r="112" ht="15" customHeight="1">
      <c r="A112" s="25" t="s">
        <v>2419</v>
      </c>
      <c r="B112" s="25" t="s">
        <v>2420</v>
      </c>
      <c r="C112" s="25" t="s">
        <v>2125</v>
      </c>
      <c r="D112" s="25" t="s">
        <v>2206</v>
      </c>
      <c r="E112" s="25" t="s">
        <v>2421</v>
      </c>
      <c r="F112" s="25" t="s">
        <v>1888</v>
      </c>
      <c r="G112" s="25" t="s">
        <v>167</v>
      </c>
    </row>
    <row r="113" ht="15" customHeight="1">
      <c r="A113" s="25" t="s">
        <v>2419</v>
      </c>
      <c r="B113" s="25" t="s">
        <v>2422</v>
      </c>
      <c r="C113" s="25" t="s">
        <v>2199</v>
      </c>
      <c r="D113" s="25" t="s">
        <v>2258</v>
      </c>
      <c r="E113" s="25" t="s">
        <v>2423</v>
      </c>
      <c r="F113" s="25" t="s">
        <v>1978</v>
      </c>
      <c r="G113" s="25" t="s">
        <v>193</v>
      </c>
    </row>
    <row r="114" ht="15" customHeight="1">
      <c r="A114" s="25" t="s">
        <v>2424</v>
      </c>
      <c r="B114" s="25" t="s">
        <v>1495</v>
      </c>
      <c r="C114" s="25" t="s">
        <v>2121</v>
      </c>
      <c r="D114" s="25" t="s">
        <v>2260</v>
      </c>
      <c r="E114" s="25" t="s">
        <v>2425</v>
      </c>
      <c r="F114" s="25" t="s">
        <v>1854</v>
      </c>
      <c r="G114" s="25" t="s">
        <v>189</v>
      </c>
    </row>
    <row r="115" ht="15" customHeight="1">
      <c r="A115" s="25" t="s">
        <v>2424</v>
      </c>
      <c r="B115" s="25" t="s">
        <v>2426</v>
      </c>
      <c r="C115" s="25" t="s">
        <v>2125</v>
      </c>
      <c r="D115" s="25" t="s">
        <v>2216</v>
      </c>
      <c r="E115" s="25" t="s">
        <v>2427</v>
      </c>
      <c r="F115" s="25" t="s">
        <v>2058</v>
      </c>
      <c r="G115" s="25" t="s">
        <v>200</v>
      </c>
    </row>
    <row r="116" ht="15" customHeight="1">
      <c r="A116" s="25" t="s">
        <v>2428</v>
      </c>
      <c r="B116" s="25" t="s">
        <v>894</v>
      </c>
      <c r="C116" s="25" t="s">
        <v>2145</v>
      </c>
      <c r="D116" s="25" t="s">
        <v>2178</v>
      </c>
      <c r="E116" s="25" t="s">
        <v>2429</v>
      </c>
      <c r="F116" s="25" t="s">
        <v>1908</v>
      </c>
      <c r="G116" s="25" t="s">
        <v>167</v>
      </c>
    </row>
    <row r="117" ht="15" customHeight="1">
      <c r="A117" s="25" t="s">
        <v>2428</v>
      </c>
      <c r="B117" s="25" t="s">
        <v>2430</v>
      </c>
      <c r="C117" s="25" t="s">
        <v>2121</v>
      </c>
      <c r="D117" s="25" t="s">
        <v>2182</v>
      </c>
      <c r="E117" s="25" t="s">
        <v>2431</v>
      </c>
      <c r="F117" s="25" t="s">
        <v>2004</v>
      </c>
      <c r="G117" s="25" t="s">
        <v>172</v>
      </c>
    </row>
    <row r="118" ht="15" customHeight="1">
      <c r="A118" s="25" t="s">
        <v>2432</v>
      </c>
      <c r="B118" s="25" t="s">
        <v>955</v>
      </c>
      <c r="C118" s="25" t="s">
        <v>2153</v>
      </c>
      <c r="D118" s="25" t="s">
        <v>2154</v>
      </c>
      <c r="E118" s="25" t="s">
        <v>2433</v>
      </c>
      <c r="F118" s="25" t="s">
        <v>2106</v>
      </c>
      <c r="G118" s="25" t="s">
        <v>177</v>
      </c>
    </row>
    <row r="119" ht="15" customHeight="1">
      <c r="A119" s="25" t="s">
        <v>2432</v>
      </c>
      <c r="B119" s="25" t="s">
        <v>2434</v>
      </c>
      <c r="C119" s="25" t="s">
        <v>2157</v>
      </c>
      <c r="D119" s="25" t="s">
        <v>2134</v>
      </c>
      <c r="E119" s="25" t="s">
        <v>2435</v>
      </c>
      <c r="F119" s="25" t="s">
        <v>1833</v>
      </c>
      <c r="G119" s="25" t="s">
        <v>189</v>
      </c>
    </row>
    <row r="120" ht="15" customHeight="1">
      <c r="A120" s="25" t="s">
        <v>2436</v>
      </c>
      <c r="B120" s="25" t="s">
        <v>2437</v>
      </c>
      <c r="C120" s="25" t="s">
        <v>2125</v>
      </c>
      <c r="D120" s="25" t="s">
        <v>2139</v>
      </c>
      <c r="E120" s="25" t="s">
        <v>2438</v>
      </c>
      <c r="F120" s="25" t="s">
        <v>1953</v>
      </c>
      <c r="G120" s="25" t="s">
        <v>193</v>
      </c>
    </row>
    <row r="121" ht="15" customHeight="1">
      <c r="A121" s="25" t="s">
        <v>2436</v>
      </c>
      <c r="B121" s="25" t="s">
        <v>2439</v>
      </c>
      <c r="C121" s="25" t="s">
        <v>2145</v>
      </c>
      <c r="D121" s="25" t="s">
        <v>2165</v>
      </c>
      <c r="E121" s="25" t="s">
        <v>2440</v>
      </c>
      <c r="F121" s="25" t="s">
        <v>1895</v>
      </c>
      <c r="G121" s="25" t="s">
        <v>167</v>
      </c>
    </row>
    <row r="122" ht="15" customHeight="1">
      <c r="A122" s="25" t="s">
        <v>2441</v>
      </c>
      <c r="B122" s="25" t="s">
        <v>764</v>
      </c>
      <c r="C122" s="25" t="s">
        <v>2121</v>
      </c>
      <c r="D122" s="25" t="s">
        <v>2122</v>
      </c>
      <c r="E122" s="25" t="s">
        <v>2442</v>
      </c>
      <c r="F122" s="25" t="s">
        <v>2034</v>
      </c>
      <c r="G122" s="25" t="s">
        <v>200</v>
      </c>
    </row>
    <row r="123" ht="15" customHeight="1">
      <c r="A123" s="25" t="s">
        <v>2441</v>
      </c>
      <c r="B123" s="25" t="s">
        <v>1707</v>
      </c>
      <c r="C123" s="25" t="s">
        <v>2121</v>
      </c>
      <c r="D123" s="25" t="s">
        <v>2162</v>
      </c>
      <c r="E123" s="25" t="s">
        <v>2443</v>
      </c>
      <c r="F123" s="25" t="s">
        <v>2100</v>
      </c>
      <c r="G123" s="25" t="s">
        <v>172</v>
      </c>
    </row>
    <row r="124" ht="15" customHeight="1">
      <c r="A124" s="25" t="s">
        <v>2444</v>
      </c>
      <c r="B124" s="25" t="s">
        <v>2445</v>
      </c>
      <c r="C124" s="25" t="s">
        <v>2234</v>
      </c>
      <c r="D124" s="25" t="s">
        <v>2130</v>
      </c>
      <c r="E124" s="25" t="s">
        <v>2446</v>
      </c>
      <c r="F124" s="25" t="s">
        <v>1819</v>
      </c>
      <c r="G124" s="25" t="s">
        <v>177</v>
      </c>
    </row>
    <row r="125" ht="15" customHeight="1">
      <c r="A125" s="25" t="s">
        <v>2444</v>
      </c>
      <c r="B125" s="25" t="s">
        <v>2447</v>
      </c>
      <c r="C125" s="25" t="s">
        <v>2133</v>
      </c>
      <c r="D125" s="25" t="s">
        <v>2158</v>
      </c>
      <c r="E125" s="25" t="s">
        <v>2448</v>
      </c>
      <c r="F125" s="25" t="s">
        <v>1966</v>
      </c>
      <c r="G125" s="25" t="s">
        <v>167</v>
      </c>
    </row>
    <row r="126" ht="15" customHeight="1">
      <c r="A126" s="25" t="s">
        <v>2449</v>
      </c>
      <c r="B126" s="25" t="s">
        <v>2450</v>
      </c>
      <c r="C126" s="25" t="s">
        <v>2145</v>
      </c>
      <c r="D126" s="25" t="s">
        <v>2149</v>
      </c>
      <c r="E126" s="25" t="s">
        <v>2451</v>
      </c>
      <c r="F126" s="25" t="s">
        <v>1881</v>
      </c>
      <c r="G126" s="25" t="s">
        <v>193</v>
      </c>
    </row>
    <row r="127" ht="15" customHeight="1">
      <c r="A127" s="25" t="s">
        <v>2449</v>
      </c>
      <c r="B127" s="25" t="s">
        <v>2452</v>
      </c>
      <c r="C127" s="25" t="s">
        <v>2125</v>
      </c>
      <c r="D127" s="25" t="s">
        <v>2264</v>
      </c>
      <c r="E127" s="25" t="s">
        <v>2453</v>
      </c>
      <c r="F127" s="25" t="s">
        <v>2016</v>
      </c>
      <c r="G127" s="25" t="s">
        <v>189</v>
      </c>
    </row>
    <row r="128" ht="15" customHeight="1">
      <c r="A128" s="25" t="s">
        <v>2454</v>
      </c>
      <c r="B128" s="25" t="s">
        <v>2455</v>
      </c>
      <c r="C128" s="25" t="s">
        <v>2121</v>
      </c>
      <c r="D128" s="25" t="s">
        <v>2169</v>
      </c>
      <c r="E128" s="25" t="s">
        <v>2456</v>
      </c>
      <c r="F128" s="25" t="s">
        <v>2076</v>
      </c>
      <c r="G128" s="25" t="s">
        <v>200</v>
      </c>
    </row>
    <row r="129" ht="15" customHeight="1">
      <c r="A129" s="25" t="s">
        <v>2454</v>
      </c>
      <c r="B129" s="25" t="s">
        <v>1105</v>
      </c>
      <c r="C129" s="25" t="s">
        <v>2125</v>
      </c>
      <c r="D129" s="25" t="s">
        <v>2172</v>
      </c>
      <c r="E129" s="25" t="s">
        <v>2457</v>
      </c>
      <c r="F129" s="25" t="s">
        <v>1798</v>
      </c>
      <c r="G129" s="25" t="s">
        <v>167</v>
      </c>
    </row>
    <row r="130" ht="15" customHeight="1">
      <c r="A130" s="25" t="s">
        <v>2458</v>
      </c>
      <c r="B130" s="25" t="s">
        <v>2459</v>
      </c>
      <c r="C130" s="25" t="s">
        <v>2129</v>
      </c>
      <c r="D130" s="25" t="s">
        <v>2196</v>
      </c>
      <c r="E130" s="25" t="s">
        <v>2460</v>
      </c>
      <c r="F130" s="25" t="s">
        <v>1933</v>
      </c>
      <c r="G130" s="25" t="s">
        <v>172</v>
      </c>
    </row>
    <row r="131" ht="15" customHeight="1">
      <c r="A131" s="25" t="s">
        <v>2458</v>
      </c>
      <c r="B131" s="25" t="s">
        <v>2461</v>
      </c>
      <c r="C131" s="25" t="s">
        <v>2157</v>
      </c>
      <c r="D131" s="25" t="s">
        <v>2200</v>
      </c>
      <c r="E131" s="25" t="s">
        <v>2462</v>
      </c>
      <c r="F131" s="25" t="s">
        <v>2046</v>
      </c>
      <c r="G131" s="25" t="s">
        <v>177</v>
      </c>
    </row>
    <row r="132" ht="15" customHeight="1">
      <c r="A132" s="25" t="s">
        <v>2463</v>
      </c>
      <c r="B132" s="25" t="s">
        <v>2464</v>
      </c>
      <c r="C132" s="25" t="s">
        <v>2125</v>
      </c>
      <c r="D132" s="25" t="s">
        <v>2203</v>
      </c>
      <c r="E132" s="25" t="s">
        <v>2465</v>
      </c>
      <c r="F132" s="25" t="s">
        <v>2112</v>
      </c>
      <c r="G132" s="25" t="s">
        <v>189</v>
      </c>
    </row>
    <row r="133" ht="15" customHeight="1">
      <c r="A133" s="25" t="s">
        <v>2463</v>
      </c>
      <c r="B133" s="25" t="s">
        <v>2466</v>
      </c>
      <c r="C133" s="25" t="s">
        <v>2121</v>
      </c>
      <c r="D133" s="25" t="s">
        <v>2154</v>
      </c>
      <c r="E133" s="25" t="s">
        <v>2467</v>
      </c>
      <c r="F133" s="25" t="s">
        <v>1868</v>
      </c>
      <c r="G133" s="25" t="s">
        <v>193</v>
      </c>
    </row>
    <row r="134" ht="15" customHeight="1">
      <c r="A134" s="25" t="s">
        <v>2468</v>
      </c>
      <c r="B134" s="25" t="s">
        <v>2469</v>
      </c>
      <c r="C134" s="25" t="s">
        <v>2145</v>
      </c>
      <c r="D134" s="25" t="s">
        <v>2146</v>
      </c>
      <c r="E134" s="25" t="s">
        <v>2470</v>
      </c>
      <c r="F134" s="25" t="s">
        <v>1972</v>
      </c>
      <c r="G134" s="25" t="s">
        <v>167</v>
      </c>
    </row>
    <row r="135" ht="15" customHeight="1">
      <c r="A135" s="25" t="s">
        <v>2468</v>
      </c>
      <c r="B135" s="25" t="s">
        <v>2334</v>
      </c>
      <c r="C135" s="25" t="s">
        <v>2121</v>
      </c>
      <c r="D135" s="25" t="s">
        <v>2126</v>
      </c>
      <c r="E135" s="25" t="s">
        <v>2471</v>
      </c>
      <c r="F135" s="25" t="s">
        <v>1914</v>
      </c>
      <c r="G135" s="25" t="s">
        <v>200</v>
      </c>
    </row>
    <row r="136" ht="15" customHeight="1">
      <c r="A136" s="25" t="s">
        <v>2472</v>
      </c>
      <c r="B136" s="25" t="s">
        <v>2473</v>
      </c>
      <c r="C136" s="25" t="s">
        <v>2153</v>
      </c>
      <c r="D136" s="25" t="s">
        <v>2380</v>
      </c>
      <c r="E136" s="25" t="s">
        <v>2474</v>
      </c>
      <c r="F136" s="25" t="s">
        <v>2052</v>
      </c>
      <c r="G136" s="25" t="s">
        <v>172</v>
      </c>
    </row>
    <row r="137" ht="15" customHeight="1">
      <c r="A137" s="25" t="s">
        <v>2472</v>
      </c>
      <c r="B137" s="25" t="s">
        <v>2475</v>
      </c>
      <c r="C137" s="25" t="s">
        <v>2199</v>
      </c>
      <c r="D137" s="25" t="s">
        <v>2258</v>
      </c>
      <c r="E137" s="25" t="s">
        <v>2476</v>
      </c>
      <c r="F137" s="25" t="s">
        <v>1812</v>
      </c>
      <c r="G137" s="25" t="s">
        <v>177</v>
      </c>
    </row>
    <row r="138" ht="15" customHeight="1">
      <c r="A138" s="25" t="s">
        <v>2477</v>
      </c>
      <c r="B138" s="25" t="s">
        <v>2478</v>
      </c>
      <c r="C138" s="25" t="s">
        <v>2121</v>
      </c>
      <c r="D138" s="25" t="s">
        <v>2260</v>
      </c>
      <c r="E138" s="25" t="s">
        <v>2479</v>
      </c>
      <c r="F138" s="25" t="s">
        <v>1959</v>
      </c>
      <c r="G138" s="25" t="s">
        <v>167</v>
      </c>
    </row>
    <row r="139" ht="15" customHeight="1">
      <c r="A139" s="25" t="s">
        <v>2477</v>
      </c>
      <c r="B139" s="25" t="s">
        <v>2480</v>
      </c>
      <c r="C139" s="25" t="s">
        <v>2125</v>
      </c>
      <c r="D139" s="25" t="s">
        <v>2301</v>
      </c>
      <c r="E139" s="25" t="s">
        <v>2481</v>
      </c>
      <c r="F139" s="25" t="s">
        <v>1861</v>
      </c>
      <c r="G139" s="25" t="s">
        <v>193</v>
      </c>
    </row>
    <row r="140" ht="15" customHeight="1">
      <c r="A140" s="25" t="s">
        <v>2482</v>
      </c>
      <c r="B140" s="25" t="s">
        <v>2483</v>
      </c>
      <c r="C140" s="25" t="s">
        <v>2145</v>
      </c>
      <c r="D140" s="25" t="s">
        <v>2218</v>
      </c>
      <c r="E140" s="25" t="s">
        <v>2484</v>
      </c>
      <c r="F140" s="25" t="s">
        <v>2010</v>
      </c>
      <c r="G140" s="25" t="s">
        <v>189</v>
      </c>
    </row>
    <row r="141" ht="15" customHeight="1">
      <c r="A141" s="25" t="s">
        <v>2482</v>
      </c>
      <c r="B141" s="25" t="s">
        <v>2485</v>
      </c>
      <c r="C141" s="25" t="s">
        <v>2121</v>
      </c>
      <c r="D141" s="25" t="s">
        <v>2222</v>
      </c>
      <c r="E141" s="25" t="s">
        <v>2486</v>
      </c>
      <c r="F141" s="25" t="s">
        <v>2094</v>
      </c>
      <c r="G141" s="25" t="s">
        <v>200</v>
      </c>
    </row>
    <row r="142" ht="15" customHeight="1">
      <c r="A142" s="25" t="s">
        <v>2487</v>
      </c>
      <c r="B142" s="25" t="s">
        <v>2488</v>
      </c>
      <c r="C142" s="25" t="s">
        <v>2153</v>
      </c>
      <c r="D142" s="25" t="s">
        <v>2225</v>
      </c>
      <c r="E142" s="25" t="s">
        <v>2489</v>
      </c>
      <c r="F142" s="25" t="s">
        <v>1927</v>
      </c>
      <c r="G142" s="25" t="s">
        <v>167</v>
      </c>
    </row>
    <row r="143" ht="15" customHeight="1">
      <c r="A143" s="25" t="s">
        <v>2487</v>
      </c>
      <c r="B143" s="25" t="s">
        <v>2490</v>
      </c>
      <c r="C143" s="25" t="s">
        <v>2133</v>
      </c>
      <c r="D143" s="25" t="s">
        <v>2134</v>
      </c>
      <c r="E143" s="25" t="s">
        <v>2491</v>
      </c>
      <c r="F143" s="25" t="s">
        <v>1805</v>
      </c>
      <c r="G143" s="25" t="s">
        <v>172</v>
      </c>
    </row>
    <row r="144" ht="15" customHeight="1">
      <c r="A144" s="25" t="s">
        <v>2492</v>
      </c>
      <c r="B144" s="25" t="s">
        <v>2493</v>
      </c>
      <c r="C144" s="25" t="s">
        <v>2145</v>
      </c>
      <c r="D144" s="25" t="s">
        <v>2139</v>
      </c>
      <c r="E144" s="25" t="s">
        <v>2494</v>
      </c>
      <c r="F144" s="25" t="s">
        <v>2040</v>
      </c>
      <c r="G144" s="25" t="s">
        <v>177</v>
      </c>
    </row>
    <row r="145" ht="15" customHeight="1">
      <c r="A145" s="25" t="s">
        <v>2492</v>
      </c>
      <c r="B145" s="25" t="s">
        <v>2495</v>
      </c>
      <c r="C145" s="25" t="s">
        <v>2121</v>
      </c>
      <c r="D145" s="25" t="s">
        <v>2141</v>
      </c>
      <c r="E145" s="25" t="s">
        <v>2496</v>
      </c>
      <c r="F145" s="25" t="s">
        <v>1902</v>
      </c>
      <c r="G145" s="25" t="s">
        <v>189</v>
      </c>
    </row>
    <row r="146" ht="15" customHeight="1">
      <c r="A146" s="25" t="s">
        <v>2497</v>
      </c>
      <c r="B146" s="25" t="s">
        <v>2498</v>
      </c>
      <c r="C146" s="25" t="s">
        <v>2125</v>
      </c>
      <c r="D146" s="25" t="s">
        <v>2122</v>
      </c>
      <c r="E146" s="25" t="s">
        <v>2499</v>
      </c>
      <c r="F146" s="25" t="s">
        <v>1984</v>
      </c>
      <c r="G146" s="25" t="s">
        <v>193</v>
      </c>
    </row>
    <row r="147" ht="15" customHeight="1">
      <c r="A147" s="25" t="s">
        <v>2497</v>
      </c>
      <c r="B147" s="25" t="s">
        <v>2500</v>
      </c>
      <c r="C147" s="25" t="s">
        <v>2121</v>
      </c>
      <c r="D147" s="25" t="s">
        <v>2162</v>
      </c>
      <c r="E147" s="25" t="s">
        <v>2501</v>
      </c>
      <c r="F147" s="25" t="s">
        <v>2022</v>
      </c>
      <c r="G147" s="25" t="s">
        <v>167</v>
      </c>
    </row>
    <row r="148" ht="15" customHeight="1">
      <c r="A148" s="25" t="s">
        <v>2502</v>
      </c>
      <c r="B148" s="25" t="s">
        <v>1145</v>
      </c>
      <c r="C148" s="25" t="s">
        <v>2129</v>
      </c>
      <c r="D148" s="25" t="s">
        <v>2130</v>
      </c>
      <c r="E148" s="25" t="s">
        <v>2503</v>
      </c>
      <c r="F148" s="25" t="s">
        <v>2088</v>
      </c>
      <c r="G148" s="25" t="s">
        <v>200</v>
      </c>
    </row>
    <row r="149" ht="15" customHeight="1">
      <c r="A149" s="25" t="s">
        <v>2502</v>
      </c>
      <c r="B149" s="25" t="s">
        <v>2504</v>
      </c>
      <c r="C149" s="25" t="s">
        <v>2157</v>
      </c>
      <c r="D149" s="25" t="s">
        <v>2158</v>
      </c>
      <c r="E149" s="25" t="s">
        <v>2505</v>
      </c>
      <c r="F149" s="25" t="s">
        <v>1940</v>
      </c>
      <c r="G149" s="25" t="s">
        <v>172</v>
      </c>
    </row>
    <row r="150" ht="15" customHeight="1">
      <c r="A150" s="25" t="s">
        <v>2506</v>
      </c>
      <c r="B150" s="25" t="s">
        <v>1588</v>
      </c>
      <c r="C150" s="25" t="s">
        <v>2125</v>
      </c>
      <c r="D150" s="25" t="s">
        <v>2149</v>
      </c>
      <c r="E150" s="25" t="s">
        <v>2507</v>
      </c>
      <c r="F150" s="25" t="s">
        <v>2070</v>
      </c>
      <c r="G150" s="25" t="s">
        <v>177</v>
      </c>
    </row>
    <row r="151" ht="15" customHeight="1">
      <c r="A151" s="25" t="s">
        <v>2506</v>
      </c>
      <c r="B151" s="25" t="s">
        <v>2508</v>
      </c>
      <c r="C151" s="25" t="s">
        <v>2121</v>
      </c>
      <c r="D151" s="25" t="s">
        <v>2165</v>
      </c>
      <c r="E151" s="25" t="s">
        <v>2509</v>
      </c>
      <c r="F151" s="25" t="s">
        <v>1991</v>
      </c>
      <c r="G151" s="25" t="s">
        <v>167</v>
      </c>
    </row>
    <row r="152" ht="15" customHeight="1">
      <c r="A152" s="25" t="s">
        <v>2510</v>
      </c>
      <c r="B152" s="25" t="s">
        <v>2511</v>
      </c>
      <c r="C152" s="25" t="s">
        <v>2145</v>
      </c>
      <c r="D152" s="25" t="s">
        <v>2169</v>
      </c>
      <c r="E152" s="25" t="s">
        <v>2512</v>
      </c>
      <c r="F152" s="25" t="s">
        <v>1874</v>
      </c>
      <c r="G152" s="25" t="s">
        <v>193</v>
      </c>
    </row>
    <row r="153" ht="15" customHeight="1">
      <c r="A153" s="25" t="s">
        <v>2510</v>
      </c>
      <c r="B153" s="25" t="s">
        <v>2513</v>
      </c>
      <c r="C153" s="25" t="s">
        <v>2121</v>
      </c>
      <c r="D153" s="25" t="s">
        <v>2172</v>
      </c>
      <c r="E153" s="25" t="s">
        <v>2514</v>
      </c>
      <c r="F153" s="25" t="s">
        <v>1840</v>
      </c>
      <c r="G153" s="25" t="s">
        <v>189</v>
      </c>
    </row>
    <row r="154" ht="15" customHeight="1">
      <c r="A154" s="25" t="s">
        <v>2515</v>
      </c>
      <c r="B154" s="25" t="s">
        <v>2516</v>
      </c>
      <c r="C154" s="25" t="s">
        <v>2153</v>
      </c>
      <c r="D154" s="25" t="s">
        <v>2324</v>
      </c>
      <c r="E154" s="25" t="s">
        <v>2517</v>
      </c>
      <c r="F154" s="25" t="s">
        <v>1947</v>
      </c>
      <c r="G154" s="25" t="s">
        <v>200</v>
      </c>
    </row>
    <row r="155" ht="15" customHeight="1">
      <c r="A155" s="25" t="s">
        <v>2515</v>
      </c>
      <c r="B155" s="25" t="s">
        <v>2518</v>
      </c>
      <c r="C155" s="25" t="s">
        <v>2199</v>
      </c>
      <c r="D155" s="25" t="s">
        <v>2178</v>
      </c>
      <c r="E155" s="25" t="s">
        <v>2519</v>
      </c>
      <c r="F155" s="25" t="s">
        <v>2082</v>
      </c>
      <c r="G155" s="25" t="s">
        <v>167</v>
      </c>
    </row>
    <row r="156" ht="15" customHeight="1">
      <c r="A156" s="25" t="s">
        <v>2520</v>
      </c>
      <c r="B156" s="25" t="s">
        <v>2521</v>
      </c>
      <c r="C156" s="25" t="s">
        <v>2125</v>
      </c>
      <c r="D156" s="25" t="s">
        <v>2182</v>
      </c>
      <c r="E156" s="25" t="s">
        <v>2522</v>
      </c>
      <c r="F156" s="25" t="s">
        <v>1847</v>
      </c>
      <c r="G156" s="25" t="s">
        <v>172</v>
      </c>
    </row>
    <row r="157" ht="15" customHeight="1">
      <c r="A157" s="25" t="s">
        <v>2520</v>
      </c>
      <c r="B157" s="25" t="s">
        <v>2523</v>
      </c>
      <c r="C157" s="25" t="s">
        <v>2121</v>
      </c>
      <c r="D157" s="25" t="s">
        <v>2185</v>
      </c>
      <c r="E157" s="25" t="s">
        <v>2524</v>
      </c>
      <c r="F157" s="25" t="s">
        <v>1997</v>
      </c>
      <c r="G157" s="25" t="s">
        <v>177</v>
      </c>
    </row>
    <row r="158" ht="15" customHeight="1">
      <c r="A158" s="25" t="s">
        <v>2525</v>
      </c>
      <c r="B158" s="25" t="s">
        <v>2526</v>
      </c>
      <c r="C158" s="25" t="s">
        <v>2145</v>
      </c>
      <c r="D158" s="25" t="s">
        <v>2258</v>
      </c>
      <c r="E158" s="25" t="s">
        <v>2527</v>
      </c>
      <c r="F158" s="25" t="s">
        <v>1920</v>
      </c>
      <c r="G158" s="25" t="s">
        <v>189</v>
      </c>
    </row>
    <row r="159" ht="15" customHeight="1">
      <c r="A159" s="25" t="s">
        <v>2525</v>
      </c>
      <c r="B159" s="25" t="s">
        <v>2528</v>
      </c>
      <c r="C159" s="25" t="s">
        <v>2121</v>
      </c>
      <c r="D159" s="25" t="s">
        <v>2260</v>
      </c>
      <c r="E159" s="25" t="s">
        <v>2529</v>
      </c>
      <c r="F159" s="25" t="s">
        <v>2064</v>
      </c>
      <c r="G159" s="25" t="s">
        <v>193</v>
      </c>
    </row>
    <row r="160" ht="15" customHeight="1">
      <c r="A160" s="25" t="s">
        <v>2530</v>
      </c>
      <c r="B160" s="25" t="s">
        <v>2531</v>
      </c>
      <c r="C160" s="25" t="s">
        <v>2153</v>
      </c>
      <c r="D160" s="25" t="s">
        <v>2264</v>
      </c>
      <c r="E160" s="25" t="s">
        <v>2532</v>
      </c>
      <c r="F160" s="25" t="s">
        <v>1826</v>
      </c>
      <c r="G160" s="25" t="s">
        <v>167</v>
      </c>
    </row>
    <row r="161" ht="15" customHeight="1">
      <c r="A161" s="25" t="s">
        <v>2530</v>
      </c>
      <c r="B161" s="25" t="s">
        <v>2533</v>
      </c>
      <c r="C161" s="25" t="s">
        <v>2133</v>
      </c>
      <c r="D161" s="25" t="s">
        <v>2218</v>
      </c>
      <c r="E161" s="25" t="s">
        <v>2534</v>
      </c>
      <c r="F161" s="25" t="s">
        <v>2028</v>
      </c>
      <c r="G161" s="25" t="s">
        <v>200</v>
      </c>
    </row>
    <row r="162" ht="15" customHeight="1">
      <c r="A162" s="25" t="s">
        <v>2535</v>
      </c>
      <c r="B162" s="25" t="s">
        <v>2536</v>
      </c>
      <c r="C162" s="25" t="s">
        <v>2145</v>
      </c>
      <c r="D162" s="25" t="s">
        <v>2222</v>
      </c>
      <c r="E162" s="25" t="s">
        <v>2537</v>
      </c>
      <c r="F162" s="25" t="s">
        <v>1888</v>
      </c>
      <c r="G162" s="25" t="s">
        <v>172</v>
      </c>
    </row>
    <row r="163" ht="15" customHeight="1">
      <c r="A163" s="25" t="s">
        <v>2535</v>
      </c>
      <c r="B163" s="25" t="s">
        <v>2538</v>
      </c>
      <c r="C163" s="25" t="s">
        <v>2121</v>
      </c>
      <c r="D163" s="25" t="s">
        <v>2154</v>
      </c>
      <c r="E163" s="25" t="s">
        <v>2539</v>
      </c>
      <c r="F163" s="25" t="s">
        <v>1978</v>
      </c>
      <c r="G163" s="25" t="s">
        <v>177</v>
      </c>
    </row>
    <row r="164" ht="15" customHeight="1">
      <c r="A164" s="25" t="s">
        <v>2540</v>
      </c>
      <c r="B164" s="25" t="s">
        <v>2541</v>
      </c>
      <c r="C164" s="25" t="s">
        <v>2125</v>
      </c>
      <c r="D164" s="25" t="s">
        <v>2158</v>
      </c>
      <c r="E164" s="25" t="s">
        <v>2542</v>
      </c>
      <c r="F164" s="25" t="s">
        <v>1854</v>
      </c>
      <c r="G164" s="25" t="s">
        <v>167</v>
      </c>
    </row>
    <row r="165" ht="15" customHeight="1">
      <c r="A165" s="25" t="s">
        <v>2540</v>
      </c>
      <c r="B165" s="25" t="s">
        <v>2543</v>
      </c>
      <c r="C165" s="25" t="s">
        <v>2121</v>
      </c>
      <c r="D165" s="25" t="s">
        <v>2149</v>
      </c>
      <c r="E165" s="25" t="s">
        <v>2544</v>
      </c>
      <c r="F165" s="25" t="s">
        <v>2058</v>
      </c>
      <c r="G165" s="25" t="s">
        <v>193</v>
      </c>
    </row>
    <row r="166" ht="15" customHeight="1">
      <c r="A166" s="25" t="s">
        <v>2545</v>
      </c>
      <c r="B166" s="25" t="s">
        <v>2546</v>
      </c>
      <c r="C166" s="25" t="s">
        <v>2129</v>
      </c>
      <c r="D166" s="25" t="s">
        <v>2165</v>
      </c>
      <c r="E166" s="25" t="s">
        <v>2547</v>
      </c>
      <c r="F166" s="25" t="s">
        <v>1908</v>
      </c>
      <c r="G166" s="25" t="s">
        <v>189</v>
      </c>
    </row>
    <row r="167" ht="15" customHeight="1">
      <c r="A167" s="25" t="s">
        <v>2545</v>
      </c>
      <c r="B167" s="25" t="s">
        <v>631</v>
      </c>
      <c r="C167" s="25" t="s">
        <v>2157</v>
      </c>
      <c r="D167" s="25" t="s">
        <v>2122</v>
      </c>
      <c r="E167" s="25" t="s">
        <v>2548</v>
      </c>
      <c r="F167" s="25" t="s">
        <v>2004</v>
      </c>
      <c r="G167" s="25" t="s">
        <v>200</v>
      </c>
    </row>
    <row r="168" ht="15" customHeight="1">
      <c r="A168" s="25" t="s">
        <v>2549</v>
      </c>
      <c r="B168" s="25" t="s">
        <v>1790</v>
      </c>
      <c r="C168" s="25" t="s">
        <v>2125</v>
      </c>
      <c r="D168" s="25" t="s">
        <v>2162</v>
      </c>
      <c r="E168" s="25" t="s">
        <v>2550</v>
      </c>
      <c r="F168" s="25" t="s">
        <v>2106</v>
      </c>
      <c r="G168" s="25" t="s">
        <v>167</v>
      </c>
    </row>
    <row r="169" ht="15" customHeight="1">
      <c r="A169" s="25" t="s">
        <v>2549</v>
      </c>
      <c r="B169" s="25" t="s">
        <v>2551</v>
      </c>
      <c r="C169" s="25" t="s">
        <v>2121</v>
      </c>
      <c r="D169" s="25" t="s">
        <v>2130</v>
      </c>
      <c r="E169" s="25" t="s">
        <v>2552</v>
      </c>
      <c r="F169" s="25" t="s">
        <v>1833</v>
      </c>
      <c r="G169" s="25" t="s">
        <v>172</v>
      </c>
    </row>
    <row r="170" ht="15" customHeight="1">
      <c r="A170" s="25" t="s">
        <v>2553</v>
      </c>
      <c r="B170" s="25" t="s">
        <v>2554</v>
      </c>
      <c r="C170" s="25" t="s">
        <v>2145</v>
      </c>
      <c r="D170" s="25" t="s">
        <v>2146</v>
      </c>
      <c r="E170" s="25" t="s">
        <v>2555</v>
      </c>
      <c r="F170" s="25" t="s">
        <v>1953</v>
      </c>
      <c r="G170" s="25" t="s">
        <v>177</v>
      </c>
    </row>
    <row r="171" ht="15" customHeight="1">
      <c r="A171" s="25" t="s">
        <v>2553</v>
      </c>
      <c r="B171" s="25" t="s">
        <v>2478</v>
      </c>
      <c r="C171" s="25" t="s">
        <v>2121</v>
      </c>
      <c r="D171" s="25" t="s">
        <v>2126</v>
      </c>
      <c r="E171" s="25" t="s">
        <v>2556</v>
      </c>
      <c r="F171" s="25" t="s">
        <v>1895</v>
      </c>
      <c r="G171" s="25" t="s">
        <v>189</v>
      </c>
    </row>
    <row r="172" ht="15" customHeight="1">
      <c r="A172" s="25" t="s">
        <v>2557</v>
      </c>
      <c r="B172" s="25" t="s">
        <v>2558</v>
      </c>
      <c r="C172" s="25" t="s">
        <v>2153</v>
      </c>
      <c r="D172" s="25" t="s">
        <v>2380</v>
      </c>
      <c r="E172" s="25" t="s">
        <v>2559</v>
      </c>
      <c r="F172" s="25" t="s">
        <v>2034</v>
      </c>
      <c r="G172" s="25" t="s">
        <v>193</v>
      </c>
    </row>
    <row r="173" ht="15" customHeight="1">
      <c r="A173" s="25" t="s">
        <v>2557</v>
      </c>
      <c r="B173" s="25" t="s">
        <v>2560</v>
      </c>
      <c r="C173" s="25" t="s">
        <v>2199</v>
      </c>
      <c r="D173" s="25" t="s">
        <v>2258</v>
      </c>
      <c r="E173" s="25" t="s">
        <v>2561</v>
      </c>
      <c r="F173" s="25" t="s">
        <v>2100</v>
      </c>
      <c r="G173" s="25" t="s">
        <v>167</v>
      </c>
    </row>
    <row r="174" ht="15" customHeight="1">
      <c r="A174" s="25" t="s">
        <v>2562</v>
      </c>
      <c r="B174" s="25" t="s">
        <v>2563</v>
      </c>
      <c r="C174" s="25" t="s">
        <v>2121</v>
      </c>
      <c r="D174" s="25" t="s">
        <v>2260</v>
      </c>
      <c r="E174" s="25" t="s">
        <v>2564</v>
      </c>
      <c r="F174" s="25" t="s">
        <v>1819</v>
      </c>
      <c r="G174" s="25" t="s">
        <v>200</v>
      </c>
    </row>
    <row r="175" ht="15" customHeight="1">
      <c r="A175" s="25" t="s">
        <v>2562</v>
      </c>
      <c r="B175" s="25" t="s">
        <v>1151</v>
      </c>
      <c r="C175" s="25" t="s">
        <v>2125</v>
      </c>
      <c r="D175" s="25" t="s">
        <v>2301</v>
      </c>
      <c r="E175" s="25" t="s">
        <v>2565</v>
      </c>
      <c r="F175" s="25" t="s">
        <v>1966</v>
      </c>
      <c r="G175" s="25" t="s">
        <v>172</v>
      </c>
    </row>
    <row r="176" ht="15" customHeight="1">
      <c r="A176" s="25" t="s">
        <v>2566</v>
      </c>
      <c r="B176" s="25" t="s">
        <v>859</v>
      </c>
      <c r="C176" s="25" t="s">
        <v>2145</v>
      </c>
      <c r="D176" s="25" t="s">
        <v>2200</v>
      </c>
      <c r="E176" s="25" t="s">
        <v>2567</v>
      </c>
      <c r="F176" s="25" t="s">
        <v>1881</v>
      </c>
      <c r="G176" s="25" t="s">
        <v>177</v>
      </c>
    </row>
    <row r="177" ht="15" customHeight="1">
      <c r="A177" s="25" t="s">
        <v>2566</v>
      </c>
      <c r="B177" s="25" t="s">
        <v>1381</v>
      </c>
      <c r="C177" s="25" t="s">
        <v>2121</v>
      </c>
      <c r="D177" s="25" t="s">
        <v>2203</v>
      </c>
      <c r="E177" s="25" t="s">
        <v>2568</v>
      </c>
      <c r="F177" s="25" t="s">
        <v>2016</v>
      </c>
      <c r="G177" s="25" t="s">
        <v>167</v>
      </c>
    </row>
    <row r="178" ht="15" customHeight="1">
      <c r="A178" s="25" t="s">
        <v>2569</v>
      </c>
      <c r="B178" s="25" t="s">
        <v>2570</v>
      </c>
      <c r="C178" s="25" t="s">
        <v>2153</v>
      </c>
      <c r="D178" s="25" t="s">
        <v>2154</v>
      </c>
      <c r="E178" s="25" t="s">
        <v>2571</v>
      </c>
      <c r="F178" s="25" t="s">
        <v>2076</v>
      </c>
      <c r="G178" s="25" t="s">
        <v>193</v>
      </c>
    </row>
    <row r="179" ht="15" customHeight="1">
      <c r="A179" s="25" t="s">
        <v>2569</v>
      </c>
      <c r="B179" s="25" t="s">
        <v>1074</v>
      </c>
      <c r="C179" s="25" t="s">
        <v>2133</v>
      </c>
      <c r="D179" s="25" t="s">
        <v>2134</v>
      </c>
      <c r="E179" s="25" t="s">
        <v>2572</v>
      </c>
      <c r="F179" s="25" t="s">
        <v>1798</v>
      </c>
      <c r="G179" s="25" t="s">
        <v>189</v>
      </c>
    </row>
    <row r="180" ht="15" customHeight="1">
      <c r="A180" s="25" t="s">
        <v>2573</v>
      </c>
      <c r="B180" s="25" t="s">
        <v>1513</v>
      </c>
      <c r="C180" s="25" t="s">
        <v>2145</v>
      </c>
      <c r="D180" s="25" t="s">
        <v>2139</v>
      </c>
      <c r="E180" s="25" t="s">
        <v>2574</v>
      </c>
      <c r="F180" s="25" t="s">
        <v>1933</v>
      </c>
      <c r="G180" s="25" t="s">
        <v>200</v>
      </c>
    </row>
    <row r="181" ht="15" customHeight="1">
      <c r="A181" s="25" t="s">
        <v>2573</v>
      </c>
      <c r="B181" s="25" t="s">
        <v>2575</v>
      </c>
      <c r="C181" s="25" t="s">
        <v>2121</v>
      </c>
      <c r="D181" s="25" t="s">
        <v>2141</v>
      </c>
      <c r="E181" s="25" t="s">
        <v>2576</v>
      </c>
      <c r="F181" s="25" t="s">
        <v>2046</v>
      </c>
      <c r="G181" s="25" t="s">
        <v>167</v>
      </c>
    </row>
    <row r="182" ht="15" customHeight="1">
      <c r="A182" s="25" t="s">
        <v>2577</v>
      </c>
      <c r="B182" s="25" t="s">
        <v>2578</v>
      </c>
      <c r="C182" s="25" t="s">
        <v>2125</v>
      </c>
      <c r="D182" s="25" t="s">
        <v>2178</v>
      </c>
      <c r="E182" s="25" t="s">
        <v>2579</v>
      </c>
      <c r="F182" s="25" t="s">
        <v>2112</v>
      </c>
      <c r="G182" s="25" t="s">
        <v>172</v>
      </c>
    </row>
    <row r="183" ht="15" customHeight="1">
      <c r="A183" s="25" t="s">
        <v>2577</v>
      </c>
      <c r="B183" s="25" t="s">
        <v>2580</v>
      </c>
      <c r="C183" s="25" t="s">
        <v>2121</v>
      </c>
      <c r="D183" s="25" t="s">
        <v>2182</v>
      </c>
      <c r="E183" s="25" t="s">
        <v>2581</v>
      </c>
      <c r="F183" s="25" t="s">
        <v>1868</v>
      </c>
      <c r="G183" s="25" t="s">
        <v>177</v>
      </c>
    </row>
    <row r="184" ht="15" customHeight="1">
      <c r="A184" s="25" t="s">
        <v>2582</v>
      </c>
      <c r="B184" s="25" t="s">
        <v>2583</v>
      </c>
      <c r="C184" s="25" t="s">
        <v>2129</v>
      </c>
      <c r="D184" s="25" t="s">
        <v>2185</v>
      </c>
      <c r="E184" s="25" t="s">
        <v>2584</v>
      </c>
      <c r="F184" s="25" t="s">
        <v>1972</v>
      </c>
      <c r="G184" s="25" t="s">
        <v>189</v>
      </c>
    </row>
    <row r="185" ht="15" customHeight="1">
      <c r="A185" s="25" t="s">
        <v>2582</v>
      </c>
      <c r="B185" s="25" t="s">
        <v>958</v>
      </c>
      <c r="C185" s="25" t="s">
        <v>2157</v>
      </c>
      <c r="D185" s="25" t="s">
        <v>2158</v>
      </c>
      <c r="E185" s="25" t="s">
        <v>2585</v>
      </c>
      <c r="F185" s="25" t="s">
        <v>1914</v>
      </c>
      <c r="G185" s="25" t="s">
        <v>193</v>
      </c>
    </row>
    <row r="186" ht="15" customHeight="1">
      <c r="A186" s="25" t="s">
        <v>2586</v>
      </c>
      <c r="B186" s="25" t="s">
        <v>1221</v>
      </c>
      <c r="C186" s="25" t="s">
        <v>2125</v>
      </c>
      <c r="D186" s="25" t="s">
        <v>2149</v>
      </c>
      <c r="E186" s="25" t="s">
        <v>2587</v>
      </c>
      <c r="F186" s="25" t="s">
        <v>2052</v>
      </c>
      <c r="G186" s="25" t="s">
        <v>167</v>
      </c>
    </row>
    <row r="187" ht="15" customHeight="1">
      <c r="A187" s="25" t="s">
        <v>2586</v>
      </c>
      <c r="B187" s="25" t="s">
        <v>2588</v>
      </c>
      <c r="C187" s="25" t="s">
        <v>2121</v>
      </c>
      <c r="D187" s="25" t="s">
        <v>2165</v>
      </c>
      <c r="E187" s="25" t="s">
        <v>2589</v>
      </c>
      <c r="F187" s="25" t="s">
        <v>1812</v>
      </c>
      <c r="G187" s="25" t="s">
        <v>200</v>
      </c>
    </row>
    <row r="188" ht="15" customHeight="1">
      <c r="A188" s="25" t="s">
        <v>2590</v>
      </c>
      <c r="B188" s="25" t="s">
        <v>2591</v>
      </c>
      <c r="C188" s="25" t="s">
        <v>2145</v>
      </c>
      <c r="D188" s="25" t="s">
        <v>2146</v>
      </c>
      <c r="E188" s="25" t="s">
        <v>2592</v>
      </c>
      <c r="F188" s="25" t="s">
        <v>1959</v>
      </c>
      <c r="G188" s="25" t="s">
        <v>172</v>
      </c>
    </row>
    <row r="189" ht="15" customHeight="1">
      <c r="A189" s="25" t="s">
        <v>2590</v>
      </c>
      <c r="B189" s="25" t="s">
        <v>2593</v>
      </c>
      <c r="C189" s="25" t="s">
        <v>2121</v>
      </c>
      <c r="D189" s="25" t="s">
        <v>2126</v>
      </c>
      <c r="E189" s="25" t="s">
        <v>2594</v>
      </c>
      <c r="F189" s="25" t="s">
        <v>1861</v>
      </c>
      <c r="G189" s="25" t="s">
        <v>177</v>
      </c>
    </row>
    <row r="190" ht="15" customHeight="1">
      <c r="A190" s="25" t="s">
        <v>2595</v>
      </c>
      <c r="B190" s="25" t="s">
        <v>2596</v>
      </c>
      <c r="C190" s="25" t="s">
        <v>2153</v>
      </c>
      <c r="D190" s="25" t="s">
        <v>2380</v>
      </c>
      <c r="E190" s="25" t="s">
        <v>2597</v>
      </c>
      <c r="F190" s="25" t="s">
        <v>2010</v>
      </c>
      <c r="G190" s="25" t="s">
        <v>167</v>
      </c>
    </row>
    <row r="191" ht="15" customHeight="1">
      <c r="A191" s="25" t="s">
        <v>2595</v>
      </c>
      <c r="B191" s="25" t="s">
        <v>1479</v>
      </c>
      <c r="C191" s="25" t="s">
        <v>2199</v>
      </c>
      <c r="D191" s="25" t="s">
        <v>2258</v>
      </c>
      <c r="E191" s="25" t="s">
        <v>2598</v>
      </c>
      <c r="F191" s="25" t="s">
        <v>2094</v>
      </c>
      <c r="G191" s="25" t="s">
        <v>193</v>
      </c>
    </row>
    <row r="192" ht="15" customHeight="1">
      <c r="A192" s="25" t="s">
        <v>2599</v>
      </c>
      <c r="B192" s="25" t="s">
        <v>2600</v>
      </c>
      <c r="C192" s="25" t="s">
        <v>2121</v>
      </c>
      <c r="D192" s="25" t="s">
        <v>2260</v>
      </c>
      <c r="E192" s="25" t="s">
        <v>2601</v>
      </c>
      <c r="F192" s="25" t="s">
        <v>1927</v>
      </c>
      <c r="G192" s="25" t="s">
        <v>189</v>
      </c>
    </row>
    <row r="193" ht="15" customHeight="1">
      <c r="A193" s="25" t="s">
        <v>2599</v>
      </c>
      <c r="B193" s="25" t="s">
        <v>2602</v>
      </c>
      <c r="C193" s="25" t="s">
        <v>2125</v>
      </c>
      <c r="D193" s="25" t="s">
        <v>2301</v>
      </c>
      <c r="E193" s="25" t="s">
        <v>2603</v>
      </c>
      <c r="F193" s="25" t="s">
        <v>1805</v>
      </c>
      <c r="G193" s="25" t="s">
        <v>200</v>
      </c>
    </row>
    <row r="194" ht="15" customHeight="1">
      <c r="A194" s="25" t="s">
        <v>2604</v>
      </c>
      <c r="B194" s="25" t="s">
        <v>2605</v>
      </c>
      <c r="C194" s="25" t="s">
        <v>2145</v>
      </c>
      <c r="D194" s="25" t="s">
        <v>2200</v>
      </c>
      <c r="E194" s="25" t="s">
        <v>2606</v>
      </c>
      <c r="F194" s="25" t="s">
        <v>2040</v>
      </c>
      <c r="G194" s="25" t="s">
        <v>167</v>
      </c>
    </row>
    <row r="195" ht="15" customHeight="1">
      <c r="A195" s="25" t="s">
        <v>2604</v>
      </c>
      <c r="B195" s="25" t="s">
        <v>1654</v>
      </c>
      <c r="C195" s="25" t="s">
        <v>2121</v>
      </c>
      <c r="D195" s="25" t="s">
        <v>2203</v>
      </c>
      <c r="E195" s="25" t="s">
        <v>2607</v>
      </c>
      <c r="F195" s="25" t="s">
        <v>1902</v>
      </c>
      <c r="G195" s="25" t="s">
        <v>172</v>
      </c>
    </row>
    <row r="196" ht="15" customHeight="1">
      <c r="A196" s="25" t="s">
        <v>2608</v>
      </c>
      <c r="B196" s="25" t="s">
        <v>2609</v>
      </c>
      <c r="C196" s="25" t="s">
        <v>2153</v>
      </c>
      <c r="D196" s="25" t="s">
        <v>2154</v>
      </c>
      <c r="E196" s="25" t="s">
        <v>2610</v>
      </c>
      <c r="F196" s="25" t="s">
        <v>1984</v>
      </c>
      <c r="G196" s="25" t="s">
        <v>177</v>
      </c>
    </row>
    <row r="197" ht="15" customHeight="1">
      <c r="A197" s="25" t="s">
        <v>2608</v>
      </c>
      <c r="B197" s="25" t="s">
        <v>1185</v>
      </c>
      <c r="C197" s="25" t="s">
        <v>2133</v>
      </c>
      <c r="D197" s="25" t="s">
        <v>2134</v>
      </c>
      <c r="E197" s="25" t="s">
        <v>2611</v>
      </c>
      <c r="F197" s="25" t="s">
        <v>2022</v>
      </c>
      <c r="G197" s="25" t="s">
        <v>189</v>
      </c>
    </row>
    <row r="198" ht="15" customHeight="1">
      <c r="A198" s="25" t="s">
        <v>2612</v>
      </c>
      <c r="B198" s="25" t="s">
        <v>1369</v>
      </c>
      <c r="C198" s="25" t="s">
        <v>2145</v>
      </c>
      <c r="D198" s="25" t="s">
        <v>2139</v>
      </c>
      <c r="E198" s="25" t="s">
        <v>2613</v>
      </c>
      <c r="F198" s="25" t="s">
        <v>2088</v>
      </c>
      <c r="G198" s="25" t="s">
        <v>193</v>
      </c>
    </row>
    <row r="199" ht="15" customHeight="1">
      <c r="A199" s="25" t="s">
        <v>2612</v>
      </c>
      <c r="B199" s="25" t="s">
        <v>2614</v>
      </c>
      <c r="C199" s="25" t="s">
        <v>2121</v>
      </c>
      <c r="D199" s="25" t="s">
        <v>2141</v>
      </c>
      <c r="E199" s="25" t="s">
        <v>2615</v>
      </c>
      <c r="F199" s="25" t="s">
        <v>1940</v>
      </c>
      <c r="G199" s="25" t="s">
        <v>167</v>
      </c>
    </row>
    <row r="200" ht="15" customHeight="1">
      <c r="A200" s="25" t="s">
        <v>2616</v>
      </c>
      <c r="B200" s="25" t="s">
        <v>2617</v>
      </c>
      <c r="C200" s="25" t="s">
        <v>2125</v>
      </c>
      <c r="D200" s="25" t="s">
        <v>2178</v>
      </c>
      <c r="E200" s="25" t="s">
        <v>2618</v>
      </c>
      <c r="F200" s="25" t="s">
        <v>2070</v>
      </c>
      <c r="G200" s="25" t="s">
        <v>200</v>
      </c>
    </row>
    <row r="201" ht="15" customHeight="1">
      <c r="A201" s="25" t="s">
        <v>2616</v>
      </c>
      <c r="B201" s="25" t="s">
        <v>1688</v>
      </c>
      <c r="C201" s="25" t="s">
        <v>2121</v>
      </c>
      <c r="D201" s="25" t="s">
        <v>2182</v>
      </c>
      <c r="E201" s="25" t="s">
        <v>2619</v>
      </c>
      <c r="F201" s="25" t="s">
        <v>1991</v>
      </c>
      <c r="G201" s="25" t="s">
        <v>172</v>
      </c>
    </row>
    <row r="202" ht="15" customHeight="1">
      <c r="A202" s="25" t="s">
        <v>2620</v>
      </c>
      <c r="B202" s="25" t="s">
        <v>1427</v>
      </c>
      <c r="C202" s="25" t="s">
        <v>2129</v>
      </c>
      <c r="D202" s="25" t="s">
        <v>2185</v>
      </c>
      <c r="E202" s="25" t="s">
        <v>2621</v>
      </c>
      <c r="F202" s="25" t="s">
        <v>1874</v>
      </c>
      <c r="G202" s="25" t="s">
        <v>177</v>
      </c>
    </row>
    <row r="203" ht="15" customHeight="1">
      <c r="A203" s="25" t="s">
        <v>2620</v>
      </c>
      <c r="B203" s="25" t="s">
        <v>2622</v>
      </c>
      <c r="C203" s="25" t="s">
        <v>2157</v>
      </c>
      <c r="D203" s="25" t="s">
        <v>2158</v>
      </c>
      <c r="E203" s="25" t="s">
        <v>2623</v>
      </c>
      <c r="F203" s="25" t="s">
        <v>1840</v>
      </c>
      <c r="G203" s="25" t="s">
        <v>167</v>
      </c>
    </row>
    <row r="204" ht="15" customHeight="1">
      <c r="A204" s="25" t="s">
        <v>2624</v>
      </c>
      <c r="B204" s="25" t="s">
        <v>2625</v>
      </c>
      <c r="C204" s="25" t="s">
        <v>2125</v>
      </c>
      <c r="D204" s="25" t="s">
        <v>2149</v>
      </c>
      <c r="E204" s="25" t="s">
        <v>2626</v>
      </c>
      <c r="F204" s="25" t="s">
        <v>1947</v>
      </c>
      <c r="G204" s="25" t="s">
        <v>193</v>
      </c>
    </row>
    <row r="205" ht="15" customHeight="1">
      <c r="A205" s="25" t="s">
        <v>2624</v>
      </c>
      <c r="B205" s="25" t="s">
        <v>2627</v>
      </c>
      <c r="C205" s="25" t="s">
        <v>2121</v>
      </c>
      <c r="D205" s="25" t="s">
        <v>2165</v>
      </c>
      <c r="E205" s="25" t="s">
        <v>2628</v>
      </c>
      <c r="F205" s="25" t="s">
        <v>2082</v>
      </c>
      <c r="G205" s="25" t="s">
        <v>189</v>
      </c>
    </row>
    <row r="206" ht="15" customHeight="1">
      <c r="A206" s="25" t="s">
        <v>2629</v>
      </c>
      <c r="B206" s="25" t="s">
        <v>2630</v>
      </c>
      <c r="C206" s="25" t="s">
        <v>2145</v>
      </c>
      <c r="D206" s="25" t="s">
        <v>2146</v>
      </c>
      <c r="E206" s="25" t="s">
        <v>2631</v>
      </c>
      <c r="F206" s="25" t="s">
        <v>1847</v>
      </c>
      <c r="G206" s="25" t="s">
        <v>200</v>
      </c>
    </row>
    <row r="207" ht="15" customHeight="1">
      <c r="A207" s="25" t="s">
        <v>2629</v>
      </c>
      <c r="B207" s="25" t="s">
        <v>2521</v>
      </c>
      <c r="C207" s="25" t="s">
        <v>2121</v>
      </c>
      <c r="D207" s="25" t="s">
        <v>2126</v>
      </c>
      <c r="E207" s="25" t="s">
        <v>2632</v>
      </c>
      <c r="F207" s="25" t="s">
        <v>1997</v>
      </c>
      <c r="G207" s="25" t="s">
        <v>167</v>
      </c>
    </row>
    <row r="208" ht="15" customHeight="1">
      <c r="A208" s="25" t="s">
        <v>2633</v>
      </c>
      <c r="B208" s="25" t="s">
        <v>2634</v>
      </c>
      <c r="C208" s="25" t="s">
        <v>2153</v>
      </c>
      <c r="D208" s="25" t="s">
        <v>2380</v>
      </c>
      <c r="E208" s="25" t="s">
        <v>2635</v>
      </c>
      <c r="F208" s="25" t="s">
        <v>1920</v>
      </c>
      <c r="G208" s="25" t="s">
        <v>172</v>
      </c>
    </row>
    <row r="209" ht="15" customHeight="1">
      <c r="A209" s="25" t="s">
        <v>2633</v>
      </c>
      <c r="B209" s="25" t="s">
        <v>2636</v>
      </c>
      <c r="C209" s="25" t="s">
        <v>2199</v>
      </c>
      <c r="D209" s="25" t="s">
        <v>2258</v>
      </c>
      <c r="E209" s="25" t="s">
        <v>2637</v>
      </c>
      <c r="F209" s="25" t="s">
        <v>2064</v>
      </c>
      <c r="G209" s="25" t="s">
        <v>177</v>
      </c>
    </row>
    <row r="210" ht="15" customHeight="1">
      <c r="A210" s="25" t="s">
        <v>2638</v>
      </c>
      <c r="B210" s="25" t="s">
        <v>2639</v>
      </c>
      <c r="C210" s="25" t="s">
        <v>2121</v>
      </c>
      <c r="D210" s="25" t="s">
        <v>2260</v>
      </c>
      <c r="E210" s="25" t="s">
        <v>2640</v>
      </c>
      <c r="F210" s="25" t="s">
        <v>1826</v>
      </c>
      <c r="G210" s="25" t="s">
        <v>189</v>
      </c>
    </row>
    <row r="211" ht="15" customHeight="1">
      <c r="A211" s="25" t="s">
        <v>2638</v>
      </c>
      <c r="B211" s="25" t="s">
        <v>2641</v>
      </c>
      <c r="C211" s="25" t="s">
        <v>2125</v>
      </c>
      <c r="D211" s="25" t="s">
        <v>2301</v>
      </c>
      <c r="E211" s="25" t="s">
        <v>2642</v>
      </c>
      <c r="F211" s="25" t="s">
        <v>2028</v>
      </c>
      <c r="G211" s="25" t="s">
        <v>193</v>
      </c>
    </row>
    <row r="212" ht="15" customHeight="1">
      <c r="A212" s="25" t="s">
        <v>2643</v>
      </c>
      <c r="B212" s="25" t="s">
        <v>2408</v>
      </c>
      <c r="C212" s="25" t="s">
        <v>2145</v>
      </c>
      <c r="D212" s="25" t="s">
        <v>2200</v>
      </c>
      <c r="E212" s="25" t="s">
        <v>2644</v>
      </c>
      <c r="F212" s="25" t="s">
        <v>1888</v>
      </c>
      <c r="G212" s="25" t="s">
        <v>167</v>
      </c>
    </row>
    <row r="213" ht="15" customHeight="1">
      <c r="A213" s="25" t="s">
        <v>2643</v>
      </c>
      <c r="B213" s="25" t="s">
        <v>2645</v>
      </c>
      <c r="C213" s="25" t="s">
        <v>2121</v>
      </c>
      <c r="D213" s="25" t="s">
        <v>2203</v>
      </c>
      <c r="E213" s="25" t="s">
        <v>2646</v>
      </c>
      <c r="F213" s="25" t="s">
        <v>1978</v>
      </c>
      <c r="G213" s="25" t="s">
        <v>200</v>
      </c>
    </row>
    <row r="214" ht="15" customHeight="1">
      <c r="A214" s="25" t="s">
        <v>2647</v>
      </c>
      <c r="B214" s="25" t="s">
        <v>2648</v>
      </c>
      <c r="C214" s="25" t="s">
        <v>2153</v>
      </c>
      <c r="D214" s="25" t="s">
        <v>2154</v>
      </c>
      <c r="E214" s="25" t="s">
        <v>2649</v>
      </c>
      <c r="F214" s="25" t="s">
        <v>1854</v>
      </c>
      <c r="G214" s="25" t="s">
        <v>172</v>
      </c>
    </row>
    <row r="215" ht="15" customHeight="1">
      <c r="A215" s="25" t="s">
        <v>2647</v>
      </c>
      <c r="B215" s="25" t="s">
        <v>2650</v>
      </c>
      <c r="C215" s="25" t="s">
        <v>2133</v>
      </c>
      <c r="D215" s="25" t="s">
        <v>2134</v>
      </c>
      <c r="E215" s="25" t="s">
        <v>2651</v>
      </c>
      <c r="F215" s="25" t="s">
        <v>2058</v>
      </c>
      <c r="G215" s="25" t="s">
        <v>177</v>
      </c>
    </row>
    <row r="216" ht="15" customHeight="1">
      <c r="A216" s="25" t="s">
        <v>2652</v>
      </c>
      <c r="B216" s="25" t="s">
        <v>2653</v>
      </c>
      <c r="C216" s="25" t="s">
        <v>2145</v>
      </c>
      <c r="D216" s="25" t="s">
        <v>2139</v>
      </c>
      <c r="E216" s="25" t="s">
        <v>2654</v>
      </c>
      <c r="F216" s="25" t="s">
        <v>1908</v>
      </c>
      <c r="G216" s="25" t="s">
        <v>167</v>
      </c>
    </row>
    <row r="217" ht="15" customHeight="1">
      <c r="A217" s="25" t="s">
        <v>2652</v>
      </c>
      <c r="B217" s="25" t="s">
        <v>639</v>
      </c>
      <c r="C217" s="25" t="s">
        <v>2121</v>
      </c>
      <c r="D217" s="25" t="s">
        <v>2141</v>
      </c>
      <c r="E217" s="25" t="s">
        <v>2655</v>
      </c>
      <c r="F217" s="25" t="s">
        <v>2004</v>
      </c>
      <c r="G217" s="25" t="s">
        <v>193</v>
      </c>
    </row>
    <row r="218" ht="15" customHeight="1">
      <c r="A218" s="25" t="s">
        <v>2656</v>
      </c>
      <c r="B218" s="25" t="s">
        <v>869</v>
      </c>
      <c r="C218" s="25" t="s">
        <v>2125</v>
      </c>
      <c r="D218" s="25" t="s">
        <v>2178</v>
      </c>
      <c r="E218" s="25" t="s">
        <v>2657</v>
      </c>
      <c r="F218" s="25" t="s">
        <v>2106</v>
      </c>
      <c r="G218" s="25" t="s">
        <v>189</v>
      </c>
    </row>
    <row r="219" ht="15" customHeight="1">
      <c r="A219" s="25" t="s">
        <v>2656</v>
      </c>
      <c r="B219" s="25" t="s">
        <v>2658</v>
      </c>
      <c r="C219" s="25" t="s">
        <v>2121</v>
      </c>
      <c r="D219" s="25" t="s">
        <v>2182</v>
      </c>
      <c r="E219" s="25" t="s">
        <v>2659</v>
      </c>
      <c r="F219" s="25" t="s">
        <v>1833</v>
      </c>
      <c r="G219" s="25" t="s">
        <v>200</v>
      </c>
    </row>
    <row r="220" ht="15" customHeight="1">
      <c r="A220" s="25" t="s">
        <v>2660</v>
      </c>
      <c r="B220" s="25" t="s">
        <v>1477</v>
      </c>
      <c r="C220" s="25" t="s">
        <v>2129</v>
      </c>
      <c r="D220" s="25" t="s">
        <v>2185</v>
      </c>
      <c r="E220" s="25" t="s">
        <v>2661</v>
      </c>
      <c r="F220" s="25" t="s">
        <v>1953</v>
      </c>
      <c r="G220" s="25" t="s">
        <v>167</v>
      </c>
    </row>
    <row r="221" ht="15" customHeight="1">
      <c r="A221" s="25" t="s">
        <v>2660</v>
      </c>
      <c r="B221" s="25" t="s">
        <v>2274</v>
      </c>
      <c r="C221" s="25" t="s">
        <v>2157</v>
      </c>
      <c r="D221" s="25" t="s">
        <v>2158</v>
      </c>
      <c r="E221" s="25" t="s">
        <v>2662</v>
      </c>
      <c r="F221" s="25" t="s">
        <v>1895</v>
      </c>
      <c r="G221" s="25" t="s">
        <v>172</v>
      </c>
    </row>
    <row r="222" ht="15" customHeight="1">
      <c r="A222" s="25" t="s">
        <v>2663</v>
      </c>
      <c r="B222" s="25" t="s">
        <v>2664</v>
      </c>
      <c r="C222" s="25" t="s">
        <v>2125</v>
      </c>
      <c r="D222" s="25" t="s">
        <v>2149</v>
      </c>
      <c r="E222" s="25" t="s">
        <v>2665</v>
      </c>
      <c r="F222" s="25" t="s">
        <v>2034</v>
      </c>
      <c r="G222" s="25" t="s">
        <v>177</v>
      </c>
    </row>
    <row r="223" ht="15" customHeight="1">
      <c r="A223" s="25" t="s">
        <v>2663</v>
      </c>
      <c r="B223" s="25" t="s">
        <v>2452</v>
      </c>
      <c r="C223" s="25" t="s">
        <v>2121</v>
      </c>
      <c r="D223" s="25" t="s">
        <v>2165</v>
      </c>
      <c r="E223" s="25" t="s">
        <v>2666</v>
      </c>
      <c r="F223" s="25" t="s">
        <v>2100</v>
      </c>
      <c r="G223" s="25" t="s">
        <v>189</v>
      </c>
    </row>
    <row r="224" ht="15" customHeight="1">
      <c r="A224" s="25" t="s">
        <v>2667</v>
      </c>
      <c r="B224" s="25" t="s">
        <v>2668</v>
      </c>
      <c r="C224" s="25" t="s">
        <v>2145</v>
      </c>
      <c r="D224" s="25" t="s">
        <v>2146</v>
      </c>
      <c r="E224" s="25" t="s">
        <v>2669</v>
      </c>
      <c r="F224" s="25" t="s">
        <v>1819</v>
      </c>
      <c r="G224" s="25" t="s">
        <v>193</v>
      </c>
    </row>
    <row r="225" ht="15" customHeight="1">
      <c r="A225" s="25" t="s">
        <v>2667</v>
      </c>
      <c r="B225" s="25" t="s">
        <v>2670</v>
      </c>
      <c r="C225" s="25" t="s">
        <v>2121</v>
      </c>
      <c r="D225" s="25" t="s">
        <v>2126</v>
      </c>
      <c r="E225" s="25" t="s">
        <v>2671</v>
      </c>
      <c r="F225" s="25" t="s">
        <v>1966</v>
      </c>
      <c r="G225" s="25" t="s">
        <v>167</v>
      </c>
    </row>
    <row r="226" ht="15" customHeight="1">
      <c r="A226" s="25" t="s">
        <v>2672</v>
      </c>
      <c r="B226" s="25" t="s">
        <v>2673</v>
      </c>
      <c r="C226" s="25" t="s">
        <v>2153</v>
      </c>
      <c r="D226" s="25" t="s">
        <v>2380</v>
      </c>
      <c r="E226" s="25" t="s">
        <v>2674</v>
      </c>
      <c r="F226" s="25" t="s">
        <v>1881</v>
      </c>
      <c r="G226" s="25" t="s">
        <v>200</v>
      </c>
    </row>
    <row r="227" ht="15" customHeight="1">
      <c r="A227" s="25" t="s">
        <v>2672</v>
      </c>
      <c r="B227" s="25" t="s">
        <v>2675</v>
      </c>
      <c r="C227" s="25" t="s">
        <v>2199</v>
      </c>
      <c r="D227" s="25" t="s">
        <v>2258</v>
      </c>
      <c r="E227" s="25" t="s">
        <v>2676</v>
      </c>
      <c r="F227" s="25" t="s">
        <v>2016</v>
      </c>
      <c r="G227" s="25" t="s">
        <v>172</v>
      </c>
    </row>
    <row r="228" ht="15" customHeight="1">
      <c r="A228" s="25" t="s">
        <v>2677</v>
      </c>
      <c r="B228" s="25" t="s">
        <v>1193</v>
      </c>
      <c r="C228" s="25" t="s">
        <v>2121</v>
      </c>
      <c r="D228" s="25" t="s">
        <v>2260</v>
      </c>
      <c r="E228" s="25" t="s">
        <v>2678</v>
      </c>
      <c r="F228" s="25" t="s">
        <v>2076</v>
      </c>
      <c r="G228" s="25" t="s">
        <v>177</v>
      </c>
    </row>
    <row r="229" ht="15" customHeight="1">
      <c r="A229" s="25" t="s">
        <v>2677</v>
      </c>
      <c r="B229" s="25" t="s">
        <v>2679</v>
      </c>
      <c r="C229" s="25" t="s">
        <v>2125</v>
      </c>
      <c r="D229" s="25" t="s">
        <v>2301</v>
      </c>
      <c r="E229" s="25" t="s">
        <v>2680</v>
      </c>
      <c r="F229" s="25" t="s">
        <v>1798</v>
      </c>
      <c r="G229" s="25" t="s">
        <v>167</v>
      </c>
    </row>
    <row r="230" ht="15" customHeight="1">
      <c r="A230" s="25" t="s">
        <v>2681</v>
      </c>
      <c r="B230" s="25" t="s">
        <v>2682</v>
      </c>
      <c r="C230" s="25" t="s">
        <v>2145</v>
      </c>
      <c r="D230" s="25" t="s">
        <v>2200</v>
      </c>
      <c r="E230" s="25" t="s">
        <v>2683</v>
      </c>
      <c r="F230" s="25" t="s">
        <v>1933</v>
      </c>
      <c r="G230" s="25" t="s">
        <v>193</v>
      </c>
    </row>
    <row r="231" ht="15" customHeight="1">
      <c r="A231" s="25" t="s">
        <v>2681</v>
      </c>
      <c r="B231" s="25" t="s">
        <v>2684</v>
      </c>
      <c r="C231" s="25" t="s">
        <v>2121</v>
      </c>
      <c r="D231" s="25" t="s">
        <v>2203</v>
      </c>
      <c r="E231" s="25" t="s">
        <v>2685</v>
      </c>
      <c r="F231" s="25" t="s">
        <v>2046</v>
      </c>
      <c r="G231" s="25" t="s">
        <v>189</v>
      </c>
    </row>
    <row r="232" ht="15" customHeight="1">
      <c r="A232" s="25" t="s">
        <v>2686</v>
      </c>
      <c r="B232" s="25" t="s">
        <v>2687</v>
      </c>
      <c r="C232" s="25" t="s">
        <v>2153</v>
      </c>
      <c r="D232" s="25" t="s">
        <v>2154</v>
      </c>
      <c r="E232" s="25" t="s">
        <v>2688</v>
      </c>
      <c r="F232" s="25" t="s">
        <v>2112</v>
      </c>
      <c r="G232" s="25" t="s">
        <v>200</v>
      </c>
    </row>
    <row r="233" ht="15" customHeight="1">
      <c r="A233" s="25" t="s">
        <v>2686</v>
      </c>
      <c r="B233" s="25" t="s">
        <v>2689</v>
      </c>
      <c r="C233" s="25" t="s">
        <v>2133</v>
      </c>
      <c r="D233" s="25" t="s">
        <v>2134</v>
      </c>
      <c r="E233" s="25" t="s">
        <v>2690</v>
      </c>
      <c r="F233" s="25" t="s">
        <v>1868</v>
      </c>
      <c r="G233" s="25" t="s">
        <v>167</v>
      </c>
    </row>
    <row r="234" ht="15" customHeight="1">
      <c r="A234" s="25" t="s">
        <v>2691</v>
      </c>
      <c r="B234" s="25" t="s">
        <v>2692</v>
      </c>
      <c r="C234" s="25" t="s">
        <v>2145</v>
      </c>
      <c r="D234" s="25" t="s">
        <v>2139</v>
      </c>
      <c r="E234" s="25" t="s">
        <v>2693</v>
      </c>
      <c r="F234" s="25" t="s">
        <v>1972</v>
      </c>
      <c r="G234" s="25" t="s">
        <v>172</v>
      </c>
    </row>
    <row r="235" ht="15" customHeight="1">
      <c r="A235" s="25" t="s">
        <v>2691</v>
      </c>
      <c r="B235" s="25" t="s">
        <v>2694</v>
      </c>
      <c r="C235" s="25" t="s">
        <v>2121</v>
      </c>
      <c r="D235" s="25" t="s">
        <v>2141</v>
      </c>
      <c r="E235" s="25" t="s">
        <v>2695</v>
      </c>
      <c r="F235" s="25" t="s">
        <v>1914</v>
      </c>
      <c r="G235" s="25" t="s">
        <v>177</v>
      </c>
    </row>
    <row r="236" ht="15" customHeight="1">
      <c r="A236" s="25" t="s">
        <v>2696</v>
      </c>
      <c r="B236" s="25" t="s">
        <v>894</v>
      </c>
      <c r="C236" s="25" t="s">
        <v>2125</v>
      </c>
      <c r="D236" s="25" t="s">
        <v>2178</v>
      </c>
      <c r="E236" s="25" t="s">
        <v>2697</v>
      </c>
      <c r="F236" s="25" t="s">
        <v>2052</v>
      </c>
      <c r="G236" s="25" t="s">
        <v>189</v>
      </c>
    </row>
    <row r="237" ht="15" customHeight="1">
      <c r="A237" s="25" t="s">
        <v>2696</v>
      </c>
      <c r="B237" s="25" t="s">
        <v>1328</v>
      </c>
      <c r="C237" s="25" t="s">
        <v>2121</v>
      </c>
      <c r="D237" s="25" t="s">
        <v>2182</v>
      </c>
      <c r="E237" s="25" t="s">
        <v>2698</v>
      </c>
      <c r="F237" s="25" t="s">
        <v>1812</v>
      </c>
      <c r="G237" s="25" t="s">
        <v>193</v>
      </c>
    </row>
    <row r="238" ht="15" customHeight="1">
      <c r="A238" s="25" t="s">
        <v>2699</v>
      </c>
      <c r="B238" s="25" t="s">
        <v>1530</v>
      </c>
      <c r="C238" s="25" t="s">
        <v>2129</v>
      </c>
      <c r="D238" s="25" t="s">
        <v>2185</v>
      </c>
      <c r="E238" s="25" t="s">
        <v>2700</v>
      </c>
      <c r="F238" s="25" t="s">
        <v>1959</v>
      </c>
      <c r="G238" s="25" t="s">
        <v>167</v>
      </c>
    </row>
    <row r="239" ht="15" customHeight="1">
      <c r="A239" s="25" t="s">
        <v>2699</v>
      </c>
      <c r="B239" s="25" t="s">
        <v>2701</v>
      </c>
      <c r="C239" s="25" t="s">
        <v>2157</v>
      </c>
      <c r="D239" s="25" t="s">
        <v>2158</v>
      </c>
      <c r="E239" s="25" t="s">
        <v>2702</v>
      </c>
      <c r="F239" s="25" t="s">
        <v>1861</v>
      </c>
      <c r="G239" s="25" t="s">
        <v>200</v>
      </c>
    </row>
    <row r="240" ht="15" customHeight="1">
      <c r="A240" s="25" t="s">
        <v>2703</v>
      </c>
      <c r="B240" s="25" t="s">
        <v>2704</v>
      </c>
      <c r="C240" s="25" t="s">
        <v>2125</v>
      </c>
      <c r="D240" s="25" t="s">
        <v>2149</v>
      </c>
      <c r="E240" s="25" t="s">
        <v>2705</v>
      </c>
      <c r="F240" s="25" t="s">
        <v>2010</v>
      </c>
      <c r="G240" s="25" t="s">
        <v>172</v>
      </c>
    </row>
    <row r="241" ht="15" customHeight="1">
      <c r="A241" s="25" t="s">
        <v>2703</v>
      </c>
      <c r="B241" s="25" t="s">
        <v>2706</v>
      </c>
      <c r="C241" s="25" t="s">
        <v>2121</v>
      </c>
      <c r="D241" s="25" t="s">
        <v>2165</v>
      </c>
      <c r="E241" s="25" t="s">
        <v>2707</v>
      </c>
      <c r="F241" s="25" t="s">
        <v>2094</v>
      </c>
      <c r="G241" s="25" t="s">
        <v>177</v>
      </c>
    </row>
    <row r="242" ht="15" customHeight="1">
      <c r="A242" s="25" t="s">
        <v>2708</v>
      </c>
      <c r="B242" s="25" t="s">
        <v>2709</v>
      </c>
      <c r="C242" s="25" t="s">
        <v>2145</v>
      </c>
      <c r="D242" s="25" t="s">
        <v>2146</v>
      </c>
      <c r="E242" s="25" t="s">
        <v>2710</v>
      </c>
      <c r="F242" s="25" t="s">
        <v>1927</v>
      </c>
      <c r="G242" s="25" t="s">
        <v>167</v>
      </c>
    </row>
    <row r="243" ht="15" customHeight="1">
      <c r="A243" s="25" t="s">
        <v>2708</v>
      </c>
      <c r="B243" s="25" t="s">
        <v>2711</v>
      </c>
      <c r="C243" s="25" t="s">
        <v>2121</v>
      </c>
      <c r="D243" s="25" t="s">
        <v>2126</v>
      </c>
      <c r="E243" s="25" t="s">
        <v>2712</v>
      </c>
      <c r="F243" s="25" t="s">
        <v>1805</v>
      </c>
      <c r="G243" s="25" t="s">
        <v>193</v>
      </c>
    </row>
    <row r="244" ht="15" customHeight="1">
      <c r="A244" s="25" t="s">
        <v>2713</v>
      </c>
      <c r="B244" s="25" t="s">
        <v>1364</v>
      </c>
      <c r="C244" s="25" t="s">
        <v>2153</v>
      </c>
      <c r="D244" s="25" t="s">
        <v>2380</v>
      </c>
      <c r="E244" s="25" t="s">
        <v>2714</v>
      </c>
      <c r="F244" s="25" t="s">
        <v>2040</v>
      </c>
      <c r="G244" s="25" t="s">
        <v>189</v>
      </c>
    </row>
    <row r="245" ht="15" customHeight="1">
      <c r="A245" s="25" t="s">
        <v>2713</v>
      </c>
      <c r="B245" s="25" t="s">
        <v>2715</v>
      </c>
      <c r="C245" s="25" t="s">
        <v>2199</v>
      </c>
      <c r="D245" s="25" t="s">
        <v>2258</v>
      </c>
      <c r="E245" s="25" t="s">
        <v>2716</v>
      </c>
      <c r="F245" s="25" t="s">
        <v>1902</v>
      </c>
      <c r="G245" s="25" t="s">
        <v>200</v>
      </c>
    </row>
    <row r="246" ht="15" customHeight="1">
      <c r="A246" s="25" t="s">
        <v>2717</v>
      </c>
      <c r="B246" s="25" t="s">
        <v>2718</v>
      </c>
      <c r="C246" s="25" t="s">
        <v>2121</v>
      </c>
      <c r="D246" s="25" t="s">
        <v>2260</v>
      </c>
      <c r="E246" s="25" t="s">
        <v>2719</v>
      </c>
      <c r="F246" s="25" t="s">
        <v>1984</v>
      </c>
      <c r="G246" s="25" t="s">
        <v>167</v>
      </c>
    </row>
    <row r="247" ht="15" customHeight="1">
      <c r="A247" s="25" t="s">
        <v>2717</v>
      </c>
      <c r="B247" s="25" t="s">
        <v>2720</v>
      </c>
      <c r="C247" s="25" t="s">
        <v>2125</v>
      </c>
      <c r="D247" s="25" t="s">
        <v>2301</v>
      </c>
      <c r="E247" s="25" t="s">
        <v>2721</v>
      </c>
      <c r="F247" s="25" t="s">
        <v>2022</v>
      </c>
      <c r="G247" s="25" t="s">
        <v>172</v>
      </c>
    </row>
    <row r="248" ht="15" customHeight="1">
      <c r="A248" s="25" t="s">
        <v>2722</v>
      </c>
      <c r="B248" s="25" t="s">
        <v>2723</v>
      </c>
      <c r="C248" s="25" t="s">
        <v>2145</v>
      </c>
      <c r="D248" s="25" t="s">
        <v>2200</v>
      </c>
      <c r="E248" s="25" t="s">
        <v>2724</v>
      </c>
      <c r="F248" s="25" t="s">
        <v>2088</v>
      </c>
      <c r="G248" s="25" t="s">
        <v>177</v>
      </c>
    </row>
    <row r="249" ht="15" customHeight="1">
      <c r="A249" s="25" t="s">
        <v>2722</v>
      </c>
      <c r="B249" s="25" t="s">
        <v>2725</v>
      </c>
      <c r="C249" s="25" t="s">
        <v>2121</v>
      </c>
      <c r="D249" s="25" t="s">
        <v>2203</v>
      </c>
      <c r="E249" s="25" t="s">
        <v>2726</v>
      </c>
      <c r="F249" s="25" t="s">
        <v>1940</v>
      </c>
      <c r="G249" s="25" t="s">
        <v>189</v>
      </c>
    </row>
    <row r="250" ht="15" customHeight="1">
      <c r="A250" s="25" t="s">
        <v>2727</v>
      </c>
      <c r="B250" s="25" t="s">
        <v>1295</v>
      </c>
      <c r="C250" s="25" t="s">
        <v>2153</v>
      </c>
      <c r="D250" s="25" t="s">
        <v>2154</v>
      </c>
      <c r="E250" s="25" t="s">
        <v>2728</v>
      </c>
      <c r="F250" s="25" t="s">
        <v>2070</v>
      </c>
      <c r="G250" s="25" t="s">
        <v>193</v>
      </c>
    </row>
    <row r="251" ht="15" customHeight="1">
      <c r="A251" s="25" t="s">
        <v>2727</v>
      </c>
      <c r="B251" s="25" t="s">
        <v>1168</v>
      </c>
      <c r="C251" s="25" t="s">
        <v>2133</v>
      </c>
      <c r="D251" s="25" t="s">
        <v>2134</v>
      </c>
      <c r="E251" s="25" t="s">
        <v>2729</v>
      </c>
      <c r="F251" s="25" t="s">
        <v>1991</v>
      </c>
      <c r="G251" s="25" t="s">
        <v>167</v>
      </c>
    </row>
    <row r="252" ht="15" customHeight="1">
      <c r="A252" s="25" t="s">
        <v>2730</v>
      </c>
      <c r="B252" s="25" t="s">
        <v>2731</v>
      </c>
      <c r="C252" s="25" t="s">
        <v>2145</v>
      </c>
      <c r="D252" s="25" t="s">
        <v>2139</v>
      </c>
      <c r="E252" s="25" t="s">
        <v>2732</v>
      </c>
      <c r="F252" s="25" t="s">
        <v>1874</v>
      </c>
      <c r="G252" s="25" t="s">
        <v>200</v>
      </c>
    </row>
    <row r="253" ht="15" customHeight="1">
      <c r="A253" s="25" t="s">
        <v>2730</v>
      </c>
      <c r="B253" s="25" t="s">
        <v>2733</v>
      </c>
      <c r="C253" s="25" t="s">
        <v>2121</v>
      </c>
      <c r="D253" s="25" t="s">
        <v>2141</v>
      </c>
      <c r="E253" s="25" t="s">
        <v>2734</v>
      </c>
      <c r="F253" s="25" t="s">
        <v>1840</v>
      </c>
      <c r="G253" s="25" t="s">
        <v>172</v>
      </c>
    </row>
    <row r="254" ht="15" customHeight="1">
      <c r="A254" s="25" t="s">
        <v>2735</v>
      </c>
      <c r="B254" s="25" t="s">
        <v>286</v>
      </c>
      <c r="C254" s="25" t="s">
        <v>2125</v>
      </c>
      <c r="D254" s="25" t="s">
        <v>2178</v>
      </c>
      <c r="E254" s="25" t="s">
        <v>2736</v>
      </c>
      <c r="F254" s="25" t="s">
        <v>1947</v>
      </c>
      <c r="G254" s="25" t="s">
        <v>177</v>
      </c>
    </row>
    <row r="255" ht="15" customHeight="1">
      <c r="A255" s="25" t="s">
        <v>2735</v>
      </c>
      <c r="B255" s="25" t="s">
        <v>2737</v>
      </c>
      <c r="C255" s="25" t="s">
        <v>2121</v>
      </c>
      <c r="D255" s="25" t="s">
        <v>2182</v>
      </c>
      <c r="E255" s="25" t="s">
        <v>2738</v>
      </c>
      <c r="F255" s="25" t="s">
        <v>2082</v>
      </c>
      <c r="G255" s="25" t="s">
        <v>167</v>
      </c>
    </row>
    <row r="256" ht="15" customHeight="1">
      <c r="A256" s="25" t="s">
        <v>2739</v>
      </c>
      <c r="B256" s="25" t="s">
        <v>2740</v>
      </c>
      <c r="C256" s="25" t="s">
        <v>2129</v>
      </c>
      <c r="D256" s="25" t="s">
        <v>2185</v>
      </c>
      <c r="E256" s="25" t="s">
        <v>2741</v>
      </c>
      <c r="F256" s="25" t="s">
        <v>1847</v>
      </c>
      <c r="G256" s="25" t="s">
        <v>193</v>
      </c>
    </row>
    <row r="257" ht="15" customHeight="1">
      <c r="A257" s="25" t="s">
        <v>2739</v>
      </c>
      <c r="B257" s="25" t="s">
        <v>2742</v>
      </c>
      <c r="C257" s="25" t="s">
        <v>2157</v>
      </c>
      <c r="D257" s="25" t="s">
        <v>2158</v>
      </c>
      <c r="E257" s="25" t="s">
        <v>2743</v>
      </c>
      <c r="F257" s="25" t="s">
        <v>1997</v>
      </c>
      <c r="G257" s="25" t="s">
        <v>189</v>
      </c>
    </row>
    <row r="258" ht="15" customHeight="1">
      <c r="A258" s="25" t="s">
        <v>2744</v>
      </c>
      <c r="B258" s="25" t="s">
        <v>1156</v>
      </c>
      <c r="C258" s="25" t="s">
        <v>2125</v>
      </c>
      <c r="D258" s="25" t="s">
        <v>2149</v>
      </c>
      <c r="E258" s="25" t="s">
        <v>2745</v>
      </c>
      <c r="F258" s="25" t="s">
        <v>1920</v>
      </c>
      <c r="G258" s="25" t="s">
        <v>200</v>
      </c>
    </row>
    <row r="259" ht="15" customHeight="1">
      <c r="A259" s="25" t="s">
        <v>2744</v>
      </c>
      <c r="B259" s="25" t="s">
        <v>2746</v>
      </c>
      <c r="C259" s="25" t="s">
        <v>2121</v>
      </c>
      <c r="D259" s="25" t="s">
        <v>2165</v>
      </c>
      <c r="E259" s="25" t="s">
        <v>2747</v>
      </c>
      <c r="F259" s="25" t="s">
        <v>2064</v>
      </c>
      <c r="G259" s="25" t="s">
        <v>167</v>
      </c>
    </row>
    <row r="260" ht="15" customHeight="1">
      <c r="A260" s="25" t="s">
        <v>2748</v>
      </c>
      <c r="B260" s="25" t="s">
        <v>2749</v>
      </c>
      <c r="C260" s="25" t="s">
        <v>2145</v>
      </c>
      <c r="D260" s="25" t="s">
        <v>2146</v>
      </c>
      <c r="E260" s="25" t="s">
        <v>2750</v>
      </c>
      <c r="F260" s="25" t="s">
        <v>1826</v>
      </c>
      <c r="G260" s="25" t="s">
        <v>172</v>
      </c>
    </row>
    <row r="261" ht="15" customHeight="1">
      <c r="A261" s="25" t="s">
        <v>2748</v>
      </c>
      <c r="B261" s="25" t="s">
        <v>2751</v>
      </c>
      <c r="C261" s="25" t="s">
        <v>2121</v>
      </c>
      <c r="D261" s="25" t="s">
        <v>2126</v>
      </c>
      <c r="E261" s="25" t="s">
        <v>2752</v>
      </c>
      <c r="F261" s="25" t="s">
        <v>2028</v>
      </c>
      <c r="G261" s="25" t="s">
        <v>177</v>
      </c>
    </row>
    <row r="262" ht="15" customHeight="1">
      <c r="A262" s="25" t="s">
        <v>2753</v>
      </c>
      <c r="B262" s="25" t="s">
        <v>2754</v>
      </c>
      <c r="C262" s="25" t="s">
        <v>2153</v>
      </c>
      <c r="D262" s="25" t="s">
        <v>2380</v>
      </c>
      <c r="E262" s="25" t="s">
        <v>2755</v>
      </c>
      <c r="F262" s="25" t="s">
        <v>1888</v>
      </c>
      <c r="G262" s="25" t="s">
        <v>189</v>
      </c>
    </row>
    <row r="263" ht="15" customHeight="1">
      <c r="A263" s="25" t="s">
        <v>2753</v>
      </c>
      <c r="B263" s="25" t="s">
        <v>1466</v>
      </c>
      <c r="C263" s="25" t="s">
        <v>2199</v>
      </c>
      <c r="D263" s="25" t="s">
        <v>2258</v>
      </c>
      <c r="E263" s="25" t="s">
        <v>2756</v>
      </c>
      <c r="F263" s="25" t="s">
        <v>1978</v>
      </c>
      <c r="G263" s="25" t="s">
        <v>193</v>
      </c>
    </row>
    <row r="264" ht="15" customHeight="1">
      <c r="A264" s="25" t="s">
        <v>2757</v>
      </c>
      <c r="B264" s="25" t="s">
        <v>2758</v>
      </c>
      <c r="C264" s="25" t="s">
        <v>2121</v>
      </c>
      <c r="D264" s="25" t="s">
        <v>2260</v>
      </c>
      <c r="E264" s="25" t="s">
        <v>2759</v>
      </c>
      <c r="F264" s="25" t="s">
        <v>1854</v>
      </c>
      <c r="G264" s="25" t="s">
        <v>167</v>
      </c>
    </row>
    <row r="265" ht="15" customHeight="1">
      <c r="A265" s="25" t="s">
        <v>2757</v>
      </c>
      <c r="B265" s="25" t="s">
        <v>2495</v>
      </c>
      <c r="C265" s="25" t="s">
        <v>2125</v>
      </c>
      <c r="D265" s="25" t="s">
        <v>2301</v>
      </c>
      <c r="E265" s="25" t="s">
        <v>2760</v>
      </c>
      <c r="F265" s="25" t="s">
        <v>2058</v>
      </c>
      <c r="G265" s="25" t="s">
        <v>200</v>
      </c>
    </row>
    <row r="266" ht="15" customHeight="1">
      <c r="A266" s="25" t="s">
        <v>2761</v>
      </c>
      <c r="B266" s="25" t="s">
        <v>948</v>
      </c>
      <c r="C266" s="25" t="s">
        <v>2145</v>
      </c>
      <c r="D266" s="25" t="s">
        <v>2200</v>
      </c>
      <c r="E266" s="25" t="s">
        <v>2762</v>
      </c>
      <c r="F266" s="25" t="s">
        <v>1908</v>
      </c>
      <c r="G266" s="25" t="s">
        <v>172</v>
      </c>
    </row>
    <row r="267" ht="15" customHeight="1">
      <c r="A267" s="25" t="s">
        <v>2761</v>
      </c>
      <c r="B267" s="25" t="s">
        <v>2289</v>
      </c>
      <c r="C267" s="25" t="s">
        <v>2121</v>
      </c>
      <c r="D267" s="25" t="s">
        <v>2203</v>
      </c>
      <c r="E267" s="25" t="s">
        <v>2763</v>
      </c>
      <c r="F267" s="25" t="s">
        <v>2004</v>
      </c>
      <c r="G267" s="25" t="s">
        <v>177</v>
      </c>
    </row>
    <row r="268" ht="15" customHeight="1">
      <c r="A268" s="25" t="s">
        <v>2764</v>
      </c>
      <c r="B268" s="25" t="s">
        <v>2765</v>
      </c>
      <c r="C268" s="25" t="s">
        <v>2153</v>
      </c>
      <c r="D268" s="25" t="s">
        <v>2154</v>
      </c>
      <c r="E268" s="25" t="s">
        <v>2766</v>
      </c>
      <c r="F268" s="25" t="s">
        <v>2106</v>
      </c>
      <c r="G268" s="25" t="s">
        <v>167</v>
      </c>
    </row>
    <row r="269" ht="15" customHeight="1">
      <c r="A269" s="25" t="s">
        <v>2764</v>
      </c>
      <c r="B269" s="25" t="s">
        <v>1592</v>
      </c>
      <c r="C269" s="25" t="s">
        <v>2133</v>
      </c>
      <c r="D269" s="25" t="s">
        <v>2134</v>
      </c>
      <c r="E269" s="25" t="s">
        <v>2767</v>
      </c>
      <c r="F269" s="25" t="s">
        <v>1833</v>
      </c>
      <c r="G269" s="25" t="s">
        <v>193</v>
      </c>
    </row>
    <row r="270" ht="15" customHeight="1">
      <c r="A270" s="25" t="s">
        <v>2768</v>
      </c>
      <c r="B270" s="25" t="s">
        <v>2769</v>
      </c>
      <c r="C270" s="25" t="s">
        <v>2145</v>
      </c>
      <c r="D270" s="25" t="s">
        <v>2139</v>
      </c>
      <c r="E270" s="25" t="s">
        <v>2770</v>
      </c>
      <c r="F270" s="25" t="s">
        <v>1953</v>
      </c>
      <c r="G270" s="25" t="s">
        <v>189</v>
      </c>
    </row>
    <row r="271" ht="15" customHeight="1">
      <c r="A271" s="25" t="s">
        <v>2768</v>
      </c>
      <c r="B271" s="25" t="s">
        <v>2771</v>
      </c>
      <c r="C271" s="25" t="s">
        <v>2121</v>
      </c>
      <c r="D271" s="25" t="s">
        <v>2141</v>
      </c>
      <c r="E271" s="25" t="s">
        <v>2772</v>
      </c>
      <c r="F271" s="25" t="s">
        <v>1895</v>
      </c>
      <c r="G271" s="25" t="s">
        <v>200</v>
      </c>
    </row>
    <row r="272" ht="15" customHeight="1">
      <c r="A272" s="25" t="s">
        <v>2773</v>
      </c>
      <c r="B272" s="25" t="s">
        <v>809</v>
      </c>
      <c r="C272" s="25" t="s">
        <v>2125</v>
      </c>
      <c r="D272" s="25" t="s">
        <v>2178</v>
      </c>
      <c r="E272" s="25" t="s">
        <v>2774</v>
      </c>
      <c r="F272" s="25" t="s">
        <v>2034</v>
      </c>
      <c r="G272" s="25" t="s">
        <v>167</v>
      </c>
    </row>
    <row r="273" ht="15" customHeight="1">
      <c r="A273" s="25" t="s">
        <v>2773</v>
      </c>
      <c r="B273" s="25" t="s">
        <v>2775</v>
      </c>
      <c r="C273" s="25" t="s">
        <v>2121</v>
      </c>
      <c r="D273" s="25" t="s">
        <v>2182</v>
      </c>
      <c r="E273" s="25" t="s">
        <v>2776</v>
      </c>
      <c r="F273" s="25" t="s">
        <v>2100</v>
      </c>
      <c r="G273" s="25" t="s">
        <v>172</v>
      </c>
    </row>
    <row r="274" ht="15" customHeight="1">
      <c r="A274" s="25" t="s">
        <v>2777</v>
      </c>
      <c r="B274" s="25" t="s">
        <v>2778</v>
      </c>
      <c r="C274" s="25" t="s">
        <v>2129</v>
      </c>
      <c r="D274" s="25" t="s">
        <v>2185</v>
      </c>
      <c r="E274" s="25" t="s">
        <v>2779</v>
      </c>
      <c r="F274" s="25" t="s">
        <v>1819</v>
      </c>
      <c r="G274" s="25" t="s">
        <v>177</v>
      </c>
    </row>
    <row r="275" ht="15" customHeight="1">
      <c r="A275" s="25" t="s">
        <v>2777</v>
      </c>
      <c r="B275" s="25" t="s">
        <v>2780</v>
      </c>
      <c r="C275" s="25" t="s">
        <v>2157</v>
      </c>
      <c r="D275" s="25" t="s">
        <v>2158</v>
      </c>
      <c r="E275" s="25" t="s">
        <v>2781</v>
      </c>
      <c r="F275" s="25" t="s">
        <v>1966</v>
      </c>
      <c r="G275" s="25" t="s">
        <v>189</v>
      </c>
    </row>
    <row r="276" ht="15" customHeight="1">
      <c r="A276" s="25" t="s">
        <v>2782</v>
      </c>
      <c r="B276" s="25" t="s">
        <v>2783</v>
      </c>
      <c r="C276" s="25" t="s">
        <v>2125</v>
      </c>
      <c r="D276" s="25" t="s">
        <v>2149</v>
      </c>
      <c r="E276" s="25" t="s">
        <v>2784</v>
      </c>
      <c r="F276" s="25" t="s">
        <v>1881</v>
      </c>
      <c r="G276" s="25" t="s">
        <v>193</v>
      </c>
    </row>
    <row r="277" ht="15" customHeight="1">
      <c r="A277" s="25" t="s">
        <v>2782</v>
      </c>
      <c r="B277" s="25" t="s">
        <v>2746</v>
      </c>
      <c r="C277" s="25" t="s">
        <v>2121</v>
      </c>
      <c r="D277" s="25" t="s">
        <v>2165</v>
      </c>
      <c r="E277" s="25" t="s">
        <v>2785</v>
      </c>
      <c r="F277" s="25" t="s">
        <v>2016</v>
      </c>
      <c r="G277" s="25" t="s">
        <v>167</v>
      </c>
    </row>
    <row r="278" ht="15" customHeight="1">
      <c r="A278" s="25" t="s">
        <v>2786</v>
      </c>
      <c r="B278" s="25" t="s">
        <v>2787</v>
      </c>
      <c r="C278" s="25" t="s">
        <v>2145</v>
      </c>
      <c r="D278" s="25" t="s">
        <v>2146</v>
      </c>
      <c r="E278" s="25" t="s">
        <v>2788</v>
      </c>
      <c r="F278" s="25" t="s">
        <v>2076</v>
      </c>
      <c r="G278" s="25" t="s">
        <v>200</v>
      </c>
    </row>
    <row r="279" ht="15" customHeight="1">
      <c r="A279" s="25" t="s">
        <v>2786</v>
      </c>
      <c r="B279" s="25" t="s">
        <v>2536</v>
      </c>
      <c r="C279" s="25" t="s">
        <v>2121</v>
      </c>
      <c r="D279" s="25" t="s">
        <v>2126</v>
      </c>
      <c r="E279" s="25" t="s">
        <v>2789</v>
      </c>
      <c r="F279" s="25" t="s">
        <v>1798</v>
      </c>
      <c r="G279" s="25" t="s">
        <v>172</v>
      </c>
    </row>
    <row r="280" ht="15" customHeight="1">
      <c r="A280" s="25" t="s">
        <v>2790</v>
      </c>
      <c r="B280" s="25" t="s">
        <v>2791</v>
      </c>
      <c r="C280" s="25" t="s">
        <v>2153</v>
      </c>
      <c r="D280" s="25" t="s">
        <v>2380</v>
      </c>
      <c r="E280" s="25" t="s">
        <v>2792</v>
      </c>
      <c r="F280" s="25" t="s">
        <v>1933</v>
      </c>
      <c r="G280" s="25" t="s">
        <v>177</v>
      </c>
    </row>
    <row r="281" ht="15" customHeight="1">
      <c r="A281" s="25" t="s">
        <v>2790</v>
      </c>
      <c r="B281" s="25" t="s">
        <v>2793</v>
      </c>
      <c r="C281" s="25" t="s">
        <v>2199</v>
      </c>
      <c r="D281" s="25" t="s">
        <v>2258</v>
      </c>
      <c r="E281" s="25" t="s">
        <v>2794</v>
      </c>
      <c r="F281" s="25" t="s">
        <v>2046</v>
      </c>
      <c r="G281" s="25" t="s">
        <v>167</v>
      </c>
    </row>
    <row r="282" ht="15" customHeight="1">
      <c r="A282" s="25" t="s">
        <v>2795</v>
      </c>
      <c r="B282" s="25" t="s">
        <v>1088</v>
      </c>
      <c r="C282" s="25" t="s">
        <v>2121</v>
      </c>
      <c r="D282" s="25" t="s">
        <v>2260</v>
      </c>
      <c r="E282" s="25" t="s">
        <v>2796</v>
      </c>
      <c r="F282" s="25" t="s">
        <v>2112</v>
      </c>
      <c r="G282" s="25" t="s">
        <v>193</v>
      </c>
    </row>
    <row r="283" ht="15" customHeight="1">
      <c r="A283" s="25" t="s">
        <v>2795</v>
      </c>
      <c r="B283" s="25" t="s">
        <v>2797</v>
      </c>
      <c r="C283" s="25" t="s">
        <v>2125</v>
      </c>
      <c r="D283" s="25" t="s">
        <v>2301</v>
      </c>
      <c r="E283" s="25" t="s">
        <v>2798</v>
      </c>
      <c r="F283" s="25" t="s">
        <v>1868</v>
      </c>
      <c r="G283" s="25" t="s">
        <v>189</v>
      </c>
    </row>
    <row r="284" ht="15" customHeight="1">
      <c r="A284" s="25" t="s">
        <v>2799</v>
      </c>
      <c r="B284" s="25" t="s">
        <v>1421</v>
      </c>
      <c r="C284" s="25" t="s">
        <v>2145</v>
      </c>
      <c r="D284" s="25" t="s">
        <v>2200</v>
      </c>
      <c r="E284" s="25" t="s">
        <v>2800</v>
      </c>
      <c r="F284" s="25" t="s">
        <v>1972</v>
      </c>
      <c r="G284" s="25" t="s">
        <v>200</v>
      </c>
    </row>
    <row r="285" ht="15" customHeight="1">
      <c r="A285" s="25" t="s">
        <v>2799</v>
      </c>
      <c r="B285" s="25" t="s">
        <v>2801</v>
      </c>
      <c r="C285" s="25" t="s">
        <v>2121</v>
      </c>
      <c r="D285" s="25" t="s">
        <v>2203</v>
      </c>
      <c r="E285" s="25" t="s">
        <v>2802</v>
      </c>
      <c r="F285" s="25" t="s">
        <v>1914</v>
      </c>
      <c r="G285" s="25" t="s">
        <v>167</v>
      </c>
    </row>
    <row r="286" ht="15" customHeight="1">
      <c r="A286" s="25" t="s">
        <v>2803</v>
      </c>
      <c r="B286" s="25" t="s">
        <v>2804</v>
      </c>
      <c r="C286" s="25" t="s">
        <v>2153</v>
      </c>
      <c r="D286" s="25" t="s">
        <v>2154</v>
      </c>
      <c r="E286" s="25" t="s">
        <v>2805</v>
      </c>
      <c r="F286" s="25" t="s">
        <v>2052</v>
      </c>
      <c r="G286" s="25" t="s">
        <v>172</v>
      </c>
    </row>
    <row r="287" ht="15" customHeight="1">
      <c r="A287" s="25" t="s">
        <v>2803</v>
      </c>
      <c r="B287" s="25" t="s">
        <v>2806</v>
      </c>
      <c r="C287" s="25" t="s">
        <v>2133</v>
      </c>
      <c r="D287" s="25" t="s">
        <v>2134</v>
      </c>
      <c r="E287" s="25" t="s">
        <v>2807</v>
      </c>
      <c r="F287" s="25" t="s">
        <v>1812</v>
      </c>
      <c r="G287" s="25" t="s">
        <v>177</v>
      </c>
    </row>
    <row r="288" ht="15" customHeight="1">
      <c r="A288" s="25" t="s">
        <v>2808</v>
      </c>
      <c r="B288" s="25" t="s">
        <v>1564</v>
      </c>
      <c r="C288" s="25" t="s">
        <v>2145</v>
      </c>
      <c r="D288" s="25" t="s">
        <v>2139</v>
      </c>
      <c r="E288" s="25" t="s">
        <v>2809</v>
      </c>
      <c r="F288" s="25" t="s">
        <v>1959</v>
      </c>
      <c r="G288" s="25" t="s">
        <v>189</v>
      </c>
    </row>
    <row r="289" ht="15" customHeight="1">
      <c r="A289" s="25" t="s">
        <v>2808</v>
      </c>
      <c r="B289" s="25" t="s">
        <v>2372</v>
      </c>
      <c r="C289" s="25" t="s">
        <v>2121</v>
      </c>
      <c r="D289" s="25" t="s">
        <v>2141</v>
      </c>
      <c r="E289" s="25" t="s">
        <v>2810</v>
      </c>
      <c r="F289" s="25" t="s">
        <v>1861</v>
      </c>
      <c r="G289" s="25" t="s">
        <v>193</v>
      </c>
    </row>
    <row r="290" ht="15" customHeight="1">
      <c r="A290" s="25" t="s">
        <v>2811</v>
      </c>
      <c r="B290" s="25" t="s">
        <v>2812</v>
      </c>
      <c r="C290" s="25" t="s">
        <v>2125</v>
      </c>
      <c r="D290" s="25" t="s">
        <v>2178</v>
      </c>
      <c r="E290" s="25" t="s">
        <v>2813</v>
      </c>
      <c r="F290" s="25" t="s">
        <v>2010</v>
      </c>
      <c r="G290" s="25" t="s">
        <v>167</v>
      </c>
    </row>
    <row r="291" ht="15" customHeight="1">
      <c r="A291" s="25" t="s">
        <v>2811</v>
      </c>
      <c r="B291" s="25" t="s">
        <v>2814</v>
      </c>
      <c r="C291" s="25" t="s">
        <v>2121</v>
      </c>
      <c r="D291" s="25" t="s">
        <v>2182</v>
      </c>
      <c r="E291" s="25" t="s">
        <v>2815</v>
      </c>
      <c r="F291" s="25" t="s">
        <v>2094</v>
      </c>
      <c r="G291" s="25" t="s">
        <v>200</v>
      </c>
    </row>
    <row r="292" ht="15" customHeight="1">
      <c r="A292" s="25" t="s">
        <v>2816</v>
      </c>
      <c r="B292" s="25" t="s">
        <v>2817</v>
      </c>
      <c r="C292" s="25" t="s">
        <v>2129</v>
      </c>
      <c r="D292" s="25" t="s">
        <v>2185</v>
      </c>
      <c r="E292" s="25" t="s">
        <v>2818</v>
      </c>
      <c r="F292" s="25" t="s">
        <v>1927</v>
      </c>
      <c r="G292" s="25" t="s">
        <v>172</v>
      </c>
    </row>
    <row r="293" ht="15" customHeight="1">
      <c r="A293" s="25" t="s">
        <v>2816</v>
      </c>
      <c r="B293" s="25" t="s">
        <v>2447</v>
      </c>
      <c r="C293" s="25" t="s">
        <v>2157</v>
      </c>
      <c r="D293" s="25" t="s">
        <v>2158</v>
      </c>
      <c r="E293" s="25" t="s">
        <v>2819</v>
      </c>
      <c r="F293" s="25" t="s">
        <v>1805</v>
      </c>
      <c r="G293" s="25" t="s">
        <v>177</v>
      </c>
    </row>
    <row r="294" ht="15" customHeight="1">
      <c r="A294" s="25" t="s">
        <v>2820</v>
      </c>
      <c r="B294" s="25" t="s">
        <v>982</v>
      </c>
      <c r="C294" s="25" t="s">
        <v>2125</v>
      </c>
      <c r="D294" s="25" t="s">
        <v>2149</v>
      </c>
      <c r="E294" s="25" t="s">
        <v>2821</v>
      </c>
      <c r="F294" s="25" t="s">
        <v>2040</v>
      </c>
      <c r="G294" s="25" t="s">
        <v>167</v>
      </c>
    </row>
    <row r="295" ht="15" customHeight="1">
      <c r="A295" s="25" t="s">
        <v>2820</v>
      </c>
      <c r="B295" s="25" t="s">
        <v>945</v>
      </c>
      <c r="C295" s="25" t="s">
        <v>2121</v>
      </c>
      <c r="D295" s="25" t="s">
        <v>2165</v>
      </c>
      <c r="E295" s="25" t="s">
        <v>2822</v>
      </c>
      <c r="F295" s="25" t="s">
        <v>1902</v>
      </c>
      <c r="G295" s="25" t="s">
        <v>193</v>
      </c>
    </row>
    <row r="296" ht="15" customHeight="1">
      <c r="A296" s="25" t="s">
        <v>2823</v>
      </c>
      <c r="B296" s="25" t="s">
        <v>488</v>
      </c>
      <c r="C296" s="25" t="s">
        <v>2145</v>
      </c>
      <c r="D296" s="25" t="s">
        <v>2146</v>
      </c>
      <c r="E296" s="25" t="s">
        <v>2824</v>
      </c>
      <c r="F296" s="25" t="s">
        <v>1984</v>
      </c>
      <c r="G296" s="25" t="s">
        <v>189</v>
      </c>
    </row>
    <row r="297" ht="15" customHeight="1">
      <c r="A297" s="25" t="s">
        <v>2823</v>
      </c>
      <c r="B297" s="25" t="s">
        <v>1640</v>
      </c>
      <c r="C297" s="25" t="s">
        <v>2121</v>
      </c>
      <c r="D297" s="25" t="s">
        <v>2126</v>
      </c>
      <c r="E297" s="25" t="s">
        <v>2825</v>
      </c>
      <c r="F297" s="25" t="s">
        <v>2022</v>
      </c>
      <c r="G297" s="25" t="s">
        <v>200</v>
      </c>
    </row>
    <row r="298" ht="15" customHeight="1">
      <c r="A298" s="25" t="s">
        <v>2826</v>
      </c>
      <c r="B298" s="25" t="s">
        <v>2827</v>
      </c>
      <c r="C298" s="25" t="s">
        <v>2153</v>
      </c>
      <c r="D298" s="25" t="s">
        <v>2380</v>
      </c>
      <c r="E298" s="25" t="s">
        <v>2828</v>
      </c>
      <c r="F298" s="25" t="s">
        <v>2088</v>
      </c>
      <c r="G298" s="25" t="s">
        <v>167</v>
      </c>
    </row>
    <row r="299" ht="15" customHeight="1">
      <c r="A299" s="25" t="s">
        <v>2826</v>
      </c>
      <c r="B299" s="25" t="s">
        <v>2622</v>
      </c>
      <c r="C299" s="25" t="s">
        <v>2199</v>
      </c>
      <c r="D299" s="25" t="s">
        <v>2258</v>
      </c>
      <c r="E299" s="25" t="s">
        <v>2829</v>
      </c>
      <c r="F299" s="25" t="s">
        <v>1940</v>
      </c>
      <c r="G299" s="25" t="s">
        <v>172</v>
      </c>
    </row>
    <row r="300" ht="15" customHeight="1">
      <c r="A300" s="25" t="s">
        <v>2830</v>
      </c>
      <c r="B300" s="25" t="s">
        <v>2831</v>
      </c>
      <c r="C300" s="25" t="s">
        <v>2121</v>
      </c>
      <c r="D300" s="25" t="s">
        <v>2260</v>
      </c>
      <c r="E300" s="25" t="s">
        <v>2832</v>
      </c>
      <c r="F300" s="25" t="s">
        <v>2070</v>
      </c>
      <c r="G300" s="25" t="s">
        <v>177</v>
      </c>
    </row>
    <row r="301" ht="15" customHeight="1">
      <c r="A301" s="25" t="s">
        <v>2830</v>
      </c>
      <c r="B301" s="25" t="s">
        <v>2833</v>
      </c>
      <c r="C301" s="25" t="s">
        <v>2125</v>
      </c>
      <c r="D301" s="25" t="s">
        <v>2301</v>
      </c>
      <c r="E301" s="25" t="s">
        <v>2834</v>
      </c>
      <c r="F301" s="25" t="s">
        <v>1991</v>
      </c>
      <c r="G301" s="25" t="s">
        <v>189</v>
      </c>
    </row>
    <row r="302" ht="15" customHeight="1">
      <c r="A302" s="25" t="s">
        <v>2835</v>
      </c>
      <c r="B302" s="25" t="s">
        <v>2483</v>
      </c>
      <c r="C302" s="25" t="s">
        <v>2145</v>
      </c>
      <c r="D302" s="25" t="s">
        <v>2200</v>
      </c>
      <c r="E302" s="25" t="s">
        <v>2836</v>
      </c>
      <c r="F302" s="25" t="s">
        <v>1874</v>
      </c>
      <c r="G302" s="25" t="s">
        <v>193</v>
      </c>
    </row>
    <row r="303" ht="15" customHeight="1">
      <c r="A303" s="25" t="s">
        <v>2835</v>
      </c>
      <c r="B303" s="25" t="s">
        <v>2837</v>
      </c>
      <c r="C303" s="25" t="s">
        <v>2121</v>
      </c>
      <c r="D303" s="25" t="s">
        <v>2203</v>
      </c>
      <c r="E303" s="25" t="s">
        <v>2838</v>
      </c>
      <c r="F303" s="25" t="s">
        <v>1840</v>
      </c>
      <c r="G303" s="25" t="s">
        <v>167</v>
      </c>
    </row>
    <row r="304" ht="15" customHeight="1">
      <c r="A304" s="25" t="s">
        <v>2839</v>
      </c>
      <c r="B304" s="25" t="s">
        <v>2840</v>
      </c>
      <c r="C304" s="25" t="s">
        <v>2153</v>
      </c>
      <c r="D304" s="25" t="s">
        <v>2154</v>
      </c>
      <c r="E304" s="25" t="s">
        <v>2841</v>
      </c>
      <c r="F304" s="25" t="s">
        <v>1947</v>
      </c>
      <c r="G304" s="25" t="s">
        <v>200</v>
      </c>
    </row>
    <row r="305" ht="15" customHeight="1">
      <c r="A305" s="25" t="s">
        <v>2839</v>
      </c>
      <c r="B305" s="25" t="s">
        <v>2842</v>
      </c>
      <c r="C305" s="25" t="s">
        <v>2133</v>
      </c>
      <c r="D305" s="25" t="s">
        <v>2134</v>
      </c>
      <c r="E305" s="25" t="s">
        <v>2843</v>
      </c>
      <c r="F305" s="25" t="s">
        <v>2082</v>
      </c>
      <c r="G305" s="25" t="s">
        <v>172</v>
      </c>
    </row>
    <row r="306" ht="15" customHeight="1">
      <c r="A306" s="25" t="s">
        <v>2844</v>
      </c>
      <c r="B306" s="25" t="s">
        <v>2845</v>
      </c>
      <c r="C306" s="25" t="s">
        <v>2145</v>
      </c>
      <c r="D306" s="25" t="s">
        <v>2139</v>
      </c>
      <c r="E306" s="25" t="s">
        <v>2846</v>
      </c>
      <c r="F306" s="25" t="s">
        <v>1847</v>
      </c>
      <c r="G306" s="25" t="s">
        <v>177</v>
      </c>
    </row>
    <row r="307" ht="15" customHeight="1">
      <c r="A307" s="25" t="s">
        <v>2844</v>
      </c>
      <c r="B307" s="25" t="s">
        <v>2847</v>
      </c>
      <c r="C307" s="25" t="s">
        <v>2121</v>
      </c>
      <c r="D307" s="25" t="s">
        <v>2141</v>
      </c>
      <c r="E307" s="25" t="s">
        <v>2848</v>
      </c>
      <c r="F307" s="25" t="s">
        <v>1997</v>
      </c>
      <c r="G307" s="25" t="s">
        <v>167</v>
      </c>
    </row>
    <row r="308" ht="15" customHeight="1">
      <c r="A308" s="25" t="s">
        <v>2849</v>
      </c>
      <c r="B308" s="25" t="s">
        <v>2850</v>
      </c>
      <c r="C308" s="25" t="s">
        <v>2125</v>
      </c>
      <c r="D308" s="25" t="s">
        <v>2178</v>
      </c>
      <c r="E308" s="25" t="s">
        <v>2851</v>
      </c>
      <c r="F308" s="25" t="s">
        <v>1920</v>
      </c>
      <c r="G308" s="25" t="s">
        <v>193</v>
      </c>
    </row>
    <row r="309" ht="15" customHeight="1">
      <c r="A309" s="25" t="s">
        <v>2849</v>
      </c>
      <c r="B309" s="25" t="s">
        <v>2801</v>
      </c>
      <c r="C309" s="25" t="s">
        <v>2121</v>
      </c>
      <c r="D309" s="25" t="s">
        <v>2182</v>
      </c>
      <c r="E309" s="25" t="s">
        <v>2852</v>
      </c>
      <c r="F309" s="25" t="s">
        <v>2064</v>
      </c>
      <c r="G309" s="25" t="s">
        <v>189</v>
      </c>
    </row>
    <row r="310" ht="15" customHeight="1">
      <c r="A310" s="25" t="s">
        <v>2853</v>
      </c>
      <c r="B310" s="25" t="s">
        <v>2854</v>
      </c>
      <c r="C310" s="25" t="s">
        <v>2129</v>
      </c>
      <c r="D310" s="25" t="s">
        <v>2185</v>
      </c>
      <c r="E310" s="25" t="s">
        <v>2855</v>
      </c>
      <c r="F310" s="25" t="s">
        <v>1826</v>
      </c>
      <c r="G310" s="25" t="s">
        <v>200</v>
      </c>
    </row>
    <row r="311" ht="15" customHeight="1">
      <c r="A311" s="25" t="s">
        <v>2853</v>
      </c>
      <c r="B311" s="25" t="s">
        <v>2132</v>
      </c>
      <c r="C311" s="25" t="s">
        <v>2157</v>
      </c>
      <c r="D311" s="25" t="s">
        <v>2158</v>
      </c>
      <c r="E311" s="25" t="s">
        <v>2856</v>
      </c>
      <c r="F311" s="25" t="s">
        <v>2028</v>
      </c>
      <c r="G311" s="25" t="s">
        <v>167</v>
      </c>
    </row>
    <row r="312" ht="15" customHeight="1">
      <c r="A312" s="25" t="s">
        <v>2857</v>
      </c>
      <c r="B312" s="25" t="s">
        <v>2858</v>
      </c>
      <c r="C312" s="25" t="s">
        <v>2125</v>
      </c>
      <c r="D312" s="25" t="s">
        <v>2149</v>
      </c>
      <c r="E312" s="25" t="s">
        <v>2859</v>
      </c>
      <c r="F312" s="25" t="s">
        <v>1888</v>
      </c>
      <c r="G312" s="25" t="s">
        <v>172</v>
      </c>
    </row>
    <row r="313" ht="15" customHeight="1">
      <c r="A313" s="25" t="s">
        <v>2857</v>
      </c>
      <c r="B313" s="25" t="s">
        <v>2860</v>
      </c>
      <c r="C313" s="25" t="s">
        <v>2121</v>
      </c>
      <c r="D313" s="25" t="s">
        <v>2165</v>
      </c>
      <c r="E313" s="25" t="s">
        <v>2861</v>
      </c>
      <c r="F313" s="25" t="s">
        <v>1978</v>
      </c>
      <c r="G313" s="25" t="s">
        <v>177</v>
      </c>
    </row>
    <row r="314" ht="15" customHeight="1">
      <c r="A314" s="25" t="s">
        <v>2862</v>
      </c>
      <c r="B314" s="25" t="s">
        <v>2863</v>
      </c>
      <c r="C314" s="25" t="s">
        <v>2145</v>
      </c>
      <c r="D314" s="25" t="s">
        <v>2146</v>
      </c>
      <c r="E314" s="25" t="s">
        <v>2864</v>
      </c>
      <c r="F314" s="25" t="s">
        <v>1854</v>
      </c>
      <c r="G314" s="25" t="s">
        <v>189</v>
      </c>
    </row>
    <row r="315" ht="15" customHeight="1">
      <c r="A315" s="25" t="s">
        <v>2862</v>
      </c>
      <c r="B315" s="25" t="s">
        <v>1673</v>
      </c>
      <c r="C315" s="25" t="s">
        <v>2121</v>
      </c>
      <c r="D315" s="25" t="s">
        <v>2126</v>
      </c>
      <c r="E315" s="25" t="s">
        <v>2865</v>
      </c>
      <c r="F315" s="25" t="s">
        <v>2058</v>
      </c>
      <c r="G315" s="25" t="s">
        <v>193</v>
      </c>
    </row>
    <row r="316" ht="15" customHeight="1">
      <c r="A316" s="25" t="s">
        <v>2866</v>
      </c>
      <c r="B316" s="25" t="s">
        <v>2867</v>
      </c>
      <c r="C316" s="25" t="s">
        <v>2153</v>
      </c>
      <c r="D316" s="25" t="s">
        <v>2380</v>
      </c>
      <c r="E316" s="25" t="s">
        <v>2868</v>
      </c>
      <c r="F316" s="25" t="s">
        <v>1908</v>
      </c>
      <c r="G316" s="25" t="s">
        <v>167</v>
      </c>
    </row>
    <row r="317" ht="15" customHeight="1">
      <c r="A317" s="25" t="s">
        <v>2866</v>
      </c>
      <c r="B317" s="25" t="s">
        <v>2869</v>
      </c>
      <c r="C317" s="25" t="s">
        <v>2199</v>
      </c>
      <c r="D317" s="25" t="s">
        <v>2258</v>
      </c>
      <c r="E317" s="25" t="s">
        <v>2870</v>
      </c>
      <c r="F317" s="25" t="s">
        <v>2004</v>
      </c>
      <c r="G317" s="25" t="s">
        <v>200</v>
      </c>
    </row>
    <row r="318" ht="15" customHeight="1">
      <c r="A318" s="25" t="s">
        <v>2871</v>
      </c>
      <c r="B318" s="25" t="s">
        <v>1345</v>
      </c>
      <c r="C318" s="25" t="s">
        <v>2121</v>
      </c>
      <c r="D318" s="25" t="s">
        <v>2260</v>
      </c>
      <c r="E318" s="25" t="s">
        <v>2872</v>
      </c>
      <c r="F318" s="25" t="s">
        <v>2106</v>
      </c>
      <c r="G318" s="25" t="s">
        <v>172</v>
      </c>
    </row>
    <row r="319" ht="15" customHeight="1">
      <c r="A319" s="25" t="s">
        <v>2871</v>
      </c>
      <c r="B319" s="25" t="s">
        <v>2873</v>
      </c>
      <c r="C319" s="25" t="s">
        <v>2125</v>
      </c>
      <c r="D319" s="25" t="s">
        <v>2301</v>
      </c>
      <c r="E319" s="25" t="s">
        <v>2874</v>
      </c>
      <c r="F319" s="25" t="s">
        <v>1833</v>
      </c>
      <c r="G319" s="25" t="s">
        <v>177</v>
      </c>
    </row>
    <row r="320" ht="15" customHeight="1">
      <c r="A320" s="25" t="s">
        <v>2875</v>
      </c>
      <c r="B320" s="25" t="s">
        <v>536</v>
      </c>
      <c r="C320" s="25" t="s">
        <v>2145</v>
      </c>
      <c r="D320" s="25" t="s">
        <v>2200</v>
      </c>
      <c r="E320" s="25" t="s">
        <v>2876</v>
      </c>
      <c r="F320" s="25" t="s">
        <v>1953</v>
      </c>
      <c r="G320" s="25" t="s">
        <v>167</v>
      </c>
    </row>
    <row r="321" ht="15" customHeight="1">
      <c r="A321" s="25" t="s">
        <v>2875</v>
      </c>
      <c r="B321" s="25" t="s">
        <v>2536</v>
      </c>
      <c r="C321" s="25" t="s">
        <v>2121</v>
      </c>
      <c r="D321" s="25" t="s">
        <v>2203</v>
      </c>
      <c r="E321" s="25" t="s">
        <v>2877</v>
      </c>
      <c r="F321" s="25" t="s">
        <v>1895</v>
      </c>
      <c r="G321" s="25" t="s">
        <v>193</v>
      </c>
    </row>
    <row r="322" ht="15" customHeight="1">
      <c r="A322" s="25" t="s">
        <v>2878</v>
      </c>
      <c r="B322" s="25" t="s">
        <v>2840</v>
      </c>
      <c r="C322" s="25" t="s">
        <v>2153</v>
      </c>
      <c r="D322" s="25" t="s">
        <v>2154</v>
      </c>
      <c r="E322" s="25" t="s">
        <v>2879</v>
      </c>
      <c r="F322" s="25" t="s">
        <v>2034</v>
      </c>
      <c r="G322" s="25" t="s">
        <v>189</v>
      </c>
    </row>
    <row r="323" ht="15" customHeight="1">
      <c r="A323" s="25" t="s">
        <v>2878</v>
      </c>
      <c r="B323" s="25" t="s">
        <v>2880</v>
      </c>
      <c r="C323" s="25" t="s">
        <v>2133</v>
      </c>
      <c r="D323" s="25" t="s">
        <v>2134</v>
      </c>
      <c r="E323" s="25" t="s">
        <v>2881</v>
      </c>
      <c r="F323" s="25" t="s">
        <v>2100</v>
      </c>
      <c r="G323" s="25" t="s">
        <v>200</v>
      </c>
    </row>
    <row r="324" ht="15" customHeight="1">
      <c r="A324" s="25" t="s">
        <v>2882</v>
      </c>
      <c r="B324" s="25" t="s">
        <v>2883</v>
      </c>
      <c r="C324" s="25" t="s">
        <v>2145</v>
      </c>
      <c r="D324" s="25" t="s">
        <v>2139</v>
      </c>
      <c r="E324" s="25" t="s">
        <v>2884</v>
      </c>
      <c r="F324" s="25" t="s">
        <v>1819</v>
      </c>
      <c r="G324" s="25" t="s">
        <v>167</v>
      </c>
    </row>
    <row r="325" ht="15" customHeight="1">
      <c r="A325" s="25" t="s">
        <v>2882</v>
      </c>
      <c r="B325" s="25" t="s">
        <v>2885</v>
      </c>
      <c r="C325" s="25" t="s">
        <v>2121</v>
      </c>
      <c r="D325" s="25" t="s">
        <v>2141</v>
      </c>
      <c r="E325" s="25" t="s">
        <v>2886</v>
      </c>
      <c r="F325" s="25" t="s">
        <v>1966</v>
      </c>
      <c r="G325" s="25" t="s">
        <v>172</v>
      </c>
    </row>
    <row r="326" ht="15" customHeight="1">
      <c r="A326" s="25" t="s">
        <v>2887</v>
      </c>
      <c r="B326" s="25" t="s">
        <v>2888</v>
      </c>
      <c r="C326" s="25" t="s">
        <v>2125</v>
      </c>
      <c r="D326" s="25" t="s">
        <v>2178</v>
      </c>
      <c r="E326" s="25" t="s">
        <v>2889</v>
      </c>
      <c r="F326" s="25" t="s">
        <v>1881</v>
      </c>
      <c r="G326" s="25" t="s">
        <v>177</v>
      </c>
    </row>
    <row r="327" ht="15" customHeight="1">
      <c r="A327" s="25" t="s">
        <v>2887</v>
      </c>
      <c r="B327" s="25" t="s">
        <v>2890</v>
      </c>
      <c r="C327" s="25" t="s">
        <v>2121</v>
      </c>
      <c r="D327" s="25" t="s">
        <v>2182</v>
      </c>
      <c r="E327" s="25" t="s">
        <v>2891</v>
      </c>
      <c r="F327" s="25" t="s">
        <v>2016</v>
      </c>
      <c r="G327" s="25" t="s">
        <v>189</v>
      </c>
    </row>
    <row r="328" ht="15" customHeight="1">
      <c r="A328" s="25" t="s">
        <v>2892</v>
      </c>
      <c r="B328" s="25" t="s">
        <v>2893</v>
      </c>
      <c r="C328" s="25" t="s">
        <v>2129</v>
      </c>
      <c r="D328" s="25" t="s">
        <v>2185</v>
      </c>
      <c r="E328" s="25" t="s">
        <v>2894</v>
      </c>
      <c r="F328" s="25" t="s">
        <v>2076</v>
      </c>
      <c r="G328" s="25" t="s">
        <v>193</v>
      </c>
    </row>
    <row r="329" ht="15" customHeight="1">
      <c r="A329" s="25" t="s">
        <v>2892</v>
      </c>
      <c r="B329" s="25" t="s">
        <v>2895</v>
      </c>
      <c r="C329" s="25" t="s">
        <v>2157</v>
      </c>
      <c r="D329" s="25" t="s">
        <v>2158</v>
      </c>
      <c r="E329" s="25" t="s">
        <v>2896</v>
      </c>
      <c r="F329" s="25" t="s">
        <v>1798</v>
      </c>
      <c r="G329" s="25" t="s">
        <v>167</v>
      </c>
    </row>
    <row r="330" ht="15" customHeight="1">
      <c r="A330" s="25" t="s">
        <v>2897</v>
      </c>
      <c r="B330" s="25" t="s">
        <v>1432</v>
      </c>
      <c r="C330" s="25" t="s">
        <v>2125</v>
      </c>
      <c r="D330" s="25" t="s">
        <v>2149</v>
      </c>
      <c r="E330" s="25" t="s">
        <v>2898</v>
      </c>
      <c r="F330" s="25" t="s">
        <v>1933</v>
      </c>
      <c r="G330" s="25" t="s">
        <v>200</v>
      </c>
    </row>
    <row r="331" ht="15" customHeight="1">
      <c r="A331" s="25" t="s">
        <v>2897</v>
      </c>
      <c r="B331" s="25" t="s">
        <v>2899</v>
      </c>
      <c r="C331" s="25" t="s">
        <v>2121</v>
      </c>
      <c r="D331" s="25" t="s">
        <v>2165</v>
      </c>
      <c r="E331" s="25" t="s">
        <v>2900</v>
      </c>
      <c r="F331" s="25" t="s">
        <v>2046</v>
      </c>
      <c r="G331" s="25" t="s">
        <v>172</v>
      </c>
    </row>
    <row r="332" ht="15" customHeight="1">
      <c r="A332" s="25" t="s">
        <v>2901</v>
      </c>
      <c r="B332" s="25" t="s">
        <v>2902</v>
      </c>
      <c r="C332" s="25" t="s">
        <v>2145</v>
      </c>
      <c r="D332" s="25" t="s">
        <v>2146</v>
      </c>
      <c r="E332" s="25" t="s">
        <v>2903</v>
      </c>
      <c r="F332" s="25" t="s">
        <v>2112</v>
      </c>
      <c r="G332" s="25" t="s">
        <v>177</v>
      </c>
    </row>
    <row r="333" ht="15" customHeight="1">
      <c r="A333" s="25" t="s">
        <v>2901</v>
      </c>
      <c r="B333" s="25" t="s">
        <v>2904</v>
      </c>
      <c r="C333" s="25" t="s">
        <v>2121</v>
      </c>
      <c r="D333" s="25" t="s">
        <v>2126</v>
      </c>
      <c r="E333" s="25" t="s">
        <v>2905</v>
      </c>
      <c r="F333" s="25" t="s">
        <v>1868</v>
      </c>
      <c r="G333" s="25" t="s">
        <v>167</v>
      </c>
    </row>
    <row r="334" ht="15" customHeight="1">
      <c r="A334" s="25" t="s">
        <v>2906</v>
      </c>
      <c r="B334" s="25" t="s">
        <v>2907</v>
      </c>
      <c r="C334" s="25" t="s">
        <v>2153</v>
      </c>
      <c r="D334" s="25" t="s">
        <v>2380</v>
      </c>
      <c r="E334" s="25" t="s">
        <v>2908</v>
      </c>
      <c r="F334" s="25" t="s">
        <v>1972</v>
      </c>
      <c r="G334" s="25" t="s">
        <v>193</v>
      </c>
    </row>
    <row r="335" ht="15" customHeight="1">
      <c r="A335" s="25" t="s">
        <v>2906</v>
      </c>
      <c r="B335" s="25" t="s">
        <v>2242</v>
      </c>
      <c r="C335" s="25" t="s">
        <v>2199</v>
      </c>
      <c r="D335" s="25" t="s">
        <v>2258</v>
      </c>
      <c r="E335" s="25" t="s">
        <v>2909</v>
      </c>
      <c r="F335" s="25" t="s">
        <v>1914</v>
      </c>
      <c r="G335" s="25" t="s">
        <v>189</v>
      </c>
    </row>
    <row r="336" ht="15" customHeight="1">
      <c r="A336" s="25" t="s">
        <v>2910</v>
      </c>
      <c r="B336" s="25" t="s">
        <v>2911</v>
      </c>
      <c r="C336" s="25" t="s">
        <v>2121</v>
      </c>
      <c r="D336" s="25" t="s">
        <v>2260</v>
      </c>
      <c r="E336" s="25" t="s">
        <v>2912</v>
      </c>
      <c r="F336" s="25" t="s">
        <v>2052</v>
      </c>
      <c r="G336" s="25" t="s">
        <v>200</v>
      </c>
    </row>
    <row r="337" ht="15" customHeight="1">
      <c r="A337" s="25" t="s">
        <v>2910</v>
      </c>
      <c r="B337" s="25" t="s">
        <v>2913</v>
      </c>
      <c r="C337" s="25" t="s">
        <v>2125</v>
      </c>
      <c r="D337" s="25" t="s">
        <v>2301</v>
      </c>
      <c r="E337" s="25" t="s">
        <v>2914</v>
      </c>
      <c r="F337" s="25" t="s">
        <v>1812</v>
      </c>
      <c r="G337" s="25" t="s">
        <v>167</v>
      </c>
    </row>
    <row r="338" ht="15" customHeight="1">
      <c r="A338" s="25" t="s">
        <v>2915</v>
      </c>
      <c r="B338" s="25" t="s">
        <v>1064</v>
      </c>
      <c r="C338" s="25" t="s">
        <v>2145</v>
      </c>
      <c r="D338" s="25" t="s">
        <v>2200</v>
      </c>
      <c r="E338" s="25" t="s">
        <v>2916</v>
      </c>
      <c r="F338" s="25" t="s">
        <v>1959</v>
      </c>
      <c r="G338" s="25" t="s">
        <v>172</v>
      </c>
    </row>
    <row r="339" ht="15" customHeight="1">
      <c r="A339" s="25" t="s">
        <v>2915</v>
      </c>
      <c r="B339" s="25" t="s">
        <v>2917</v>
      </c>
      <c r="C339" s="25" t="s">
        <v>2121</v>
      </c>
      <c r="D339" s="25" t="s">
        <v>2203</v>
      </c>
      <c r="E339" s="25" t="s">
        <v>2918</v>
      </c>
      <c r="F339" s="25" t="s">
        <v>1861</v>
      </c>
      <c r="G339" s="25" t="s">
        <v>177</v>
      </c>
    </row>
    <row r="340" ht="15" customHeight="1">
      <c r="A340" s="25" t="s">
        <v>2919</v>
      </c>
      <c r="B340" s="25" t="s">
        <v>2687</v>
      </c>
      <c r="C340" s="25" t="s">
        <v>2153</v>
      </c>
      <c r="D340" s="25" t="s">
        <v>2154</v>
      </c>
      <c r="E340" s="25" t="s">
        <v>2920</v>
      </c>
      <c r="F340" s="25" t="s">
        <v>2010</v>
      </c>
      <c r="G340" s="25" t="s">
        <v>189</v>
      </c>
    </row>
    <row r="341" ht="15" customHeight="1">
      <c r="A341" s="25" t="s">
        <v>2919</v>
      </c>
      <c r="B341" s="25" t="s">
        <v>1538</v>
      </c>
      <c r="C341" s="25" t="s">
        <v>2133</v>
      </c>
      <c r="D341" s="25" t="s">
        <v>2134</v>
      </c>
      <c r="E341" s="25" t="s">
        <v>2921</v>
      </c>
      <c r="F341" s="25" t="s">
        <v>2094</v>
      </c>
      <c r="G341" s="25" t="s">
        <v>193</v>
      </c>
    </row>
    <row r="342" ht="15" customHeight="1">
      <c r="A342" s="25" t="s">
        <v>2922</v>
      </c>
      <c r="B342" s="25" t="s">
        <v>2923</v>
      </c>
      <c r="C342" s="25" t="s">
        <v>2145</v>
      </c>
      <c r="D342" s="25" t="s">
        <v>2139</v>
      </c>
      <c r="E342" s="25" t="s">
        <v>2924</v>
      </c>
      <c r="F342" s="25" t="s">
        <v>1927</v>
      </c>
      <c r="G342" s="25" t="s">
        <v>167</v>
      </c>
    </row>
    <row r="343" ht="15" customHeight="1">
      <c r="A343" s="25" t="s">
        <v>2922</v>
      </c>
      <c r="B343" s="25" t="s">
        <v>2925</v>
      </c>
      <c r="C343" s="25" t="s">
        <v>2121</v>
      </c>
      <c r="D343" s="25" t="s">
        <v>2141</v>
      </c>
      <c r="E343" s="25" t="s">
        <v>2926</v>
      </c>
      <c r="F343" s="25" t="s">
        <v>1805</v>
      </c>
      <c r="G343" s="25" t="s">
        <v>200</v>
      </c>
    </row>
    <row r="344" ht="15" customHeight="1">
      <c r="A344" s="25" t="s">
        <v>2927</v>
      </c>
      <c r="B344" s="25" t="s">
        <v>2928</v>
      </c>
      <c r="C344" s="25" t="s">
        <v>2125</v>
      </c>
      <c r="D344" s="25" t="s">
        <v>2178</v>
      </c>
      <c r="E344" s="25" t="s">
        <v>2929</v>
      </c>
      <c r="F344" s="25" t="s">
        <v>2040</v>
      </c>
      <c r="G344" s="25" t="s">
        <v>172</v>
      </c>
    </row>
    <row r="345" ht="15" customHeight="1">
      <c r="A345" s="25" t="s">
        <v>2927</v>
      </c>
      <c r="B345" s="25" t="s">
        <v>2930</v>
      </c>
      <c r="C345" s="25" t="s">
        <v>2121</v>
      </c>
      <c r="D345" s="25" t="s">
        <v>2182</v>
      </c>
      <c r="E345" s="25" t="s">
        <v>2931</v>
      </c>
      <c r="F345" s="25" t="s">
        <v>1902</v>
      </c>
      <c r="G345" s="25" t="s">
        <v>177</v>
      </c>
    </row>
    <row r="346" ht="15" customHeight="1">
      <c r="A346" s="25" t="s">
        <v>2932</v>
      </c>
      <c r="B346" s="25" t="s">
        <v>2933</v>
      </c>
      <c r="C346" s="25" t="s">
        <v>2129</v>
      </c>
      <c r="D346" s="25" t="s">
        <v>2185</v>
      </c>
      <c r="E346" s="25" t="s">
        <v>2934</v>
      </c>
      <c r="F346" s="25" t="s">
        <v>1984</v>
      </c>
      <c r="G346" s="25" t="s">
        <v>167</v>
      </c>
    </row>
    <row r="347" ht="15" customHeight="1">
      <c r="A347" s="25" t="s">
        <v>2932</v>
      </c>
      <c r="B347" s="25" t="s">
        <v>2935</v>
      </c>
      <c r="C347" s="25" t="s">
        <v>2157</v>
      </c>
      <c r="D347" s="25" t="s">
        <v>2158</v>
      </c>
      <c r="E347" s="25" t="s">
        <v>2936</v>
      </c>
      <c r="F347" s="25" t="s">
        <v>2022</v>
      </c>
      <c r="G347" s="25" t="s">
        <v>193</v>
      </c>
    </row>
    <row r="348" ht="15" customHeight="1">
      <c r="A348" s="25" t="s">
        <v>2937</v>
      </c>
      <c r="B348" s="25" t="s">
        <v>2938</v>
      </c>
      <c r="C348" s="25" t="s">
        <v>2125</v>
      </c>
      <c r="D348" s="25" t="s">
        <v>2149</v>
      </c>
      <c r="E348" s="25" t="s">
        <v>2939</v>
      </c>
      <c r="F348" s="25" t="s">
        <v>2088</v>
      </c>
      <c r="G348" s="25" t="s">
        <v>189</v>
      </c>
    </row>
    <row r="349" ht="15" customHeight="1">
      <c r="A349" s="25" t="s">
        <v>2937</v>
      </c>
      <c r="B349" s="25" t="s">
        <v>2940</v>
      </c>
      <c r="C349" s="25" t="s">
        <v>2121</v>
      </c>
      <c r="D349" s="25" t="s">
        <v>2165</v>
      </c>
      <c r="E349" s="25" t="s">
        <v>2941</v>
      </c>
      <c r="F349" s="25" t="s">
        <v>1940</v>
      </c>
      <c r="G349" s="25" t="s">
        <v>200</v>
      </c>
    </row>
    <row r="350" ht="15" customHeight="1">
      <c r="A350" s="25" t="s">
        <v>2942</v>
      </c>
      <c r="B350" s="25" t="s">
        <v>869</v>
      </c>
      <c r="C350" s="25" t="s">
        <v>2145</v>
      </c>
      <c r="D350" s="25" t="s">
        <v>2146</v>
      </c>
      <c r="E350" s="25" t="s">
        <v>2943</v>
      </c>
      <c r="F350" s="25" t="s">
        <v>2070</v>
      </c>
      <c r="G350" s="25" t="s">
        <v>167</v>
      </c>
    </row>
    <row r="351" ht="15" customHeight="1">
      <c r="A351" s="25" t="s">
        <v>2942</v>
      </c>
      <c r="B351" s="25" t="s">
        <v>2384</v>
      </c>
      <c r="C351" s="25" t="s">
        <v>2121</v>
      </c>
      <c r="D351" s="25" t="s">
        <v>2126</v>
      </c>
      <c r="E351" s="25" t="s">
        <v>2944</v>
      </c>
      <c r="F351" s="25" t="s">
        <v>1991</v>
      </c>
      <c r="G351" s="25" t="s">
        <v>172</v>
      </c>
    </row>
    <row r="352" ht="15" customHeight="1">
      <c r="A352" s="25" t="s">
        <v>2945</v>
      </c>
      <c r="B352" s="25" t="s">
        <v>1503</v>
      </c>
      <c r="C352" s="25" t="s">
        <v>2153</v>
      </c>
      <c r="D352" s="25" t="s">
        <v>2380</v>
      </c>
      <c r="E352" s="25" t="s">
        <v>2946</v>
      </c>
      <c r="F352" s="25" t="s">
        <v>1874</v>
      </c>
      <c r="G352" s="25" t="s">
        <v>177</v>
      </c>
    </row>
    <row r="353" ht="15" customHeight="1">
      <c r="A353" s="25" t="s">
        <v>2945</v>
      </c>
      <c r="B353" s="25" t="s">
        <v>2715</v>
      </c>
      <c r="C353" s="25" t="s">
        <v>2199</v>
      </c>
      <c r="D353" s="25" t="s">
        <v>2258</v>
      </c>
      <c r="E353" s="25" t="s">
        <v>2947</v>
      </c>
      <c r="F353" s="25" t="s">
        <v>1840</v>
      </c>
      <c r="G353" s="25" t="s">
        <v>189</v>
      </c>
    </row>
    <row r="354" ht="15" customHeight="1">
      <c r="A354" s="25" t="s">
        <v>2948</v>
      </c>
      <c r="B354" s="25" t="s">
        <v>2949</v>
      </c>
      <c r="C354" s="25" t="s">
        <v>2121</v>
      </c>
      <c r="D354" s="25" t="s">
        <v>2260</v>
      </c>
      <c r="E354" s="25" t="s">
        <v>2950</v>
      </c>
      <c r="F354" s="25" t="s">
        <v>1947</v>
      </c>
      <c r="G354" s="25" t="s">
        <v>193</v>
      </c>
    </row>
    <row r="355" ht="15" customHeight="1">
      <c r="A355" s="25" t="s">
        <v>2948</v>
      </c>
      <c r="B355" s="25" t="s">
        <v>2602</v>
      </c>
      <c r="C355" s="25" t="s">
        <v>2125</v>
      </c>
      <c r="D355" s="25" t="s">
        <v>2301</v>
      </c>
      <c r="E355" s="25" t="s">
        <v>2951</v>
      </c>
      <c r="F355" s="25" t="s">
        <v>2082</v>
      </c>
      <c r="G355" s="25" t="s">
        <v>167</v>
      </c>
    </row>
    <row r="356" ht="15" customHeight="1">
      <c r="A356" s="25" t="s">
        <v>2952</v>
      </c>
      <c r="B356" s="25" t="s">
        <v>464</v>
      </c>
      <c r="C356" s="25" t="s">
        <v>2145</v>
      </c>
      <c r="D356" s="25" t="s">
        <v>2200</v>
      </c>
      <c r="E356" s="25" t="s">
        <v>2953</v>
      </c>
      <c r="F356" s="25" t="s">
        <v>1847</v>
      </c>
      <c r="G356" s="25" t="s">
        <v>200</v>
      </c>
    </row>
    <row r="357" ht="15" customHeight="1">
      <c r="A357" s="25" t="s">
        <v>2952</v>
      </c>
      <c r="B357" s="25" t="s">
        <v>2954</v>
      </c>
      <c r="C357" s="25" t="s">
        <v>2121</v>
      </c>
      <c r="D357" s="25" t="s">
        <v>2203</v>
      </c>
      <c r="E357" s="25" t="s">
        <v>2955</v>
      </c>
      <c r="F357" s="25" t="s">
        <v>1997</v>
      </c>
      <c r="G357" s="25" t="s">
        <v>172</v>
      </c>
    </row>
    <row r="358" ht="15" customHeight="1">
      <c r="A358" s="25" t="s">
        <v>2956</v>
      </c>
      <c r="B358" s="25" t="s">
        <v>2957</v>
      </c>
      <c r="C358" s="25" t="s">
        <v>2153</v>
      </c>
      <c r="D358" s="25" t="s">
        <v>2154</v>
      </c>
      <c r="E358" s="25" t="s">
        <v>2958</v>
      </c>
      <c r="F358" s="25" t="s">
        <v>1920</v>
      </c>
      <c r="G358" s="25" t="s">
        <v>177</v>
      </c>
    </row>
    <row r="359" ht="15" customHeight="1">
      <c r="A359" s="25" t="s">
        <v>2956</v>
      </c>
      <c r="B359" s="25" t="s">
        <v>2295</v>
      </c>
      <c r="C359" s="25" t="s">
        <v>2133</v>
      </c>
      <c r="D359" s="25" t="s">
        <v>2134</v>
      </c>
      <c r="E359" s="25" t="s">
        <v>2959</v>
      </c>
      <c r="F359" s="25" t="s">
        <v>2064</v>
      </c>
      <c r="G359" s="25" t="s">
        <v>167</v>
      </c>
    </row>
    <row r="360" ht="15" customHeight="1">
      <c r="A360" s="25" t="s">
        <v>2960</v>
      </c>
      <c r="B360" s="25" t="s">
        <v>2961</v>
      </c>
      <c r="C360" s="25" t="s">
        <v>2145</v>
      </c>
      <c r="D360" s="25" t="s">
        <v>2139</v>
      </c>
      <c r="E360" s="25" t="s">
        <v>2962</v>
      </c>
      <c r="F360" s="25" t="s">
        <v>1826</v>
      </c>
      <c r="G360" s="25" t="s">
        <v>193</v>
      </c>
    </row>
    <row r="361" ht="15" customHeight="1">
      <c r="A361" s="25" t="s">
        <v>2960</v>
      </c>
      <c r="B361" s="25" t="s">
        <v>2963</v>
      </c>
      <c r="C361" s="25" t="s">
        <v>2121</v>
      </c>
      <c r="D361" s="25" t="s">
        <v>2141</v>
      </c>
      <c r="E361" s="25" t="s">
        <v>2964</v>
      </c>
      <c r="F361" s="25" t="s">
        <v>2028</v>
      </c>
      <c r="G361" s="25" t="s">
        <v>189</v>
      </c>
    </row>
    <row r="362" ht="15" customHeight="1">
      <c r="A362" s="25" t="s">
        <v>2965</v>
      </c>
      <c r="B362" s="25" t="s">
        <v>2966</v>
      </c>
      <c r="C362" s="25" t="s">
        <v>2125</v>
      </c>
      <c r="D362" s="25" t="s">
        <v>2178</v>
      </c>
      <c r="E362" s="25" t="s">
        <v>2967</v>
      </c>
      <c r="F362" s="25" t="s">
        <v>1888</v>
      </c>
      <c r="G362" s="25" t="s">
        <v>200</v>
      </c>
    </row>
    <row r="363" ht="15" customHeight="1">
      <c r="A363" s="25" t="s">
        <v>2965</v>
      </c>
      <c r="B363" s="25" t="s">
        <v>2711</v>
      </c>
      <c r="C363" s="25" t="s">
        <v>2121</v>
      </c>
      <c r="D363" s="25" t="s">
        <v>2182</v>
      </c>
      <c r="E363" s="25" t="s">
        <v>2968</v>
      </c>
      <c r="F363" s="25" t="s">
        <v>1978</v>
      </c>
      <c r="G363" s="25" t="s">
        <v>167</v>
      </c>
    </row>
    <row r="364" ht="15" customHeight="1">
      <c r="A364" s="25" t="s">
        <v>2969</v>
      </c>
      <c r="B364" s="25" t="s">
        <v>2970</v>
      </c>
      <c r="C364" s="25" t="s">
        <v>2129</v>
      </c>
      <c r="D364" s="25" t="s">
        <v>2185</v>
      </c>
      <c r="E364" s="25" t="s">
        <v>2971</v>
      </c>
      <c r="F364" s="25" t="s">
        <v>1854</v>
      </c>
      <c r="G364" s="25" t="s">
        <v>172</v>
      </c>
    </row>
    <row r="365" ht="15" customHeight="1">
      <c r="A365" s="25" t="s">
        <v>2969</v>
      </c>
      <c r="B365" s="25" t="s">
        <v>2972</v>
      </c>
      <c r="C365" s="25" t="s">
        <v>2157</v>
      </c>
      <c r="D365" s="25" t="s">
        <v>2158</v>
      </c>
      <c r="E365" s="25" t="s">
        <v>2973</v>
      </c>
      <c r="F365" s="25" t="s">
        <v>2058</v>
      </c>
      <c r="G365" s="25" t="s">
        <v>177</v>
      </c>
    </row>
    <row r="366" ht="15" customHeight="1">
      <c r="A366" s="25" t="s">
        <v>2974</v>
      </c>
      <c r="B366" s="25" t="s">
        <v>2975</v>
      </c>
      <c r="C366" s="25" t="s">
        <v>2125</v>
      </c>
      <c r="D366" s="25" t="s">
        <v>2149</v>
      </c>
      <c r="E366" s="25" t="s">
        <v>2976</v>
      </c>
      <c r="F366" s="25" t="s">
        <v>1908</v>
      </c>
      <c r="G366" s="25" t="s">
        <v>189</v>
      </c>
    </row>
    <row r="367" ht="15" customHeight="1">
      <c r="A367" s="25" t="s">
        <v>2974</v>
      </c>
      <c r="B367" s="25" t="s">
        <v>2495</v>
      </c>
      <c r="C367" s="25" t="s">
        <v>2121</v>
      </c>
      <c r="D367" s="25" t="s">
        <v>2165</v>
      </c>
      <c r="E367" s="25" t="s">
        <v>2977</v>
      </c>
      <c r="F367" s="25" t="s">
        <v>2004</v>
      </c>
      <c r="G367" s="25" t="s">
        <v>193</v>
      </c>
    </row>
    <row r="368" ht="15" customHeight="1">
      <c r="A368" s="25" t="s">
        <v>2978</v>
      </c>
      <c r="B368" s="25" t="s">
        <v>2979</v>
      </c>
      <c r="C368" s="25" t="s">
        <v>2145</v>
      </c>
      <c r="D368" s="25" t="s">
        <v>2146</v>
      </c>
      <c r="E368" s="25" t="s">
        <v>2980</v>
      </c>
      <c r="F368" s="25" t="s">
        <v>2106</v>
      </c>
      <c r="G368" s="25" t="s">
        <v>167</v>
      </c>
    </row>
    <row r="369" ht="15" customHeight="1">
      <c r="A369" s="25" t="s">
        <v>2978</v>
      </c>
      <c r="B369" s="25" t="s">
        <v>2981</v>
      </c>
      <c r="C369" s="25" t="s">
        <v>2121</v>
      </c>
      <c r="D369" s="25" t="s">
        <v>2126</v>
      </c>
      <c r="E369" s="25" t="s">
        <v>2982</v>
      </c>
      <c r="F369" s="25" t="s">
        <v>1833</v>
      </c>
      <c r="G369" s="25" t="s">
        <v>200</v>
      </c>
    </row>
    <row r="370" ht="15" customHeight="1">
      <c r="A370" s="25" t="s">
        <v>2983</v>
      </c>
      <c r="B370" s="25" t="s">
        <v>2984</v>
      </c>
      <c r="C370" s="25" t="s">
        <v>2153</v>
      </c>
      <c r="D370" s="25" t="s">
        <v>2380</v>
      </c>
      <c r="E370" s="25" t="s">
        <v>2985</v>
      </c>
      <c r="F370" s="25" t="s">
        <v>1953</v>
      </c>
      <c r="G370" s="25" t="s">
        <v>172</v>
      </c>
    </row>
    <row r="371" ht="15" customHeight="1">
      <c r="A371" s="25" t="s">
        <v>2983</v>
      </c>
      <c r="B371" s="25" t="s">
        <v>2986</v>
      </c>
      <c r="C371" s="25" t="s">
        <v>2199</v>
      </c>
      <c r="D371" s="25" t="s">
        <v>2258</v>
      </c>
      <c r="E371" s="25" t="s">
        <v>2987</v>
      </c>
      <c r="F371" s="25" t="s">
        <v>1895</v>
      </c>
      <c r="G371" s="25" t="s">
        <v>177</v>
      </c>
    </row>
    <row r="372" ht="15" customHeight="1">
      <c r="A372" s="25" t="s">
        <v>2988</v>
      </c>
      <c r="B372" s="25" t="s">
        <v>2989</v>
      </c>
      <c r="C372" s="25" t="s">
        <v>2121</v>
      </c>
      <c r="D372" s="25" t="s">
        <v>2260</v>
      </c>
      <c r="E372" s="25" t="s">
        <v>2990</v>
      </c>
      <c r="F372" s="25" t="s">
        <v>2034</v>
      </c>
      <c r="G372" s="25" t="s">
        <v>167</v>
      </c>
    </row>
    <row r="373" ht="15" customHeight="1">
      <c r="A373" s="25" t="s">
        <v>2988</v>
      </c>
      <c r="B373" s="25" t="s">
        <v>1003</v>
      </c>
      <c r="C373" s="25" t="s">
        <v>2125</v>
      </c>
      <c r="D373" s="25" t="s">
        <v>2301</v>
      </c>
      <c r="E373" s="25" t="s">
        <v>2991</v>
      </c>
      <c r="F373" s="25" t="s">
        <v>2100</v>
      </c>
      <c r="G373" s="25" t="s">
        <v>193</v>
      </c>
    </row>
    <row r="374" ht="15" customHeight="1">
      <c r="A374" s="25" t="s">
        <v>2992</v>
      </c>
      <c r="B374" s="25" t="s">
        <v>1282</v>
      </c>
      <c r="C374" s="25" t="s">
        <v>2145</v>
      </c>
      <c r="D374" s="25" t="s">
        <v>2200</v>
      </c>
      <c r="E374" s="25" t="s">
        <v>2993</v>
      </c>
      <c r="F374" s="25" t="s">
        <v>1819</v>
      </c>
      <c r="G374" s="25" t="s">
        <v>189</v>
      </c>
    </row>
    <row r="375" ht="15" customHeight="1">
      <c r="A375" s="25" t="s">
        <v>2992</v>
      </c>
      <c r="B375" s="25" t="s">
        <v>2994</v>
      </c>
      <c r="C375" s="25" t="s">
        <v>2121</v>
      </c>
      <c r="D375" s="25" t="s">
        <v>2203</v>
      </c>
      <c r="E375" s="25" t="s">
        <v>2995</v>
      </c>
      <c r="F375" s="25" t="s">
        <v>1966</v>
      </c>
      <c r="G375" s="25" t="s">
        <v>200</v>
      </c>
    </row>
    <row r="376" ht="15" customHeight="1">
      <c r="A376" s="25" t="s">
        <v>2996</v>
      </c>
      <c r="B376" s="25" t="s">
        <v>2997</v>
      </c>
      <c r="C376" s="25" t="s">
        <v>2153</v>
      </c>
      <c r="D376" s="25" t="s">
        <v>2154</v>
      </c>
      <c r="E376" s="25" t="s">
        <v>2998</v>
      </c>
      <c r="F376" s="25" t="s">
        <v>1881</v>
      </c>
      <c r="G376" s="25" t="s">
        <v>167</v>
      </c>
    </row>
    <row r="377" ht="15" customHeight="1">
      <c r="A377" s="25" t="s">
        <v>2996</v>
      </c>
      <c r="B377" s="25" t="s">
        <v>1415</v>
      </c>
      <c r="C377" s="25" t="s">
        <v>2133</v>
      </c>
      <c r="D377" s="25" t="s">
        <v>2134</v>
      </c>
      <c r="E377" s="25" t="s">
        <v>2999</v>
      </c>
      <c r="F377" s="25" t="s">
        <v>2016</v>
      </c>
      <c r="G377" s="25" t="s">
        <v>172</v>
      </c>
    </row>
    <row r="378" ht="15" customHeight="1">
      <c r="A378" s="25" t="s">
        <v>3000</v>
      </c>
      <c r="B378" s="25" t="s">
        <v>3001</v>
      </c>
      <c r="C378" s="25" t="s">
        <v>2145</v>
      </c>
      <c r="D378" s="25" t="s">
        <v>2139</v>
      </c>
      <c r="E378" s="25" t="s">
        <v>3002</v>
      </c>
      <c r="F378" s="25" t="s">
        <v>2076</v>
      </c>
      <c r="G378" s="25" t="s">
        <v>177</v>
      </c>
    </row>
    <row r="379" ht="15" customHeight="1">
      <c r="A379" s="25" t="s">
        <v>3000</v>
      </c>
      <c r="B379" s="25" t="s">
        <v>3003</v>
      </c>
      <c r="C379" s="25" t="s">
        <v>2121</v>
      </c>
      <c r="D379" s="25" t="s">
        <v>2141</v>
      </c>
      <c r="E379" s="25" t="s">
        <v>3004</v>
      </c>
      <c r="F379" s="25" t="s">
        <v>1798</v>
      </c>
      <c r="G379" s="25" t="s">
        <v>189</v>
      </c>
    </row>
    <row r="380" ht="15" customHeight="1">
      <c r="A380" s="25" t="s">
        <v>3005</v>
      </c>
      <c r="B380" s="25" t="s">
        <v>3006</v>
      </c>
      <c r="C380" s="25" t="s">
        <v>2125</v>
      </c>
      <c r="D380" s="25" t="s">
        <v>2178</v>
      </c>
      <c r="E380" s="25" t="s">
        <v>3007</v>
      </c>
      <c r="F380" s="25" t="s">
        <v>1933</v>
      </c>
      <c r="G380" s="25" t="s">
        <v>193</v>
      </c>
    </row>
    <row r="381" ht="15" customHeight="1">
      <c r="A381" s="25" t="s">
        <v>3005</v>
      </c>
      <c r="B381" s="25" t="s">
        <v>2930</v>
      </c>
      <c r="C381" s="25" t="s">
        <v>2121</v>
      </c>
      <c r="D381" s="25" t="s">
        <v>2182</v>
      </c>
      <c r="E381" s="25" t="s">
        <v>3008</v>
      </c>
      <c r="F381" s="25" t="s">
        <v>2046</v>
      </c>
      <c r="G381" s="25" t="s">
        <v>167</v>
      </c>
    </row>
    <row r="382" ht="15" customHeight="1">
      <c r="A382" s="25" t="s">
        <v>3009</v>
      </c>
      <c r="B382" s="25" t="s">
        <v>3010</v>
      </c>
      <c r="C382" s="25" t="s">
        <v>2129</v>
      </c>
      <c r="D382" s="25" t="s">
        <v>2185</v>
      </c>
      <c r="E382" s="25" t="s">
        <v>3011</v>
      </c>
      <c r="F382" s="25" t="s">
        <v>2112</v>
      </c>
      <c r="G382" s="25" t="s">
        <v>200</v>
      </c>
    </row>
    <row r="383" ht="15" customHeight="1">
      <c r="A383" s="25" t="s">
        <v>3009</v>
      </c>
      <c r="B383" s="25" t="s">
        <v>797</v>
      </c>
      <c r="C383" s="25" t="s">
        <v>2157</v>
      </c>
      <c r="D383" s="25" t="s">
        <v>2158</v>
      </c>
      <c r="E383" s="25" t="s">
        <v>3012</v>
      </c>
      <c r="F383" s="25" t="s">
        <v>1868</v>
      </c>
      <c r="G383" s="25" t="s">
        <v>172</v>
      </c>
    </row>
    <row r="384" ht="15" customHeight="1">
      <c r="A384" s="25" t="s">
        <v>3013</v>
      </c>
      <c r="B384" s="25" t="s">
        <v>3014</v>
      </c>
      <c r="C384" s="25" t="s">
        <v>2125</v>
      </c>
      <c r="D384" s="25" t="s">
        <v>2149</v>
      </c>
      <c r="E384" s="25" t="s">
        <v>3015</v>
      </c>
      <c r="F384" s="25" t="s">
        <v>1972</v>
      </c>
      <c r="G384" s="25" t="s">
        <v>177</v>
      </c>
    </row>
    <row r="385" ht="15" customHeight="1">
      <c r="A385" s="25" t="s">
        <v>3013</v>
      </c>
      <c r="B385" s="25" t="s">
        <v>3016</v>
      </c>
      <c r="C385" s="25" t="s">
        <v>2121</v>
      </c>
      <c r="D385" s="25" t="s">
        <v>2165</v>
      </c>
      <c r="E385" s="25" t="s">
        <v>3017</v>
      </c>
      <c r="F385" s="25" t="s">
        <v>1914</v>
      </c>
      <c r="G385" s="25" t="s">
        <v>167</v>
      </c>
    </row>
    <row r="386" ht="15" customHeight="1">
      <c r="A386" s="25" t="s">
        <v>3018</v>
      </c>
      <c r="B386" s="25" t="s">
        <v>2347</v>
      </c>
      <c r="C386" s="25" t="s">
        <v>2145</v>
      </c>
      <c r="D386" s="25" t="s">
        <v>2146</v>
      </c>
      <c r="E386" s="25" t="s">
        <v>3019</v>
      </c>
      <c r="F386" s="25" t="s">
        <v>2052</v>
      </c>
      <c r="G386" s="25" t="s">
        <v>193</v>
      </c>
    </row>
    <row r="387" ht="15" customHeight="1">
      <c r="A387" s="25" t="s">
        <v>3018</v>
      </c>
      <c r="B387" s="25" t="s">
        <v>3020</v>
      </c>
      <c r="C387" s="25" t="s">
        <v>2121</v>
      </c>
      <c r="D387" s="25" t="s">
        <v>2126</v>
      </c>
      <c r="E387" s="25" t="s">
        <v>3021</v>
      </c>
      <c r="F387" s="25" t="s">
        <v>1812</v>
      </c>
      <c r="G387" s="25" t="s">
        <v>189</v>
      </c>
    </row>
    <row r="388" ht="15" customHeight="1">
      <c r="A388" s="25" t="s">
        <v>3022</v>
      </c>
      <c r="B388" s="25" t="s">
        <v>1331</v>
      </c>
      <c r="C388" s="25" t="s">
        <v>2153</v>
      </c>
      <c r="D388" s="25" t="s">
        <v>2380</v>
      </c>
      <c r="E388" s="25" t="s">
        <v>3023</v>
      </c>
      <c r="F388" s="25" t="s">
        <v>1959</v>
      </c>
      <c r="G388" s="25" t="s">
        <v>200</v>
      </c>
    </row>
    <row r="389" ht="15" customHeight="1">
      <c r="A389" s="25" t="s">
        <v>3022</v>
      </c>
      <c r="B389" s="25" t="s">
        <v>3024</v>
      </c>
      <c r="C389" s="25" t="s">
        <v>2199</v>
      </c>
      <c r="D389" s="25" t="s">
        <v>2258</v>
      </c>
      <c r="E389" s="25" t="s">
        <v>3025</v>
      </c>
      <c r="F389" s="25" t="s">
        <v>1861</v>
      </c>
      <c r="G389" s="25" t="s">
        <v>167</v>
      </c>
    </row>
    <row r="390" ht="15" customHeight="1">
      <c r="A390" s="25" t="s">
        <v>3026</v>
      </c>
      <c r="B390" s="25" t="s">
        <v>3027</v>
      </c>
      <c r="C390" s="25" t="s">
        <v>2121</v>
      </c>
      <c r="D390" s="25" t="s">
        <v>2260</v>
      </c>
      <c r="E390" s="25" t="s">
        <v>3028</v>
      </c>
      <c r="F390" s="25" t="s">
        <v>2010</v>
      </c>
      <c r="G390" s="25" t="s">
        <v>172</v>
      </c>
    </row>
    <row r="391" ht="15" customHeight="1">
      <c r="A391" s="25" t="s">
        <v>3026</v>
      </c>
      <c r="B391" s="25" t="s">
        <v>3029</v>
      </c>
      <c r="C391" s="25" t="s">
        <v>2125</v>
      </c>
      <c r="D391" s="25" t="s">
        <v>2301</v>
      </c>
      <c r="E391" s="25" t="s">
        <v>3030</v>
      </c>
      <c r="F391" s="25" t="s">
        <v>2094</v>
      </c>
      <c r="G391" s="25" t="s">
        <v>177</v>
      </c>
    </row>
    <row r="392" ht="15" customHeight="1">
      <c r="A392" s="25" t="s">
        <v>3031</v>
      </c>
      <c r="B392" s="25" t="s">
        <v>3032</v>
      </c>
      <c r="C392" s="25" t="s">
        <v>2145</v>
      </c>
      <c r="D392" s="25" t="s">
        <v>2200</v>
      </c>
      <c r="E392" s="25" t="s">
        <v>3033</v>
      </c>
      <c r="F392" s="25" t="s">
        <v>1927</v>
      </c>
      <c r="G392" s="25" t="s">
        <v>189</v>
      </c>
    </row>
    <row r="393" ht="15" customHeight="1">
      <c r="A393" s="25" t="s">
        <v>3031</v>
      </c>
      <c r="B393" s="25" t="s">
        <v>3034</v>
      </c>
      <c r="C393" s="25" t="s">
        <v>2121</v>
      </c>
      <c r="D393" s="25" t="s">
        <v>2203</v>
      </c>
      <c r="E393" s="25" t="s">
        <v>3035</v>
      </c>
      <c r="F393" s="25" t="s">
        <v>1805</v>
      </c>
      <c r="G393" s="25" t="s">
        <v>193</v>
      </c>
    </row>
    <row r="394" ht="15" customHeight="1">
      <c r="A394" s="25" t="s">
        <v>3036</v>
      </c>
      <c r="B394" s="25" t="s">
        <v>1464</v>
      </c>
      <c r="C394" s="25" t="s">
        <v>2153</v>
      </c>
      <c r="D394" s="25" t="s">
        <v>2154</v>
      </c>
      <c r="E394" s="25" t="s">
        <v>3037</v>
      </c>
      <c r="F394" s="25" t="s">
        <v>2040</v>
      </c>
      <c r="G394" s="25" t="s">
        <v>167</v>
      </c>
    </row>
    <row r="395" ht="15" customHeight="1">
      <c r="A395" s="25" t="s">
        <v>3036</v>
      </c>
      <c r="B395" s="25" t="s">
        <v>3038</v>
      </c>
      <c r="C395" s="25" t="s">
        <v>2133</v>
      </c>
      <c r="D395" s="25" t="s">
        <v>2134</v>
      </c>
      <c r="E395" s="25" t="s">
        <v>3039</v>
      </c>
      <c r="F395" s="25" t="s">
        <v>1902</v>
      </c>
      <c r="G395" s="25" t="s">
        <v>200</v>
      </c>
    </row>
    <row r="396" ht="15" customHeight="1">
      <c r="A396" s="25" t="s">
        <v>3040</v>
      </c>
      <c r="B396" s="25" t="s">
        <v>1267</v>
      </c>
      <c r="C396" s="25" t="s">
        <v>2145</v>
      </c>
      <c r="D396" s="25" t="s">
        <v>2139</v>
      </c>
      <c r="E396" s="25" t="s">
        <v>3041</v>
      </c>
      <c r="F396" s="25" t="s">
        <v>1984</v>
      </c>
      <c r="G396" s="25" t="s">
        <v>172</v>
      </c>
    </row>
    <row r="397" ht="15" customHeight="1">
      <c r="A397" s="25" t="s">
        <v>3040</v>
      </c>
      <c r="B397" s="25" t="s">
        <v>2694</v>
      </c>
      <c r="C397" s="25" t="s">
        <v>2121</v>
      </c>
      <c r="D397" s="25" t="s">
        <v>2141</v>
      </c>
      <c r="E397" s="25" t="s">
        <v>3042</v>
      </c>
      <c r="F397" s="25" t="s">
        <v>2022</v>
      </c>
      <c r="G397" s="25" t="s">
        <v>177</v>
      </c>
    </row>
    <row r="398" ht="15" customHeight="1">
      <c r="A398" s="25" t="s">
        <v>3043</v>
      </c>
      <c r="B398" s="25" t="s">
        <v>3044</v>
      </c>
      <c r="C398" s="25" t="s">
        <v>2125</v>
      </c>
      <c r="D398" s="25" t="s">
        <v>2178</v>
      </c>
      <c r="E398" s="25" t="s">
        <v>3045</v>
      </c>
      <c r="F398" s="25" t="s">
        <v>2088</v>
      </c>
      <c r="G398" s="25" t="s">
        <v>167</v>
      </c>
    </row>
    <row r="399" ht="15" customHeight="1">
      <c r="A399" s="25" t="s">
        <v>3043</v>
      </c>
      <c r="B399" s="25" t="s">
        <v>3046</v>
      </c>
      <c r="C399" s="25" t="s">
        <v>2121</v>
      </c>
      <c r="D399" s="25" t="s">
        <v>2182</v>
      </c>
      <c r="E399" s="25" t="s">
        <v>3047</v>
      </c>
      <c r="F399" s="25" t="s">
        <v>1940</v>
      </c>
      <c r="G399" s="25" t="s">
        <v>193</v>
      </c>
    </row>
    <row r="400" ht="15" customHeight="1">
      <c r="A400" s="25" t="s">
        <v>3048</v>
      </c>
      <c r="B400" s="25" t="s">
        <v>3049</v>
      </c>
      <c r="C400" s="25" t="s">
        <v>2129</v>
      </c>
      <c r="D400" s="25" t="s">
        <v>2185</v>
      </c>
      <c r="E400" s="25" t="s">
        <v>3050</v>
      </c>
      <c r="F400" s="25" t="s">
        <v>2070</v>
      </c>
      <c r="G400" s="25" t="s">
        <v>189</v>
      </c>
    </row>
    <row r="401" ht="15" customHeight="1">
      <c r="A401" s="25" t="s">
        <v>3048</v>
      </c>
      <c r="B401" s="25" t="s">
        <v>2295</v>
      </c>
      <c r="C401" s="25" t="s">
        <v>2157</v>
      </c>
      <c r="D401" s="25" t="s">
        <v>2158</v>
      </c>
      <c r="E401" s="25" t="s">
        <v>3051</v>
      </c>
      <c r="F401" s="25" t="s">
        <v>1991</v>
      </c>
      <c r="G401" s="25" t="s">
        <v>200</v>
      </c>
    </row>
    <row r="402" ht="15" customHeight="1">
      <c r="A402" s="25" t="s">
        <v>3052</v>
      </c>
      <c r="B402" s="25" t="s">
        <v>3053</v>
      </c>
      <c r="C402" s="25" t="s">
        <v>2125</v>
      </c>
      <c r="D402" s="25" t="s">
        <v>2149</v>
      </c>
      <c r="E402" s="25" t="s">
        <v>3054</v>
      </c>
      <c r="F402" s="25" t="s">
        <v>1874</v>
      </c>
      <c r="G402" s="25" t="s">
        <v>167</v>
      </c>
    </row>
    <row r="403" ht="15" customHeight="1">
      <c r="A403" s="25" t="s">
        <v>3052</v>
      </c>
      <c r="B403" s="25" t="s">
        <v>3055</v>
      </c>
      <c r="C403" s="25" t="s">
        <v>2121</v>
      </c>
      <c r="D403" s="25" t="s">
        <v>2165</v>
      </c>
      <c r="E403" s="25" t="s">
        <v>3056</v>
      </c>
      <c r="F403" s="25" t="s">
        <v>1840</v>
      </c>
      <c r="G403" s="25" t="s">
        <v>172</v>
      </c>
    </row>
    <row r="404" ht="15" customHeight="1">
      <c r="A404" s="25" t="s">
        <v>3057</v>
      </c>
      <c r="B404" s="25" t="s">
        <v>764</v>
      </c>
      <c r="C404" s="25" t="s">
        <v>2145</v>
      </c>
      <c r="D404" s="25" t="s">
        <v>2146</v>
      </c>
      <c r="E404" s="25" t="s">
        <v>3058</v>
      </c>
      <c r="F404" s="25" t="s">
        <v>1947</v>
      </c>
      <c r="G404" s="25" t="s">
        <v>177</v>
      </c>
    </row>
    <row r="405" ht="15" customHeight="1">
      <c r="A405" s="25" t="s">
        <v>3057</v>
      </c>
      <c r="B405" s="25" t="s">
        <v>3059</v>
      </c>
      <c r="C405" s="25" t="s">
        <v>2121</v>
      </c>
      <c r="D405" s="25" t="s">
        <v>2126</v>
      </c>
      <c r="E405" s="25" t="s">
        <v>3060</v>
      </c>
      <c r="F405" s="25" t="s">
        <v>2082</v>
      </c>
      <c r="G405" s="25" t="s">
        <v>189</v>
      </c>
    </row>
    <row r="406" ht="15" customHeight="1">
      <c r="A406" s="25" t="s">
        <v>3061</v>
      </c>
      <c r="B406" s="25" t="s">
        <v>2765</v>
      </c>
      <c r="C406" s="25" t="s">
        <v>2153</v>
      </c>
      <c r="D406" s="25" t="s">
        <v>2380</v>
      </c>
      <c r="E406" s="25" t="s">
        <v>3062</v>
      </c>
      <c r="F406" s="25" t="s">
        <v>1847</v>
      </c>
      <c r="G406" s="25" t="s">
        <v>193</v>
      </c>
    </row>
    <row r="407" ht="15" customHeight="1">
      <c r="A407" s="25" t="s">
        <v>3061</v>
      </c>
      <c r="B407" s="25" t="s">
        <v>3063</v>
      </c>
      <c r="C407" s="25" t="s">
        <v>2199</v>
      </c>
      <c r="D407" s="25" t="s">
        <v>2258</v>
      </c>
      <c r="E407" s="25" t="s">
        <v>3064</v>
      </c>
      <c r="F407" s="25" t="s">
        <v>1997</v>
      </c>
      <c r="G407" s="25" t="s">
        <v>167</v>
      </c>
    </row>
    <row r="408" ht="15" customHeight="1">
      <c r="A408" s="25" t="s">
        <v>3065</v>
      </c>
      <c r="B408" s="25" t="s">
        <v>1337</v>
      </c>
      <c r="C408" s="25" t="s">
        <v>2121</v>
      </c>
      <c r="D408" s="25" t="s">
        <v>2260</v>
      </c>
      <c r="E408" s="25" t="s">
        <v>3066</v>
      </c>
      <c r="F408" s="25" t="s">
        <v>1920</v>
      </c>
      <c r="G408" s="25" t="s">
        <v>200</v>
      </c>
    </row>
    <row r="409" ht="15" customHeight="1">
      <c r="A409" s="25" t="s">
        <v>3065</v>
      </c>
      <c r="B409" s="25" t="s">
        <v>3067</v>
      </c>
      <c r="C409" s="25" t="s">
        <v>2125</v>
      </c>
      <c r="D409" s="25" t="s">
        <v>2301</v>
      </c>
      <c r="E409" s="25" t="s">
        <v>3068</v>
      </c>
      <c r="F409" s="25" t="s">
        <v>2064</v>
      </c>
      <c r="G409" s="25" t="s">
        <v>172</v>
      </c>
    </row>
    <row r="410" ht="15" customHeight="1">
      <c r="A410" s="25" t="s">
        <v>3069</v>
      </c>
      <c r="B410" s="25" t="s">
        <v>1119</v>
      </c>
      <c r="C410" s="25" t="s">
        <v>2145</v>
      </c>
      <c r="D410" s="25" t="s">
        <v>2200</v>
      </c>
      <c r="E410" s="25" t="s">
        <v>3070</v>
      </c>
      <c r="F410" s="25" t="s">
        <v>1826</v>
      </c>
      <c r="G410" s="25" t="s">
        <v>177</v>
      </c>
    </row>
    <row r="411" ht="15" customHeight="1">
      <c r="A411" s="25" t="s">
        <v>3069</v>
      </c>
      <c r="B411" s="25" t="s">
        <v>1701</v>
      </c>
      <c r="C411" s="25" t="s">
        <v>2121</v>
      </c>
      <c r="D411" s="25" t="s">
        <v>2203</v>
      </c>
      <c r="E411" s="25" t="s">
        <v>3071</v>
      </c>
      <c r="F411" s="25" t="s">
        <v>2028</v>
      </c>
      <c r="G411" s="25" t="s">
        <v>167</v>
      </c>
    </row>
    <row r="412" ht="15" customHeight="1">
      <c r="A412" s="25" t="s">
        <v>3072</v>
      </c>
      <c r="B412" s="25" t="s">
        <v>2804</v>
      </c>
      <c r="C412" s="25" t="s">
        <v>2153</v>
      </c>
      <c r="D412" s="25" t="s">
        <v>2154</v>
      </c>
      <c r="E412" s="25" t="s">
        <v>3073</v>
      </c>
      <c r="F412" s="25" t="s">
        <v>1888</v>
      </c>
      <c r="G412" s="25" t="s">
        <v>193</v>
      </c>
    </row>
    <row r="413" ht="15" customHeight="1">
      <c r="A413" s="25" t="s">
        <v>3072</v>
      </c>
      <c r="B413" s="25" t="s">
        <v>3074</v>
      </c>
      <c r="C413" s="25" t="s">
        <v>2133</v>
      </c>
      <c r="D413" s="25" t="s">
        <v>2134</v>
      </c>
      <c r="E413" s="25" t="s">
        <v>3075</v>
      </c>
      <c r="F413" s="25" t="s">
        <v>1978</v>
      </c>
      <c r="G413" s="25" t="s">
        <v>189</v>
      </c>
    </row>
    <row r="414" ht="15" customHeight="1">
      <c r="A414" s="25" t="s">
        <v>3076</v>
      </c>
      <c r="B414" s="25" t="s">
        <v>1527</v>
      </c>
      <c r="C414" s="25" t="s">
        <v>2145</v>
      </c>
      <c r="D414" s="25" t="s">
        <v>2139</v>
      </c>
      <c r="E414" s="25" t="s">
        <v>3077</v>
      </c>
      <c r="F414" s="25" t="s">
        <v>1854</v>
      </c>
      <c r="G414" s="25" t="s">
        <v>200</v>
      </c>
    </row>
    <row r="415" ht="15" customHeight="1">
      <c r="A415" s="25" t="s">
        <v>3076</v>
      </c>
      <c r="B415" s="25" t="s">
        <v>3078</v>
      </c>
      <c r="C415" s="25" t="s">
        <v>2121</v>
      </c>
      <c r="D415" s="25" t="s">
        <v>2141</v>
      </c>
      <c r="E415" s="25" t="s">
        <v>3079</v>
      </c>
      <c r="F415" s="25" t="s">
        <v>2058</v>
      </c>
      <c r="G415" s="25" t="s">
        <v>167</v>
      </c>
    </row>
    <row r="416" ht="15" customHeight="1">
      <c r="A416" s="25" t="s">
        <v>3080</v>
      </c>
      <c r="B416" s="25" t="s">
        <v>3081</v>
      </c>
      <c r="C416" s="25" t="s">
        <v>2125</v>
      </c>
      <c r="D416" s="25" t="s">
        <v>2178</v>
      </c>
      <c r="E416" s="25" t="s">
        <v>3082</v>
      </c>
      <c r="F416" s="25" t="s">
        <v>1908</v>
      </c>
      <c r="G416" s="25" t="s">
        <v>172</v>
      </c>
    </row>
    <row r="417" ht="15" customHeight="1">
      <c r="A417" s="25" t="s">
        <v>3080</v>
      </c>
      <c r="B417" s="25" t="s">
        <v>1719</v>
      </c>
      <c r="C417" s="25" t="s">
        <v>2121</v>
      </c>
      <c r="D417" s="25" t="s">
        <v>2182</v>
      </c>
      <c r="E417" s="25" t="s">
        <v>3083</v>
      </c>
      <c r="F417" s="25" t="s">
        <v>2004</v>
      </c>
      <c r="G417" s="25" t="s">
        <v>177</v>
      </c>
    </row>
    <row r="418" ht="15" customHeight="1">
      <c r="A418" s="25" t="s">
        <v>3084</v>
      </c>
      <c r="B418" s="25" t="s">
        <v>1349</v>
      </c>
      <c r="C418" s="25" t="s">
        <v>2129</v>
      </c>
      <c r="D418" s="25" t="s">
        <v>2185</v>
      </c>
      <c r="E418" s="25" t="s">
        <v>3085</v>
      </c>
      <c r="F418" s="25" t="s">
        <v>2106</v>
      </c>
      <c r="G418" s="25" t="s">
        <v>189</v>
      </c>
    </row>
    <row r="419" ht="15" customHeight="1">
      <c r="A419" s="25" t="s">
        <v>3084</v>
      </c>
      <c r="B419" s="25" t="s">
        <v>723</v>
      </c>
      <c r="C419" s="25" t="s">
        <v>2157</v>
      </c>
      <c r="D419" s="25" t="s">
        <v>2158</v>
      </c>
      <c r="E419" s="25" t="s">
        <v>3086</v>
      </c>
      <c r="F419" s="25" t="s">
        <v>1833</v>
      </c>
      <c r="G419" s="25" t="s">
        <v>193</v>
      </c>
    </row>
    <row r="420" ht="15" customHeight="1">
      <c r="A420" s="25" t="s">
        <v>3087</v>
      </c>
      <c r="B420" s="25" t="s">
        <v>3088</v>
      </c>
      <c r="C420" s="25" t="s">
        <v>2125</v>
      </c>
      <c r="D420" s="25" t="s">
        <v>2149</v>
      </c>
      <c r="E420" s="25" t="s">
        <v>3089</v>
      </c>
      <c r="F420" s="25" t="s">
        <v>1953</v>
      </c>
      <c r="G420" s="25" t="s">
        <v>167</v>
      </c>
    </row>
    <row r="421" ht="15" customHeight="1">
      <c r="A421" s="25" t="s">
        <v>3087</v>
      </c>
      <c r="B421" s="25" t="s">
        <v>3090</v>
      </c>
      <c r="C421" s="25" t="s">
        <v>2121</v>
      </c>
      <c r="D421" s="25" t="s">
        <v>2165</v>
      </c>
      <c r="E421" s="25" t="s">
        <v>3091</v>
      </c>
      <c r="F421" s="25" t="s">
        <v>1895</v>
      </c>
      <c r="G421" s="25" t="s">
        <v>200</v>
      </c>
    </row>
    <row r="422" ht="15" customHeight="1">
      <c r="A422" s="25" t="s">
        <v>3092</v>
      </c>
      <c r="B422" s="25" t="s">
        <v>3093</v>
      </c>
      <c r="C422" s="25" t="s">
        <v>2145</v>
      </c>
      <c r="D422" s="25" t="s">
        <v>2146</v>
      </c>
      <c r="E422" s="25" t="s">
        <v>3094</v>
      </c>
      <c r="F422" s="25" t="s">
        <v>2034</v>
      </c>
      <c r="G422" s="25" t="s">
        <v>172</v>
      </c>
    </row>
    <row r="423" ht="15" customHeight="1">
      <c r="A423" s="25" t="s">
        <v>3092</v>
      </c>
      <c r="B423" s="25" t="s">
        <v>3095</v>
      </c>
      <c r="C423" s="25" t="s">
        <v>2121</v>
      </c>
      <c r="D423" s="25" t="s">
        <v>2126</v>
      </c>
      <c r="E423" s="25" t="s">
        <v>3096</v>
      </c>
      <c r="F423" s="25" t="s">
        <v>2100</v>
      </c>
      <c r="G423" s="25" t="s">
        <v>177</v>
      </c>
    </row>
    <row r="424" ht="15" customHeight="1">
      <c r="A424" s="25" t="s">
        <v>3097</v>
      </c>
      <c r="B424" s="25" t="s">
        <v>2827</v>
      </c>
      <c r="C424" s="25" t="s">
        <v>2153</v>
      </c>
      <c r="D424" s="25" t="s">
        <v>2380</v>
      </c>
      <c r="E424" s="25" t="s">
        <v>3098</v>
      </c>
      <c r="F424" s="25" t="s">
        <v>1819</v>
      </c>
      <c r="G424" s="25" t="s">
        <v>167</v>
      </c>
    </row>
    <row r="425" ht="15" customHeight="1">
      <c r="A425" s="25" t="s">
        <v>3097</v>
      </c>
      <c r="B425" s="25" t="s">
        <v>1084</v>
      </c>
      <c r="C425" s="25" t="s">
        <v>2199</v>
      </c>
      <c r="D425" s="25" t="s">
        <v>2258</v>
      </c>
      <c r="E425" s="25" t="s">
        <v>3099</v>
      </c>
      <c r="F425" s="25" t="s">
        <v>1966</v>
      </c>
      <c r="G425" s="25" t="s">
        <v>193</v>
      </c>
    </row>
    <row r="426" ht="15" customHeight="1">
      <c r="A426" s="25" t="s">
        <v>3100</v>
      </c>
      <c r="B426" s="25" t="s">
        <v>1507</v>
      </c>
      <c r="C426" s="25" t="s">
        <v>2121</v>
      </c>
      <c r="D426" s="25" t="s">
        <v>2260</v>
      </c>
      <c r="E426" s="25" t="s">
        <v>3101</v>
      </c>
      <c r="F426" s="25" t="s">
        <v>1881</v>
      </c>
      <c r="G426" s="25" t="s">
        <v>189</v>
      </c>
    </row>
    <row r="427" ht="15" customHeight="1">
      <c r="A427" s="25" t="s">
        <v>3100</v>
      </c>
      <c r="B427" s="25" t="s">
        <v>3102</v>
      </c>
      <c r="C427" s="25" t="s">
        <v>2125</v>
      </c>
      <c r="D427" s="25" t="s">
        <v>2301</v>
      </c>
      <c r="E427" s="25" t="s">
        <v>3103</v>
      </c>
      <c r="F427" s="25" t="s">
        <v>2016</v>
      </c>
      <c r="G427" s="25" t="s">
        <v>200</v>
      </c>
    </row>
    <row r="428" ht="15" customHeight="1">
      <c r="A428" s="25" t="s">
        <v>3104</v>
      </c>
      <c r="B428" s="25" t="s">
        <v>3105</v>
      </c>
      <c r="C428" s="25" t="s">
        <v>2145</v>
      </c>
      <c r="D428" s="25" t="s">
        <v>2200</v>
      </c>
      <c r="E428" s="25" t="s">
        <v>3106</v>
      </c>
      <c r="F428" s="25" t="s">
        <v>2076</v>
      </c>
      <c r="G428" s="25" t="s">
        <v>167</v>
      </c>
    </row>
    <row r="429" ht="15" customHeight="1">
      <c r="A429" s="25" t="s">
        <v>3104</v>
      </c>
      <c r="B429" s="25" t="s">
        <v>3107</v>
      </c>
      <c r="C429" s="25" t="s">
        <v>2121</v>
      </c>
      <c r="D429" s="25" t="s">
        <v>2203</v>
      </c>
      <c r="E429" s="25" t="s">
        <v>3108</v>
      </c>
      <c r="F429" s="25" t="s">
        <v>1798</v>
      </c>
      <c r="G429" s="25" t="s">
        <v>172</v>
      </c>
    </row>
    <row r="430" ht="15" customHeight="1">
      <c r="A430" s="25" t="s">
        <v>3109</v>
      </c>
      <c r="B430" s="25" t="s">
        <v>3110</v>
      </c>
      <c r="C430" s="25" t="s">
        <v>2153</v>
      </c>
      <c r="D430" s="25" t="s">
        <v>2154</v>
      </c>
      <c r="E430" s="25" t="s">
        <v>3111</v>
      </c>
      <c r="F430" s="25" t="s">
        <v>1933</v>
      </c>
      <c r="G430" s="25" t="s">
        <v>177</v>
      </c>
    </row>
    <row r="431" ht="15" customHeight="1">
      <c r="A431" s="25" t="s">
        <v>3109</v>
      </c>
      <c r="B431" s="25" t="s">
        <v>3112</v>
      </c>
      <c r="C431" s="25" t="s">
        <v>2133</v>
      </c>
      <c r="D431" s="25" t="s">
        <v>2134</v>
      </c>
      <c r="E431" s="25" t="s">
        <v>3113</v>
      </c>
      <c r="F431" s="25" t="s">
        <v>2046</v>
      </c>
      <c r="G431" s="25" t="s">
        <v>189</v>
      </c>
    </row>
    <row r="432" ht="15" customHeight="1">
      <c r="A432" s="25" t="s">
        <v>3114</v>
      </c>
      <c r="B432" s="25" t="s">
        <v>1481</v>
      </c>
      <c r="C432" s="25" t="s">
        <v>2145</v>
      </c>
      <c r="D432" s="25" t="s">
        <v>2139</v>
      </c>
      <c r="E432" s="25" t="s">
        <v>3115</v>
      </c>
      <c r="F432" s="25" t="s">
        <v>2112</v>
      </c>
      <c r="G432" s="25" t="s">
        <v>193</v>
      </c>
    </row>
    <row r="433" ht="15" customHeight="1">
      <c r="A433" s="25" t="s">
        <v>3114</v>
      </c>
      <c r="B433" s="25" t="s">
        <v>1151</v>
      </c>
      <c r="C433" s="25" t="s">
        <v>2121</v>
      </c>
      <c r="D433" s="25" t="s">
        <v>2141</v>
      </c>
      <c r="E433" s="25" t="s">
        <v>3116</v>
      </c>
      <c r="F433" s="25" t="s">
        <v>1868</v>
      </c>
      <c r="G433" s="25" t="s">
        <v>167</v>
      </c>
    </row>
    <row r="434" ht="15" customHeight="1">
      <c r="A434" s="25" t="s">
        <v>3117</v>
      </c>
      <c r="B434" s="25" t="s">
        <v>2787</v>
      </c>
      <c r="C434" s="25" t="s">
        <v>2125</v>
      </c>
      <c r="D434" s="25" t="s">
        <v>2178</v>
      </c>
      <c r="E434" s="25" t="s">
        <v>3118</v>
      </c>
      <c r="F434" s="25" t="s">
        <v>1972</v>
      </c>
      <c r="G434" s="25" t="s">
        <v>200</v>
      </c>
    </row>
    <row r="435" ht="15" customHeight="1">
      <c r="A435" s="25" t="s">
        <v>3117</v>
      </c>
      <c r="B435" s="25" t="s">
        <v>1726</v>
      </c>
      <c r="C435" s="25" t="s">
        <v>2121</v>
      </c>
      <c r="D435" s="25" t="s">
        <v>2182</v>
      </c>
      <c r="E435" s="25" t="s">
        <v>3119</v>
      </c>
      <c r="F435" s="25" t="s">
        <v>1914</v>
      </c>
      <c r="G435" s="25" t="s">
        <v>172</v>
      </c>
    </row>
    <row r="436" ht="15" customHeight="1">
      <c r="A436" s="25" t="s">
        <v>3120</v>
      </c>
      <c r="B436" s="25" t="s">
        <v>3121</v>
      </c>
      <c r="C436" s="25" t="s">
        <v>2129</v>
      </c>
      <c r="D436" s="25" t="s">
        <v>2185</v>
      </c>
      <c r="E436" s="25" t="s">
        <v>3122</v>
      </c>
      <c r="F436" s="25" t="s">
        <v>2052</v>
      </c>
      <c r="G436" s="25" t="s">
        <v>177</v>
      </c>
    </row>
    <row r="437" ht="15" customHeight="1">
      <c r="A437" s="25" t="s">
        <v>3120</v>
      </c>
      <c r="B437" s="25" t="s">
        <v>3123</v>
      </c>
      <c r="C437" s="25" t="s">
        <v>2157</v>
      </c>
      <c r="D437" s="25" t="s">
        <v>2158</v>
      </c>
      <c r="E437" s="25" t="s">
        <v>3124</v>
      </c>
      <c r="F437" s="25" t="s">
        <v>1812</v>
      </c>
      <c r="G437" s="25" t="s">
        <v>167</v>
      </c>
    </row>
    <row r="438" ht="15" customHeight="1">
      <c r="A438" s="25" t="s">
        <v>3125</v>
      </c>
      <c r="B438" s="25" t="s">
        <v>1488</v>
      </c>
      <c r="C438" s="25" t="s">
        <v>2125</v>
      </c>
      <c r="D438" s="25" t="s">
        <v>2149</v>
      </c>
      <c r="E438" s="25" t="s">
        <v>3126</v>
      </c>
      <c r="F438" s="25" t="s">
        <v>1959</v>
      </c>
      <c r="G438" s="25" t="s">
        <v>193</v>
      </c>
    </row>
    <row r="439" ht="15" customHeight="1">
      <c r="A439" s="25" t="s">
        <v>3125</v>
      </c>
      <c r="B439" s="25" t="s">
        <v>3127</v>
      </c>
      <c r="C439" s="25" t="s">
        <v>2121</v>
      </c>
      <c r="D439" s="25" t="s">
        <v>2165</v>
      </c>
      <c r="E439" s="25" t="s">
        <v>3128</v>
      </c>
      <c r="F439" s="25" t="s">
        <v>1861</v>
      </c>
      <c r="G439" s="25" t="s">
        <v>189</v>
      </c>
    </row>
    <row r="440" ht="15" customHeight="1">
      <c r="A440" s="25" t="s">
        <v>3129</v>
      </c>
      <c r="B440" s="25" t="s">
        <v>958</v>
      </c>
      <c r="C440" s="25" t="s">
        <v>2145</v>
      </c>
      <c r="D440" s="25" t="s">
        <v>2146</v>
      </c>
      <c r="E440" s="25" t="s">
        <v>3130</v>
      </c>
      <c r="F440" s="25" t="s">
        <v>2010</v>
      </c>
      <c r="G440" s="25" t="s">
        <v>200</v>
      </c>
    </row>
    <row r="441" ht="15" customHeight="1">
      <c r="A441" s="25" t="s">
        <v>3129</v>
      </c>
      <c r="B441" s="25" t="s">
        <v>2751</v>
      </c>
      <c r="C441" s="25" t="s">
        <v>2121</v>
      </c>
      <c r="D441" s="25" t="s">
        <v>2126</v>
      </c>
      <c r="E441" s="25" t="s">
        <v>3131</v>
      </c>
      <c r="F441" s="25" t="s">
        <v>2094</v>
      </c>
      <c r="G441" s="25" t="s">
        <v>167</v>
      </c>
    </row>
    <row r="442" ht="15" customHeight="1">
      <c r="A442" s="25" t="s">
        <v>3132</v>
      </c>
      <c r="B442" s="25" t="s">
        <v>1315</v>
      </c>
      <c r="C442" s="25" t="s">
        <v>2153</v>
      </c>
      <c r="D442" s="25" t="s">
        <v>2380</v>
      </c>
      <c r="E442" s="25" t="s">
        <v>3133</v>
      </c>
      <c r="F442" s="25" t="s">
        <v>1927</v>
      </c>
      <c r="G442" s="25" t="s">
        <v>172</v>
      </c>
    </row>
    <row r="443" ht="15" customHeight="1">
      <c r="A443" s="25" t="s">
        <v>3132</v>
      </c>
      <c r="B443" s="25" t="s">
        <v>1592</v>
      </c>
      <c r="C443" s="25" t="s">
        <v>2199</v>
      </c>
      <c r="D443" s="25" t="s">
        <v>2258</v>
      </c>
      <c r="E443" s="25" t="s">
        <v>3134</v>
      </c>
      <c r="F443" s="25" t="s">
        <v>1805</v>
      </c>
      <c r="G443" s="25" t="s">
        <v>177</v>
      </c>
    </row>
    <row r="444" ht="15" customHeight="1">
      <c r="A444" s="25" t="s">
        <v>3135</v>
      </c>
      <c r="B444" s="25" t="s">
        <v>3136</v>
      </c>
      <c r="C444" s="25" t="s">
        <v>2121</v>
      </c>
      <c r="D444" s="25" t="s">
        <v>2260</v>
      </c>
      <c r="E444" s="25" t="s">
        <v>3137</v>
      </c>
      <c r="F444" s="25" t="s">
        <v>2040</v>
      </c>
      <c r="G444" s="25" t="s">
        <v>189</v>
      </c>
    </row>
    <row r="445" ht="15" customHeight="1">
      <c r="A445" s="25" t="s">
        <v>3135</v>
      </c>
      <c r="B445" s="25" t="s">
        <v>3138</v>
      </c>
      <c r="C445" s="25" t="s">
        <v>2125</v>
      </c>
      <c r="D445" s="25" t="s">
        <v>2301</v>
      </c>
      <c r="E445" s="25" t="s">
        <v>3139</v>
      </c>
      <c r="F445" s="25" t="s">
        <v>1902</v>
      </c>
      <c r="G445" s="25" t="s">
        <v>193</v>
      </c>
    </row>
    <row r="446" ht="15" customHeight="1">
      <c r="A446" s="25" t="s">
        <v>3140</v>
      </c>
      <c r="B446" s="25" t="s">
        <v>2340</v>
      </c>
      <c r="C446" s="25" t="s">
        <v>2145</v>
      </c>
      <c r="D446" s="25" t="s">
        <v>2200</v>
      </c>
      <c r="E446" s="25" t="s">
        <v>3141</v>
      </c>
      <c r="F446" s="25" t="s">
        <v>1984</v>
      </c>
      <c r="G446" s="25" t="s">
        <v>167</v>
      </c>
    </row>
    <row r="447" ht="15" customHeight="1">
      <c r="A447" s="25" t="s">
        <v>3140</v>
      </c>
      <c r="B447" s="25" t="s">
        <v>1695</v>
      </c>
      <c r="C447" s="25" t="s">
        <v>2121</v>
      </c>
      <c r="D447" s="25" t="s">
        <v>2203</v>
      </c>
      <c r="E447" s="25" t="s">
        <v>3142</v>
      </c>
      <c r="F447" s="25" t="s">
        <v>2022</v>
      </c>
      <c r="G447" s="25" t="s">
        <v>200</v>
      </c>
    </row>
    <row r="448" ht="15" customHeight="1">
      <c r="A448" s="25" t="s">
        <v>3143</v>
      </c>
      <c r="B448" s="25" t="s">
        <v>1394</v>
      </c>
      <c r="C448" s="25" t="s">
        <v>2153</v>
      </c>
      <c r="D448" s="25" t="s">
        <v>2154</v>
      </c>
      <c r="E448" s="25" t="s">
        <v>3144</v>
      </c>
      <c r="F448" s="25" t="s">
        <v>2088</v>
      </c>
      <c r="G448" s="25" t="s">
        <v>172</v>
      </c>
    </row>
    <row r="449" ht="15" customHeight="1">
      <c r="A449" s="25" t="s">
        <v>3143</v>
      </c>
      <c r="B449" s="25" t="s">
        <v>3074</v>
      </c>
      <c r="C449" s="25" t="s">
        <v>2133</v>
      </c>
      <c r="D449" s="25" t="s">
        <v>2134</v>
      </c>
      <c r="E449" s="25" t="s">
        <v>3145</v>
      </c>
      <c r="F449" s="25" t="s">
        <v>1940</v>
      </c>
      <c r="G449" s="25" t="s">
        <v>177</v>
      </c>
    </row>
    <row r="450" ht="15" customHeight="1">
      <c r="A450" s="25" t="s">
        <v>3146</v>
      </c>
      <c r="B450" s="25" t="s">
        <v>1320</v>
      </c>
      <c r="C450" s="25" t="s">
        <v>2145</v>
      </c>
      <c r="D450" s="25" t="s">
        <v>2139</v>
      </c>
      <c r="E450" s="25" t="s">
        <v>3147</v>
      </c>
      <c r="F450" s="25" t="s">
        <v>2070</v>
      </c>
      <c r="G450" s="25" t="s">
        <v>167</v>
      </c>
    </row>
    <row r="451" ht="15" customHeight="1">
      <c r="A451" s="25" t="s">
        <v>3146</v>
      </c>
      <c r="B451" s="25" t="s">
        <v>3148</v>
      </c>
      <c r="C451" s="25" t="s">
        <v>2121</v>
      </c>
      <c r="D451" s="25" t="s">
        <v>2141</v>
      </c>
      <c r="E451" s="25" t="s">
        <v>3149</v>
      </c>
      <c r="F451" s="25" t="s">
        <v>1991</v>
      </c>
      <c r="G451" s="25" t="s">
        <v>193</v>
      </c>
    </row>
    <row r="452" ht="15" customHeight="1">
      <c r="A452" s="25" t="s">
        <v>3150</v>
      </c>
      <c r="B452" s="25" t="s">
        <v>550</v>
      </c>
      <c r="C452" s="25" t="s">
        <v>2125</v>
      </c>
      <c r="D452" s="25" t="s">
        <v>2178</v>
      </c>
      <c r="E452" s="25" t="s">
        <v>3151</v>
      </c>
      <c r="F452" s="25" t="s">
        <v>1874</v>
      </c>
      <c r="G452" s="25" t="s">
        <v>189</v>
      </c>
    </row>
    <row r="453" ht="15" customHeight="1">
      <c r="A453" s="25" t="s">
        <v>3150</v>
      </c>
      <c r="B453" s="25" t="s">
        <v>1772</v>
      </c>
      <c r="C453" s="25" t="s">
        <v>2121</v>
      </c>
      <c r="D453" s="25" t="s">
        <v>2182</v>
      </c>
      <c r="E453" s="25" t="s">
        <v>3152</v>
      </c>
      <c r="F453" s="25" t="s">
        <v>1840</v>
      </c>
      <c r="G453" s="25" t="s">
        <v>200</v>
      </c>
    </row>
    <row r="454" ht="15" customHeight="1">
      <c r="A454" s="25" t="s">
        <v>3153</v>
      </c>
      <c r="B454" s="25" t="s">
        <v>3154</v>
      </c>
      <c r="C454" s="25" t="s">
        <v>2129</v>
      </c>
      <c r="D454" s="25" t="s">
        <v>2185</v>
      </c>
      <c r="E454" s="25" t="s">
        <v>3155</v>
      </c>
      <c r="F454" s="25" t="s">
        <v>1947</v>
      </c>
      <c r="G454" s="25" t="s">
        <v>167</v>
      </c>
    </row>
    <row r="455" ht="15" customHeight="1">
      <c r="A455" s="25" t="s">
        <v>3153</v>
      </c>
      <c r="B455" s="25" t="s">
        <v>2780</v>
      </c>
      <c r="C455" s="25" t="s">
        <v>2157</v>
      </c>
      <c r="D455" s="25" t="s">
        <v>2158</v>
      </c>
      <c r="E455" s="25" t="s">
        <v>3156</v>
      </c>
      <c r="F455" s="25" t="s">
        <v>2082</v>
      </c>
      <c r="G455" s="25" t="s">
        <v>172</v>
      </c>
    </row>
    <row r="456" ht="15" customHeight="1">
      <c r="A456" s="25" t="s">
        <v>3157</v>
      </c>
      <c r="B456" s="25" t="s">
        <v>1180</v>
      </c>
      <c r="C456" s="25" t="s">
        <v>2125</v>
      </c>
      <c r="D456" s="25" t="s">
        <v>2149</v>
      </c>
      <c r="E456" s="25" t="s">
        <v>3158</v>
      </c>
      <c r="F456" s="25" t="s">
        <v>1847</v>
      </c>
      <c r="G456" s="25" t="s">
        <v>177</v>
      </c>
    </row>
    <row r="457" ht="15" customHeight="1">
      <c r="A457" s="25" t="s">
        <v>3157</v>
      </c>
      <c r="B457" s="25" t="s">
        <v>3159</v>
      </c>
      <c r="C457" s="25" t="s">
        <v>2121</v>
      </c>
      <c r="D457" s="25" t="s">
        <v>2165</v>
      </c>
      <c r="E457" s="25" t="s">
        <v>3160</v>
      </c>
      <c r="F457" s="25" t="s">
        <v>1997</v>
      </c>
      <c r="G457" s="25" t="s">
        <v>189</v>
      </c>
    </row>
    <row r="458" ht="15" customHeight="1">
      <c r="A458" s="25" t="s">
        <v>3161</v>
      </c>
      <c r="B458" s="25" t="s">
        <v>3162</v>
      </c>
      <c r="C458" s="25" t="s">
        <v>2145</v>
      </c>
      <c r="D458" s="25" t="s">
        <v>2146</v>
      </c>
      <c r="E458" s="25" t="s">
        <v>3163</v>
      </c>
      <c r="F458" s="25" t="s">
        <v>1920</v>
      </c>
      <c r="G458" s="25" t="s">
        <v>193</v>
      </c>
    </row>
    <row r="459" ht="15" customHeight="1">
      <c r="A459" s="25" t="s">
        <v>3161</v>
      </c>
      <c r="B459" s="25" t="s">
        <v>3164</v>
      </c>
      <c r="C459" s="25" t="s">
        <v>2121</v>
      </c>
      <c r="D459" s="25" t="s">
        <v>2126</v>
      </c>
      <c r="E459" s="25" t="s">
        <v>3165</v>
      </c>
      <c r="F459" s="25" t="s">
        <v>2064</v>
      </c>
      <c r="G459" s="25" t="s">
        <v>167</v>
      </c>
    </row>
    <row r="460" ht="15" customHeight="1">
      <c r="A460" s="25" t="s">
        <v>3166</v>
      </c>
      <c r="B460" s="25" t="s">
        <v>1377</v>
      </c>
      <c r="C460" s="25" t="s">
        <v>2153</v>
      </c>
      <c r="D460" s="25" t="s">
        <v>2380</v>
      </c>
      <c r="E460" s="25" t="s">
        <v>3167</v>
      </c>
      <c r="F460" s="25" t="s">
        <v>1826</v>
      </c>
      <c r="G460" s="25" t="s">
        <v>200</v>
      </c>
    </row>
    <row r="461" ht="15" customHeight="1">
      <c r="A461" s="25" t="s">
        <v>3166</v>
      </c>
      <c r="B461" s="25" t="s">
        <v>2242</v>
      </c>
      <c r="C461" s="25" t="s">
        <v>2199</v>
      </c>
      <c r="D461" s="25" t="s">
        <v>2258</v>
      </c>
      <c r="E461" s="25" t="s">
        <v>3168</v>
      </c>
      <c r="F461" s="25" t="s">
        <v>2028</v>
      </c>
      <c r="G461" s="25" t="s">
        <v>172</v>
      </c>
    </row>
    <row r="462" ht="15" customHeight="1">
      <c r="A462" s="25" t="s">
        <v>3169</v>
      </c>
      <c r="B462" s="25" t="s">
        <v>3170</v>
      </c>
      <c r="C462" s="25" t="s">
        <v>2121</v>
      </c>
      <c r="D462" s="25" t="s">
        <v>2260</v>
      </c>
      <c r="E462" s="25" t="s">
        <v>3171</v>
      </c>
      <c r="F462" s="25" t="s">
        <v>1888</v>
      </c>
      <c r="G462" s="25" t="s">
        <v>177</v>
      </c>
    </row>
    <row r="463" ht="15" customHeight="1">
      <c r="A463" s="25" t="s">
        <v>3169</v>
      </c>
      <c r="B463" s="25" t="s">
        <v>2746</v>
      </c>
      <c r="C463" s="25" t="s">
        <v>2125</v>
      </c>
      <c r="D463" s="25" t="s">
        <v>2301</v>
      </c>
      <c r="E463" s="25" t="s">
        <v>3172</v>
      </c>
      <c r="F463" s="25" t="s">
        <v>1978</v>
      </c>
      <c r="G463" s="25" t="s">
        <v>167</v>
      </c>
    </row>
    <row r="464" ht="15" customHeight="1">
      <c r="A464" s="25" t="s">
        <v>3173</v>
      </c>
      <c r="B464" s="25" t="s">
        <v>3105</v>
      </c>
      <c r="C464" s="25" t="s">
        <v>2145</v>
      </c>
      <c r="D464" s="25" t="s">
        <v>2200</v>
      </c>
      <c r="E464" s="25" t="s">
        <v>3174</v>
      </c>
      <c r="F464" s="25" t="s">
        <v>1854</v>
      </c>
      <c r="G464" s="25" t="s">
        <v>193</v>
      </c>
    </row>
    <row r="465" ht="15" customHeight="1">
      <c r="A465" s="25" t="s">
        <v>3173</v>
      </c>
      <c r="B465" s="25" t="s">
        <v>3175</v>
      </c>
      <c r="C465" s="25" t="s">
        <v>2121</v>
      </c>
      <c r="D465" s="25" t="s">
        <v>2203</v>
      </c>
      <c r="E465" s="25" t="s">
        <v>3176</v>
      </c>
      <c r="F465" s="25" t="s">
        <v>2058</v>
      </c>
      <c r="G465" s="25" t="s">
        <v>189</v>
      </c>
    </row>
    <row r="466" ht="15" customHeight="1">
      <c r="A466" s="25" t="s">
        <v>3177</v>
      </c>
      <c r="B466" s="25" t="s">
        <v>3178</v>
      </c>
      <c r="C466" s="25" t="s">
        <v>2153</v>
      </c>
      <c r="D466" s="25" t="s">
        <v>2154</v>
      </c>
      <c r="E466" s="25" t="s">
        <v>3179</v>
      </c>
      <c r="F466" s="25" t="s">
        <v>1908</v>
      </c>
      <c r="G466" s="25" t="s">
        <v>200</v>
      </c>
    </row>
    <row r="467" ht="15" customHeight="1">
      <c r="A467" s="25" t="s">
        <v>3177</v>
      </c>
      <c r="B467" s="25" t="s">
        <v>3180</v>
      </c>
      <c r="C467" s="25" t="s">
        <v>2133</v>
      </c>
      <c r="D467" s="25" t="s">
        <v>2134</v>
      </c>
      <c r="E467" s="25" t="s">
        <v>3181</v>
      </c>
      <c r="F467" s="25" t="s">
        <v>2004</v>
      </c>
      <c r="G467" s="25" t="s">
        <v>167</v>
      </c>
    </row>
    <row r="468" ht="15" customHeight="1">
      <c r="A468" s="25" t="s">
        <v>3182</v>
      </c>
      <c r="B468" s="25" t="s">
        <v>1375</v>
      </c>
      <c r="C468" s="25" t="s">
        <v>2145</v>
      </c>
      <c r="D468" s="25" t="s">
        <v>2139</v>
      </c>
      <c r="E468" s="25" t="s">
        <v>3183</v>
      </c>
      <c r="F468" s="25" t="s">
        <v>2106</v>
      </c>
      <c r="G468" s="25" t="s">
        <v>172</v>
      </c>
    </row>
    <row r="469" ht="15" customHeight="1">
      <c r="A469" s="25" t="s">
        <v>3182</v>
      </c>
      <c r="B469" s="25" t="s">
        <v>3184</v>
      </c>
      <c r="C469" s="25" t="s">
        <v>2121</v>
      </c>
      <c r="D469" s="25" t="s">
        <v>2141</v>
      </c>
      <c r="E469" s="25" t="s">
        <v>3185</v>
      </c>
      <c r="F469" s="25" t="s">
        <v>1833</v>
      </c>
      <c r="G469" s="25" t="s">
        <v>177</v>
      </c>
    </row>
    <row r="470" ht="15" customHeight="1">
      <c r="A470" s="25" t="s">
        <v>3186</v>
      </c>
      <c r="B470" s="25" t="s">
        <v>3187</v>
      </c>
      <c r="C470" s="25" t="s">
        <v>2125</v>
      </c>
      <c r="D470" s="25" t="s">
        <v>2178</v>
      </c>
      <c r="E470" s="25" t="s">
        <v>3188</v>
      </c>
      <c r="F470" s="25" t="s">
        <v>1953</v>
      </c>
      <c r="G470" s="25" t="s">
        <v>189</v>
      </c>
    </row>
    <row r="471" ht="15" customHeight="1">
      <c r="A471" s="25" t="s">
        <v>3186</v>
      </c>
      <c r="B471" s="25" t="s">
        <v>3189</v>
      </c>
      <c r="C471" s="25" t="s">
        <v>2121</v>
      </c>
      <c r="D471" s="25" t="s">
        <v>2182</v>
      </c>
      <c r="E471" s="25" t="s">
        <v>3190</v>
      </c>
      <c r="F471" s="25" t="s">
        <v>1895</v>
      </c>
      <c r="G471" s="25" t="s">
        <v>193</v>
      </c>
    </row>
    <row r="472" ht="15" customHeight="1">
      <c r="A472" s="25" t="s">
        <v>3191</v>
      </c>
      <c r="B472" s="25" t="s">
        <v>3192</v>
      </c>
      <c r="C472" s="25" t="s">
        <v>2129</v>
      </c>
      <c r="D472" s="25" t="s">
        <v>2185</v>
      </c>
      <c r="E472" s="25" t="s">
        <v>3193</v>
      </c>
      <c r="F472" s="25" t="s">
        <v>2034</v>
      </c>
      <c r="G472" s="25" t="s">
        <v>167</v>
      </c>
    </row>
    <row r="473" ht="15" customHeight="1">
      <c r="A473" s="25" t="s">
        <v>3191</v>
      </c>
      <c r="B473" s="25" t="s">
        <v>1048</v>
      </c>
      <c r="C473" s="25" t="s">
        <v>2157</v>
      </c>
      <c r="D473" s="25" t="s">
        <v>2158</v>
      </c>
      <c r="E473" s="25" t="s">
        <v>3194</v>
      </c>
      <c r="F473" s="25" t="s">
        <v>2100</v>
      </c>
      <c r="G473" s="25" t="s">
        <v>200</v>
      </c>
    </row>
    <row r="474" ht="15" customHeight="1">
      <c r="A474" s="25" t="s">
        <v>3195</v>
      </c>
      <c r="B474" s="25" t="s">
        <v>3196</v>
      </c>
      <c r="C474" s="25" t="s">
        <v>2125</v>
      </c>
      <c r="D474" s="25" t="s">
        <v>2149</v>
      </c>
      <c r="E474" s="25" t="s">
        <v>3197</v>
      </c>
      <c r="F474" s="25" t="s">
        <v>1819</v>
      </c>
      <c r="G474" s="25" t="s">
        <v>172</v>
      </c>
    </row>
    <row r="475" ht="15" customHeight="1">
      <c r="A475" s="25" t="s">
        <v>3195</v>
      </c>
      <c r="B475" s="25" t="s">
        <v>3198</v>
      </c>
      <c r="C475" s="25" t="s">
        <v>2121</v>
      </c>
      <c r="D475" s="25" t="s">
        <v>2165</v>
      </c>
      <c r="E475" s="25" t="s">
        <v>3199</v>
      </c>
      <c r="F475" s="25" t="s">
        <v>1966</v>
      </c>
      <c r="G475" s="25" t="s">
        <v>177</v>
      </c>
    </row>
    <row r="476" ht="15" customHeight="1">
      <c r="A476" s="25" t="s">
        <v>3200</v>
      </c>
      <c r="B476" s="25" t="s">
        <v>3201</v>
      </c>
      <c r="C476" s="25" t="s">
        <v>2145</v>
      </c>
      <c r="D476" s="25" t="s">
        <v>2146</v>
      </c>
      <c r="E476" s="25" t="s">
        <v>3202</v>
      </c>
      <c r="F476" s="25" t="s">
        <v>1881</v>
      </c>
      <c r="G476" s="25" t="s">
        <v>167</v>
      </c>
    </row>
    <row r="477" ht="15" customHeight="1">
      <c r="A477" s="25" t="s">
        <v>3200</v>
      </c>
      <c r="B477" s="25" t="s">
        <v>2593</v>
      </c>
      <c r="C477" s="25" t="s">
        <v>2121</v>
      </c>
      <c r="D477" s="25" t="s">
        <v>2126</v>
      </c>
      <c r="E477" s="25" t="s">
        <v>3203</v>
      </c>
      <c r="F477" s="25" t="s">
        <v>2016</v>
      </c>
      <c r="G477" s="25" t="s">
        <v>193</v>
      </c>
    </row>
    <row r="478" ht="15" customHeight="1">
      <c r="A478" s="25" t="s">
        <v>3204</v>
      </c>
      <c r="B478" s="25" t="s">
        <v>1427</v>
      </c>
      <c r="C478" s="25" t="s">
        <v>2153</v>
      </c>
      <c r="D478" s="25" t="s">
        <v>2380</v>
      </c>
      <c r="E478" s="25" t="s">
        <v>3205</v>
      </c>
      <c r="F478" s="25" t="s">
        <v>2076</v>
      </c>
      <c r="G478" s="25" t="s">
        <v>189</v>
      </c>
    </row>
    <row r="479" ht="15" customHeight="1">
      <c r="A479" s="25" t="s">
        <v>3204</v>
      </c>
      <c r="B479" s="25" t="s">
        <v>1398</v>
      </c>
      <c r="C479" s="25" t="s">
        <v>2199</v>
      </c>
      <c r="D479" s="25" t="s">
        <v>2258</v>
      </c>
      <c r="E479" s="25" t="s">
        <v>3206</v>
      </c>
      <c r="F479" s="25" t="s">
        <v>1798</v>
      </c>
      <c r="G479" s="25" t="s">
        <v>200</v>
      </c>
    </row>
    <row r="480" ht="15" customHeight="1">
      <c r="A480" s="25" t="s">
        <v>3207</v>
      </c>
      <c r="B480" s="25" t="s">
        <v>1557</v>
      </c>
      <c r="C480" s="25" t="s">
        <v>2121</v>
      </c>
      <c r="D480" s="25" t="s">
        <v>2260</v>
      </c>
      <c r="E480" s="25" t="s">
        <v>3208</v>
      </c>
      <c r="F480" s="25" t="s">
        <v>1933</v>
      </c>
      <c r="G480" s="25" t="s">
        <v>167</v>
      </c>
    </row>
    <row r="481" ht="15" customHeight="1">
      <c r="A481" s="25" t="s">
        <v>3207</v>
      </c>
      <c r="B481" s="25" t="s">
        <v>3209</v>
      </c>
      <c r="C481" s="25" t="s">
        <v>2125</v>
      </c>
      <c r="D481" s="25" t="s">
        <v>2301</v>
      </c>
      <c r="E481" s="25" t="s">
        <v>3210</v>
      </c>
      <c r="F481" s="25" t="s">
        <v>2046</v>
      </c>
      <c r="G481" s="25" t="s">
        <v>172</v>
      </c>
    </row>
    <row r="482" ht="15" customHeight="1">
      <c r="A482" s="25" t="s">
        <v>3211</v>
      </c>
      <c r="B482" s="25" t="s">
        <v>2863</v>
      </c>
      <c r="C482" s="25" t="s">
        <v>2145</v>
      </c>
      <c r="D482" s="25" t="s">
        <v>2200</v>
      </c>
      <c r="E482" s="25" t="s">
        <v>3212</v>
      </c>
      <c r="F482" s="25" t="s">
        <v>2112</v>
      </c>
      <c r="G482" s="25" t="s">
        <v>177</v>
      </c>
    </row>
    <row r="483" ht="15" customHeight="1">
      <c r="A483" s="25" t="s">
        <v>3211</v>
      </c>
      <c r="B483" s="25" t="s">
        <v>2775</v>
      </c>
      <c r="C483" s="25" t="s">
        <v>2121</v>
      </c>
      <c r="D483" s="25" t="s">
        <v>2203</v>
      </c>
      <c r="E483" s="25" t="s">
        <v>3213</v>
      </c>
      <c r="F483" s="25" t="s">
        <v>1868</v>
      </c>
      <c r="G483" s="25" t="s">
        <v>189</v>
      </c>
    </row>
    <row r="484" ht="15" customHeight="1">
      <c r="A484" s="25" t="s">
        <v>3214</v>
      </c>
      <c r="B484" s="25" t="s">
        <v>3215</v>
      </c>
      <c r="C484" s="25" t="s">
        <v>2153</v>
      </c>
      <c r="D484" s="25" t="s">
        <v>2154</v>
      </c>
      <c r="E484" s="25" t="s">
        <v>3216</v>
      </c>
      <c r="F484" s="25" t="s">
        <v>1972</v>
      </c>
      <c r="G484" s="25" t="s">
        <v>193</v>
      </c>
    </row>
    <row r="485" ht="15" customHeight="1">
      <c r="A485" s="25" t="s">
        <v>3214</v>
      </c>
      <c r="B485" s="25" t="s">
        <v>2636</v>
      </c>
      <c r="C485" s="25" t="s">
        <v>2133</v>
      </c>
      <c r="D485" s="25" t="s">
        <v>2134</v>
      </c>
      <c r="E485" s="25" t="s">
        <v>3217</v>
      </c>
      <c r="F485" s="25" t="s">
        <v>1914</v>
      </c>
      <c r="G485" s="25" t="s">
        <v>167</v>
      </c>
    </row>
    <row r="486" ht="15" customHeight="1">
      <c r="A486" s="25" t="s">
        <v>3218</v>
      </c>
      <c r="B486" s="25" t="s">
        <v>1292</v>
      </c>
      <c r="C486" s="25" t="s">
        <v>2145</v>
      </c>
      <c r="D486" s="25" t="s">
        <v>2139</v>
      </c>
      <c r="E486" s="25" t="s">
        <v>3219</v>
      </c>
      <c r="F486" s="25" t="s">
        <v>2052</v>
      </c>
      <c r="G486" s="25" t="s">
        <v>200</v>
      </c>
    </row>
    <row r="487" ht="15" customHeight="1">
      <c r="A487" s="25" t="s">
        <v>3218</v>
      </c>
      <c r="B487" s="25" t="s">
        <v>1270</v>
      </c>
      <c r="C487" s="25" t="s">
        <v>2121</v>
      </c>
      <c r="D487" s="25" t="s">
        <v>2141</v>
      </c>
      <c r="E487" s="25" t="s">
        <v>3220</v>
      </c>
      <c r="F487" s="25" t="s">
        <v>1812</v>
      </c>
      <c r="G487" s="25" t="s">
        <v>172</v>
      </c>
    </row>
    <row r="488" ht="15" customHeight="1">
      <c r="A488" s="25" t="s">
        <v>3221</v>
      </c>
      <c r="B488" s="25" t="s">
        <v>3222</v>
      </c>
      <c r="C488" s="25" t="s">
        <v>2125</v>
      </c>
      <c r="D488" s="25" t="s">
        <v>2178</v>
      </c>
      <c r="E488" s="25" t="s">
        <v>3223</v>
      </c>
      <c r="F488" s="25" t="s">
        <v>1959</v>
      </c>
      <c r="G488" s="25" t="s">
        <v>177</v>
      </c>
    </row>
    <row r="489" ht="15" customHeight="1">
      <c r="A489" s="25" t="s">
        <v>3221</v>
      </c>
      <c r="B489" s="25" t="s">
        <v>2890</v>
      </c>
      <c r="C489" s="25" t="s">
        <v>2121</v>
      </c>
      <c r="D489" s="25" t="s">
        <v>2182</v>
      </c>
      <c r="E489" s="25" t="s">
        <v>3224</v>
      </c>
      <c r="F489" s="25" t="s">
        <v>1861</v>
      </c>
      <c r="G489" s="25" t="s">
        <v>167</v>
      </c>
    </row>
    <row r="490" ht="15" customHeight="1">
      <c r="A490" s="25" t="s">
        <v>3225</v>
      </c>
      <c r="B490" s="25" t="s">
        <v>3226</v>
      </c>
      <c r="C490" s="25" t="s">
        <v>2129</v>
      </c>
      <c r="D490" s="25" t="s">
        <v>2185</v>
      </c>
      <c r="E490" s="25" t="s">
        <v>3227</v>
      </c>
      <c r="F490" s="25" t="s">
        <v>2010</v>
      </c>
      <c r="G490" s="25" t="s">
        <v>193</v>
      </c>
    </row>
    <row r="491" ht="15" customHeight="1">
      <c r="A491" s="25" t="s">
        <v>3225</v>
      </c>
      <c r="B491" s="25" t="s">
        <v>2749</v>
      </c>
      <c r="C491" s="25" t="s">
        <v>2157</v>
      </c>
      <c r="D491" s="25" t="s">
        <v>2158</v>
      </c>
      <c r="E491" s="25" t="s">
        <v>3228</v>
      </c>
      <c r="F491" s="25" t="s">
        <v>2094</v>
      </c>
      <c r="G491" s="25" t="s">
        <v>189</v>
      </c>
    </row>
    <row r="492" ht="15" customHeight="1">
      <c r="A492" s="25" t="s">
        <v>3229</v>
      </c>
      <c r="B492" s="25" t="s">
        <v>1312</v>
      </c>
      <c r="C492" s="25" t="s">
        <v>2125</v>
      </c>
      <c r="D492" s="25" t="s">
        <v>2149</v>
      </c>
      <c r="E492" s="25" t="s">
        <v>3230</v>
      </c>
      <c r="F492" s="25" t="s">
        <v>1927</v>
      </c>
      <c r="G492" s="25" t="s">
        <v>200</v>
      </c>
    </row>
    <row r="493" ht="15" customHeight="1">
      <c r="A493" s="25" t="s">
        <v>3229</v>
      </c>
      <c r="B493" s="25" t="s">
        <v>2899</v>
      </c>
      <c r="C493" s="25" t="s">
        <v>2121</v>
      </c>
      <c r="D493" s="25" t="s">
        <v>2165</v>
      </c>
      <c r="E493" s="25" t="s">
        <v>3231</v>
      </c>
      <c r="F493" s="25" t="s">
        <v>1805</v>
      </c>
      <c r="G493" s="25" t="s">
        <v>167</v>
      </c>
    </row>
    <row r="494" ht="15" customHeight="1">
      <c r="A494" s="25" t="s">
        <v>3232</v>
      </c>
      <c r="B494" s="25" t="s">
        <v>894</v>
      </c>
      <c r="C494" s="25" t="s">
        <v>2145</v>
      </c>
      <c r="D494" s="25" t="s">
        <v>2146</v>
      </c>
      <c r="E494" s="25" t="s">
        <v>3233</v>
      </c>
      <c r="F494" s="25" t="s">
        <v>2040</v>
      </c>
      <c r="G494" s="25" t="s">
        <v>172</v>
      </c>
    </row>
    <row r="495" ht="15" customHeight="1">
      <c r="A495" s="25" t="s">
        <v>3232</v>
      </c>
      <c r="B495" s="25" t="s">
        <v>3234</v>
      </c>
      <c r="C495" s="25" t="s">
        <v>2121</v>
      </c>
      <c r="D495" s="25" t="s">
        <v>2126</v>
      </c>
      <c r="E495" s="25" t="s">
        <v>3235</v>
      </c>
      <c r="F495" s="25" t="s">
        <v>1902</v>
      </c>
      <c r="G495" s="25" t="s">
        <v>177</v>
      </c>
    </row>
    <row r="496" ht="15" customHeight="1">
      <c r="A496" s="25" t="s">
        <v>3236</v>
      </c>
      <c r="B496" s="25" t="s">
        <v>1364</v>
      </c>
      <c r="C496" s="25" t="s">
        <v>2153</v>
      </c>
      <c r="D496" s="25" t="s">
        <v>2380</v>
      </c>
      <c r="E496" s="25" t="s">
        <v>3237</v>
      </c>
      <c r="F496" s="25" t="s">
        <v>1984</v>
      </c>
      <c r="G496" s="25" t="s">
        <v>189</v>
      </c>
    </row>
    <row r="497" ht="15" customHeight="1">
      <c r="A497" s="25" t="s">
        <v>3236</v>
      </c>
      <c r="B497" s="25" t="s">
        <v>1218</v>
      </c>
      <c r="C497" s="25" t="s">
        <v>2199</v>
      </c>
      <c r="D497" s="25" t="s">
        <v>2258</v>
      </c>
      <c r="E497" s="25" t="s">
        <v>3238</v>
      </c>
      <c r="F497" s="25" t="s">
        <v>2022</v>
      </c>
      <c r="G497" s="25" t="s">
        <v>193</v>
      </c>
    </row>
    <row r="498" ht="15" customHeight="1">
      <c r="A498" s="25" t="s">
        <v>3239</v>
      </c>
      <c r="B498" s="25" t="s">
        <v>1409</v>
      </c>
      <c r="C498" s="25" t="s">
        <v>2121</v>
      </c>
      <c r="D498" s="25" t="s">
        <v>2260</v>
      </c>
      <c r="E498" s="25" t="s">
        <v>3240</v>
      </c>
      <c r="F498" s="25" t="s">
        <v>2088</v>
      </c>
      <c r="G498" s="25" t="s">
        <v>167</v>
      </c>
    </row>
    <row r="499" ht="15" customHeight="1">
      <c r="A499" s="25" t="s">
        <v>3239</v>
      </c>
      <c r="B499" s="25" t="s">
        <v>3241</v>
      </c>
      <c r="C499" s="25" t="s">
        <v>2125</v>
      </c>
      <c r="D499" s="25" t="s">
        <v>2301</v>
      </c>
      <c r="E499" s="25" t="s">
        <v>3242</v>
      </c>
      <c r="F499" s="25" t="s">
        <v>1940</v>
      </c>
      <c r="G499" s="25" t="s">
        <v>200</v>
      </c>
    </row>
    <row r="500" ht="15" customHeight="1">
      <c r="A500" s="25" t="s">
        <v>3243</v>
      </c>
      <c r="B500" s="25" t="s">
        <v>3244</v>
      </c>
      <c r="C500" s="25" t="s">
        <v>2145</v>
      </c>
      <c r="D500" s="25" t="s">
        <v>2200</v>
      </c>
      <c r="E500" s="25" t="s">
        <v>3245</v>
      </c>
      <c r="F500" s="25" t="s">
        <v>2070</v>
      </c>
      <c r="G500" s="25" t="s">
        <v>172</v>
      </c>
    </row>
    <row r="501" ht="15" customHeight="1">
      <c r="A501" s="25" t="s">
        <v>3243</v>
      </c>
      <c r="B501" s="25" t="s">
        <v>1746</v>
      </c>
      <c r="C501" s="25" t="s">
        <v>2121</v>
      </c>
      <c r="D501" s="25" t="s">
        <v>2203</v>
      </c>
      <c r="E501" s="25" t="s">
        <v>3246</v>
      </c>
      <c r="F501" s="25" t="s">
        <v>1991</v>
      </c>
      <c r="G501" s="25" t="s">
        <v>177</v>
      </c>
    </row>
    <row r="502" ht="15" customHeight="1">
      <c r="A502" s="25" t="s">
        <v>3247</v>
      </c>
      <c r="B502" s="25" t="s">
        <v>3248</v>
      </c>
      <c r="C502" s="25" t="s">
        <v>2153</v>
      </c>
      <c r="D502" s="25" t="s">
        <v>2154</v>
      </c>
      <c r="E502" s="25" t="s">
        <v>3249</v>
      </c>
      <c r="F502" s="25" t="s">
        <v>1874</v>
      </c>
      <c r="G502" s="25" t="s">
        <v>167</v>
      </c>
    </row>
    <row r="503" ht="15" customHeight="1">
      <c r="A503" s="25" t="s">
        <v>3247</v>
      </c>
      <c r="B503" s="25" t="s">
        <v>1493</v>
      </c>
      <c r="C503" s="25" t="s">
        <v>2133</v>
      </c>
      <c r="D503" s="25" t="s">
        <v>2134</v>
      </c>
      <c r="E503" s="25" t="s">
        <v>3250</v>
      </c>
      <c r="F503" s="25" t="s">
        <v>1840</v>
      </c>
      <c r="G503" s="25" t="s">
        <v>193</v>
      </c>
    </row>
    <row r="504" ht="15" customHeight="1">
      <c r="A504" s="25" t="s">
        <v>3251</v>
      </c>
      <c r="B504" s="25" t="s">
        <v>3252</v>
      </c>
      <c r="C504" s="25" t="s">
        <v>2145</v>
      </c>
      <c r="D504" s="25" t="s">
        <v>2139</v>
      </c>
      <c r="E504" s="25" t="s">
        <v>3253</v>
      </c>
      <c r="F504" s="25" t="s">
        <v>1947</v>
      </c>
      <c r="G504" s="25" t="s">
        <v>189</v>
      </c>
    </row>
    <row r="505" ht="15" customHeight="1">
      <c r="A505" s="25" t="s">
        <v>3251</v>
      </c>
      <c r="B505" s="25" t="s">
        <v>3254</v>
      </c>
      <c r="C505" s="25" t="s">
        <v>2121</v>
      </c>
      <c r="D505" s="25" t="s">
        <v>2141</v>
      </c>
      <c r="E505" s="25" t="s">
        <v>3255</v>
      </c>
      <c r="F505" s="25" t="s">
        <v>2082</v>
      </c>
      <c r="G505" s="25" t="s">
        <v>200</v>
      </c>
    </row>
    <row r="506" ht="15" customHeight="1">
      <c r="A506" s="25" t="s">
        <v>3256</v>
      </c>
      <c r="B506" s="25" t="s">
        <v>2863</v>
      </c>
      <c r="C506" s="25" t="s">
        <v>2125</v>
      </c>
      <c r="D506" s="25" t="s">
        <v>2178</v>
      </c>
      <c r="E506" s="25" t="s">
        <v>3257</v>
      </c>
      <c r="F506" s="25" t="s">
        <v>1847</v>
      </c>
      <c r="G506" s="25" t="s">
        <v>167</v>
      </c>
    </row>
    <row r="507" ht="15" customHeight="1">
      <c r="A507" s="25" t="s">
        <v>3256</v>
      </c>
      <c r="B507" s="25" t="s">
        <v>2684</v>
      </c>
      <c r="C507" s="25" t="s">
        <v>2121</v>
      </c>
      <c r="D507" s="25" t="s">
        <v>2182</v>
      </c>
      <c r="E507" s="25" t="s">
        <v>3258</v>
      </c>
      <c r="F507" s="25" t="s">
        <v>1997</v>
      </c>
      <c r="G507" s="25" t="s">
        <v>172</v>
      </c>
    </row>
    <row r="508" ht="15" customHeight="1">
      <c r="A508" s="25" t="s">
        <v>3259</v>
      </c>
      <c r="B508" s="25" t="s">
        <v>2687</v>
      </c>
      <c r="C508" s="25" t="s">
        <v>2129</v>
      </c>
      <c r="D508" s="25" t="s">
        <v>2185</v>
      </c>
      <c r="E508" s="25" t="s">
        <v>3260</v>
      </c>
      <c r="F508" s="25" t="s">
        <v>1920</v>
      </c>
      <c r="G508" s="25" t="s">
        <v>177</v>
      </c>
    </row>
    <row r="509" ht="15" customHeight="1">
      <c r="A509" s="25" t="s">
        <v>3259</v>
      </c>
      <c r="B509" s="25" t="s">
        <v>3123</v>
      </c>
      <c r="C509" s="25" t="s">
        <v>2157</v>
      </c>
      <c r="D509" s="25" t="s">
        <v>2158</v>
      </c>
      <c r="E509" s="25" t="s">
        <v>3261</v>
      </c>
      <c r="F509" s="25" t="s">
        <v>2064</v>
      </c>
      <c r="G509" s="25" t="s">
        <v>189</v>
      </c>
    </row>
    <row r="510" ht="15" customHeight="1">
      <c r="A510" s="25" t="s">
        <v>3262</v>
      </c>
      <c r="B510" s="25" t="s">
        <v>3263</v>
      </c>
      <c r="C510" s="25" t="s">
        <v>2125</v>
      </c>
      <c r="D510" s="25" t="s">
        <v>2149</v>
      </c>
      <c r="E510" s="25" t="s">
        <v>3264</v>
      </c>
      <c r="F510" s="25" t="s">
        <v>1826</v>
      </c>
      <c r="G510" s="25" t="s">
        <v>193</v>
      </c>
    </row>
    <row r="511" ht="15" customHeight="1">
      <c r="A511" s="25" t="s">
        <v>3262</v>
      </c>
      <c r="B511" s="25" t="s">
        <v>2495</v>
      </c>
      <c r="C511" s="25" t="s">
        <v>2121</v>
      </c>
      <c r="D511" s="25" t="s">
        <v>2165</v>
      </c>
      <c r="E511" s="25" t="s">
        <v>3265</v>
      </c>
      <c r="F511" s="25" t="s">
        <v>2028</v>
      </c>
      <c r="G511" s="25" t="s">
        <v>167</v>
      </c>
    </row>
    <row r="512" ht="15" customHeight="1">
      <c r="A512" s="25" t="s">
        <v>3266</v>
      </c>
      <c r="B512" s="25" t="s">
        <v>3267</v>
      </c>
      <c r="C512" s="25" t="s">
        <v>2145</v>
      </c>
      <c r="D512" s="25" t="s">
        <v>2146</v>
      </c>
      <c r="E512" s="25" t="s">
        <v>3268</v>
      </c>
      <c r="F512" s="25" t="s">
        <v>1888</v>
      </c>
      <c r="G512" s="25" t="s">
        <v>200</v>
      </c>
    </row>
    <row r="513" ht="15" customHeight="1">
      <c r="A513" s="25" t="s">
        <v>3266</v>
      </c>
      <c r="B513" s="25" t="s">
        <v>1666</v>
      </c>
      <c r="C513" s="25" t="s">
        <v>2121</v>
      </c>
      <c r="D513" s="25" t="s">
        <v>2126</v>
      </c>
      <c r="E513" s="25" t="s">
        <v>3269</v>
      </c>
      <c r="F513" s="25" t="s">
        <v>1978</v>
      </c>
      <c r="G513" s="25" t="s">
        <v>172</v>
      </c>
    </row>
    <row r="514" ht="15" customHeight="1">
      <c r="A514" s="25" t="s">
        <v>3270</v>
      </c>
      <c r="B514" s="25" t="s">
        <v>2893</v>
      </c>
      <c r="C514" s="25" t="s">
        <v>2153</v>
      </c>
      <c r="D514" s="25" t="s">
        <v>2380</v>
      </c>
      <c r="E514" s="25" t="s">
        <v>3271</v>
      </c>
      <c r="F514" s="25" t="s">
        <v>1854</v>
      </c>
      <c r="G514" s="25" t="s">
        <v>177</v>
      </c>
    </row>
    <row r="515" ht="15" customHeight="1">
      <c r="A515" s="25" t="s">
        <v>3270</v>
      </c>
      <c r="B515" s="25" t="s">
        <v>3272</v>
      </c>
      <c r="C515" s="25" t="s">
        <v>2199</v>
      </c>
      <c r="D515" s="25" t="s">
        <v>2258</v>
      </c>
      <c r="E515" s="25" t="s">
        <v>3273</v>
      </c>
      <c r="F515" s="25" t="s">
        <v>2058</v>
      </c>
      <c r="G515" s="25" t="s">
        <v>167</v>
      </c>
    </row>
    <row r="516" ht="15" customHeight="1">
      <c r="A516" s="25" t="s">
        <v>3274</v>
      </c>
      <c r="B516" s="25" t="s">
        <v>2989</v>
      </c>
      <c r="C516" s="25" t="s">
        <v>2121</v>
      </c>
      <c r="D516" s="25" t="s">
        <v>2260</v>
      </c>
      <c r="E516" s="25" t="s">
        <v>3275</v>
      </c>
      <c r="F516" s="25" t="s">
        <v>1908</v>
      </c>
      <c r="G516" s="25" t="s">
        <v>193</v>
      </c>
    </row>
    <row r="517" ht="15" customHeight="1">
      <c r="A517" s="25" t="s">
        <v>3274</v>
      </c>
      <c r="B517" s="25" t="s">
        <v>3276</v>
      </c>
      <c r="C517" s="25" t="s">
        <v>2125</v>
      </c>
      <c r="D517" s="25" t="s">
        <v>2301</v>
      </c>
      <c r="E517" s="25" t="s">
        <v>3277</v>
      </c>
      <c r="F517" s="25" t="s">
        <v>2004</v>
      </c>
      <c r="G517" s="25" t="s">
        <v>189</v>
      </c>
    </row>
    <row r="518" ht="15" customHeight="1">
      <c r="A518" s="25" t="s">
        <v>3278</v>
      </c>
      <c r="B518" s="25" t="s">
        <v>3279</v>
      </c>
      <c r="C518" s="25" t="s">
        <v>2145</v>
      </c>
      <c r="D518" s="25" t="s">
        <v>2200</v>
      </c>
      <c r="E518" s="25" t="s">
        <v>3280</v>
      </c>
      <c r="F518" s="25" t="s">
        <v>2106</v>
      </c>
      <c r="G518" s="25" t="s">
        <v>200</v>
      </c>
    </row>
    <row r="519" ht="15" customHeight="1">
      <c r="A519" s="25" t="s">
        <v>3278</v>
      </c>
      <c r="B519" s="25" t="s">
        <v>1765</v>
      </c>
      <c r="C519" s="25" t="s">
        <v>2121</v>
      </c>
      <c r="D519" s="25" t="s">
        <v>2203</v>
      </c>
      <c r="E519" s="25" t="s">
        <v>3281</v>
      </c>
      <c r="F519" s="25" t="s">
        <v>1833</v>
      </c>
      <c r="G519" s="25" t="s">
        <v>167</v>
      </c>
    </row>
    <row r="520" ht="15" customHeight="1">
      <c r="A520" s="25" t="s">
        <v>3282</v>
      </c>
      <c r="B520" s="25" t="s">
        <v>1452</v>
      </c>
      <c r="C520" s="25" t="s">
        <v>2153</v>
      </c>
      <c r="D520" s="25" t="s">
        <v>2154</v>
      </c>
      <c r="E520" s="25" t="s">
        <v>3283</v>
      </c>
      <c r="F520" s="25" t="s">
        <v>1953</v>
      </c>
      <c r="G520" s="25" t="s">
        <v>172</v>
      </c>
    </row>
    <row r="521" ht="15" customHeight="1">
      <c r="A521" s="25" t="s">
        <v>3282</v>
      </c>
      <c r="B521" s="25" t="s">
        <v>3272</v>
      </c>
      <c r="C521" s="25" t="s">
        <v>2133</v>
      </c>
      <c r="D521" s="25" t="s">
        <v>2134</v>
      </c>
      <c r="E521" s="25" t="s">
        <v>3284</v>
      </c>
      <c r="F521" s="25" t="s">
        <v>1895</v>
      </c>
      <c r="G521" s="25" t="s">
        <v>177</v>
      </c>
    </row>
    <row r="522" ht="15" customHeight="1">
      <c r="A522" s="25" t="s">
        <v>3285</v>
      </c>
      <c r="B522" s="25" t="s">
        <v>3027</v>
      </c>
      <c r="C522" s="25" t="s">
        <v>2145</v>
      </c>
      <c r="D522" s="25" t="s">
        <v>2139</v>
      </c>
      <c r="E522" s="25" t="s">
        <v>3286</v>
      </c>
      <c r="F522" s="25" t="s">
        <v>2034</v>
      </c>
      <c r="G522" s="25" t="s">
        <v>189</v>
      </c>
    </row>
    <row r="523" ht="15" customHeight="1">
      <c r="A523" s="25" t="s">
        <v>3285</v>
      </c>
      <c r="B523" s="25" t="s">
        <v>3287</v>
      </c>
      <c r="C523" s="25" t="s">
        <v>2121</v>
      </c>
      <c r="D523" s="25" t="s">
        <v>2141</v>
      </c>
      <c r="E523" s="25" t="s">
        <v>3288</v>
      </c>
      <c r="F523" s="25" t="s">
        <v>2100</v>
      </c>
      <c r="G523" s="25" t="s">
        <v>193</v>
      </c>
    </row>
    <row r="524" ht="15" customHeight="1">
      <c r="A524" s="25" t="s">
        <v>3289</v>
      </c>
      <c r="B524" s="25" t="s">
        <v>3290</v>
      </c>
      <c r="C524" s="25" t="s">
        <v>2125</v>
      </c>
      <c r="D524" s="25" t="s">
        <v>2178</v>
      </c>
      <c r="E524" s="25" t="s">
        <v>3291</v>
      </c>
      <c r="F524" s="25" t="s">
        <v>1819</v>
      </c>
      <c r="G524" s="25" t="s">
        <v>167</v>
      </c>
    </row>
    <row r="525" ht="15" customHeight="1">
      <c r="A525" s="25" t="s">
        <v>3289</v>
      </c>
      <c r="B525" s="25" t="s">
        <v>1695</v>
      </c>
      <c r="C525" s="25" t="s">
        <v>2121</v>
      </c>
      <c r="D525" s="25" t="s">
        <v>2182</v>
      </c>
      <c r="E525" s="25" t="s">
        <v>3292</v>
      </c>
      <c r="F525" s="25" t="s">
        <v>1966</v>
      </c>
      <c r="G525" s="25" t="s">
        <v>200</v>
      </c>
    </row>
    <row r="526" ht="15" customHeight="1">
      <c r="A526" s="25" t="s">
        <v>3293</v>
      </c>
      <c r="B526" s="25" t="s">
        <v>3049</v>
      </c>
      <c r="C526" s="25" t="s">
        <v>2129</v>
      </c>
      <c r="D526" s="25" t="s">
        <v>2185</v>
      </c>
      <c r="E526" s="25" t="s">
        <v>3294</v>
      </c>
      <c r="F526" s="25" t="s">
        <v>1881</v>
      </c>
      <c r="G526" s="25" t="s">
        <v>172</v>
      </c>
    </row>
    <row r="527" ht="15" customHeight="1">
      <c r="A527" s="25" t="s">
        <v>3293</v>
      </c>
      <c r="B527" s="25" t="s">
        <v>1342</v>
      </c>
      <c r="C527" s="25" t="s">
        <v>2157</v>
      </c>
      <c r="D527" s="25" t="s">
        <v>2158</v>
      </c>
      <c r="E527" s="25" t="s">
        <v>3295</v>
      </c>
      <c r="F527" s="25" t="s">
        <v>2016</v>
      </c>
      <c r="G527" s="25" t="s">
        <v>177</v>
      </c>
    </row>
    <row r="528" ht="15" customHeight="1">
      <c r="A528" s="25" t="s">
        <v>3296</v>
      </c>
      <c r="B528" s="25" t="s">
        <v>1438</v>
      </c>
      <c r="C528" s="25" t="s">
        <v>2125</v>
      </c>
      <c r="D528" s="25" t="s">
        <v>2149</v>
      </c>
      <c r="E528" s="25" t="s">
        <v>3297</v>
      </c>
      <c r="F528" s="25" t="s">
        <v>2076</v>
      </c>
      <c r="G528" s="25" t="s">
        <v>167</v>
      </c>
    </row>
    <row r="529" ht="15" customHeight="1">
      <c r="A529" s="25" t="s">
        <v>3296</v>
      </c>
      <c r="B529" s="25" t="s">
        <v>3298</v>
      </c>
      <c r="C529" s="25" t="s">
        <v>2121</v>
      </c>
      <c r="D529" s="25" t="s">
        <v>2165</v>
      </c>
      <c r="E529" s="25" t="s">
        <v>3299</v>
      </c>
      <c r="F529" s="25" t="s">
        <v>1798</v>
      </c>
      <c r="G529" s="25" t="s">
        <v>193</v>
      </c>
    </row>
    <row r="530" ht="15" customHeight="1">
      <c r="A530" s="25" t="s">
        <v>3300</v>
      </c>
      <c r="B530" s="25" t="s">
        <v>3006</v>
      </c>
      <c r="C530" s="25" t="s">
        <v>2145</v>
      </c>
      <c r="D530" s="25" t="s">
        <v>2146</v>
      </c>
      <c r="E530" s="25" t="s">
        <v>3301</v>
      </c>
      <c r="F530" s="25" t="s">
        <v>1933</v>
      </c>
      <c r="G530" s="25" t="s">
        <v>189</v>
      </c>
    </row>
    <row r="531" ht="15" customHeight="1">
      <c r="A531" s="25" t="s">
        <v>3300</v>
      </c>
      <c r="B531" s="25" t="s">
        <v>3302</v>
      </c>
      <c r="C531" s="25" t="s">
        <v>2121</v>
      </c>
      <c r="D531" s="25" t="s">
        <v>2126</v>
      </c>
      <c r="E531" s="25" t="s">
        <v>3303</v>
      </c>
      <c r="F531" s="25" t="s">
        <v>2046</v>
      </c>
      <c r="G531" s="25" t="s">
        <v>200</v>
      </c>
    </row>
    <row r="532" ht="15" customHeight="1">
      <c r="A532" s="25" t="s">
        <v>3304</v>
      </c>
      <c r="B532" s="25" t="s">
        <v>3305</v>
      </c>
      <c r="C532" s="25" t="s">
        <v>2153</v>
      </c>
      <c r="D532" s="25" t="s">
        <v>2380</v>
      </c>
      <c r="E532" s="25" t="s">
        <v>3306</v>
      </c>
      <c r="F532" s="25" t="s">
        <v>2112</v>
      </c>
      <c r="G532" s="25" t="s">
        <v>167</v>
      </c>
    </row>
    <row r="533" ht="15" customHeight="1">
      <c r="A533" s="25" t="s">
        <v>3304</v>
      </c>
      <c r="B533" s="25" t="s">
        <v>3307</v>
      </c>
      <c r="C533" s="25" t="s">
        <v>2199</v>
      </c>
      <c r="D533" s="25" t="s">
        <v>2258</v>
      </c>
      <c r="E533" s="25" t="s">
        <v>3308</v>
      </c>
      <c r="F533" s="25" t="s">
        <v>1868</v>
      </c>
      <c r="G533" s="25" t="s">
        <v>172</v>
      </c>
    </row>
    <row r="534" ht="15" customHeight="1">
      <c r="A534" s="25" t="s">
        <v>3309</v>
      </c>
      <c r="B534" s="25" t="s">
        <v>1328</v>
      </c>
      <c r="C534" s="25" t="s">
        <v>2121</v>
      </c>
      <c r="D534" s="25" t="s">
        <v>2260</v>
      </c>
      <c r="E534" s="25" t="s">
        <v>3310</v>
      </c>
      <c r="F534" s="25" t="s">
        <v>1972</v>
      </c>
      <c r="G534" s="25" t="s">
        <v>177</v>
      </c>
    </row>
    <row r="535" ht="15" customHeight="1">
      <c r="A535" s="25" t="s">
        <v>3309</v>
      </c>
      <c r="B535" s="25" t="s">
        <v>3287</v>
      </c>
      <c r="C535" s="25" t="s">
        <v>2125</v>
      </c>
      <c r="D535" s="25" t="s">
        <v>2301</v>
      </c>
      <c r="E535" s="25" t="s">
        <v>3311</v>
      </c>
      <c r="F535" s="25" t="s">
        <v>1914</v>
      </c>
      <c r="G535" s="25" t="s">
        <v>189</v>
      </c>
    </row>
    <row r="536" ht="15" customHeight="1">
      <c r="A536" s="25" t="s">
        <v>3312</v>
      </c>
      <c r="B536" s="25" t="s">
        <v>550</v>
      </c>
      <c r="C536" s="25" t="s">
        <v>2145</v>
      </c>
      <c r="D536" s="25" t="s">
        <v>2200</v>
      </c>
      <c r="E536" s="25" t="s">
        <v>3313</v>
      </c>
      <c r="F536" s="25" t="s">
        <v>2052</v>
      </c>
      <c r="G536" s="25" t="s">
        <v>193</v>
      </c>
    </row>
    <row r="537" ht="15" customHeight="1">
      <c r="A537" s="25" t="s">
        <v>3312</v>
      </c>
      <c r="B537" s="25" t="s">
        <v>2384</v>
      </c>
      <c r="C537" s="25" t="s">
        <v>2121</v>
      </c>
      <c r="D537" s="25" t="s">
        <v>2203</v>
      </c>
      <c r="E537" s="25" t="s">
        <v>3314</v>
      </c>
      <c r="F537" s="25" t="s">
        <v>1812</v>
      </c>
      <c r="G537" s="25" t="s">
        <v>167</v>
      </c>
    </row>
    <row r="538" ht="15" customHeight="1">
      <c r="A538" s="25" t="s">
        <v>3315</v>
      </c>
      <c r="B538" s="25" t="s">
        <v>3316</v>
      </c>
      <c r="C538" s="25" t="s">
        <v>2153</v>
      </c>
      <c r="D538" s="25" t="s">
        <v>2154</v>
      </c>
      <c r="E538" s="25" t="s">
        <v>3317</v>
      </c>
      <c r="F538" s="25" t="s">
        <v>1959</v>
      </c>
      <c r="G538" s="25" t="s">
        <v>200</v>
      </c>
    </row>
    <row r="539" ht="15" customHeight="1">
      <c r="A539" s="25" t="s">
        <v>3315</v>
      </c>
      <c r="B539" s="25" t="s">
        <v>3318</v>
      </c>
      <c r="C539" s="25" t="s">
        <v>2133</v>
      </c>
      <c r="D539" s="25" t="s">
        <v>2134</v>
      </c>
      <c r="E539" s="25" t="s">
        <v>3319</v>
      </c>
      <c r="F539" s="25" t="s">
        <v>1861</v>
      </c>
      <c r="G539" s="25" t="s">
        <v>172</v>
      </c>
    </row>
    <row r="540" ht="15" customHeight="1">
      <c r="A540" s="25" t="s">
        <v>3320</v>
      </c>
      <c r="B540" s="25" t="s">
        <v>1614</v>
      </c>
      <c r="C540" s="25" t="s">
        <v>2145</v>
      </c>
      <c r="D540" s="25" t="s">
        <v>2139</v>
      </c>
      <c r="E540" s="25" t="s">
        <v>3321</v>
      </c>
      <c r="F540" s="25" t="s">
        <v>2010</v>
      </c>
      <c r="G540" s="25" t="s">
        <v>177</v>
      </c>
    </row>
    <row r="541" ht="15" customHeight="1">
      <c r="A541" s="25" t="s">
        <v>3320</v>
      </c>
      <c r="B541" s="25" t="s">
        <v>3322</v>
      </c>
      <c r="C541" s="25" t="s">
        <v>2121</v>
      </c>
      <c r="D541" s="25" t="s">
        <v>2141</v>
      </c>
      <c r="E541" s="25" t="s">
        <v>3323</v>
      </c>
      <c r="F541" s="25" t="s">
        <v>2094</v>
      </c>
      <c r="G541" s="25" t="s">
        <v>167</v>
      </c>
    </row>
    <row r="542" ht="15" customHeight="1">
      <c r="A542" s="25" t="s">
        <v>3324</v>
      </c>
      <c r="B542" s="25" t="s">
        <v>452</v>
      </c>
      <c r="C542" s="25" t="s">
        <v>2125</v>
      </c>
      <c r="D542" s="25" t="s">
        <v>2178</v>
      </c>
      <c r="E542" s="25" t="s">
        <v>3325</v>
      </c>
      <c r="F542" s="25" t="s">
        <v>1927</v>
      </c>
      <c r="G542" s="25" t="s">
        <v>193</v>
      </c>
    </row>
    <row r="543" ht="15" customHeight="1">
      <c r="A543" s="25" t="s">
        <v>3324</v>
      </c>
      <c r="B543" s="25" t="s">
        <v>2775</v>
      </c>
      <c r="C543" s="25" t="s">
        <v>2121</v>
      </c>
      <c r="D543" s="25" t="s">
        <v>2182</v>
      </c>
      <c r="E543" s="25" t="s">
        <v>3326</v>
      </c>
      <c r="F543" s="25" t="s">
        <v>1805</v>
      </c>
      <c r="G543" s="25" t="s">
        <v>189</v>
      </c>
    </row>
    <row r="544" ht="15" customHeight="1">
      <c r="A544" s="25" t="s">
        <v>3327</v>
      </c>
      <c r="B544" s="25" t="s">
        <v>2740</v>
      </c>
      <c r="C544" s="25" t="s">
        <v>2129</v>
      </c>
      <c r="D544" s="25" t="s">
        <v>2185</v>
      </c>
      <c r="E544" s="25" t="s">
        <v>3328</v>
      </c>
      <c r="F544" s="25" t="s">
        <v>2040</v>
      </c>
      <c r="G544" s="25" t="s">
        <v>200</v>
      </c>
    </row>
    <row r="545" ht="15" customHeight="1">
      <c r="A545" s="25" t="s">
        <v>3327</v>
      </c>
      <c r="B545" s="25" t="s">
        <v>1367</v>
      </c>
      <c r="C545" s="25" t="s">
        <v>2157</v>
      </c>
      <c r="D545" s="25" t="s">
        <v>2158</v>
      </c>
      <c r="E545" s="25" t="s">
        <v>3329</v>
      </c>
      <c r="F545" s="25" t="s">
        <v>1902</v>
      </c>
      <c r="G545" s="25" t="s">
        <v>167</v>
      </c>
    </row>
    <row r="546" ht="15" customHeight="1">
      <c r="A546" s="25" t="s">
        <v>3330</v>
      </c>
      <c r="B546" s="25" t="s">
        <v>2718</v>
      </c>
      <c r="C546" s="25" t="s">
        <v>2125</v>
      </c>
      <c r="D546" s="25" t="s">
        <v>2149</v>
      </c>
      <c r="E546" s="25" t="s">
        <v>3331</v>
      </c>
      <c r="F546" s="25" t="s">
        <v>1984</v>
      </c>
      <c r="G546" s="25" t="s">
        <v>172</v>
      </c>
    </row>
    <row r="547" ht="15" customHeight="1">
      <c r="A547" s="25" t="s">
        <v>3330</v>
      </c>
      <c r="B547" s="25" t="s">
        <v>3332</v>
      </c>
      <c r="C547" s="25" t="s">
        <v>2121</v>
      </c>
      <c r="D547" s="25" t="s">
        <v>2165</v>
      </c>
      <c r="E547" s="25" t="s">
        <v>3333</v>
      </c>
      <c r="F547" s="25" t="s">
        <v>2022</v>
      </c>
      <c r="G547" s="25" t="s">
        <v>177</v>
      </c>
    </row>
    <row r="548" ht="15" customHeight="1">
      <c r="A548" s="25" t="s">
        <v>3334</v>
      </c>
      <c r="B548" s="25" t="s">
        <v>2483</v>
      </c>
      <c r="C548" s="25" t="s">
        <v>2145</v>
      </c>
      <c r="D548" s="25" t="s">
        <v>2146</v>
      </c>
      <c r="E548" s="25" t="s">
        <v>3335</v>
      </c>
      <c r="F548" s="25" t="s">
        <v>2088</v>
      </c>
      <c r="G548" s="25" t="s">
        <v>189</v>
      </c>
    </row>
    <row r="549" ht="15" customHeight="1">
      <c r="A549" s="25" t="s">
        <v>3334</v>
      </c>
      <c r="B549" s="25" t="s">
        <v>1666</v>
      </c>
      <c r="C549" s="25" t="s">
        <v>2121</v>
      </c>
      <c r="D549" s="25" t="s">
        <v>2126</v>
      </c>
      <c r="E549" s="25" t="s">
        <v>3336</v>
      </c>
      <c r="F549" s="25" t="s">
        <v>1940</v>
      </c>
      <c r="G549" s="25" t="s">
        <v>193</v>
      </c>
    </row>
    <row r="550" ht="15" customHeight="1">
      <c r="A550" s="25" t="s">
        <v>3337</v>
      </c>
      <c r="B550" s="25" t="s">
        <v>3338</v>
      </c>
      <c r="C550" s="25" t="s">
        <v>2153</v>
      </c>
      <c r="D550" s="25" t="s">
        <v>2380</v>
      </c>
      <c r="E550" s="25" t="s">
        <v>3339</v>
      </c>
      <c r="F550" s="25" t="s">
        <v>2070</v>
      </c>
      <c r="G550" s="25" t="s">
        <v>167</v>
      </c>
    </row>
    <row r="551" ht="15" customHeight="1">
      <c r="A551" s="25" t="s">
        <v>3337</v>
      </c>
      <c r="B551" s="25" t="s">
        <v>3340</v>
      </c>
      <c r="C551" s="25" t="s">
        <v>2199</v>
      </c>
      <c r="D551" s="25" t="s">
        <v>2258</v>
      </c>
      <c r="E551" s="25" t="s">
        <v>3341</v>
      </c>
      <c r="F551" s="25" t="s">
        <v>1991</v>
      </c>
      <c r="G551" s="25" t="s">
        <v>200</v>
      </c>
    </row>
    <row r="552" ht="15" customHeight="1">
      <c r="A552" s="25" t="s">
        <v>3342</v>
      </c>
      <c r="B552" s="25" t="s">
        <v>3343</v>
      </c>
      <c r="C552" s="25" t="s">
        <v>2121</v>
      </c>
      <c r="D552" s="25" t="s">
        <v>2260</v>
      </c>
      <c r="E552" s="25" t="s">
        <v>3344</v>
      </c>
      <c r="F552" s="25" t="s">
        <v>1874</v>
      </c>
      <c r="G552" s="25" t="s">
        <v>172</v>
      </c>
    </row>
    <row r="553" ht="15" customHeight="1">
      <c r="A553" s="25" t="s">
        <v>3342</v>
      </c>
      <c r="B553" s="25" t="s">
        <v>1045</v>
      </c>
      <c r="C553" s="25" t="s">
        <v>2125</v>
      </c>
      <c r="D553" s="25" t="s">
        <v>2301</v>
      </c>
      <c r="E553" s="25" t="s">
        <v>3345</v>
      </c>
      <c r="F553" s="25" t="s">
        <v>1840</v>
      </c>
      <c r="G553" s="25" t="s">
        <v>177</v>
      </c>
    </row>
    <row r="554" ht="15" customHeight="1">
      <c r="A554" s="25" t="s">
        <v>3346</v>
      </c>
      <c r="B554" s="25" t="s">
        <v>894</v>
      </c>
      <c r="C554" s="25" t="s">
        <v>2145</v>
      </c>
      <c r="D554" s="25" t="s">
        <v>2200</v>
      </c>
      <c r="E554" s="25" t="s">
        <v>3347</v>
      </c>
      <c r="F554" s="25" t="s">
        <v>1947</v>
      </c>
      <c r="G554" s="25" t="s">
        <v>167</v>
      </c>
    </row>
    <row r="555" ht="15" customHeight="1">
      <c r="A555" s="25" t="s">
        <v>3346</v>
      </c>
      <c r="B555" s="25" t="s">
        <v>2890</v>
      </c>
      <c r="C555" s="25" t="s">
        <v>2121</v>
      </c>
      <c r="D555" s="25" t="s">
        <v>2203</v>
      </c>
      <c r="E555" s="25" t="s">
        <v>3348</v>
      </c>
      <c r="F555" s="25" t="s">
        <v>2082</v>
      </c>
      <c r="G555" s="25" t="s">
        <v>193</v>
      </c>
    </row>
    <row r="556" ht="15" customHeight="1">
      <c r="A556" s="25" t="s">
        <v>3349</v>
      </c>
      <c r="B556" s="25" t="s">
        <v>1490</v>
      </c>
      <c r="C556" s="25" t="s">
        <v>2153</v>
      </c>
      <c r="D556" s="25" t="s">
        <v>2154</v>
      </c>
      <c r="E556" s="25" t="s">
        <v>3350</v>
      </c>
      <c r="F556" s="25" t="s">
        <v>1847</v>
      </c>
      <c r="G556" s="25" t="s">
        <v>189</v>
      </c>
    </row>
    <row r="557" ht="15" customHeight="1">
      <c r="A557" s="25" t="s">
        <v>3349</v>
      </c>
      <c r="B557" s="25" t="s">
        <v>1505</v>
      </c>
      <c r="C557" s="25" t="s">
        <v>2133</v>
      </c>
      <c r="D557" s="25" t="s">
        <v>2134</v>
      </c>
      <c r="E557" s="25" t="s">
        <v>3351</v>
      </c>
      <c r="F557" s="25" t="s">
        <v>1997</v>
      </c>
      <c r="G557" s="25" t="s">
        <v>200</v>
      </c>
    </row>
    <row r="558" ht="15" customHeight="1">
      <c r="A558" s="25" t="s">
        <v>3352</v>
      </c>
      <c r="B558" s="25" t="s">
        <v>1424</v>
      </c>
      <c r="C558" s="25" t="s">
        <v>2145</v>
      </c>
      <c r="D558" s="25" t="s">
        <v>2139</v>
      </c>
      <c r="E558" s="25" t="s">
        <v>3353</v>
      </c>
      <c r="F558" s="25" t="s">
        <v>1920</v>
      </c>
      <c r="G558" s="25" t="s">
        <v>167</v>
      </c>
    </row>
    <row r="559" ht="15" customHeight="1">
      <c r="A559" s="25" t="s">
        <v>3352</v>
      </c>
      <c r="B559" s="25" t="s">
        <v>857</v>
      </c>
      <c r="C559" s="25" t="s">
        <v>2121</v>
      </c>
      <c r="D559" s="25" t="s">
        <v>2141</v>
      </c>
      <c r="E559" s="25" t="s">
        <v>3354</v>
      </c>
      <c r="F559" s="25" t="s">
        <v>2064</v>
      </c>
      <c r="G559" s="25" t="s">
        <v>172</v>
      </c>
    </row>
    <row r="560" ht="15" customHeight="1">
      <c r="A560" s="25" t="s">
        <v>3355</v>
      </c>
      <c r="B560" s="25" t="s">
        <v>3267</v>
      </c>
      <c r="C560" s="25" t="s">
        <v>2125</v>
      </c>
      <c r="D560" s="25" t="s">
        <v>2178</v>
      </c>
      <c r="E560" s="25" t="s">
        <v>3356</v>
      </c>
      <c r="F560" s="25" t="s">
        <v>1826</v>
      </c>
      <c r="G560" s="25" t="s">
        <v>177</v>
      </c>
    </row>
    <row r="561" ht="15" customHeight="1">
      <c r="A561" s="25" t="s">
        <v>3355</v>
      </c>
      <c r="B561" s="25" t="s">
        <v>3234</v>
      </c>
      <c r="C561" s="25" t="s">
        <v>2121</v>
      </c>
      <c r="D561" s="25" t="s">
        <v>2182</v>
      </c>
      <c r="E561" s="25" t="s">
        <v>3357</v>
      </c>
      <c r="F561" s="25" t="s">
        <v>2028</v>
      </c>
      <c r="G561" s="25" t="s">
        <v>189</v>
      </c>
    </row>
    <row r="562" ht="15" customHeight="1">
      <c r="A562" s="25" t="s">
        <v>3358</v>
      </c>
      <c r="B562" s="25" t="s">
        <v>2997</v>
      </c>
      <c r="C562" s="25" t="s">
        <v>2129</v>
      </c>
      <c r="D562" s="25" t="s">
        <v>2185</v>
      </c>
      <c r="E562" s="25" t="s">
        <v>3359</v>
      </c>
      <c r="F562" s="25" t="s">
        <v>1888</v>
      </c>
      <c r="G562" s="25" t="s">
        <v>193</v>
      </c>
    </row>
    <row r="563" ht="15" customHeight="1">
      <c r="A563" s="25" t="s">
        <v>3358</v>
      </c>
      <c r="B563" s="25" t="s">
        <v>3360</v>
      </c>
      <c r="C563" s="25" t="s">
        <v>2157</v>
      </c>
      <c r="D563" s="25" t="s">
        <v>2158</v>
      </c>
      <c r="E563" s="25" t="s">
        <v>3361</v>
      </c>
      <c r="F563" s="25" t="s">
        <v>1978</v>
      </c>
      <c r="G563" s="25" t="s">
        <v>167</v>
      </c>
    </row>
    <row r="564" ht="15" customHeight="1">
      <c r="A564" s="25" t="s">
        <v>3362</v>
      </c>
      <c r="B564" s="25" t="s">
        <v>2814</v>
      </c>
      <c r="C564" s="25" t="s">
        <v>2125</v>
      </c>
      <c r="D564" s="25" t="s">
        <v>2149</v>
      </c>
      <c r="E564" s="25" t="s">
        <v>3363</v>
      </c>
      <c r="F564" s="25" t="s">
        <v>1854</v>
      </c>
      <c r="G564" s="25" t="s">
        <v>200</v>
      </c>
    </row>
    <row r="565" ht="15" customHeight="1">
      <c r="A565" s="25" t="s">
        <v>3362</v>
      </c>
      <c r="B565" s="25" t="s">
        <v>2480</v>
      </c>
      <c r="C565" s="25" t="s">
        <v>2121</v>
      </c>
      <c r="D565" s="25" t="s">
        <v>2165</v>
      </c>
      <c r="E565" s="25" t="s">
        <v>3364</v>
      </c>
      <c r="F565" s="25" t="s">
        <v>2058</v>
      </c>
      <c r="G565" s="25" t="s">
        <v>172</v>
      </c>
    </row>
    <row r="566" ht="15" customHeight="1">
      <c r="A566" s="25" t="s">
        <v>3365</v>
      </c>
      <c r="B566" s="25" t="s">
        <v>3366</v>
      </c>
      <c r="C566" s="25" t="s">
        <v>2145</v>
      </c>
      <c r="D566" s="25" t="s">
        <v>2146</v>
      </c>
      <c r="E566" s="25" t="s">
        <v>3367</v>
      </c>
      <c r="F566" s="25" t="s">
        <v>1908</v>
      </c>
      <c r="G566" s="25" t="s">
        <v>177</v>
      </c>
    </row>
    <row r="567" ht="15" customHeight="1">
      <c r="A567" s="25" t="s">
        <v>3365</v>
      </c>
      <c r="B567" s="25" t="s">
        <v>1622</v>
      </c>
      <c r="C567" s="25" t="s">
        <v>2121</v>
      </c>
      <c r="D567" s="25" t="s">
        <v>2126</v>
      </c>
      <c r="E567" s="25" t="s">
        <v>3368</v>
      </c>
      <c r="F567" s="25" t="s">
        <v>2004</v>
      </c>
      <c r="G567" s="25" t="s">
        <v>167</v>
      </c>
    </row>
    <row r="568" ht="15" customHeight="1">
      <c r="A568" s="25" t="s">
        <v>3369</v>
      </c>
      <c r="B568" s="25" t="s">
        <v>1412</v>
      </c>
      <c r="C568" s="25" t="s">
        <v>2153</v>
      </c>
      <c r="D568" s="25" t="s">
        <v>2380</v>
      </c>
      <c r="E568" s="25" t="s">
        <v>3370</v>
      </c>
      <c r="F568" s="25" t="s">
        <v>2106</v>
      </c>
      <c r="G568" s="25" t="s">
        <v>193</v>
      </c>
    </row>
    <row r="569" ht="15" customHeight="1">
      <c r="A569" s="25" t="s">
        <v>3369</v>
      </c>
      <c r="B569" s="25" t="s">
        <v>1128</v>
      </c>
      <c r="C569" s="25" t="s">
        <v>2199</v>
      </c>
      <c r="D569" s="25" t="s">
        <v>2258</v>
      </c>
      <c r="E569" s="25" t="s">
        <v>3371</v>
      </c>
      <c r="F569" s="25" t="s">
        <v>1833</v>
      </c>
      <c r="G569" s="25" t="s">
        <v>189</v>
      </c>
    </row>
    <row r="570" ht="15" customHeight="1">
      <c r="A570" s="25" t="s">
        <v>3372</v>
      </c>
      <c r="B570" s="25" t="s">
        <v>3373</v>
      </c>
      <c r="C570" s="25" t="s">
        <v>2121</v>
      </c>
      <c r="D570" s="25" t="s">
        <v>2260</v>
      </c>
      <c r="E570" s="25" t="s">
        <v>3374</v>
      </c>
      <c r="F570" s="25" t="s">
        <v>1953</v>
      </c>
      <c r="G570" s="25" t="s">
        <v>200</v>
      </c>
    </row>
    <row r="571" ht="15" customHeight="1">
      <c r="A571" s="25" t="s">
        <v>3372</v>
      </c>
      <c r="B571" s="25" t="s">
        <v>3375</v>
      </c>
      <c r="C571" s="25" t="s">
        <v>2125</v>
      </c>
      <c r="D571" s="25" t="s">
        <v>2301</v>
      </c>
      <c r="E571" s="25" t="s">
        <v>3376</v>
      </c>
      <c r="F571" s="25" t="s">
        <v>1895</v>
      </c>
      <c r="G571" s="25" t="s">
        <v>167</v>
      </c>
    </row>
    <row r="572" ht="15" customHeight="1">
      <c r="A572" s="25" t="s">
        <v>3377</v>
      </c>
      <c r="B572" s="25" t="s">
        <v>536</v>
      </c>
      <c r="C572" s="25" t="s">
        <v>2145</v>
      </c>
      <c r="D572" s="25" t="s">
        <v>2200</v>
      </c>
      <c r="E572" s="25" t="s">
        <v>3378</v>
      </c>
      <c r="F572" s="25" t="s">
        <v>2034</v>
      </c>
      <c r="G572" s="25" t="s">
        <v>172</v>
      </c>
    </row>
    <row r="573" ht="15" customHeight="1">
      <c r="A573" s="25" t="s">
        <v>3377</v>
      </c>
      <c r="B573" s="25" t="s">
        <v>3379</v>
      </c>
      <c r="C573" s="25" t="s">
        <v>2121</v>
      </c>
      <c r="D573" s="25" t="s">
        <v>2203</v>
      </c>
      <c r="E573" s="25" t="s">
        <v>3380</v>
      </c>
      <c r="F573" s="25" t="s">
        <v>2100</v>
      </c>
      <c r="G573" s="25" t="s">
        <v>177</v>
      </c>
    </row>
    <row r="574" ht="15" customHeight="1">
      <c r="A574" s="25" t="s">
        <v>3381</v>
      </c>
      <c r="B574" s="25" t="s">
        <v>2984</v>
      </c>
      <c r="C574" s="25" t="s">
        <v>2153</v>
      </c>
      <c r="D574" s="25" t="s">
        <v>2154</v>
      </c>
      <c r="E574" s="25" t="s">
        <v>3382</v>
      </c>
      <c r="F574" s="25" t="s">
        <v>1819</v>
      </c>
      <c r="G574" s="25" t="s">
        <v>189</v>
      </c>
    </row>
    <row r="575" ht="15" customHeight="1">
      <c r="A575" s="25" t="s">
        <v>3381</v>
      </c>
      <c r="B575" s="25" t="s">
        <v>1282</v>
      </c>
      <c r="C575" s="25" t="s">
        <v>2133</v>
      </c>
      <c r="D575" s="25" t="s">
        <v>2134</v>
      </c>
      <c r="E575" s="25" t="s">
        <v>3383</v>
      </c>
      <c r="F575" s="25" t="s">
        <v>1966</v>
      </c>
      <c r="G575" s="25" t="s">
        <v>193</v>
      </c>
    </row>
    <row r="576" ht="15" customHeight="1">
      <c r="A576" s="25" t="s">
        <v>3384</v>
      </c>
      <c r="B576" s="25" t="s">
        <v>2334</v>
      </c>
      <c r="C576" s="25" t="s">
        <v>2145</v>
      </c>
      <c r="D576" s="25" t="s">
        <v>2139</v>
      </c>
      <c r="E576" s="25" t="s">
        <v>3385</v>
      </c>
      <c r="F576" s="25" t="s">
        <v>1881</v>
      </c>
      <c r="G576" s="25" t="s">
        <v>167</v>
      </c>
    </row>
    <row r="577" ht="15" customHeight="1">
      <c r="A577" s="25" t="s">
        <v>3384</v>
      </c>
      <c r="B577" s="25" t="s">
        <v>3386</v>
      </c>
      <c r="C577" s="25" t="s">
        <v>2121</v>
      </c>
      <c r="D577" s="25" t="s">
        <v>2141</v>
      </c>
      <c r="E577" s="25" t="s">
        <v>3387</v>
      </c>
      <c r="F577" s="25" t="s">
        <v>2016</v>
      </c>
      <c r="G577" s="25" t="s">
        <v>200</v>
      </c>
    </row>
    <row r="578" ht="15" customHeight="1">
      <c r="A578" s="25" t="s">
        <v>3388</v>
      </c>
      <c r="B578" s="25" t="s">
        <v>2120</v>
      </c>
      <c r="C578" s="25" t="s">
        <v>2125</v>
      </c>
      <c r="D578" s="25" t="s">
        <v>2178</v>
      </c>
      <c r="E578" s="25" t="s">
        <v>3389</v>
      </c>
      <c r="F578" s="25" t="s">
        <v>2076</v>
      </c>
      <c r="G578" s="25" t="s">
        <v>172</v>
      </c>
    </row>
    <row r="579" ht="15" customHeight="1">
      <c r="A579" s="25" t="s">
        <v>3388</v>
      </c>
      <c r="B579" s="25" t="s">
        <v>3390</v>
      </c>
      <c r="C579" s="25" t="s">
        <v>2121</v>
      </c>
      <c r="D579" s="25" t="s">
        <v>2182</v>
      </c>
      <c r="E579" s="25" t="s">
        <v>3391</v>
      </c>
      <c r="F579" s="25" t="s">
        <v>1798</v>
      </c>
      <c r="G579" s="25" t="s">
        <v>177</v>
      </c>
    </row>
    <row r="580" ht="15" customHeight="1">
      <c r="A580" s="25" t="s">
        <v>3392</v>
      </c>
      <c r="B580" s="25" t="s">
        <v>2233</v>
      </c>
      <c r="C580" s="25" t="s">
        <v>2129</v>
      </c>
      <c r="D580" s="25" t="s">
        <v>2185</v>
      </c>
      <c r="E580" s="25" t="s">
        <v>3393</v>
      </c>
      <c r="F580" s="25" t="s">
        <v>1933</v>
      </c>
      <c r="G580" s="25" t="s">
        <v>167</v>
      </c>
    </row>
    <row r="581" ht="15" customHeight="1">
      <c r="A581" s="25" t="s">
        <v>3392</v>
      </c>
      <c r="B581" s="25" t="s">
        <v>1147</v>
      </c>
      <c r="C581" s="25" t="s">
        <v>2157</v>
      </c>
      <c r="D581" s="25" t="s">
        <v>2158</v>
      </c>
      <c r="E581" s="25" t="s">
        <v>3394</v>
      </c>
      <c r="F581" s="25" t="s">
        <v>2046</v>
      </c>
      <c r="G581" s="25" t="s">
        <v>193</v>
      </c>
    </row>
    <row r="582" ht="15" customHeight="1">
      <c r="A582" s="25" t="s">
        <v>3395</v>
      </c>
      <c r="B582" s="25" t="s">
        <v>1312</v>
      </c>
      <c r="C582" s="25" t="s">
        <v>2125</v>
      </c>
      <c r="D582" s="25" t="s">
        <v>2149</v>
      </c>
      <c r="E582" s="25" t="s">
        <v>3396</v>
      </c>
      <c r="F582" s="25" t="s">
        <v>2112</v>
      </c>
      <c r="G582" s="25" t="s">
        <v>189</v>
      </c>
    </row>
    <row r="583" ht="15" customHeight="1">
      <c r="A583" s="25" t="s">
        <v>3395</v>
      </c>
      <c r="B583" s="25" t="s">
        <v>3016</v>
      </c>
      <c r="C583" s="25" t="s">
        <v>2121</v>
      </c>
      <c r="D583" s="25" t="s">
        <v>2165</v>
      </c>
      <c r="E583" s="25" t="s">
        <v>3397</v>
      </c>
      <c r="F583" s="25" t="s">
        <v>1868</v>
      </c>
      <c r="G583" s="25" t="s">
        <v>200</v>
      </c>
    </row>
    <row r="584" ht="15" customHeight="1">
      <c r="A584" s="25" t="s">
        <v>3398</v>
      </c>
      <c r="B584" s="25" t="s">
        <v>2249</v>
      </c>
      <c r="C584" s="25" t="s">
        <v>2145</v>
      </c>
      <c r="D584" s="25" t="s">
        <v>2146</v>
      </c>
      <c r="E584" s="25" t="s">
        <v>3399</v>
      </c>
      <c r="F584" s="25" t="s">
        <v>1972</v>
      </c>
      <c r="G584" s="25" t="s">
        <v>167</v>
      </c>
    </row>
    <row r="585" ht="15" customHeight="1">
      <c r="A585" s="25" t="s">
        <v>3398</v>
      </c>
      <c r="B585" s="25" t="s">
        <v>1628</v>
      </c>
      <c r="C585" s="25" t="s">
        <v>2121</v>
      </c>
      <c r="D585" s="25" t="s">
        <v>2126</v>
      </c>
      <c r="E585" s="25" t="s">
        <v>3400</v>
      </c>
      <c r="F585" s="25" t="s">
        <v>1914</v>
      </c>
      <c r="G585" s="25" t="s">
        <v>172</v>
      </c>
    </row>
    <row r="586" ht="15" customHeight="1">
      <c r="A586" s="25" t="s">
        <v>3401</v>
      </c>
      <c r="B586" s="25" t="s">
        <v>2754</v>
      </c>
      <c r="C586" s="25" t="s">
        <v>2153</v>
      </c>
      <c r="D586" s="25" t="s">
        <v>2380</v>
      </c>
      <c r="E586" s="25" t="s">
        <v>3402</v>
      </c>
      <c r="F586" s="25" t="s">
        <v>2052</v>
      </c>
      <c r="G586" s="25" t="s">
        <v>177</v>
      </c>
    </row>
    <row r="587" ht="15" customHeight="1">
      <c r="A587" s="25" t="s">
        <v>3401</v>
      </c>
      <c r="B587" s="25" t="s">
        <v>1119</v>
      </c>
      <c r="C587" s="25" t="s">
        <v>2199</v>
      </c>
      <c r="D587" s="25" t="s">
        <v>2258</v>
      </c>
      <c r="E587" s="25" t="s">
        <v>3403</v>
      </c>
      <c r="F587" s="25" t="s">
        <v>1812</v>
      </c>
      <c r="G587" s="25" t="s">
        <v>189</v>
      </c>
    </row>
    <row r="588" ht="15" customHeight="1">
      <c r="A588" s="25" t="s">
        <v>3404</v>
      </c>
      <c r="B588" s="25" t="s">
        <v>1541</v>
      </c>
      <c r="C588" s="25" t="s">
        <v>2121</v>
      </c>
      <c r="D588" s="25" t="s">
        <v>2260</v>
      </c>
      <c r="E588" s="25" t="s">
        <v>3405</v>
      </c>
      <c r="F588" s="25" t="s">
        <v>1959</v>
      </c>
      <c r="G588" s="25" t="s">
        <v>193</v>
      </c>
    </row>
    <row r="589" ht="15" customHeight="1">
      <c r="A589" s="25" t="s">
        <v>3404</v>
      </c>
      <c r="B589" s="25" t="s">
        <v>3406</v>
      </c>
      <c r="C589" s="25" t="s">
        <v>2125</v>
      </c>
      <c r="D589" s="25" t="s">
        <v>2301</v>
      </c>
      <c r="E589" s="25" t="s">
        <v>3407</v>
      </c>
      <c r="F589" s="25" t="s">
        <v>1861</v>
      </c>
      <c r="G589" s="25" t="s">
        <v>167</v>
      </c>
    </row>
    <row r="590" ht="15" customHeight="1">
      <c r="A590" s="25" t="s">
        <v>3408</v>
      </c>
      <c r="B590" s="25" t="s">
        <v>999</v>
      </c>
      <c r="C590" s="25" t="s">
        <v>2145</v>
      </c>
      <c r="D590" s="25" t="s">
        <v>2200</v>
      </c>
      <c r="E590" s="25" t="s">
        <v>3409</v>
      </c>
      <c r="F590" s="25" t="s">
        <v>2010</v>
      </c>
      <c r="G590" s="25" t="s">
        <v>200</v>
      </c>
    </row>
    <row r="591" ht="15" customHeight="1">
      <c r="A591" s="25" t="s">
        <v>3408</v>
      </c>
      <c r="B591" s="25" t="s">
        <v>3410</v>
      </c>
      <c r="C591" s="25" t="s">
        <v>2121</v>
      </c>
      <c r="D591" s="25" t="s">
        <v>2203</v>
      </c>
      <c r="E591" s="25" t="s">
        <v>3411</v>
      </c>
      <c r="F591" s="25" t="s">
        <v>2094</v>
      </c>
      <c r="G591" s="25" t="s">
        <v>172</v>
      </c>
    </row>
    <row r="592" ht="15" customHeight="1">
      <c r="A592" s="25" t="s">
        <v>3412</v>
      </c>
      <c r="B592" s="25" t="s">
        <v>3413</v>
      </c>
      <c r="C592" s="25" t="s">
        <v>2153</v>
      </c>
      <c r="D592" s="25" t="s">
        <v>2154</v>
      </c>
      <c r="E592" s="25" t="s">
        <v>3414</v>
      </c>
      <c r="F592" s="25" t="s">
        <v>1927</v>
      </c>
      <c r="G592" s="25" t="s">
        <v>177</v>
      </c>
    </row>
    <row r="593" ht="15" customHeight="1">
      <c r="A593" s="25" t="s">
        <v>3412</v>
      </c>
      <c r="B593" s="25" t="s">
        <v>3307</v>
      </c>
      <c r="C593" s="25" t="s">
        <v>2133</v>
      </c>
      <c r="D593" s="25" t="s">
        <v>2134</v>
      </c>
      <c r="E593" s="25" t="s">
        <v>3415</v>
      </c>
      <c r="F593" s="25" t="s">
        <v>1805</v>
      </c>
      <c r="G593" s="25" t="s">
        <v>167</v>
      </c>
    </row>
    <row r="594" ht="15" customHeight="1">
      <c r="A594" s="25" t="s">
        <v>3416</v>
      </c>
      <c r="B594" s="25" t="s">
        <v>1475</v>
      </c>
      <c r="C594" s="25" t="s">
        <v>2145</v>
      </c>
      <c r="D594" s="25" t="s">
        <v>2139</v>
      </c>
      <c r="E594" s="25" t="s">
        <v>3417</v>
      </c>
      <c r="F594" s="25" t="s">
        <v>2040</v>
      </c>
      <c r="G594" s="25" t="s">
        <v>193</v>
      </c>
    </row>
    <row r="595" ht="15" customHeight="1">
      <c r="A595" s="25" t="s">
        <v>3416</v>
      </c>
      <c r="B595" s="25" t="s">
        <v>2480</v>
      </c>
      <c r="C595" s="25" t="s">
        <v>2121</v>
      </c>
      <c r="D595" s="25" t="s">
        <v>2141</v>
      </c>
      <c r="E595" s="25" t="s">
        <v>3418</v>
      </c>
      <c r="F595" s="25" t="s">
        <v>1902</v>
      </c>
      <c r="G595" s="25" t="s">
        <v>189</v>
      </c>
    </row>
    <row r="596" ht="15" customHeight="1">
      <c r="A596" s="25" t="s">
        <v>3419</v>
      </c>
      <c r="B596" s="25" t="s">
        <v>3420</v>
      </c>
      <c r="C596" s="25" t="s">
        <v>2125</v>
      </c>
      <c r="D596" s="25" t="s">
        <v>2178</v>
      </c>
      <c r="E596" s="25" t="s">
        <v>3421</v>
      </c>
      <c r="F596" s="25" t="s">
        <v>1984</v>
      </c>
      <c r="G596" s="25" t="s">
        <v>200</v>
      </c>
    </row>
    <row r="597" ht="15" customHeight="1">
      <c r="A597" s="25" t="s">
        <v>3419</v>
      </c>
      <c r="B597" s="25" t="s">
        <v>3379</v>
      </c>
      <c r="C597" s="25" t="s">
        <v>2121</v>
      </c>
      <c r="D597" s="25" t="s">
        <v>2182</v>
      </c>
      <c r="E597" s="25" t="s">
        <v>3422</v>
      </c>
      <c r="F597" s="25" t="s">
        <v>2022</v>
      </c>
      <c r="G597" s="25" t="s">
        <v>167</v>
      </c>
    </row>
    <row r="598" ht="15" customHeight="1">
      <c r="A598" s="25" t="s">
        <v>3423</v>
      </c>
      <c r="B598" s="25" t="s">
        <v>3424</v>
      </c>
      <c r="C598" s="25" t="s">
        <v>2129</v>
      </c>
      <c r="D598" s="25" t="s">
        <v>2185</v>
      </c>
      <c r="E598" s="25" t="s">
        <v>3425</v>
      </c>
      <c r="F598" s="25" t="s">
        <v>2088</v>
      </c>
      <c r="G598" s="25" t="s">
        <v>172</v>
      </c>
    </row>
    <row r="599" ht="15" customHeight="1">
      <c r="A599" s="25" t="s">
        <v>3423</v>
      </c>
      <c r="B599" s="25" t="s">
        <v>1064</v>
      </c>
      <c r="C599" s="25" t="s">
        <v>2157</v>
      </c>
      <c r="D599" s="25" t="s">
        <v>2158</v>
      </c>
      <c r="E599" s="25" t="s">
        <v>3426</v>
      </c>
      <c r="F599" s="25" t="s">
        <v>1940</v>
      </c>
      <c r="G599" s="25" t="s">
        <v>177</v>
      </c>
    </row>
    <row r="600" ht="15" customHeight="1">
      <c r="A600" s="25" t="s">
        <v>3427</v>
      </c>
      <c r="B600" s="25" t="s">
        <v>3428</v>
      </c>
      <c r="C600" s="25" t="s">
        <v>2125</v>
      </c>
      <c r="D600" s="25" t="s">
        <v>2149</v>
      </c>
      <c r="E600" s="25" t="s">
        <v>3429</v>
      </c>
      <c r="F600" s="25" t="s">
        <v>2070</v>
      </c>
      <c r="G600" s="25" t="s">
        <v>189</v>
      </c>
    </row>
    <row r="601" ht="15" customHeight="1">
      <c r="A601" s="25" t="s">
        <v>3427</v>
      </c>
      <c r="B601" s="25" t="s">
        <v>2720</v>
      </c>
      <c r="C601" s="25" t="s">
        <v>2121</v>
      </c>
      <c r="D601" s="25" t="s">
        <v>2165</v>
      </c>
      <c r="E601" s="25" t="s">
        <v>3430</v>
      </c>
      <c r="F601" s="25" t="s">
        <v>1991</v>
      </c>
      <c r="G601" s="25" t="s">
        <v>193</v>
      </c>
    </row>
    <row r="602" ht="15" customHeight="1">
      <c r="A602" s="25" t="s">
        <v>3431</v>
      </c>
      <c r="B602" s="25" t="s">
        <v>948</v>
      </c>
      <c r="C602" s="25" t="s">
        <v>2145</v>
      </c>
      <c r="D602" s="25" t="s">
        <v>2146</v>
      </c>
      <c r="E602" s="25" t="s">
        <v>3432</v>
      </c>
      <c r="F602" s="25" t="s">
        <v>1874</v>
      </c>
      <c r="G602" s="25" t="s">
        <v>167</v>
      </c>
    </row>
    <row r="603" ht="15" customHeight="1">
      <c r="A603" s="25" t="s">
        <v>3431</v>
      </c>
      <c r="B603" s="25" t="s">
        <v>3433</v>
      </c>
      <c r="C603" s="25" t="s">
        <v>2121</v>
      </c>
      <c r="D603" s="25" t="s">
        <v>2126</v>
      </c>
      <c r="E603" s="25" t="s">
        <v>3434</v>
      </c>
      <c r="F603" s="25" t="s">
        <v>1840</v>
      </c>
      <c r="G603" s="25" t="s">
        <v>200</v>
      </c>
    </row>
    <row r="604" ht="15" customHeight="1">
      <c r="A604" s="25" t="s">
        <v>3435</v>
      </c>
      <c r="B604" s="25" t="s">
        <v>2957</v>
      </c>
      <c r="C604" s="25" t="s">
        <v>2153</v>
      </c>
      <c r="D604" s="25" t="s">
        <v>2380</v>
      </c>
      <c r="E604" s="25" t="s">
        <v>3436</v>
      </c>
      <c r="F604" s="25" t="s">
        <v>1947</v>
      </c>
      <c r="G604" s="25" t="s">
        <v>172</v>
      </c>
    </row>
    <row r="605" ht="15" customHeight="1">
      <c r="A605" s="25" t="s">
        <v>3435</v>
      </c>
      <c r="B605" s="25" t="s">
        <v>1472</v>
      </c>
      <c r="C605" s="25" t="s">
        <v>2199</v>
      </c>
      <c r="D605" s="25" t="s">
        <v>2258</v>
      </c>
      <c r="E605" s="25" t="s">
        <v>3437</v>
      </c>
      <c r="F605" s="25" t="s">
        <v>2082</v>
      </c>
      <c r="G605" s="25" t="s">
        <v>177</v>
      </c>
    </row>
    <row r="606" ht="15" customHeight="1">
      <c r="A606" s="25" t="s">
        <v>3438</v>
      </c>
      <c r="B606" s="25" t="s">
        <v>1507</v>
      </c>
      <c r="C606" s="25" t="s">
        <v>2121</v>
      </c>
      <c r="D606" s="25" t="s">
        <v>2260</v>
      </c>
      <c r="E606" s="25" t="s">
        <v>3439</v>
      </c>
      <c r="F606" s="25" t="s">
        <v>1847</v>
      </c>
      <c r="G606" s="25" t="s">
        <v>167</v>
      </c>
    </row>
    <row r="607" ht="15" customHeight="1">
      <c r="A607" s="25" t="s">
        <v>3438</v>
      </c>
      <c r="B607" s="25" t="s">
        <v>3440</v>
      </c>
      <c r="C607" s="25" t="s">
        <v>2125</v>
      </c>
      <c r="D607" s="25" t="s">
        <v>2301</v>
      </c>
      <c r="E607" s="25" t="s">
        <v>3441</v>
      </c>
      <c r="F607" s="25" t="s">
        <v>1997</v>
      </c>
      <c r="G607" s="25" t="s">
        <v>193</v>
      </c>
    </row>
    <row r="608" ht="15" customHeight="1">
      <c r="A608" s="25" t="s">
        <v>3442</v>
      </c>
      <c r="B608" s="25" t="s">
        <v>3443</v>
      </c>
      <c r="C608" s="25" t="s">
        <v>2145</v>
      </c>
      <c r="D608" s="25" t="s">
        <v>2200</v>
      </c>
      <c r="E608" s="25" t="s">
        <v>3444</v>
      </c>
      <c r="F608" s="25" t="s">
        <v>1920</v>
      </c>
      <c r="G608" s="25" t="s">
        <v>189</v>
      </c>
    </row>
    <row r="609" ht="15" customHeight="1">
      <c r="A609" s="25" t="s">
        <v>3442</v>
      </c>
      <c r="B609" s="25" t="s">
        <v>1765</v>
      </c>
      <c r="C609" s="25" t="s">
        <v>2121</v>
      </c>
      <c r="D609" s="25" t="s">
        <v>2203</v>
      </c>
      <c r="E609" s="25" t="s">
        <v>3445</v>
      </c>
      <c r="F609" s="25" t="s">
        <v>2064</v>
      </c>
      <c r="G609" s="25" t="s">
        <v>200</v>
      </c>
    </row>
    <row r="610" ht="15" customHeight="1">
      <c r="A610" s="25" t="s">
        <v>3446</v>
      </c>
      <c r="B610" s="25" t="s">
        <v>3447</v>
      </c>
      <c r="C610" s="25" t="s">
        <v>2153</v>
      </c>
      <c r="D610" s="25" t="s">
        <v>2154</v>
      </c>
      <c r="E610" s="25" t="s">
        <v>3448</v>
      </c>
      <c r="F610" s="25" t="s">
        <v>1826</v>
      </c>
      <c r="G610" s="25" t="s">
        <v>167</v>
      </c>
    </row>
    <row r="611" ht="15" customHeight="1">
      <c r="A611" s="25" t="s">
        <v>3446</v>
      </c>
      <c r="B611" s="25" t="s">
        <v>2347</v>
      </c>
      <c r="C611" s="25" t="s">
        <v>2133</v>
      </c>
      <c r="D611" s="25" t="s">
        <v>2134</v>
      </c>
      <c r="E611" s="25" t="s">
        <v>3449</v>
      </c>
      <c r="F611" s="25" t="s">
        <v>2028</v>
      </c>
      <c r="G611" s="25" t="s">
        <v>172</v>
      </c>
    </row>
    <row r="612" ht="15" customHeight="1">
      <c r="A612" s="25" t="s">
        <v>3450</v>
      </c>
      <c r="B612" s="25" t="s">
        <v>1450</v>
      </c>
      <c r="C612" s="25" t="s">
        <v>2145</v>
      </c>
      <c r="D612" s="25" t="s">
        <v>2139</v>
      </c>
      <c r="E612" s="25" t="s">
        <v>3451</v>
      </c>
      <c r="F612" s="25" t="s">
        <v>1888</v>
      </c>
      <c r="G612" s="25" t="s">
        <v>177</v>
      </c>
    </row>
    <row r="613" ht="15" customHeight="1">
      <c r="A613" s="25" t="s">
        <v>3450</v>
      </c>
      <c r="B613" s="25" t="s">
        <v>3148</v>
      </c>
      <c r="C613" s="25" t="s">
        <v>2121</v>
      </c>
      <c r="D613" s="25" t="s">
        <v>2141</v>
      </c>
      <c r="E613" s="25" t="s">
        <v>3452</v>
      </c>
      <c r="F613" s="25" t="s">
        <v>1978</v>
      </c>
      <c r="G613" s="25" t="s">
        <v>189</v>
      </c>
    </row>
    <row r="614" ht="15" customHeight="1">
      <c r="A614" s="25" t="s">
        <v>3453</v>
      </c>
      <c r="B614" s="25" t="s">
        <v>3279</v>
      </c>
      <c r="C614" s="25" t="s">
        <v>2125</v>
      </c>
      <c r="D614" s="25" t="s">
        <v>2178</v>
      </c>
      <c r="E614" s="25" t="s">
        <v>3454</v>
      </c>
      <c r="F614" s="25" t="s">
        <v>1854</v>
      </c>
      <c r="G614" s="25" t="s">
        <v>193</v>
      </c>
    </row>
    <row r="615" ht="15" customHeight="1">
      <c r="A615" s="25" t="s">
        <v>3453</v>
      </c>
      <c r="B615" s="25" t="s">
        <v>3107</v>
      </c>
      <c r="C615" s="25" t="s">
        <v>2121</v>
      </c>
      <c r="D615" s="25" t="s">
        <v>2182</v>
      </c>
      <c r="E615" s="25" t="s">
        <v>3455</v>
      </c>
      <c r="F615" s="25" t="s">
        <v>2058</v>
      </c>
      <c r="G615" s="25" t="s">
        <v>167</v>
      </c>
    </row>
    <row r="616" ht="15" customHeight="1">
      <c r="A616" s="25" t="s">
        <v>3456</v>
      </c>
      <c r="B616" s="25" t="s">
        <v>3457</v>
      </c>
      <c r="C616" s="25" t="s">
        <v>2129</v>
      </c>
      <c r="D616" s="25" t="s">
        <v>2185</v>
      </c>
      <c r="E616" s="25" t="s">
        <v>3458</v>
      </c>
      <c r="F616" s="25" t="s">
        <v>1908</v>
      </c>
      <c r="G616" s="25" t="s">
        <v>200</v>
      </c>
    </row>
    <row r="617" ht="15" customHeight="1">
      <c r="A617" s="25" t="s">
        <v>3456</v>
      </c>
      <c r="B617" s="25" t="s">
        <v>1025</v>
      </c>
      <c r="C617" s="25" t="s">
        <v>2157</v>
      </c>
      <c r="D617" s="25" t="s">
        <v>2158</v>
      </c>
      <c r="E617" s="25" t="s">
        <v>3459</v>
      </c>
      <c r="F617" s="25" t="s">
        <v>2004</v>
      </c>
      <c r="G617" s="25" t="s">
        <v>172</v>
      </c>
    </row>
    <row r="618" ht="15" customHeight="1">
      <c r="A618" s="25" t="s">
        <v>3460</v>
      </c>
      <c r="B618" s="25" t="s">
        <v>3196</v>
      </c>
      <c r="C618" s="25" t="s">
        <v>2125</v>
      </c>
      <c r="D618" s="25" t="s">
        <v>2149</v>
      </c>
      <c r="E618" s="25" t="s">
        <v>3461</v>
      </c>
      <c r="F618" s="25" t="s">
        <v>2106</v>
      </c>
      <c r="G618" s="25" t="s">
        <v>177</v>
      </c>
    </row>
    <row r="619" ht="15" customHeight="1">
      <c r="A619" s="25" t="s">
        <v>3460</v>
      </c>
      <c r="B619" s="25" t="s">
        <v>3462</v>
      </c>
      <c r="C619" s="25" t="s">
        <v>2121</v>
      </c>
      <c r="D619" s="25" t="s">
        <v>2165</v>
      </c>
      <c r="E619" s="25" t="s">
        <v>3463</v>
      </c>
      <c r="F619" s="25" t="s">
        <v>1833</v>
      </c>
      <c r="G619" s="25" t="s">
        <v>167</v>
      </c>
    </row>
    <row r="620" ht="15" customHeight="1">
      <c r="A620" s="25" t="s">
        <v>3464</v>
      </c>
      <c r="B620" s="25" t="s">
        <v>502</v>
      </c>
      <c r="C620" s="25" t="s">
        <v>2145</v>
      </c>
      <c r="D620" s="25" t="s">
        <v>2146</v>
      </c>
      <c r="E620" s="25" t="s">
        <v>3465</v>
      </c>
      <c r="F620" s="25" t="s">
        <v>1953</v>
      </c>
      <c r="G620" s="25" t="s">
        <v>193</v>
      </c>
    </row>
    <row r="621" ht="15" customHeight="1">
      <c r="A621" s="25" t="s">
        <v>3464</v>
      </c>
      <c r="B621" s="25" t="s">
        <v>3466</v>
      </c>
      <c r="C621" s="25" t="s">
        <v>2121</v>
      </c>
      <c r="D621" s="25" t="s">
        <v>2126</v>
      </c>
      <c r="E621" s="25" t="s">
        <v>3467</v>
      </c>
      <c r="F621" s="25" t="s">
        <v>1895</v>
      </c>
      <c r="G621" s="25" t="s">
        <v>189</v>
      </c>
    </row>
    <row r="622" ht="15" customHeight="1">
      <c r="A622" s="25" t="s">
        <v>3468</v>
      </c>
      <c r="B622" s="25" t="s">
        <v>3469</v>
      </c>
      <c r="C622" s="25" t="s">
        <v>2153</v>
      </c>
      <c r="D622" s="25" t="s">
        <v>2380</v>
      </c>
      <c r="E622" s="25" t="s">
        <v>3470</v>
      </c>
      <c r="F622" s="25" t="s">
        <v>2034</v>
      </c>
      <c r="G622" s="25" t="s">
        <v>200</v>
      </c>
    </row>
    <row r="623" ht="15" customHeight="1">
      <c r="A623" s="25" t="s">
        <v>3468</v>
      </c>
      <c r="B623" s="25" t="s">
        <v>965</v>
      </c>
      <c r="C623" s="25" t="s">
        <v>2199</v>
      </c>
      <c r="D623" s="25" t="s">
        <v>2258</v>
      </c>
      <c r="E623" s="25" t="s">
        <v>3471</v>
      </c>
      <c r="F623" s="25" t="s">
        <v>2100</v>
      </c>
      <c r="G623" s="25" t="s">
        <v>167</v>
      </c>
    </row>
    <row r="624" ht="15" customHeight="1">
      <c r="A624" s="25" t="s">
        <v>3472</v>
      </c>
      <c r="B624" s="25" t="s">
        <v>1507</v>
      </c>
      <c r="C624" s="25" t="s">
        <v>2121</v>
      </c>
      <c r="D624" s="25" t="s">
        <v>2260</v>
      </c>
      <c r="E624" s="25" t="s">
        <v>3473</v>
      </c>
      <c r="F624" s="25" t="s">
        <v>1819</v>
      </c>
      <c r="G624" s="25" t="s">
        <v>172</v>
      </c>
    </row>
    <row r="625" ht="15" customHeight="1">
      <c r="A625" s="25" t="s">
        <v>3472</v>
      </c>
      <c r="B625" s="25" t="s">
        <v>3055</v>
      </c>
      <c r="C625" s="25" t="s">
        <v>2125</v>
      </c>
      <c r="D625" s="25" t="s">
        <v>2301</v>
      </c>
      <c r="E625" s="25" t="s">
        <v>3474</v>
      </c>
      <c r="F625" s="25" t="s">
        <v>1966</v>
      </c>
      <c r="G625" s="25" t="s">
        <v>177</v>
      </c>
    </row>
    <row r="626" ht="15" customHeight="1">
      <c r="A626" s="25" t="s">
        <v>3475</v>
      </c>
      <c r="B626" s="25" t="s">
        <v>3476</v>
      </c>
      <c r="C626" s="25" t="s">
        <v>2145</v>
      </c>
      <c r="D626" s="25" t="s">
        <v>2200</v>
      </c>
      <c r="E626" s="25" t="s">
        <v>3477</v>
      </c>
      <c r="F626" s="25" t="s">
        <v>1881</v>
      </c>
      <c r="G626" s="25" t="s">
        <v>189</v>
      </c>
    </row>
    <row r="627" ht="15" customHeight="1">
      <c r="A627" s="25" t="s">
        <v>3475</v>
      </c>
      <c r="B627" s="25" t="s">
        <v>2161</v>
      </c>
      <c r="C627" s="25" t="s">
        <v>2121</v>
      </c>
      <c r="D627" s="25" t="s">
        <v>2203</v>
      </c>
      <c r="E627" s="25" t="s">
        <v>3478</v>
      </c>
      <c r="F627" s="25" t="s">
        <v>2016</v>
      </c>
      <c r="G627" s="25" t="s">
        <v>193</v>
      </c>
    </row>
    <row r="628" ht="15" customHeight="1">
      <c r="A628" s="25" t="s">
        <v>3479</v>
      </c>
      <c r="B628" s="25" t="s">
        <v>1559</v>
      </c>
      <c r="C628" s="25" t="s">
        <v>2153</v>
      </c>
      <c r="D628" s="25" t="s">
        <v>2154</v>
      </c>
      <c r="E628" s="25" t="s">
        <v>3480</v>
      </c>
      <c r="F628" s="25" t="s">
        <v>2076</v>
      </c>
      <c r="G628" s="25" t="s">
        <v>167</v>
      </c>
    </row>
    <row r="629" ht="15" customHeight="1">
      <c r="A629" s="25" t="s">
        <v>3479</v>
      </c>
      <c r="B629" s="25" t="s">
        <v>3481</v>
      </c>
      <c r="C629" s="25" t="s">
        <v>2133</v>
      </c>
      <c r="D629" s="25" t="s">
        <v>2134</v>
      </c>
      <c r="E629" s="25" t="s">
        <v>3482</v>
      </c>
      <c r="F629" s="25" t="s">
        <v>1798</v>
      </c>
      <c r="G629" s="25" t="s">
        <v>200</v>
      </c>
    </row>
    <row r="630" ht="15" customHeight="1">
      <c r="A630" s="25" t="s">
        <v>3483</v>
      </c>
      <c r="B630" s="25" t="s">
        <v>3484</v>
      </c>
      <c r="C630" s="25" t="s">
        <v>2145</v>
      </c>
      <c r="D630" s="25" t="s">
        <v>2139</v>
      </c>
      <c r="E630" s="25" t="s">
        <v>3485</v>
      </c>
      <c r="F630" s="25" t="s">
        <v>1933</v>
      </c>
      <c r="G630" s="25" t="s">
        <v>172</v>
      </c>
    </row>
    <row r="631" ht="15" customHeight="1">
      <c r="A631" s="25" t="s">
        <v>3483</v>
      </c>
      <c r="B631" s="25" t="s">
        <v>3486</v>
      </c>
      <c r="C631" s="25" t="s">
        <v>2121</v>
      </c>
      <c r="D631" s="25" t="s">
        <v>2141</v>
      </c>
      <c r="E631" s="25" t="s">
        <v>3487</v>
      </c>
      <c r="F631" s="25" t="s">
        <v>2046</v>
      </c>
      <c r="G631" s="25" t="s">
        <v>177</v>
      </c>
    </row>
    <row r="632" ht="15" customHeight="1">
      <c r="A632" s="25" t="s">
        <v>3488</v>
      </c>
      <c r="B632" s="25" t="s">
        <v>619</v>
      </c>
      <c r="C632" s="25" t="s">
        <v>2125</v>
      </c>
      <c r="D632" s="25" t="s">
        <v>2178</v>
      </c>
      <c r="E632" s="25" t="s">
        <v>3489</v>
      </c>
      <c r="F632" s="25" t="s">
        <v>2112</v>
      </c>
      <c r="G632" s="25" t="s">
        <v>167</v>
      </c>
    </row>
    <row r="633" ht="15" customHeight="1">
      <c r="A633" s="25" t="s">
        <v>3488</v>
      </c>
      <c r="B633" s="25" t="s">
        <v>3490</v>
      </c>
      <c r="C633" s="25" t="s">
        <v>2121</v>
      </c>
      <c r="D633" s="25" t="s">
        <v>2182</v>
      </c>
      <c r="E633" s="25" t="s">
        <v>3491</v>
      </c>
      <c r="F633" s="25" t="s">
        <v>1868</v>
      </c>
      <c r="G633" s="25" t="s">
        <v>193</v>
      </c>
    </row>
    <row r="634" ht="15" customHeight="1">
      <c r="A634" s="25" t="s">
        <v>3492</v>
      </c>
      <c r="B634" s="25" t="s">
        <v>3493</v>
      </c>
      <c r="C634" s="25" t="s">
        <v>2129</v>
      </c>
      <c r="D634" s="25" t="s">
        <v>2185</v>
      </c>
      <c r="E634" s="25" t="s">
        <v>3494</v>
      </c>
      <c r="F634" s="25" t="s">
        <v>1972</v>
      </c>
      <c r="G634" s="25" t="s">
        <v>189</v>
      </c>
    </row>
    <row r="635" ht="15" customHeight="1">
      <c r="A635" s="25" t="s">
        <v>3492</v>
      </c>
      <c r="B635" s="25" t="s">
        <v>1074</v>
      </c>
      <c r="C635" s="25" t="s">
        <v>2157</v>
      </c>
      <c r="D635" s="25" t="s">
        <v>2158</v>
      </c>
      <c r="E635" s="25" t="s">
        <v>3495</v>
      </c>
      <c r="F635" s="25" t="s">
        <v>1914</v>
      </c>
      <c r="G635" s="25" t="s">
        <v>200</v>
      </c>
    </row>
    <row r="636" ht="15" customHeight="1">
      <c r="A636" s="25" t="s">
        <v>3496</v>
      </c>
      <c r="B636" s="25" t="s">
        <v>2975</v>
      </c>
      <c r="C636" s="25" t="s">
        <v>2125</v>
      </c>
      <c r="D636" s="25" t="s">
        <v>2149</v>
      </c>
      <c r="E636" s="25" t="s">
        <v>3497</v>
      </c>
      <c r="F636" s="25" t="s">
        <v>2052</v>
      </c>
      <c r="G636" s="25" t="s">
        <v>167</v>
      </c>
    </row>
    <row r="637" ht="15" customHeight="1">
      <c r="A637" s="25" t="s">
        <v>3496</v>
      </c>
      <c r="B637" s="25" t="s">
        <v>2847</v>
      </c>
      <c r="C637" s="25" t="s">
        <v>2121</v>
      </c>
      <c r="D637" s="25" t="s">
        <v>2165</v>
      </c>
      <c r="E637" s="25" t="s">
        <v>3498</v>
      </c>
      <c r="F637" s="25" t="s">
        <v>1812</v>
      </c>
      <c r="G637" s="25" t="s">
        <v>172</v>
      </c>
    </row>
    <row r="638" ht="15" customHeight="1">
      <c r="A638" s="25" t="s">
        <v>3499</v>
      </c>
      <c r="B638" s="25" t="s">
        <v>3500</v>
      </c>
      <c r="C638" s="25" t="s">
        <v>2145</v>
      </c>
      <c r="D638" s="25" t="s">
        <v>2146</v>
      </c>
      <c r="E638" s="25" t="s">
        <v>3501</v>
      </c>
      <c r="F638" s="25" t="s">
        <v>1959</v>
      </c>
      <c r="G638" s="25" t="s">
        <v>177</v>
      </c>
    </row>
    <row r="639" ht="15" customHeight="1">
      <c r="A639" s="25" t="s">
        <v>3499</v>
      </c>
      <c r="B639" s="25" t="s">
        <v>1778</v>
      </c>
      <c r="C639" s="25" t="s">
        <v>2121</v>
      </c>
      <c r="D639" s="25" t="s">
        <v>2126</v>
      </c>
      <c r="E639" s="25" t="s">
        <v>3502</v>
      </c>
      <c r="F639" s="25" t="s">
        <v>1861</v>
      </c>
      <c r="G639" s="25" t="s">
        <v>189</v>
      </c>
    </row>
    <row r="640" ht="15" customHeight="1">
      <c r="A640" s="25" t="s">
        <v>3503</v>
      </c>
      <c r="B640" s="25" t="s">
        <v>1377</v>
      </c>
      <c r="C640" s="25" t="s">
        <v>2153</v>
      </c>
      <c r="D640" s="25" t="s">
        <v>2380</v>
      </c>
      <c r="E640" s="25" t="s">
        <v>3504</v>
      </c>
      <c r="F640" s="25" t="s">
        <v>2010</v>
      </c>
      <c r="G640" s="25" t="s">
        <v>193</v>
      </c>
    </row>
    <row r="641" ht="15" customHeight="1">
      <c r="A641" s="25" t="s">
        <v>3503</v>
      </c>
      <c r="B641" s="25" t="s">
        <v>3505</v>
      </c>
      <c r="C641" s="25" t="s">
        <v>2199</v>
      </c>
      <c r="D641" s="25" t="s">
        <v>2258</v>
      </c>
      <c r="E641" s="25" t="s">
        <v>3506</v>
      </c>
      <c r="F641" s="25" t="s">
        <v>2094</v>
      </c>
      <c r="G641" s="25" t="s">
        <v>167</v>
      </c>
    </row>
    <row r="642" ht="15" customHeight="1">
      <c r="A642" s="25" t="s">
        <v>3507</v>
      </c>
      <c r="B642" s="25" t="s">
        <v>2221</v>
      </c>
      <c r="C642" s="25" t="s">
        <v>2121</v>
      </c>
      <c r="D642" s="25" t="s">
        <v>2260</v>
      </c>
      <c r="E642" s="25" t="s">
        <v>3508</v>
      </c>
      <c r="F642" s="25" t="s">
        <v>1927</v>
      </c>
      <c r="G642" s="25" t="s">
        <v>200</v>
      </c>
    </row>
    <row r="643" ht="15" customHeight="1">
      <c r="A643" s="25" t="s">
        <v>3507</v>
      </c>
      <c r="B643" s="25" t="s">
        <v>3509</v>
      </c>
      <c r="C643" s="25" t="s">
        <v>2125</v>
      </c>
      <c r="D643" s="25" t="s">
        <v>2301</v>
      </c>
      <c r="E643" s="25" t="s">
        <v>3510</v>
      </c>
      <c r="F643" s="25" t="s">
        <v>1805</v>
      </c>
      <c r="G643" s="25" t="s">
        <v>172</v>
      </c>
    </row>
    <row r="644" ht="15" customHeight="1">
      <c r="A644" s="25" t="s">
        <v>3511</v>
      </c>
      <c r="B644" s="25" t="s">
        <v>3512</v>
      </c>
      <c r="C644" s="25" t="s">
        <v>2145</v>
      </c>
      <c r="D644" s="25" t="s">
        <v>2200</v>
      </c>
      <c r="E644" s="25" t="s">
        <v>3513</v>
      </c>
      <c r="F644" s="25" t="s">
        <v>2040</v>
      </c>
      <c r="G644" s="25" t="s">
        <v>177</v>
      </c>
    </row>
    <row r="645" ht="15" customHeight="1">
      <c r="A645" s="25" t="s">
        <v>3511</v>
      </c>
      <c r="B645" s="25" t="s">
        <v>2289</v>
      </c>
      <c r="C645" s="25" t="s">
        <v>2121</v>
      </c>
      <c r="D645" s="25" t="s">
        <v>2203</v>
      </c>
      <c r="E645" s="25" t="s">
        <v>3514</v>
      </c>
      <c r="F645" s="25" t="s">
        <v>1902</v>
      </c>
      <c r="G645" s="25" t="s">
        <v>167</v>
      </c>
    </row>
    <row r="646" ht="15" customHeight="1">
      <c r="A646" s="25" t="s">
        <v>3515</v>
      </c>
      <c r="B646" s="25" t="s">
        <v>3516</v>
      </c>
      <c r="C646" s="25" t="s">
        <v>2153</v>
      </c>
      <c r="D646" s="25" t="s">
        <v>2154</v>
      </c>
      <c r="E646" s="25" t="s">
        <v>3517</v>
      </c>
      <c r="F646" s="25" t="s">
        <v>1984</v>
      </c>
      <c r="G646" s="25" t="s">
        <v>193</v>
      </c>
    </row>
    <row r="647" ht="15" customHeight="1">
      <c r="A647" s="25" t="s">
        <v>3515</v>
      </c>
      <c r="B647" s="25" t="s">
        <v>1554</v>
      </c>
      <c r="C647" s="25" t="s">
        <v>2133</v>
      </c>
      <c r="D647" s="25" t="s">
        <v>2134</v>
      </c>
      <c r="E647" s="25" t="s">
        <v>3518</v>
      </c>
      <c r="F647" s="25" t="s">
        <v>2022</v>
      </c>
      <c r="G647" s="25" t="s">
        <v>189</v>
      </c>
    </row>
    <row r="648" ht="15" customHeight="1">
      <c r="A648" s="25" t="s">
        <v>3519</v>
      </c>
      <c r="B648" s="25" t="s">
        <v>2975</v>
      </c>
      <c r="C648" s="25" t="s">
        <v>2145</v>
      </c>
      <c r="D648" s="25" t="s">
        <v>2139</v>
      </c>
      <c r="E648" s="25" t="s">
        <v>3520</v>
      </c>
      <c r="F648" s="25" t="s">
        <v>2088</v>
      </c>
      <c r="G648" s="25" t="s">
        <v>200</v>
      </c>
    </row>
    <row r="649" ht="15" customHeight="1">
      <c r="A649" s="25" t="s">
        <v>3519</v>
      </c>
      <c r="B649" s="25" t="s">
        <v>3521</v>
      </c>
      <c r="C649" s="25" t="s">
        <v>2121</v>
      </c>
      <c r="D649" s="25" t="s">
        <v>2141</v>
      </c>
      <c r="E649" s="25" t="s">
        <v>3522</v>
      </c>
      <c r="F649" s="25" t="s">
        <v>1940</v>
      </c>
      <c r="G649" s="25" t="s">
        <v>167</v>
      </c>
    </row>
    <row r="650" ht="15" customHeight="1">
      <c r="A650" s="25" t="s">
        <v>3523</v>
      </c>
      <c r="B650" s="25" t="s">
        <v>3524</v>
      </c>
      <c r="C650" s="25" t="s">
        <v>2125</v>
      </c>
      <c r="D650" s="25" t="s">
        <v>2178</v>
      </c>
      <c r="E650" s="25" t="s">
        <v>3525</v>
      </c>
      <c r="F650" s="25" t="s">
        <v>2070</v>
      </c>
      <c r="G650" s="25" t="s">
        <v>172</v>
      </c>
    </row>
    <row r="651" ht="15" customHeight="1">
      <c r="A651" s="25" t="s">
        <v>3523</v>
      </c>
      <c r="B651" s="25" t="s">
        <v>2837</v>
      </c>
      <c r="C651" s="25" t="s">
        <v>2121</v>
      </c>
      <c r="D651" s="25" t="s">
        <v>2182</v>
      </c>
      <c r="E651" s="25" t="s">
        <v>3526</v>
      </c>
      <c r="F651" s="25" t="s">
        <v>1991</v>
      </c>
      <c r="G651" s="25" t="s">
        <v>177</v>
      </c>
    </row>
    <row r="652" ht="15" customHeight="1">
      <c r="A652" s="25" t="s">
        <v>3527</v>
      </c>
      <c r="B652" s="25" t="s">
        <v>3528</v>
      </c>
      <c r="C652" s="25" t="s">
        <v>2129</v>
      </c>
      <c r="D652" s="25" t="s">
        <v>2185</v>
      </c>
      <c r="E652" s="25" t="s">
        <v>3529</v>
      </c>
      <c r="F652" s="25" t="s">
        <v>1874</v>
      </c>
      <c r="G652" s="25" t="s">
        <v>189</v>
      </c>
    </row>
    <row r="653" ht="15" customHeight="1">
      <c r="A653" s="25" t="s">
        <v>3527</v>
      </c>
      <c r="B653" s="25" t="s">
        <v>1037</v>
      </c>
      <c r="C653" s="25" t="s">
        <v>2157</v>
      </c>
      <c r="D653" s="25" t="s">
        <v>2158</v>
      </c>
      <c r="E653" s="25" t="s">
        <v>3530</v>
      </c>
      <c r="F653" s="25" t="s">
        <v>1840</v>
      </c>
      <c r="G653" s="25" t="s">
        <v>193</v>
      </c>
    </row>
    <row r="654" ht="15" customHeight="1">
      <c r="A654" s="25" t="s">
        <v>3531</v>
      </c>
      <c r="B654" s="25" t="s">
        <v>3532</v>
      </c>
      <c r="C654" s="25" t="s">
        <v>2125</v>
      </c>
      <c r="D654" s="25" t="s">
        <v>2149</v>
      </c>
      <c r="E654" s="25" t="s">
        <v>3533</v>
      </c>
      <c r="F654" s="25" t="s">
        <v>1947</v>
      </c>
      <c r="G654" s="25" t="s">
        <v>167</v>
      </c>
    </row>
    <row r="655" ht="15" customHeight="1">
      <c r="A655" s="25" t="s">
        <v>3531</v>
      </c>
      <c r="B655" s="25" t="s">
        <v>3534</v>
      </c>
      <c r="C655" s="25" t="s">
        <v>2121</v>
      </c>
      <c r="D655" s="25" t="s">
        <v>2165</v>
      </c>
      <c r="E655" s="25" t="s">
        <v>3535</v>
      </c>
      <c r="F655" s="25" t="s">
        <v>2082</v>
      </c>
      <c r="G655" s="25" t="s">
        <v>200</v>
      </c>
    </row>
    <row r="656" ht="15" customHeight="1">
      <c r="A656" s="25" t="s">
        <v>3536</v>
      </c>
      <c r="B656" s="25" t="s">
        <v>3537</v>
      </c>
      <c r="C656" s="25" t="s">
        <v>2145</v>
      </c>
      <c r="D656" s="25" t="s">
        <v>2146</v>
      </c>
      <c r="E656" s="25" t="s">
        <v>3538</v>
      </c>
      <c r="F656" s="25" t="s">
        <v>1847</v>
      </c>
      <c r="G656" s="25" t="s">
        <v>172</v>
      </c>
    </row>
    <row r="657" ht="15" customHeight="1">
      <c r="A657" s="25" t="s">
        <v>3536</v>
      </c>
      <c r="B657" s="25" t="s">
        <v>1647</v>
      </c>
      <c r="C657" s="25" t="s">
        <v>2121</v>
      </c>
      <c r="D657" s="25" t="s">
        <v>2126</v>
      </c>
      <c r="E657" s="25" t="s">
        <v>3539</v>
      </c>
      <c r="F657" s="25" t="s">
        <v>1997</v>
      </c>
      <c r="G657" s="25" t="s">
        <v>177</v>
      </c>
    </row>
    <row r="658" ht="15" customHeight="1">
      <c r="A658" s="25" t="s">
        <v>3540</v>
      </c>
      <c r="B658" s="25" t="s">
        <v>3049</v>
      </c>
      <c r="C658" s="25" t="s">
        <v>2153</v>
      </c>
      <c r="D658" s="25" t="s">
        <v>2380</v>
      </c>
      <c r="E658" s="25" t="s">
        <v>3541</v>
      </c>
      <c r="F658" s="25" t="s">
        <v>1920</v>
      </c>
      <c r="G658" s="25" t="s">
        <v>167</v>
      </c>
    </row>
    <row r="659" ht="15" customHeight="1">
      <c r="A659" s="25" t="s">
        <v>3540</v>
      </c>
      <c r="B659" s="25" t="s">
        <v>2266</v>
      </c>
      <c r="C659" s="25" t="s">
        <v>2199</v>
      </c>
      <c r="D659" s="25" t="s">
        <v>2258</v>
      </c>
      <c r="E659" s="25" t="s">
        <v>3542</v>
      </c>
      <c r="F659" s="25" t="s">
        <v>2064</v>
      </c>
      <c r="G659" s="25" t="s">
        <v>193</v>
      </c>
    </row>
    <row r="660" ht="15" customHeight="1">
      <c r="A660" s="25" t="s">
        <v>3543</v>
      </c>
      <c r="B660" s="25" t="s">
        <v>2450</v>
      </c>
      <c r="C660" s="25" t="s">
        <v>2121</v>
      </c>
      <c r="D660" s="25" t="s">
        <v>2260</v>
      </c>
      <c r="E660" s="25" t="s">
        <v>3544</v>
      </c>
      <c r="F660" s="25" t="s">
        <v>1826</v>
      </c>
      <c r="G660" s="25" t="s">
        <v>189</v>
      </c>
    </row>
    <row r="661" ht="15" customHeight="1">
      <c r="A661" s="25" t="s">
        <v>3543</v>
      </c>
      <c r="B661" s="25" t="s">
        <v>838</v>
      </c>
      <c r="C661" s="25" t="s">
        <v>2125</v>
      </c>
      <c r="D661" s="25" t="s">
        <v>2301</v>
      </c>
      <c r="E661" s="25" t="s">
        <v>3545</v>
      </c>
      <c r="F661" s="25" t="s">
        <v>2028</v>
      </c>
      <c r="G661" s="25" t="s">
        <v>200</v>
      </c>
    </row>
    <row r="662" ht="15" customHeight="1">
      <c r="A662" s="25" t="s">
        <v>3546</v>
      </c>
      <c r="B662" s="25" t="s">
        <v>3547</v>
      </c>
      <c r="C662" s="25" t="s">
        <v>2145</v>
      </c>
      <c r="D662" s="25" t="s">
        <v>2200</v>
      </c>
      <c r="E662" s="25" t="s">
        <v>3548</v>
      </c>
      <c r="F662" s="25" t="s">
        <v>1888</v>
      </c>
      <c r="G662" s="25" t="s">
        <v>167</v>
      </c>
    </row>
    <row r="663" ht="15" customHeight="1">
      <c r="A663" s="25" t="s">
        <v>3546</v>
      </c>
      <c r="B663" s="25" t="s">
        <v>3549</v>
      </c>
      <c r="C663" s="25" t="s">
        <v>2121</v>
      </c>
      <c r="D663" s="25" t="s">
        <v>2203</v>
      </c>
      <c r="E663" s="25" t="s">
        <v>3550</v>
      </c>
      <c r="F663" s="25" t="s">
        <v>1978</v>
      </c>
      <c r="G663" s="25" t="s">
        <v>172</v>
      </c>
    </row>
    <row r="664" ht="15" customHeight="1">
      <c r="A664" s="25" t="s">
        <v>3551</v>
      </c>
      <c r="B664" s="25" t="s">
        <v>1559</v>
      </c>
      <c r="C664" s="25" t="s">
        <v>2153</v>
      </c>
      <c r="D664" s="25" t="s">
        <v>2154</v>
      </c>
      <c r="E664" s="25" t="s">
        <v>3552</v>
      </c>
      <c r="F664" s="25" t="s">
        <v>1854</v>
      </c>
      <c r="G664" s="25" t="s">
        <v>177</v>
      </c>
    </row>
    <row r="665" ht="15" customHeight="1">
      <c r="A665" s="25" t="s">
        <v>3551</v>
      </c>
      <c r="B665" s="25" t="s">
        <v>3553</v>
      </c>
      <c r="C665" s="25" t="s">
        <v>2133</v>
      </c>
      <c r="D665" s="25" t="s">
        <v>2134</v>
      </c>
      <c r="E665" s="25" t="s">
        <v>3554</v>
      </c>
      <c r="F665" s="25" t="s">
        <v>2058</v>
      </c>
      <c r="G665" s="25" t="s">
        <v>189</v>
      </c>
    </row>
    <row r="666" ht="15" customHeight="1">
      <c r="A666" s="25" t="s">
        <v>3555</v>
      </c>
      <c r="B666" s="25" t="s">
        <v>1507</v>
      </c>
      <c r="C666" s="25" t="s">
        <v>2145</v>
      </c>
      <c r="D666" s="25" t="s">
        <v>2139</v>
      </c>
      <c r="E666" s="25" t="s">
        <v>3556</v>
      </c>
      <c r="F666" s="25" t="s">
        <v>1908</v>
      </c>
      <c r="G666" s="25" t="s">
        <v>193</v>
      </c>
    </row>
    <row r="667" ht="15" customHeight="1">
      <c r="A667" s="25" t="s">
        <v>3555</v>
      </c>
      <c r="B667" s="25" t="s">
        <v>2940</v>
      </c>
      <c r="C667" s="25" t="s">
        <v>2121</v>
      </c>
      <c r="D667" s="25" t="s">
        <v>2141</v>
      </c>
      <c r="E667" s="25" t="s">
        <v>3557</v>
      </c>
      <c r="F667" s="25" t="s">
        <v>2004</v>
      </c>
      <c r="G667" s="25" t="s">
        <v>167</v>
      </c>
    </row>
    <row r="668" ht="15" customHeight="1">
      <c r="A668" s="25" t="s">
        <v>3558</v>
      </c>
      <c r="B668" s="25" t="s">
        <v>3559</v>
      </c>
      <c r="C668" s="25" t="s">
        <v>2125</v>
      </c>
      <c r="D668" s="25" t="s">
        <v>2178</v>
      </c>
      <c r="E668" s="25" t="s">
        <v>3560</v>
      </c>
      <c r="F668" s="25" t="s">
        <v>2106</v>
      </c>
      <c r="G668" s="25" t="s">
        <v>200</v>
      </c>
    </row>
    <row r="669" ht="15" customHeight="1">
      <c r="A669" s="25" t="s">
        <v>3558</v>
      </c>
      <c r="B669" s="25" t="s">
        <v>1707</v>
      </c>
      <c r="C669" s="25" t="s">
        <v>2121</v>
      </c>
      <c r="D669" s="25" t="s">
        <v>2182</v>
      </c>
      <c r="E669" s="25" t="s">
        <v>3561</v>
      </c>
      <c r="F669" s="25" t="s">
        <v>1833</v>
      </c>
      <c r="G669" s="25" t="s">
        <v>172</v>
      </c>
    </row>
    <row r="670" ht="15" customHeight="1">
      <c r="A670" s="25" t="s">
        <v>3562</v>
      </c>
      <c r="B670" s="25" t="s">
        <v>3563</v>
      </c>
      <c r="C670" s="25" t="s">
        <v>2129</v>
      </c>
      <c r="D670" s="25" t="s">
        <v>2185</v>
      </c>
      <c r="E670" s="25" t="s">
        <v>3564</v>
      </c>
      <c r="F670" s="25" t="s">
        <v>1953</v>
      </c>
      <c r="G670" s="25" t="s">
        <v>177</v>
      </c>
    </row>
    <row r="671" ht="15" customHeight="1">
      <c r="A671" s="25" t="s">
        <v>3562</v>
      </c>
      <c r="B671" s="25" t="s">
        <v>774</v>
      </c>
      <c r="C671" s="25" t="s">
        <v>2157</v>
      </c>
      <c r="D671" s="25" t="s">
        <v>2158</v>
      </c>
      <c r="E671" s="25" t="s">
        <v>3565</v>
      </c>
      <c r="F671" s="25" t="s">
        <v>1895</v>
      </c>
      <c r="G671" s="25" t="s">
        <v>167</v>
      </c>
    </row>
    <row r="672" ht="15" customHeight="1">
      <c r="A672" s="25" t="s">
        <v>3566</v>
      </c>
      <c r="B672" s="25" t="s">
        <v>2500</v>
      </c>
      <c r="C672" s="25" t="s">
        <v>2125</v>
      </c>
      <c r="D672" s="25" t="s">
        <v>2149</v>
      </c>
      <c r="E672" s="25" t="s">
        <v>3567</v>
      </c>
      <c r="F672" s="25" t="s">
        <v>2034</v>
      </c>
      <c r="G672" s="25" t="s">
        <v>193</v>
      </c>
    </row>
    <row r="673" ht="15" customHeight="1">
      <c r="A673" s="25" t="s">
        <v>3566</v>
      </c>
      <c r="B673" s="25" t="s">
        <v>3568</v>
      </c>
      <c r="C673" s="25" t="s">
        <v>2121</v>
      </c>
      <c r="D673" s="25" t="s">
        <v>2165</v>
      </c>
      <c r="E673" s="25" t="s">
        <v>3569</v>
      </c>
      <c r="F673" s="25" t="s">
        <v>2100</v>
      </c>
      <c r="G673" s="25" t="s">
        <v>189</v>
      </c>
    </row>
    <row r="674" ht="15" customHeight="1">
      <c r="A674" s="25" t="s">
        <v>3570</v>
      </c>
      <c r="B674" s="25" t="s">
        <v>917</v>
      </c>
      <c r="C674" s="25" t="s">
        <v>2145</v>
      </c>
      <c r="D674" s="25" t="s">
        <v>2146</v>
      </c>
      <c r="E674" s="25" t="s">
        <v>3571</v>
      </c>
      <c r="F674" s="25" t="s">
        <v>1819</v>
      </c>
      <c r="G674" s="25" t="s">
        <v>200</v>
      </c>
    </row>
    <row r="675" ht="15" customHeight="1">
      <c r="A675" s="25" t="s">
        <v>3570</v>
      </c>
      <c r="B675" s="25" t="s">
        <v>3572</v>
      </c>
      <c r="C675" s="25" t="s">
        <v>2121</v>
      </c>
      <c r="D675" s="25" t="s">
        <v>2126</v>
      </c>
      <c r="E675" s="25" t="s">
        <v>3573</v>
      </c>
      <c r="F675" s="25" t="s">
        <v>1966</v>
      </c>
      <c r="G675" s="25" t="s">
        <v>167</v>
      </c>
    </row>
    <row r="676" ht="15" customHeight="1">
      <c r="A676" s="25" t="s">
        <v>3574</v>
      </c>
      <c r="B676" s="25" t="s">
        <v>2687</v>
      </c>
      <c r="C676" s="25" t="s">
        <v>2153</v>
      </c>
      <c r="D676" s="25" t="s">
        <v>2380</v>
      </c>
      <c r="E676" s="25" t="s">
        <v>3575</v>
      </c>
      <c r="F676" s="25" t="s">
        <v>1881</v>
      </c>
      <c r="G676" s="25" t="s">
        <v>172</v>
      </c>
    </row>
    <row r="677" ht="15" customHeight="1">
      <c r="A677" s="25" t="s">
        <v>3574</v>
      </c>
      <c r="B677" s="25" t="s">
        <v>3576</v>
      </c>
      <c r="C677" s="25" t="s">
        <v>2199</v>
      </c>
      <c r="D677" s="25" t="s">
        <v>2258</v>
      </c>
      <c r="E677" s="25" t="s">
        <v>3577</v>
      </c>
      <c r="F677" s="25" t="s">
        <v>2016</v>
      </c>
      <c r="G677" s="25" t="s">
        <v>177</v>
      </c>
    </row>
    <row r="678" ht="15" customHeight="1">
      <c r="A678" s="25" t="s">
        <v>3578</v>
      </c>
      <c r="B678" s="25" t="s">
        <v>3579</v>
      </c>
      <c r="C678" s="25" t="s">
        <v>2121</v>
      </c>
      <c r="D678" s="25" t="s">
        <v>2260</v>
      </c>
      <c r="E678" s="25" t="s">
        <v>3580</v>
      </c>
      <c r="F678" s="25" t="s">
        <v>2076</v>
      </c>
      <c r="G678" s="25" t="s">
        <v>189</v>
      </c>
    </row>
    <row r="679" ht="15" customHeight="1">
      <c r="A679" s="25" t="s">
        <v>3578</v>
      </c>
      <c r="B679" s="25" t="s">
        <v>3581</v>
      </c>
      <c r="C679" s="25" t="s">
        <v>2125</v>
      </c>
      <c r="D679" s="25" t="s">
        <v>2301</v>
      </c>
      <c r="E679" s="25" t="s">
        <v>3582</v>
      </c>
      <c r="F679" s="25" t="s">
        <v>1798</v>
      </c>
      <c r="G679" s="25" t="s">
        <v>193</v>
      </c>
    </row>
    <row r="680" ht="15" customHeight="1">
      <c r="A680" s="25" t="s">
        <v>3583</v>
      </c>
      <c r="B680" s="25" t="s">
        <v>3584</v>
      </c>
      <c r="C680" s="25" t="s">
        <v>2145</v>
      </c>
      <c r="D680" s="25" t="s">
        <v>2200</v>
      </c>
      <c r="E680" s="25" t="s">
        <v>3585</v>
      </c>
      <c r="F680" s="25" t="s">
        <v>1933</v>
      </c>
      <c r="G680" s="25" t="s">
        <v>167</v>
      </c>
    </row>
    <row r="681" ht="15" customHeight="1">
      <c r="A681" s="25" t="s">
        <v>3583</v>
      </c>
      <c r="B681" s="25" t="s">
        <v>2890</v>
      </c>
      <c r="C681" s="25" t="s">
        <v>2121</v>
      </c>
      <c r="D681" s="25" t="s">
        <v>2203</v>
      </c>
      <c r="E681" s="25" t="s">
        <v>3586</v>
      </c>
      <c r="F681" s="25" t="s">
        <v>2046</v>
      </c>
      <c r="G681" s="25" t="s">
        <v>200</v>
      </c>
    </row>
    <row r="682" ht="15" customHeight="1">
      <c r="A682" s="25" t="s">
        <v>3587</v>
      </c>
      <c r="B682" s="25" t="s">
        <v>2754</v>
      </c>
      <c r="C682" s="25" t="s">
        <v>2153</v>
      </c>
      <c r="D682" s="25" t="s">
        <v>2154</v>
      </c>
      <c r="E682" s="25" t="s">
        <v>3588</v>
      </c>
      <c r="F682" s="25" t="s">
        <v>2112</v>
      </c>
      <c r="G682" s="25" t="s">
        <v>172</v>
      </c>
    </row>
    <row r="683" ht="15" customHeight="1">
      <c r="A683" s="25" t="s">
        <v>3587</v>
      </c>
      <c r="B683" s="25" t="s">
        <v>1415</v>
      </c>
      <c r="C683" s="25" t="s">
        <v>2133</v>
      </c>
      <c r="D683" s="25" t="s">
        <v>2134</v>
      </c>
      <c r="E683" s="25" t="s">
        <v>3589</v>
      </c>
      <c r="F683" s="25" t="s">
        <v>1868</v>
      </c>
      <c r="G683" s="25" t="s">
        <v>177</v>
      </c>
    </row>
    <row r="684" ht="15" customHeight="1">
      <c r="A684" s="25" t="s">
        <v>3590</v>
      </c>
      <c r="B684" s="25" t="s">
        <v>3591</v>
      </c>
      <c r="C684" s="25" t="s">
        <v>2145</v>
      </c>
      <c r="D684" s="25" t="s">
        <v>2139</v>
      </c>
      <c r="E684" s="25" t="s">
        <v>3592</v>
      </c>
      <c r="F684" s="25" t="s">
        <v>1972</v>
      </c>
      <c r="G684" s="25" t="s">
        <v>167</v>
      </c>
    </row>
    <row r="685" ht="15" customHeight="1">
      <c r="A685" s="25" t="s">
        <v>3590</v>
      </c>
      <c r="B685" s="25" t="s">
        <v>3593</v>
      </c>
      <c r="C685" s="25" t="s">
        <v>2121</v>
      </c>
      <c r="D685" s="25" t="s">
        <v>2141</v>
      </c>
      <c r="E685" s="25" t="s">
        <v>3594</v>
      </c>
      <c r="F685" s="25" t="s">
        <v>1914</v>
      </c>
      <c r="G685" s="25" t="s">
        <v>193</v>
      </c>
    </row>
    <row r="686" ht="15" customHeight="1">
      <c r="A686" s="25" t="s">
        <v>3595</v>
      </c>
      <c r="B686" s="25" t="s">
        <v>699</v>
      </c>
      <c r="C686" s="25" t="s">
        <v>2125</v>
      </c>
      <c r="D686" s="25" t="s">
        <v>2178</v>
      </c>
      <c r="E686" s="25" t="s">
        <v>3596</v>
      </c>
      <c r="F686" s="25" t="s">
        <v>2052</v>
      </c>
      <c r="G686" s="25" t="s">
        <v>189</v>
      </c>
    </row>
    <row r="687" ht="15" customHeight="1">
      <c r="A687" s="25" t="s">
        <v>3595</v>
      </c>
      <c r="B687" s="25" t="s">
        <v>2384</v>
      </c>
      <c r="C687" s="25" t="s">
        <v>2121</v>
      </c>
      <c r="D687" s="25" t="s">
        <v>2182</v>
      </c>
      <c r="E687" s="25" t="s">
        <v>3597</v>
      </c>
      <c r="F687" s="25" t="s">
        <v>1812</v>
      </c>
      <c r="G687" s="25" t="s">
        <v>200</v>
      </c>
    </row>
    <row r="688" ht="15" customHeight="1">
      <c r="A688" s="25" t="s">
        <v>3598</v>
      </c>
      <c r="B688" s="25" t="s">
        <v>2459</v>
      </c>
      <c r="C688" s="25" t="s">
        <v>2129</v>
      </c>
      <c r="D688" s="25" t="s">
        <v>2185</v>
      </c>
      <c r="E688" s="25" t="s">
        <v>3599</v>
      </c>
      <c r="F688" s="25" t="s">
        <v>1959</v>
      </c>
      <c r="G688" s="25" t="s">
        <v>167</v>
      </c>
    </row>
    <row r="689" ht="15" customHeight="1">
      <c r="A689" s="25" t="s">
        <v>3598</v>
      </c>
      <c r="B689" s="25" t="s">
        <v>3600</v>
      </c>
      <c r="C689" s="25" t="s">
        <v>2157</v>
      </c>
      <c r="D689" s="25" t="s">
        <v>2158</v>
      </c>
      <c r="E689" s="25" t="s">
        <v>3601</v>
      </c>
      <c r="F689" s="25" t="s">
        <v>1861</v>
      </c>
      <c r="G689" s="25" t="s">
        <v>172</v>
      </c>
    </row>
    <row r="690" ht="15" customHeight="1">
      <c r="A690" s="25" t="s">
        <v>3602</v>
      </c>
      <c r="B690" s="25" t="s">
        <v>3603</v>
      </c>
      <c r="C690" s="25" t="s">
        <v>2125</v>
      </c>
      <c r="D690" s="25" t="s">
        <v>2149</v>
      </c>
      <c r="E690" s="25" t="s">
        <v>3604</v>
      </c>
      <c r="F690" s="25" t="s">
        <v>2010</v>
      </c>
      <c r="G690" s="25" t="s">
        <v>177</v>
      </c>
    </row>
    <row r="691" ht="15" customHeight="1">
      <c r="A691" s="25" t="s">
        <v>3602</v>
      </c>
      <c r="B691" s="25" t="s">
        <v>2885</v>
      </c>
      <c r="C691" s="25" t="s">
        <v>2121</v>
      </c>
      <c r="D691" s="25" t="s">
        <v>2165</v>
      </c>
      <c r="E691" s="25" t="s">
        <v>3605</v>
      </c>
      <c r="F691" s="25" t="s">
        <v>2094</v>
      </c>
      <c r="G691" s="25" t="s">
        <v>189</v>
      </c>
    </row>
    <row r="692" ht="15" customHeight="1">
      <c r="A692" s="25" t="s">
        <v>3606</v>
      </c>
      <c r="B692" s="25" t="s">
        <v>3607</v>
      </c>
      <c r="C692" s="25" t="s">
        <v>2145</v>
      </c>
      <c r="D692" s="25" t="s">
        <v>2146</v>
      </c>
      <c r="E692" s="25" t="s">
        <v>3608</v>
      </c>
      <c r="F692" s="25" t="s">
        <v>1927</v>
      </c>
      <c r="G692" s="25" t="s">
        <v>193</v>
      </c>
    </row>
    <row r="693" ht="15" customHeight="1">
      <c r="A693" s="25" t="s">
        <v>3606</v>
      </c>
      <c r="B693" s="25" t="s">
        <v>2658</v>
      </c>
      <c r="C693" s="25" t="s">
        <v>2121</v>
      </c>
      <c r="D693" s="25" t="s">
        <v>2126</v>
      </c>
      <c r="E693" s="25" t="s">
        <v>3609</v>
      </c>
      <c r="F693" s="25" t="s">
        <v>1805</v>
      </c>
      <c r="G693" s="25" t="s">
        <v>167</v>
      </c>
    </row>
    <row r="694" ht="15" customHeight="1">
      <c r="A694" s="25" t="s">
        <v>3610</v>
      </c>
      <c r="B694" s="25" t="s">
        <v>2740</v>
      </c>
      <c r="C694" s="25" t="s">
        <v>2153</v>
      </c>
      <c r="D694" s="25" t="s">
        <v>2380</v>
      </c>
      <c r="E694" s="25" t="s">
        <v>3611</v>
      </c>
      <c r="F694" s="25" t="s">
        <v>2040</v>
      </c>
      <c r="G694" s="25" t="s">
        <v>200</v>
      </c>
    </row>
    <row r="695" ht="15" customHeight="1">
      <c r="A695" s="25" t="s">
        <v>3610</v>
      </c>
      <c r="B695" s="25" t="s">
        <v>1466</v>
      </c>
      <c r="C695" s="25" t="s">
        <v>2199</v>
      </c>
      <c r="D695" s="25" t="s">
        <v>2258</v>
      </c>
      <c r="E695" s="25" t="s">
        <v>3612</v>
      </c>
      <c r="F695" s="25" t="s">
        <v>1902</v>
      </c>
      <c r="G695" s="25" t="s">
        <v>172</v>
      </c>
    </row>
    <row r="696" ht="15" customHeight="1">
      <c r="A696" s="25" t="s">
        <v>3613</v>
      </c>
      <c r="B696" s="25" t="s">
        <v>2814</v>
      </c>
      <c r="C696" s="25" t="s">
        <v>2121</v>
      </c>
      <c r="D696" s="25" t="s">
        <v>2260</v>
      </c>
      <c r="E696" s="25" t="s">
        <v>3614</v>
      </c>
      <c r="F696" s="25" t="s">
        <v>1984</v>
      </c>
      <c r="G696" s="25" t="s">
        <v>177</v>
      </c>
    </row>
    <row r="697" ht="15" customHeight="1">
      <c r="A697" s="25" t="s">
        <v>3613</v>
      </c>
      <c r="B697" s="25" t="s">
        <v>3615</v>
      </c>
      <c r="C697" s="25" t="s">
        <v>2125</v>
      </c>
      <c r="D697" s="25" t="s">
        <v>2301</v>
      </c>
      <c r="E697" s="25" t="s">
        <v>3616</v>
      </c>
      <c r="F697" s="25" t="s">
        <v>2022</v>
      </c>
      <c r="G697" s="25" t="s">
        <v>167</v>
      </c>
    </row>
    <row r="698" ht="15" customHeight="1">
      <c r="A698" s="25" t="s">
        <v>3617</v>
      </c>
      <c r="B698" s="25" t="s">
        <v>3032</v>
      </c>
      <c r="C698" s="25" t="s">
        <v>2145</v>
      </c>
      <c r="D698" s="25" t="s">
        <v>2200</v>
      </c>
      <c r="E698" s="25" t="s">
        <v>3618</v>
      </c>
      <c r="F698" s="25" t="s">
        <v>2088</v>
      </c>
      <c r="G698" s="25" t="s">
        <v>193</v>
      </c>
    </row>
    <row r="699" ht="15" customHeight="1">
      <c r="A699" s="25" t="s">
        <v>3617</v>
      </c>
      <c r="B699" s="25" t="s">
        <v>2289</v>
      </c>
      <c r="C699" s="25" t="s">
        <v>2121</v>
      </c>
      <c r="D699" s="25" t="s">
        <v>2203</v>
      </c>
      <c r="E699" s="25" t="s">
        <v>3619</v>
      </c>
      <c r="F699" s="25" t="s">
        <v>1940</v>
      </c>
      <c r="G699" s="25" t="s">
        <v>189</v>
      </c>
    </row>
    <row r="700" ht="15" customHeight="1">
      <c r="A700" s="25" t="s">
        <v>3620</v>
      </c>
      <c r="B700" s="25" t="s">
        <v>3621</v>
      </c>
      <c r="C700" s="25" t="s">
        <v>2153</v>
      </c>
      <c r="D700" s="25" t="s">
        <v>2154</v>
      </c>
      <c r="E700" s="25" t="s">
        <v>3622</v>
      </c>
      <c r="F700" s="25" t="s">
        <v>2070</v>
      </c>
      <c r="G700" s="25" t="s">
        <v>200</v>
      </c>
    </row>
    <row r="701" ht="15" customHeight="1">
      <c r="A701" s="25" t="s">
        <v>3620</v>
      </c>
      <c r="B701" s="25" t="s">
        <v>2842</v>
      </c>
      <c r="C701" s="25" t="s">
        <v>2133</v>
      </c>
      <c r="D701" s="25" t="s">
        <v>2134</v>
      </c>
      <c r="E701" s="25" t="s">
        <v>3623</v>
      </c>
      <c r="F701" s="25" t="s">
        <v>1991</v>
      </c>
      <c r="G701" s="25" t="s">
        <v>167</v>
      </c>
    </row>
    <row r="702" ht="15" customHeight="1">
      <c r="A702" s="25" t="s">
        <v>3624</v>
      </c>
      <c r="B702" s="25" t="s">
        <v>3625</v>
      </c>
      <c r="C702" s="25" t="s">
        <v>2145</v>
      </c>
      <c r="D702" s="25" t="s">
        <v>2139</v>
      </c>
      <c r="E702" s="25" t="s">
        <v>3626</v>
      </c>
      <c r="F702" s="25" t="s">
        <v>1874</v>
      </c>
      <c r="G702" s="25" t="s">
        <v>172</v>
      </c>
    </row>
    <row r="703" ht="15" customHeight="1">
      <c r="A703" s="25" t="s">
        <v>3624</v>
      </c>
      <c r="B703" s="25" t="s">
        <v>3198</v>
      </c>
      <c r="C703" s="25" t="s">
        <v>2121</v>
      </c>
      <c r="D703" s="25" t="s">
        <v>2141</v>
      </c>
      <c r="E703" s="25" t="s">
        <v>3627</v>
      </c>
      <c r="F703" s="25" t="s">
        <v>1840</v>
      </c>
      <c r="G703" s="25" t="s">
        <v>177</v>
      </c>
    </row>
    <row r="704" ht="15" customHeight="1">
      <c r="A704" s="25" t="s">
        <v>3628</v>
      </c>
      <c r="B704" s="25" t="s">
        <v>2689</v>
      </c>
      <c r="C704" s="25" t="s">
        <v>2125</v>
      </c>
      <c r="D704" s="25" t="s">
        <v>2178</v>
      </c>
      <c r="E704" s="25" t="s">
        <v>3629</v>
      </c>
      <c r="F704" s="25" t="s">
        <v>1947</v>
      </c>
      <c r="G704" s="25" t="s">
        <v>189</v>
      </c>
    </row>
    <row r="705" ht="15" customHeight="1">
      <c r="A705" s="25" t="s">
        <v>3628</v>
      </c>
      <c r="B705" s="25" t="s">
        <v>2711</v>
      </c>
      <c r="C705" s="25" t="s">
        <v>2121</v>
      </c>
      <c r="D705" s="25" t="s">
        <v>2182</v>
      </c>
      <c r="E705" s="25" t="s">
        <v>3630</v>
      </c>
      <c r="F705" s="25" t="s">
        <v>2082</v>
      </c>
      <c r="G705" s="25" t="s">
        <v>193</v>
      </c>
    </row>
    <row r="706" ht="15" customHeight="1">
      <c r="A706" s="25" t="s">
        <v>3631</v>
      </c>
      <c r="B706" s="25" t="s">
        <v>3632</v>
      </c>
      <c r="C706" s="25" t="s">
        <v>2129</v>
      </c>
      <c r="D706" s="25" t="s">
        <v>2185</v>
      </c>
      <c r="E706" s="25" t="s">
        <v>3633</v>
      </c>
      <c r="F706" s="25" t="s">
        <v>1847</v>
      </c>
      <c r="G706" s="25" t="s">
        <v>167</v>
      </c>
    </row>
    <row r="707" ht="15" customHeight="1">
      <c r="A707" s="25" t="s">
        <v>3631</v>
      </c>
      <c r="B707" s="25" t="s">
        <v>3360</v>
      </c>
      <c r="C707" s="25" t="s">
        <v>2157</v>
      </c>
      <c r="D707" s="25" t="s">
        <v>2158</v>
      </c>
      <c r="E707" s="25" t="s">
        <v>3634</v>
      </c>
      <c r="F707" s="25" t="s">
        <v>1997</v>
      </c>
      <c r="G707" s="25" t="s">
        <v>200</v>
      </c>
    </row>
    <row r="708" ht="15" customHeight="1">
      <c r="A708" s="25" t="s">
        <v>3635</v>
      </c>
      <c r="B708" s="25" t="s">
        <v>3636</v>
      </c>
      <c r="C708" s="25" t="s">
        <v>2125</v>
      </c>
      <c r="D708" s="25" t="s">
        <v>2149</v>
      </c>
      <c r="E708" s="25" t="s">
        <v>3637</v>
      </c>
      <c r="F708" s="25" t="s">
        <v>1920</v>
      </c>
      <c r="G708" s="25" t="s">
        <v>172</v>
      </c>
    </row>
    <row r="709" ht="15" customHeight="1">
      <c r="A709" s="25" t="s">
        <v>3635</v>
      </c>
      <c r="B709" s="25" t="s">
        <v>2452</v>
      </c>
      <c r="C709" s="25" t="s">
        <v>2121</v>
      </c>
      <c r="D709" s="25" t="s">
        <v>2165</v>
      </c>
      <c r="E709" s="25" t="s">
        <v>3638</v>
      </c>
      <c r="F709" s="25" t="s">
        <v>2064</v>
      </c>
      <c r="G709" s="25" t="s">
        <v>177</v>
      </c>
    </row>
    <row r="710" ht="15" customHeight="1">
      <c r="A710" s="25" t="s">
        <v>3639</v>
      </c>
      <c r="B710" s="25" t="s">
        <v>683</v>
      </c>
      <c r="C710" s="25" t="s">
        <v>2145</v>
      </c>
      <c r="D710" s="25" t="s">
        <v>2146</v>
      </c>
      <c r="E710" s="25" t="s">
        <v>3640</v>
      </c>
      <c r="F710" s="25" t="s">
        <v>1826</v>
      </c>
      <c r="G710" s="25" t="s">
        <v>167</v>
      </c>
    </row>
    <row r="711" ht="15" customHeight="1">
      <c r="A711" s="25" t="s">
        <v>3639</v>
      </c>
      <c r="B711" s="25" t="s">
        <v>1707</v>
      </c>
      <c r="C711" s="25" t="s">
        <v>2121</v>
      </c>
      <c r="D711" s="25" t="s">
        <v>2126</v>
      </c>
      <c r="E711" s="25" t="s">
        <v>3641</v>
      </c>
      <c r="F711" s="25" t="s">
        <v>2028</v>
      </c>
      <c r="G711" s="25" t="s">
        <v>193</v>
      </c>
    </row>
    <row r="712" ht="15" customHeight="1">
      <c r="A712" s="25" t="s">
        <v>3642</v>
      </c>
      <c r="B712" s="25" t="s">
        <v>3226</v>
      </c>
      <c r="C712" s="25" t="s">
        <v>2153</v>
      </c>
      <c r="D712" s="25" t="s">
        <v>2380</v>
      </c>
      <c r="E712" s="25" t="s">
        <v>3643</v>
      </c>
      <c r="F712" s="25" t="s">
        <v>1888</v>
      </c>
      <c r="G712" s="25" t="s">
        <v>189</v>
      </c>
    </row>
    <row r="713" ht="15" customHeight="1">
      <c r="A713" s="25" t="s">
        <v>3642</v>
      </c>
      <c r="B713" s="25" t="s">
        <v>3644</v>
      </c>
      <c r="C713" s="25" t="s">
        <v>2199</v>
      </c>
      <c r="D713" s="25" t="s">
        <v>2258</v>
      </c>
      <c r="E713" s="25" t="s">
        <v>3645</v>
      </c>
      <c r="F713" s="25" t="s">
        <v>1978</v>
      </c>
      <c r="G713" s="25" t="s">
        <v>200</v>
      </c>
    </row>
    <row r="714" ht="15" customHeight="1">
      <c r="A714" s="25" t="s">
        <v>3646</v>
      </c>
      <c r="B714" s="25" t="s">
        <v>3647</v>
      </c>
      <c r="C714" s="25" t="s">
        <v>2121</v>
      </c>
      <c r="D714" s="25" t="s">
        <v>2260</v>
      </c>
      <c r="E714" s="25" t="s">
        <v>3648</v>
      </c>
      <c r="F714" s="25" t="s">
        <v>1854</v>
      </c>
      <c r="G714" s="25" t="s">
        <v>167</v>
      </c>
    </row>
    <row r="715" ht="15" customHeight="1">
      <c r="A715" s="25" t="s">
        <v>3646</v>
      </c>
      <c r="B715" s="25" t="s">
        <v>2860</v>
      </c>
      <c r="C715" s="25" t="s">
        <v>2125</v>
      </c>
      <c r="D715" s="25" t="s">
        <v>2301</v>
      </c>
      <c r="E715" s="25" t="s">
        <v>3649</v>
      </c>
      <c r="F715" s="25" t="s">
        <v>2058</v>
      </c>
      <c r="G715" s="25" t="s">
        <v>172</v>
      </c>
    </row>
    <row r="716" ht="15" customHeight="1">
      <c r="A716" s="25" t="s">
        <v>3650</v>
      </c>
      <c r="B716" s="25" t="s">
        <v>2352</v>
      </c>
      <c r="C716" s="25" t="s">
        <v>2145</v>
      </c>
      <c r="D716" s="25" t="s">
        <v>2200</v>
      </c>
      <c r="E716" s="25" t="s">
        <v>3651</v>
      </c>
      <c r="F716" s="25" t="s">
        <v>1908</v>
      </c>
      <c r="G716" s="25" t="s">
        <v>177</v>
      </c>
    </row>
    <row r="717" ht="15" customHeight="1">
      <c r="A717" s="25" t="s">
        <v>3650</v>
      </c>
      <c r="B717" s="25" t="s">
        <v>3652</v>
      </c>
      <c r="C717" s="25" t="s">
        <v>2121</v>
      </c>
      <c r="D717" s="25" t="s">
        <v>2203</v>
      </c>
      <c r="E717" s="25" t="s">
        <v>3653</v>
      </c>
      <c r="F717" s="25" t="s">
        <v>2004</v>
      </c>
      <c r="G717" s="25" t="s">
        <v>189</v>
      </c>
    </row>
    <row r="718" ht="15" customHeight="1">
      <c r="A718" s="25" t="s">
        <v>3654</v>
      </c>
      <c r="B718" s="25" t="s">
        <v>3413</v>
      </c>
      <c r="C718" s="25" t="s">
        <v>2153</v>
      </c>
      <c r="D718" s="25" t="s">
        <v>2154</v>
      </c>
      <c r="E718" s="25" t="s">
        <v>3655</v>
      </c>
      <c r="F718" s="25" t="s">
        <v>2106</v>
      </c>
      <c r="G718" s="25" t="s">
        <v>193</v>
      </c>
    </row>
    <row r="719" ht="15" customHeight="1">
      <c r="A719" s="25" t="s">
        <v>3654</v>
      </c>
      <c r="B719" s="25" t="s">
        <v>1586</v>
      </c>
      <c r="C719" s="25" t="s">
        <v>2133</v>
      </c>
      <c r="D719" s="25" t="s">
        <v>2134</v>
      </c>
      <c r="E719" s="25" t="s">
        <v>3656</v>
      </c>
      <c r="F719" s="25" t="s">
        <v>1833</v>
      </c>
      <c r="G719" s="25" t="s">
        <v>167</v>
      </c>
    </row>
    <row r="720" ht="15" customHeight="1">
      <c r="A720" s="25" t="s">
        <v>3657</v>
      </c>
      <c r="B720" s="25" t="s">
        <v>3658</v>
      </c>
      <c r="C720" s="25" t="s">
        <v>2145</v>
      </c>
      <c r="D720" s="25" t="s">
        <v>2139</v>
      </c>
      <c r="E720" s="25" t="s">
        <v>3659</v>
      </c>
      <c r="F720" s="25" t="s">
        <v>1953</v>
      </c>
      <c r="G720" s="25" t="s">
        <v>200</v>
      </c>
    </row>
    <row r="721" ht="15" customHeight="1">
      <c r="A721" s="25" t="s">
        <v>3657</v>
      </c>
      <c r="B721" s="25" t="s">
        <v>2452</v>
      </c>
      <c r="C721" s="25" t="s">
        <v>2121</v>
      </c>
      <c r="D721" s="25" t="s">
        <v>2141</v>
      </c>
      <c r="E721" s="25" t="s">
        <v>3660</v>
      </c>
      <c r="F721" s="25" t="s">
        <v>1895</v>
      </c>
      <c r="G721" s="25" t="s">
        <v>172</v>
      </c>
    </row>
    <row r="722" ht="15" customHeight="1">
      <c r="A722" s="25" t="s">
        <v>3661</v>
      </c>
      <c r="B722" s="25" t="s">
        <v>550</v>
      </c>
      <c r="C722" s="25" t="s">
        <v>2125</v>
      </c>
      <c r="D722" s="25" t="s">
        <v>2178</v>
      </c>
      <c r="E722" s="25" t="s">
        <v>3662</v>
      </c>
      <c r="F722" s="25" t="s">
        <v>2034</v>
      </c>
      <c r="G722" s="25" t="s">
        <v>177</v>
      </c>
    </row>
    <row r="723" ht="15" customHeight="1">
      <c r="A723" s="25" t="s">
        <v>3661</v>
      </c>
      <c r="B723" s="25" t="s">
        <v>3663</v>
      </c>
      <c r="C723" s="25" t="s">
        <v>2121</v>
      </c>
      <c r="D723" s="25" t="s">
        <v>2182</v>
      </c>
      <c r="E723" s="25" t="s">
        <v>3664</v>
      </c>
      <c r="F723" s="25" t="s">
        <v>2100</v>
      </c>
      <c r="G723" s="25" t="s">
        <v>167</v>
      </c>
    </row>
    <row r="724" ht="15" customHeight="1">
      <c r="A724" s="25" t="s">
        <v>3665</v>
      </c>
      <c r="B724" s="25" t="s">
        <v>3316</v>
      </c>
      <c r="C724" s="25" t="s">
        <v>2129</v>
      </c>
      <c r="D724" s="25" t="s">
        <v>2185</v>
      </c>
      <c r="E724" s="25" t="s">
        <v>3666</v>
      </c>
      <c r="F724" s="25" t="s">
        <v>1819</v>
      </c>
      <c r="G724" s="25" t="s">
        <v>193</v>
      </c>
    </row>
    <row r="725" ht="15" customHeight="1">
      <c r="A725" s="25" t="s">
        <v>3665</v>
      </c>
      <c r="B725" s="25" t="s">
        <v>1554</v>
      </c>
      <c r="C725" s="25" t="s">
        <v>2157</v>
      </c>
      <c r="D725" s="25" t="s">
        <v>2158</v>
      </c>
      <c r="E725" s="25" t="s">
        <v>3667</v>
      </c>
      <c r="F725" s="25" t="s">
        <v>1966</v>
      </c>
      <c r="G725" s="25" t="s">
        <v>189</v>
      </c>
    </row>
    <row r="726" ht="15" customHeight="1">
      <c r="A726" s="25" t="s">
        <v>3668</v>
      </c>
      <c r="B726" s="25" t="s">
        <v>3669</v>
      </c>
      <c r="C726" s="25" t="s">
        <v>2125</v>
      </c>
      <c r="D726" s="25" t="s">
        <v>2149</v>
      </c>
      <c r="E726" s="25" t="s">
        <v>3670</v>
      </c>
      <c r="F726" s="25" t="s">
        <v>1881</v>
      </c>
      <c r="G726" s="25" t="s">
        <v>200</v>
      </c>
    </row>
    <row r="727" ht="15" customHeight="1">
      <c r="A727" s="25" t="s">
        <v>3668</v>
      </c>
      <c r="B727" s="25" t="s">
        <v>3003</v>
      </c>
      <c r="C727" s="25" t="s">
        <v>2121</v>
      </c>
      <c r="D727" s="25" t="s">
        <v>2165</v>
      </c>
      <c r="E727" s="25" t="s">
        <v>3671</v>
      </c>
      <c r="F727" s="25" t="s">
        <v>2016</v>
      </c>
      <c r="G727" s="25" t="s">
        <v>167</v>
      </c>
    </row>
    <row r="728" ht="15" customHeight="1">
      <c r="A728" s="25" t="s">
        <v>3672</v>
      </c>
      <c r="B728" s="25" t="s">
        <v>3044</v>
      </c>
      <c r="C728" s="25" t="s">
        <v>2145</v>
      </c>
      <c r="D728" s="25" t="s">
        <v>2146</v>
      </c>
      <c r="E728" s="25" t="s">
        <v>3673</v>
      </c>
      <c r="F728" s="25" t="s">
        <v>2076</v>
      </c>
      <c r="G728" s="25" t="s">
        <v>172</v>
      </c>
    </row>
    <row r="729" ht="15" customHeight="1">
      <c r="A729" s="25" t="s">
        <v>3672</v>
      </c>
      <c r="B729" s="25" t="s">
        <v>1740</v>
      </c>
      <c r="C729" s="25" t="s">
        <v>2121</v>
      </c>
      <c r="D729" s="25" t="s">
        <v>2126</v>
      </c>
      <c r="E729" s="25" t="s">
        <v>3674</v>
      </c>
      <c r="F729" s="25" t="s">
        <v>1798</v>
      </c>
      <c r="G729" s="25" t="s">
        <v>177</v>
      </c>
    </row>
    <row r="730" ht="15" customHeight="1">
      <c r="A730" s="25" t="s">
        <v>3675</v>
      </c>
      <c r="B730" s="25" t="s">
        <v>3676</v>
      </c>
      <c r="C730" s="25" t="s">
        <v>2153</v>
      </c>
      <c r="D730" s="25" t="s">
        <v>2380</v>
      </c>
      <c r="E730" s="25" t="s">
        <v>3677</v>
      </c>
      <c r="F730" s="25" t="s">
        <v>1933</v>
      </c>
      <c r="G730" s="25" t="s">
        <v>189</v>
      </c>
    </row>
    <row r="731" ht="15" customHeight="1">
      <c r="A731" s="25" t="s">
        <v>3675</v>
      </c>
      <c r="B731" s="25" t="s">
        <v>3678</v>
      </c>
      <c r="C731" s="25" t="s">
        <v>2199</v>
      </c>
      <c r="D731" s="25" t="s">
        <v>2258</v>
      </c>
      <c r="E731" s="25" t="s">
        <v>3679</v>
      </c>
      <c r="F731" s="25" t="s">
        <v>2046</v>
      </c>
      <c r="G731" s="25" t="s">
        <v>193</v>
      </c>
    </row>
    <row r="732" ht="15" customHeight="1">
      <c r="A732" s="25" t="s">
        <v>3680</v>
      </c>
      <c r="B732" s="25" t="s">
        <v>1275</v>
      </c>
      <c r="C732" s="25" t="s">
        <v>2121</v>
      </c>
      <c r="D732" s="25" t="s">
        <v>2260</v>
      </c>
      <c r="E732" s="25" t="s">
        <v>3681</v>
      </c>
      <c r="F732" s="25" t="s">
        <v>2112</v>
      </c>
      <c r="G732" s="25" t="s">
        <v>167</v>
      </c>
    </row>
    <row r="733" ht="15" customHeight="1">
      <c r="A733" s="25" t="s">
        <v>3680</v>
      </c>
      <c r="B733" s="25" t="s">
        <v>963</v>
      </c>
      <c r="C733" s="25" t="s">
        <v>2125</v>
      </c>
      <c r="D733" s="25" t="s">
        <v>2301</v>
      </c>
      <c r="E733" s="25" t="s">
        <v>3682</v>
      </c>
      <c r="F733" s="25" t="s">
        <v>1868</v>
      </c>
      <c r="G733" s="25" t="s">
        <v>200</v>
      </c>
    </row>
    <row r="734" ht="15" customHeight="1">
      <c r="A734" s="25" t="s">
        <v>3683</v>
      </c>
      <c r="B734" s="25" t="s">
        <v>3267</v>
      </c>
      <c r="C734" s="25" t="s">
        <v>2145</v>
      </c>
      <c r="D734" s="25" t="s">
        <v>2200</v>
      </c>
      <c r="E734" s="25" t="s">
        <v>3684</v>
      </c>
      <c r="F734" s="25" t="s">
        <v>1972</v>
      </c>
      <c r="G734" s="25" t="s">
        <v>172</v>
      </c>
    </row>
    <row r="735" ht="15" customHeight="1">
      <c r="A735" s="25" t="s">
        <v>3683</v>
      </c>
      <c r="B735" s="25" t="s">
        <v>1666</v>
      </c>
      <c r="C735" s="25" t="s">
        <v>2121</v>
      </c>
      <c r="D735" s="25" t="s">
        <v>2203</v>
      </c>
      <c r="E735" s="25" t="s">
        <v>3685</v>
      </c>
      <c r="F735" s="25" t="s">
        <v>1914</v>
      </c>
      <c r="G735" s="25" t="s">
        <v>177</v>
      </c>
    </row>
    <row r="736" ht="15" customHeight="1">
      <c r="A736" s="25" t="s">
        <v>3686</v>
      </c>
      <c r="B736" s="25" t="s">
        <v>3687</v>
      </c>
      <c r="C736" s="25" t="s">
        <v>2153</v>
      </c>
      <c r="D736" s="25" t="s">
        <v>2154</v>
      </c>
      <c r="E736" s="25" t="s">
        <v>3688</v>
      </c>
      <c r="F736" s="25" t="s">
        <v>2052</v>
      </c>
      <c r="G736" s="25" t="s">
        <v>167</v>
      </c>
    </row>
    <row r="737" ht="15" customHeight="1">
      <c r="A737" s="25" t="s">
        <v>3686</v>
      </c>
      <c r="B737" s="25" t="s">
        <v>1554</v>
      </c>
      <c r="C737" s="25" t="s">
        <v>2133</v>
      </c>
      <c r="D737" s="25" t="s">
        <v>2134</v>
      </c>
      <c r="E737" s="25" t="s">
        <v>3689</v>
      </c>
      <c r="F737" s="25" t="s">
        <v>1812</v>
      </c>
      <c r="G737" s="25" t="s">
        <v>193</v>
      </c>
    </row>
    <row r="738" ht="15" customHeight="1">
      <c r="A738" s="25" t="s">
        <v>3690</v>
      </c>
      <c r="B738" s="25" t="s">
        <v>1456</v>
      </c>
      <c r="C738" s="25" t="s">
        <v>2145</v>
      </c>
      <c r="D738" s="25" t="s">
        <v>2139</v>
      </c>
      <c r="E738" s="25" t="s">
        <v>3691</v>
      </c>
      <c r="F738" s="25" t="s">
        <v>1959</v>
      </c>
      <c r="G738" s="25" t="s">
        <v>189</v>
      </c>
    </row>
    <row r="739" ht="15" customHeight="1">
      <c r="A739" s="25" t="s">
        <v>3690</v>
      </c>
      <c r="B739" s="25" t="s">
        <v>3692</v>
      </c>
      <c r="C739" s="25" t="s">
        <v>2121</v>
      </c>
      <c r="D739" s="25" t="s">
        <v>2141</v>
      </c>
      <c r="E739" s="25" t="s">
        <v>3693</v>
      </c>
      <c r="F739" s="25" t="s">
        <v>1861</v>
      </c>
      <c r="G739" s="25" t="s">
        <v>200</v>
      </c>
    </row>
    <row r="740" ht="15" customHeight="1">
      <c r="A740" s="25" t="s">
        <v>3694</v>
      </c>
      <c r="B740" s="25" t="s">
        <v>2605</v>
      </c>
      <c r="C740" s="25" t="s">
        <v>2125</v>
      </c>
      <c r="D740" s="25" t="s">
        <v>2178</v>
      </c>
      <c r="E740" s="25" t="s">
        <v>3695</v>
      </c>
      <c r="F740" s="25" t="s">
        <v>2010</v>
      </c>
      <c r="G740" s="25" t="s">
        <v>167</v>
      </c>
    </row>
    <row r="741" ht="15" customHeight="1">
      <c r="A741" s="25" t="s">
        <v>3694</v>
      </c>
      <c r="B741" s="25" t="s">
        <v>2513</v>
      </c>
      <c r="C741" s="25" t="s">
        <v>2121</v>
      </c>
      <c r="D741" s="25" t="s">
        <v>2182</v>
      </c>
      <c r="E741" s="25" t="s">
        <v>3696</v>
      </c>
      <c r="F741" s="25" t="s">
        <v>2094</v>
      </c>
      <c r="G741" s="25" t="s">
        <v>172</v>
      </c>
    </row>
    <row r="742" ht="15" customHeight="1">
      <c r="A742" s="25" t="s">
        <v>3697</v>
      </c>
      <c r="B742" s="25" t="s">
        <v>1464</v>
      </c>
      <c r="C742" s="25" t="s">
        <v>2129</v>
      </c>
      <c r="D742" s="25" t="s">
        <v>2185</v>
      </c>
      <c r="E742" s="25" t="s">
        <v>3698</v>
      </c>
      <c r="F742" s="25" t="s">
        <v>1927</v>
      </c>
      <c r="G742" s="25" t="s">
        <v>177</v>
      </c>
    </row>
    <row r="743" ht="15" customHeight="1">
      <c r="A743" s="25" t="s">
        <v>3697</v>
      </c>
      <c r="B743" s="25" t="s">
        <v>3699</v>
      </c>
      <c r="C743" s="25" t="s">
        <v>2157</v>
      </c>
      <c r="D743" s="25" t="s">
        <v>2158</v>
      </c>
      <c r="E743" s="25" t="s">
        <v>3700</v>
      </c>
      <c r="F743" s="25" t="s">
        <v>1805</v>
      </c>
      <c r="G743" s="25" t="s">
        <v>189</v>
      </c>
    </row>
    <row r="744" ht="15" customHeight="1">
      <c r="A744" s="25" t="s">
        <v>3701</v>
      </c>
      <c r="B744" s="25" t="s">
        <v>3702</v>
      </c>
      <c r="C744" s="25" t="s">
        <v>2125</v>
      </c>
      <c r="D744" s="25" t="s">
        <v>2149</v>
      </c>
      <c r="E744" s="25" t="s">
        <v>3703</v>
      </c>
      <c r="F744" s="25" t="s">
        <v>2040</v>
      </c>
      <c r="G744" s="25" t="s">
        <v>193</v>
      </c>
    </row>
    <row r="745" ht="15" customHeight="1">
      <c r="A745" s="25" t="s">
        <v>3701</v>
      </c>
      <c r="B745" s="25" t="s">
        <v>3704</v>
      </c>
      <c r="C745" s="25" t="s">
        <v>2121</v>
      </c>
      <c r="D745" s="25" t="s">
        <v>2165</v>
      </c>
      <c r="E745" s="25" t="s">
        <v>3705</v>
      </c>
      <c r="F745" s="25" t="s">
        <v>1902</v>
      </c>
      <c r="G745" s="25" t="s">
        <v>167</v>
      </c>
    </row>
    <row r="746" ht="15" customHeight="1">
      <c r="A746" s="25" t="s">
        <v>3706</v>
      </c>
      <c r="B746" s="25" t="s">
        <v>3707</v>
      </c>
      <c r="C746" s="25" t="s">
        <v>2145</v>
      </c>
      <c r="D746" s="25" t="s">
        <v>2146</v>
      </c>
      <c r="E746" s="25" t="s">
        <v>3708</v>
      </c>
      <c r="F746" s="25" t="s">
        <v>1984</v>
      </c>
      <c r="G746" s="25" t="s">
        <v>200</v>
      </c>
    </row>
    <row r="747" ht="15" customHeight="1">
      <c r="A747" s="25" t="s">
        <v>3706</v>
      </c>
      <c r="B747" s="25" t="s">
        <v>1634</v>
      </c>
      <c r="C747" s="25" t="s">
        <v>2121</v>
      </c>
      <c r="D747" s="25" t="s">
        <v>2126</v>
      </c>
      <c r="E747" s="25" t="s">
        <v>3709</v>
      </c>
      <c r="F747" s="25" t="s">
        <v>2022</v>
      </c>
      <c r="G747" s="25" t="s">
        <v>172</v>
      </c>
    </row>
    <row r="748" ht="15" customHeight="1">
      <c r="A748" s="25" t="s">
        <v>3710</v>
      </c>
      <c r="B748" s="25" t="s">
        <v>1427</v>
      </c>
      <c r="C748" s="25" t="s">
        <v>2153</v>
      </c>
      <c r="D748" s="25" t="s">
        <v>2380</v>
      </c>
      <c r="E748" s="25" t="s">
        <v>3711</v>
      </c>
      <c r="F748" s="25" t="s">
        <v>2088</v>
      </c>
      <c r="G748" s="25" t="s">
        <v>177</v>
      </c>
    </row>
    <row r="749" ht="15" customHeight="1">
      <c r="A749" s="25" t="s">
        <v>3710</v>
      </c>
      <c r="B749" s="25" t="s">
        <v>3712</v>
      </c>
      <c r="C749" s="25" t="s">
        <v>2199</v>
      </c>
      <c r="D749" s="25" t="s">
        <v>2258</v>
      </c>
      <c r="E749" s="25" t="s">
        <v>3713</v>
      </c>
      <c r="F749" s="25" t="s">
        <v>1940</v>
      </c>
      <c r="G749" s="25" t="s">
        <v>167</v>
      </c>
    </row>
    <row r="750" ht="15" customHeight="1">
      <c r="A750" s="25" t="s">
        <v>3714</v>
      </c>
      <c r="B750" s="25" t="s">
        <v>3715</v>
      </c>
      <c r="C750" s="25" t="s">
        <v>2121</v>
      </c>
      <c r="D750" s="25" t="s">
        <v>2260</v>
      </c>
      <c r="E750" s="25" t="s">
        <v>3716</v>
      </c>
      <c r="F750" s="25" t="s">
        <v>2070</v>
      </c>
      <c r="G750" s="25" t="s">
        <v>193</v>
      </c>
    </row>
    <row r="751" ht="15" customHeight="1">
      <c r="A751" s="25" t="s">
        <v>3714</v>
      </c>
      <c r="B751" s="25" t="s">
        <v>3717</v>
      </c>
      <c r="C751" s="25" t="s">
        <v>2125</v>
      </c>
      <c r="D751" s="25" t="s">
        <v>2301</v>
      </c>
      <c r="E751" s="25" t="s">
        <v>3718</v>
      </c>
      <c r="F751" s="25" t="s">
        <v>1991</v>
      </c>
      <c r="G751" s="25" t="s">
        <v>189</v>
      </c>
    </row>
    <row r="752" ht="15" customHeight="1">
      <c r="A752" s="25" t="s">
        <v>3719</v>
      </c>
      <c r="B752" s="25" t="s">
        <v>464</v>
      </c>
      <c r="C752" s="25" t="s">
        <v>2145</v>
      </c>
      <c r="D752" s="25" t="s">
        <v>2200</v>
      </c>
      <c r="E752" s="25" t="s">
        <v>3720</v>
      </c>
      <c r="F752" s="25" t="s">
        <v>1874</v>
      </c>
      <c r="G752" s="25" t="s">
        <v>200</v>
      </c>
    </row>
    <row r="753" ht="15" customHeight="1">
      <c r="A753" s="25" t="s">
        <v>3719</v>
      </c>
      <c r="B753" s="25" t="s">
        <v>2981</v>
      </c>
      <c r="C753" s="25" t="s">
        <v>2121</v>
      </c>
      <c r="D753" s="25" t="s">
        <v>2203</v>
      </c>
      <c r="E753" s="25" t="s">
        <v>3721</v>
      </c>
      <c r="F753" s="25" t="s">
        <v>1840</v>
      </c>
      <c r="G753" s="25" t="s">
        <v>167</v>
      </c>
    </row>
    <row r="754" ht="15" customHeight="1">
      <c r="A754" s="25" t="s">
        <v>3722</v>
      </c>
      <c r="B754" s="25" t="s">
        <v>2997</v>
      </c>
      <c r="C754" s="25" t="s">
        <v>2153</v>
      </c>
      <c r="D754" s="25" t="s">
        <v>2154</v>
      </c>
      <c r="E754" s="25" t="s">
        <v>3723</v>
      </c>
      <c r="F754" s="25" t="s">
        <v>1947</v>
      </c>
      <c r="G754" s="25" t="s">
        <v>172</v>
      </c>
    </row>
    <row r="755" ht="15" customHeight="1">
      <c r="A755" s="25" t="s">
        <v>3722</v>
      </c>
      <c r="B755" s="25" t="s">
        <v>2636</v>
      </c>
      <c r="C755" s="25" t="s">
        <v>2133</v>
      </c>
      <c r="D755" s="25" t="s">
        <v>2134</v>
      </c>
      <c r="E755" s="25" t="s">
        <v>3724</v>
      </c>
      <c r="F755" s="25" t="s">
        <v>2082</v>
      </c>
      <c r="G755" s="25" t="s">
        <v>177</v>
      </c>
    </row>
    <row r="756" ht="15" customHeight="1">
      <c r="A756" s="25" t="s">
        <v>3725</v>
      </c>
      <c r="B756" s="25" t="s">
        <v>1328</v>
      </c>
      <c r="C756" s="25" t="s">
        <v>2145</v>
      </c>
      <c r="D756" s="25" t="s">
        <v>2139</v>
      </c>
      <c r="E756" s="25" t="s">
        <v>3726</v>
      </c>
      <c r="F756" s="25" t="s">
        <v>1847</v>
      </c>
      <c r="G756" s="25" t="s">
        <v>189</v>
      </c>
    </row>
    <row r="757" ht="15" customHeight="1">
      <c r="A757" s="25" t="s">
        <v>3725</v>
      </c>
      <c r="B757" s="25" t="s">
        <v>3727</v>
      </c>
      <c r="C757" s="25" t="s">
        <v>2121</v>
      </c>
      <c r="D757" s="25" t="s">
        <v>2141</v>
      </c>
      <c r="E757" s="25" t="s">
        <v>3728</v>
      </c>
      <c r="F757" s="25" t="s">
        <v>1997</v>
      </c>
      <c r="G757" s="25" t="s">
        <v>193</v>
      </c>
    </row>
    <row r="758" ht="15" customHeight="1">
      <c r="A758" s="25" t="s">
        <v>3729</v>
      </c>
      <c r="B758" s="25" t="s">
        <v>3730</v>
      </c>
      <c r="C758" s="25" t="s">
        <v>2125</v>
      </c>
      <c r="D758" s="25" t="s">
        <v>2178</v>
      </c>
      <c r="E758" s="25" t="s">
        <v>3731</v>
      </c>
      <c r="F758" s="25" t="s">
        <v>1920</v>
      </c>
      <c r="G758" s="25" t="s">
        <v>167</v>
      </c>
    </row>
    <row r="759" ht="15" customHeight="1">
      <c r="A759" s="25" t="s">
        <v>3729</v>
      </c>
      <c r="B759" s="25" t="s">
        <v>1614</v>
      </c>
      <c r="C759" s="25" t="s">
        <v>2121</v>
      </c>
      <c r="D759" s="25" t="s">
        <v>2182</v>
      </c>
      <c r="E759" s="25" t="s">
        <v>3732</v>
      </c>
      <c r="F759" s="25" t="s">
        <v>2064</v>
      </c>
      <c r="G759" s="25" t="s">
        <v>200</v>
      </c>
    </row>
    <row r="760" ht="15" customHeight="1">
      <c r="A760" s="25" t="s">
        <v>3733</v>
      </c>
      <c r="B760" s="25" t="s">
        <v>3734</v>
      </c>
      <c r="C760" s="25" t="s">
        <v>2129</v>
      </c>
      <c r="D760" s="25" t="s">
        <v>2185</v>
      </c>
      <c r="E760" s="25" t="s">
        <v>3735</v>
      </c>
      <c r="F760" s="25" t="s">
        <v>1826</v>
      </c>
      <c r="G760" s="25" t="s">
        <v>172</v>
      </c>
    </row>
    <row r="761" ht="15" customHeight="1">
      <c r="A761" s="25" t="s">
        <v>3733</v>
      </c>
      <c r="B761" s="25" t="s">
        <v>1191</v>
      </c>
      <c r="C761" s="25" t="s">
        <v>2157</v>
      </c>
      <c r="D761" s="25" t="s">
        <v>2158</v>
      </c>
      <c r="E761" s="25" t="s">
        <v>3736</v>
      </c>
      <c r="F761" s="25" t="s">
        <v>2028</v>
      </c>
      <c r="G761" s="25" t="s">
        <v>177</v>
      </c>
    </row>
    <row r="762" ht="15" customHeight="1">
      <c r="A762" s="25" t="s">
        <v>3737</v>
      </c>
      <c r="B762" s="25" t="s">
        <v>1438</v>
      </c>
      <c r="C762" s="25" t="s">
        <v>2125</v>
      </c>
      <c r="D762" s="25" t="s">
        <v>2149</v>
      </c>
      <c r="E762" s="25" t="s">
        <v>3738</v>
      </c>
      <c r="F762" s="25" t="s">
        <v>1888</v>
      </c>
      <c r="G762" s="25" t="s">
        <v>167</v>
      </c>
    </row>
    <row r="763" ht="15" customHeight="1">
      <c r="A763" s="25" t="s">
        <v>3737</v>
      </c>
      <c r="B763" s="25" t="s">
        <v>3739</v>
      </c>
      <c r="C763" s="25" t="s">
        <v>2121</v>
      </c>
      <c r="D763" s="25" t="s">
        <v>2165</v>
      </c>
      <c r="E763" s="25" t="s">
        <v>3740</v>
      </c>
      <c r="F763" s="25" t="s">
        <v>1978</v>
      </c>
      <c r="G763" s="25" t="s">
        <v>193</v>
      </c>
    </row>
    <row r="764" ht="15" customHeight="1">
      <c r="A764" s="25" t="s">
        <v>3741</v>
      </c>
      <c r="B764" s="25" t="s">
        <v>3742</v>
      </c>
      <c r="C764" s="25" t="s">
        <v>2145</v>
      </c>
      <c r="D764" s="25" t="s">
        <v>2146</v>
      </c>
      <c r="E764" s="25" t="s">
        <v>3743</v>
      </c>
      <c r="F764" s="25" t="s">
        <v>1854</v>
      </c>
      <c r="G764" s="25" t="s">
        <v>189</v>
      </c>
    </row>
    <row r="765" ht="15" customHeight="1">
      <c r="A765" s="25" t="s">
        <v>3741</v>
      </c>
      <c r="B765" s="25" t="s">
        <v>3107</v>
      </c>
      <c r="C765" s="25" t="s">
        <v>2121</v>
      </c>
      <c r="D765" s="25" t="s">
        <v>2126</v>
      </c>
      <c r="E765" s="25" t="s">
        <v>3744</v>
      </c>
      <c r="F765" s="25" t="s">
        <v>2058</v>
      </c>
      <c r="G765" s="25" t="s">
        <v>200</v>
      </c>
    </row>
    <row r="766" ht="15" customHeight="1">
      <c r="A766" s="25" t="s">
        <v>3745</v>
      </c>
      <c r="B766" s="25" t="s">
        <v>3746</v>
      </c>
      <c r="C766" s="25" t="s">
        <v>2153</v>
      </c>
      <c r="D766" s="25" t="s">
        <v>2380</v>
      </c>
      <c r="E766" s="25" t="s">
        <v>3747</v>
      </c>
      <c r="F766" s="25" t="s">
        <v>1908</v>
      </c>
      <c r="G766" s="25" t="s">
        <v>167</v>
      </c>
    </row>
    <row r="767" ht="15" customHeight="1">
      <c r="A767" s="25" t="s">
        <v>3745</v>
      </c>
      <c r="B767" s="25" t="s">
        <v>1025</v>
      </c>
      <c r="C767" s="25" t="s">
        <v>2199</v>
      </c>
      <c r="D767" s="25" t="s">
        <v>2258</v>
      </c>
      <c r="E767" s="25" t="s">
        <v>3748</v>
      </c>
      <c r="F767" s="25" t="s">
        <v>2004</v>
      </c>
      <c r="G767" s="25" t="s">
        <v>172</v>
      </c>
    </row>
    <row r="768" ht="15" customHeight="1">
      <c r="A768" s="25" t="s">
        <v>3749</v>
      </c>
      <c r="B768" s="25" t="s">
        <v>3750</v>
      </c>
      <c r="C768" s="25" t="s">
        <v>2121</v>
      </c>
      <c r="D768" s="25" t="s">
        <v>2260</v>
      </c>
      <c r="E768" s="25" t="s">
        <v>3751</v>
      </c>
      <c r="F768" s="25" t="s">
        <v>2106</v>
      </c>
      <c r="G768" s="25" t="s">
        <v>177</v>
      </c>
    </row>
    <row r="769" ht="15" customHeight="1">
      <c r="A769" s="25" t="s">
        <v>3749</v>
      </c>
      <c r="B769" s="25" t="s">
        <v>2480</v>
      </c>
      <c r="C769" s="25" t="s">
        <v>2125</v>
      </c>
      <c r="D769" s="25" t="s">
        <v>2301</v>
      </c>
      <c r="E769" s="25" t="s">
        <v>3752</v>
      </c>
      <c r="F769" s="25" t="s">
        <v>1833</v>
      </c>
      <c r="G769" s="25" t="s">
        <v>189</v>
      </c>
    </row>
    <row r="770" ht="15" customHeight="1">
      <c r="A770" s="25" t="s">
        <v>3753</v>
      </c>
      <c r="B770" s="25" t="s">
        <v>3420</v>
      </c>
      <c r="C770" s="25" t="s">
        <v>2145</v>
      </c>
      <c r="D770" s="25" t="s">
        <v>2200</v>
      </c>
      <c r="E770" s="25" t="s">
        <v>3754</v>
      </c>
      <c r="F770" s="25" t="s">
        <v>1953</v>
      </c>
      <c r="G770" s="25" t="s">
        <v>193</v>
      </c>
    </row>
    <row r="771" ht="15" customHeight="1">
      <c r="A771" s="25" t="s">
        <v>3753</v>
      </c>
      <c r="B771" s="25" t="s">
        <v>3490</v>
      </c>
      <c r="C771" s="25" t="s">
        <v>2121</v>
      </c>
      <c r="D771" s="25" t="s">
        <v>2203</v>
      </c>
      <c r="E771" s="25" t="s">
        <v>3755</v>
      </c>
      <c r="F771" s="25" t="s">
        <v>1895</v>
      </c>
      <c r="G771" s="25" t="s">
        <v>167</v>
      </c>
    </row>
    <row r="772" ht="15" customHeight="1">
      <c r="A772" s="25" t="s">
        <v>3756</v>
      </c>
      <c r="B772" s="25" t="s">
        <v>3757</v>
      </c>
      <c r="C772" s="25" t="s">
        <v>2153</v>
      </c>
      <c r="D772" s="25" t="s">
        <v>2154</v>
      </c>
      <c r="E772" s="25" t="s">
        <v>3758</v>
      </c>
      <c r="F772" s="25" t="s">
        <v>2034</v>
      </c>
      <c r="G772" s="25" t="s">
        <v>200</v>
      </c>
    </row>
    <row r="773" ht="15" customHeight="1">
      <c r="A773" s="25" t="s">
        <v>3756</v>
      </c>
      <c r="B773" s="25" t="s">
        <v>1225</v>
      </c>
      <c r="C773" s="25" t="s">
        <v>2133</v>
      </c>
      <c r="D773" s="25" t="s">
        <v>2134</v>
      </c>
      <c r="E773" s="25" t="s">
        <v>3759</v>
      </c>
      <c r="F773" s="25" t="s">
        <v>2100</v>
      </c>
      <c r="G773" s="25" t="s">
        <v>172</v>
      </c>
    </row>
    <row r="774" ht="15" customHeight="1">
      <c r="A774" s="25" t="s">
        <v>3760</v>
      </c>
      <c r="B774" s="25" t="s">
        <v>1355</v>
      </c>
      <c r="C774" s="25" t="s">
        <v>2145</v>
      </c>
      <c r="D774" s="25" t="s">
        <v>2139</v>
      </c>
      <c r="E774" s="25" t="s">
        <v>3761</v>
      </c>
      <c r="F774" s="25" t="s">
        <v>1819</v>
      </c>
      <c r="G774" s="25" t="s">
        <v>177</v>
      </c>
    </row>
    <row r="775" ht="15" customHeight="1">
      <c r="A775" s="25" t="s">
        <v>3760</v>
      </c>
      <c r="B775" s="25" t="s">
        <v>3762</v>
      </c>
      <c r="C775" s="25" t="s">
        <v>2121</v>
      </c>
      <c r="D775" s="25" t="s">
        <v>2141</v>
      </c>
      <c r="E775" s="25" t="s">
        <v>3763</v>
      </c>
      <c r="F775" s="25" t="s">
        <v>1966</v>
      </c>
      <c r="G775" s="25" t="s">
        <v>167</v>
      </c>
    </row>
    <row r="776" ht="15" customHeight="1">
      <c r="A776" s="25" t="s">
        <v>3764</v>
      </c>
      <c r="B776" s="25" t="s">
        <v>869</v>
      </c>
      <c r="C776" s="25" t="s">
        <v>2125</v>
      </c>
      <c r="D776" s="25" t="s">
        <v>2178</v>
      </c>
      <c r="E776" s="25" t="s">
        <v>3765</v>
      </c>
      <c r="F776" s="25" t="s">
        <v>1881</v>
      </c>
      <c r="G776" s="25" t="s">
        <v>193</v>
      </c>
    </row>
    <row r="777" ht="15" customHeight="1">
      <c r="A777" s="25" t="s">
        <v>3764</v>
      </c>
      <c r="B777" s="25" t="s">
        <v>2930</v>
      </c>
      <c r="C777" s="25" t="s">
        <v>2121</v>
      </c>
      <c r="D777" s="25" t="s">
        <v>2182</v>
      </c>
      <c r="E777" s="25" t="s">
        <v>3766</v>
      </c>
      <c r="F777" s="25" t="s">
        <v>2016</v>
      </c>
      <c r="G777" s="25" t="s">
        <v>189</v>
      </c>
    </row>
    <row r="778" ht="15" customHeight="1">
      <c r="A778" s="25" t="s">
        <v>3767</v>
      </c>
      <c r="B778" s="25" t="s">
        <v>3493</v>
      </c>
      <c r="C778" s="25" t="s">
        <v>2129</v>
      </c>
      <c r="D778" s="25" t="s">
        <v>2185</v>
      </c>
      <c r="E778" s="25" t="s">
        <v>3768</v>
      </c>
      <c r="F778" s="25" t="s">
        <v>2076</v>
      </c>
      <c r="G778" s="25" t="s">
        <v>200</v>
      </c>
    </row>
    <row r="779" ht="15" customHeight="1">
      <c r="A779" s="25" t="s">
        <v>3767</v>
      </c>
      <c r="B779" s="25" t="s">
        <v>3769</v>
      </c>
      <c r="C779" s="25" t="s">
        <v>2157</v>
      </c>
      <c r="D779" s="25" t="s">
        <v>2158</v>
      </c>
      <c r="E779" s="25" t="s">
        <v>3770</v>
      </c>
      <c r="F779" s="25" t="s">
        <v>1798</v>
      </c>
      <c r="G779" s="25" t="s">
        <v>167</v>
      </c>
    </row>
    <row r="780" ht="15" customHeight="1">
      <c r="A780" s="25" t="s">
        <v>3771</v>
      </c>
      <c r="B780" s="25" t="s">
        <v>1320</v>
      </c>
      <c r="C780" s="25" t="s">
        <v>2125</v>
      </c>
      <c r="D780" s="25" t="s">
        <v>2149</v>
      </c>
      <c r="E780" s="25" t="s">
        <v>3772</v>
      </c>
      <c r="F780" s="25" t="s">
        <v>1933</v>
      </c>
      <c r="G780" s="25" t="s">
        <v>172</v>
      </c>
    </row>
    <row r="781" ht="15" customHeight="1">
      <c r="A781" s="25" t="s">
        <v>3771</v>
      </c>
      <c r="B781" s="25" t="s">
        <v>3773</v>
      </c>
      <c r="C781" s="25" t="s">
        <v>2121</v>
      </c>
      <c r="D781" s="25" t="s">
        <v>2165</v>
      </c>
      <c r="E781" s="25" t="s">
        <v>3774</v>
      </c>
      <c r="F781" s="25" t="s">
        <v>2046</v>
      </c>
      <c r="G781" s="25" t="s">
        <v>177</v>
      </c>
    </row>
    <row r="782" ht="15" customHeight="1">
      <c r="A782" s="25" t="s">
        <v>3775</v>
      </c>
      <c r="B782" s="25" t="s">
        <v>2850</v>
      </c>
      <c r="C782" s="25" t="s">
        <v>2145</v>
      </c>
      <c r="D782" s="25" t="s">
        <v>2146</v>
      </c>
      <c r="E782" s="25" t="s">
        <v>3776</v>
      </c>
      <c r="F782" s="25" t="s">
        <v>2112</v>
      </c>
      <c r="G782" s="25" t="s">
        <v>189</v>
      </c>
    </row>
    <row r="783" ht="15" customHeight="1">
      <c r="A783" s="25" t="s">
        <v>3775</v>
      </c>
      <c r="B783" s="25" t="s">
        <v>3410</v>
      </c>
      <c r="C783" s="25" t="s">
        <v>2121</v>
      </c>
      <c r="D783" s="25" t="s">
        <v>2126</v>
      </c>
      <c r="E783" s="25" t="s">
        <v>3777</v>
      </c>
      <c r="F783" s="25" t="s">
        <v>1868</v>
      </c>
      <c r="G783" s="25" t="s">
        <v>193</v>
      </c>
    </row>
    <row r="784" ht="15" customHeight="1">
      <c r="A784" s="25" t="s">
        <v>3778</v>
      </c>
      <c r="B784" s="25" t="s">
        <v>3779</v>
      </c>
      <c r="C784" s="25" t="s">
        <v>2153</v>
      </c>
      <c r="D784" s="25" t="s">
        <v>2380</v>
      </c>
      <c r="E784" s="25" t="s">
        <v>3780</v>
      </c>
      <c r="F784" s="25" t="s">
        <v>1972</v>
      </c>
      <c r="G784" s="25" t="s">
        <v>167</v>
      </c>
    </row>
    <row r="785" ht="15" customHeight="1">
      <c r="A785" s="25" t="s">
        <v>3778</v>
      </c>
      <c r="B785" s="25" t="s">
        <v>2560</v>
      </c>
      <c r="C785" s="25" t="s">
        <v>2199</v>
      </c>
      <c r="D785" s="25" t="s">
        <v>2258</v>
      </c>
      <c r="E785" s="25" t="s">
        <v>3781</v>
      </c>
      <c r="F785" s="25" t="s">
        <v>1914</v>
      </c>
      <c r="G785" s="25" t="s">
        <v>200</v>
      </c>
    </row>
    <row r="786" ht="15" customHeight="1">
      <c r="A786" s="25" t="s">
        <v>3782</v>
      </c>
      <c r="B786" s="25" t="s">
        <v>3783</v>
      </c>
      <c r="C786" s="25" t="s">
        <v>2121</v>
      </c>
      <c r="D786" s="25" t="s">
        <v>2260</v>
      </c>
      <c r="E786" s="25" t="s">
        <v>3784</v>
      </c>
      <c r="F786" s="25" t="s">
        <v>2052</v>
      </c>
      <c r="G786" s="25" t="s">
        <v>172</v>
      </c>
    </row>
    <row r="787" ht="15" customHeight="1">
      <c r="A787" s="25" t="s">
        <v>3782</v>
      </c>
      <c r="B787" s="25" t="s">
        <v>3375</v>
      </c>
      <c r="C787" s="25" t="s">
        <v>2125</v>
      </c>
      <c r="D787" s="25" t="s">
        <v>2301</v>
      </c>
      <c r="E787" s="25" t="s">
        <v>3785</v>
      </c>
      <c r="F787" s="25" t="s">
        <v>1812</v>
      </c>
      <c r="G787" s="25" t="s">
        <v>177</v>
      </c>
    </row>
    <row r="788" ht="15" customHeight="1">
      <c r="A788" s="25" t="s">
        <v>3786</v>
      </c>
      <c r="B788" s="25" t="s">
        <v>2787</v>
      </c>
      <c r="C788" s="25" t="s">
        <v>2145</v>
      </c>
      <c r="D788" s="25" t="s">
        <v>2200</v>
      </c>
      <c r="E788" s="25" t="s">
        <v>3787</v>
      </c>
      <c r="F788" s="25" t="s">
        <v>1959</v>
      </c>
      <c r="G788" s="25" t="s">
        <v>167</v>
      </c>
    </row>
    <row r="789" ht="15" customHeight="1">
      <c r="A789" s="25" t="s">
        <v>3786</v>
      </c>
      <c r="B789" s="25" t="s">
        <v>2670</v>
      </c>
      <c r="C789" s="25" t="s">
        <v>2121</v>
      </c>
      <c r="D789" s="25" t="s">
        <v>2203</v>
      </c>
      <c r="E789" s="25" t="s">
        <v>3788</v>
      </c>
      <c r="F789" s="25" t="s">
        <v>1861</v>
      </c>
      <c r="G789" s="25" t="s">
        <v>193</v>
      </c>
    </row>
    <row r="790" ht="15" customHeight="1">
      <c r="A790" s="25" t="s">
        <v>3789</v>
      </c>
      <c r="B790" s="25" t="s">
        <v>2609</v>
      </c>
      <c r="C790" s="25" t="s">
        <v>2153</v>
      </c>
      <c r="D790" s="25" t="s">
        <v>2154</v>
      </c>
      <c r="E790" s="25" t="s">
        <v>3790</v>
      </c>
      <c r="F790" s="25" t="s">
        <v>2010</v>
      </c>
      <c r="G790" s="25" t="s">
        <v>189</v>
      </c>
    </row>
    <row r="791" ht="15" customHeight="1">
      <c r="A791" s="25" t="s">
        <v>3789</v>
      </c>
      <c r="B791" s="25" t="s">
        <v>1548</v>
      </c>
      <c r="C791" s="25" t="s">
        <v>2133</v>
      </c>
      <c r="D791" s="25" t="s">
        <v>2134</v>
      </c>
      <c r="E791" s="25" t="s">
        <v>3791</v>
      </c>
      <c r="F791" s="25" t="s">
        <v>2094</v>
      </c>
      <c r="G791" s="25" t="s">
        <v>200</v>
      </c>
    </row>
    <row r="792" ht="15" customHeight="1">
      <c r="A792" s="25" t="s">
        <v>3792</v>
      </c>
      <c r="B792" s="25" t="s">
        <v>2923</v>
      </c>
      <c r="C792" s="25" t="s">
        <v>2145</v>
      </c>
      <c r="D792" s="25" t="s">
        <v>2139</v>
      </c>
      <c r="E792" s="25" t="s">
        <v>3793</v>
      </c>
      <c r="F792" s="25" t="s">
        <v>1927</v>
      </c>
      <c r="G792" s="25" t="s">
        <v>167</v>
      </c>
    </row>
    <row r="793" ht="15" customHeight="1">
      <c r="A793" s="25" t="s">
        <v>3792</v>
      </c>
      <c r="B793" s="25" t="s">
        <v>771</v>
      </c>
      <c r="C793" s="25" t="s">
        <v>2121</v>
      </c>
      <c r="D793" s="25" t="s">
        <v>2141</v>
      </c>
      <c r="E793" s="25" t="s">
        <v>3794</v>
      </c>
      <c r="F793" s="25" t="s">
        <v>1805</v>
      </c>
      <c r="G793" s="25" t="s">
        <v>172</v>
      </c>
    </row>
    <row r="794" ht="15" customHeight="1">
      <c r="A794" s="25" t="s">
        <v>3795</v>
      </c>
      <c r="B794" s="25" t="s">
        <v>3222</v>
      </c>
      <c r="C794" s="25" t="s">
        <v>2125</v>
      </c>
      <c r="D794" s="25" t="s">
        <v>2178</v>
      </c>
      <c r="E794" s="25" t="s">
        <v>3796</v>
      </c>
      <c r="F794" s="25" t="s">
        <v>2040</v>
      </c>
      <c r="G794" s="25" t="s">
        <v>177</v>
      </c>
    </row>
    <row r="795" ht="15" customHeight="1">
      <c r="A795" s="25" t="s">
        <v>3795</v>
      </c>
      <c r="B795" s="25" t="s">
        <v>3046</v>
      </c>
      <c r="C795" s="25" t="s">
        <v>2121</v>
      </c>
      <c r="D795" s="25" t="s">
        <v>2182</v>
      </c>
      <c r="E795" s="25" t="s">
        <v>3797</v>
      </c>
      <c r="F795" s="25" t="s">
        <v>1902</v>
      </c>
      <c r="G795" s="25" t="s">
        <v>189</v>
      </c>
    </row>
    <row r="796" ht="15" customHeight="1">
      <c r="A796" s="25" t="s">
        <v>3798</v>
      </c>
      <c r="B796" s="25" t="s">
        <v>3528</v>
      </c>
      <c r="C796" s="25" t="s">
        <v>2129</v>
      </c>
      <c r="D796" s="25" t="s">
        <v>2185</v>
      </c>
      <c r="E796" s="25" t="s">
        <v>3799</v>
      </c>
      <c r="F796" s="25" t="s">
        <v>1984</v>
      </c>
      <c r="G796" s="25" t="s">
        <v>193</v>
      </c>
    </row>
    <row r="797" ht="15" customHeight="1">
      <c r="A797" s="25" t="s">
        <v>3798</v>
      </c>
      <c r="B797" s="25" t="s">
        <v>3800</v>
      </c>
      <c r="C797" s="25" t="s">
        <v>2157</v>
      </c>
      <c r="D797" s="25" t="s">
        <v>2158</v>
      </c>
      <c r="E797" s="25" t="s">
        <v>3801</v>
      </c>
      <c r="F797" s="25" t="s">
        <v>2022</v>
      </c>
      <c r="G797" s="25" t="s">
        <v>167</v>
      </c>
    </row>
    <row r="798" ht="15" customHeight="1">
      <c r="A798" s="25" t="s">
        <v>3802</v>
      </c>
      <c r="B798" s="25" t="s">
        <v>1292</v>
      </c>
      <c r="C798" s="25" t="s">
        <v>2125</v>
      </c>
      <c r="D798" s="25" t="s">
        <v>2149</v>
      </c>
      <c r="E798" s="25" t="s">
        <v>3803</v>
      </c>
      <c r="F798" s="25" t="s">
        <v>2088</v>
      </c>
      <c r="G798" s="25" t="s">
        <v>200</v>
      </c>
    </row>
    <row r="799" ht="15" customHeight="1">
      <c r="A799" s="25" t="s">
        <v>3802</v>
      </c>
      <c r="B799" s="25" t="s">
        <v>3804</v>
      </c>
      <c r="C799" s="25" t="s">
        <v>2121</v>
      </c>
      <c r="D799" s="25" t="s">
        <v>2165</v>
      </c>
      <c r="E799" s="25" t="s">
        <v>3805</v>
      </c>
      <c r="F799" s="25" t="s">
        <v>1940</v>
      </c>
      <c r="G799" s="25" t="s">
        <v>172</v>
      </c>
    </row>
    <row r="800" ht="15" customHeight="1">
      <c r="A800" s="25" t="s">
        <v>3806</v>
      </c>
      <c r="B800" s="25" t="s">
        <v>3807</v>
      </c>
      <c r="C800" s="25" t="s">
        <v>2145</v>
      </c>
      <c r="D800" s="25" t="s">
        <v>2146</v>
      </c>
      <c r="E800" s="25" t="s">
        <v>3808</v>
      </c>
      <c r="F800" s="25" t="s">
        <v>2070</v>
      </c>
      <c r="G800" s="25" t="s">
        <v>177</v>
      </c>
    </row>
    <row r="801" ht="15" customHeight="1">
      <c r="A801" s="25" t="s">
        <v>3806</v>
      </c>
      <c r="B801" s="25" t="s">
        <v>1688</v>
      </c>
      <c r="C801" s="25" t="s">
        <v>2121</v>
      </c>
      <c r="D801" s="25" t="s">
        <v>2126</v>
      </c>
      <c r="E801" s="25" t="s">
        <v>3809</v>
      </c>
      <c r="F801" s="25" t="s">
        <v>1991</v>
      </c>
      <c r="G801" s="25" t="s">
        <v>167</v>
      </c>
    </row>
    <row r="802" ht="15" customHeight="1">
      <c r="A802" s="25" t="s">
        <v>3810</v>
      </c>
      <c r="B802" s="25" t="s">
        <v>1464</v>
      </c>
      <c r="C802" s="25" t="s">
        <v>2153</v>
      </c>
      <c r="D802" s="25" t="s">
        <v>2380</v>
      </c>
      <c r="E802" s="25" t="s">
        <v>3811</v>
      </c>
      <c r="F802" s="25" t="s">
        <v>1874</v>
      </c>
      <c r="G802" s="25" t="s">
        <v>193</v>
      </c>
    </row>
    <row r="803" ht="15" customHeight="1">
      <c r="A803" s="25" t="s">
        <v>3810</v>
      </c>
      <c r="B803" s="25" t="s">
        <v>3812</v>
      </c>
      <c r="C803" s="25" t="s">
        <v>2199</v>
      </c>
      <c r="D803" s="25" t="s">
        <v>2258</v>
      </c>
      <c r="E803" s="25" t="s">
        <v>3813</v>
      </c>
      <c r="F803" s="25" t="s">
        <v>1840</v>
      </c>
      <c r="G803" s="25" t="s">
        <v>189</v>
      </c>
    </row>
    <row r="804" ht="15" customHeight="1">
      <c r="A804" s="25" t="s">
        <v>3814</v>
      </c>
      <c r="B804" s="25" t="s">
        <v>3815</v>
      </c>
      <c r="C804" s="25" t="s">
        <v>2121</v>
      </c>
      <c r="D804" s="25" t="s">
        <v>2260</v>
      </c>
      <c r="E804" s="25" t="s">
        <v>3816</v>
      </c>
      <c r="F804" s="25" t="s">
        <v>1947</v>
      </c>
      <c r="G804" s="25" t="s">
        <v>200</v>
      </c>
    </row>
    <row r="805" ht="15" customHeight="1">
      <c r="A805" s="25" t="s">
        <v>3814</v>
      </c>
      <c r="B805" s="25" t="s">
        <v>903</v>
      </c>
      <c r="C805" s="25" t="s">
        <v>2125</v>
      </c>
      <c r="D805" s="25" t="s">
        <v>2301</v>
      </c>
      <c r="E805" s="25" t="s">
        <v>3817</v>
      </c>
      <c r="F805" s="25" t="s">
        <v>2082</v>
      </c>
      <c r="G805" s="25" t="s">
        <v>167</v>
      </c>
    </row>
    <row r="806" ht="15" customHeight="1">
      <c r="A806" s="25" t="s">
        <v>3818</v>
      </c>
      <c r="B806" s="25" t="s">
        <v>3006</v>
      </c>
      <c r="C806" s="25" t="s">
        <v>2145</v>
      </c>
      <c r="D806" s="25" t="s">
        <v>2200</v>
      </c>
      <c r="E806" s="25" t="s">
        <v>3819</v>
      </c>
      <c r="F806" s="25" t="s">
        <v>1847</v>
      </c>
      <c r="G806" s="25" t="s">
        <v>172</v>
      </c>
    </row>
    <row r="807" ht="15" customHeight="1">
      <c r="A807" s="25" t="s">
        <v>3818</v>
      </c>
      <c r="B807" s="25" t="s">
        <v>2580</v>
      </c>
      <c r="C807" s="25" t="s">
        <v>2121</v>
      </c>
      <c r="D807" s="25" t="s">
        <v>2203</v>
      </c>
      <c r="E807" s="25" t="s">
        <v>3820</v>
      </c>
      <c r="F807" s="25" t="s">
        <v>1997</v>
      </c>
      <c r="G807" s="25" t="s">
        <v>177</v>
      </c>
    </row>
    <row r="808" ht="15" customHeight="1">
      <c r="A808" s="25" t="s">
        <v>3821</v>
      </c>
      <c r="B808" s="25" t="s">
        <v>1503</v>
      </c>
      <c r="C808" s="25" t="s">
        <v>2153</v>
      </c>
      <c r="D808" s="25" t="s">
        <v>2154</v>
      </c>
      <c r="E808" s="25" t="s">
        <v>3822</v>
      </c>
      <c r="F808" s="25" t="s">
        <v>1920</v>
      </c>
      <c r="G808" s="25" t="s">
        <v>189</v>
      </c>
    </row>
    <row r="809" ht="15" customHeight="1">
      <c r="A809" s="25" t="s">
        <v>3821</v>
      </c>
      <c r="B809" s="25" t="s">
        <v>1128</v>
      </c>
      <c r="C809" s="25" t="s">
        <v>2133</v>
      </c>
      <c r="D809" s="25" t="s">
        <v>2134</v>
      </c>
      <c r="E809" s="25" t="s">
        <v>3823</v>
      </c>
      <c r="F809" s="25" t="s">
        <v>2064</v>
      </c>
      <c r="G809" s="25" t="s">
        <v>193</v>
      </c>
    </row>
    <row r="810" ht="15" customHeight="1">
      <c r="A810" s="25" t="s">
        <v>3824</v>
      </c>
      <c r="B810" s="25" t="s">
        <v>3702</v>
      </c>
      <c r="C810" s="25" t="s">
        <v>2145</v>
      </c>
      <c r="D810" s="25" t="s">
        <v>2139</v>
      </c>
      <c r="E810" s="25" t="s">
        <v>3825</v>
      </c>
      <c r="F810" s="25" t="s">
        <v>1826</v>
      </c>
      <c r="G810" s="25" t="s">
        <v>167</v>
      </c>
    </row>
    <row r="811" ht="15" customHeight="1">
      <c r="A811" s="25" t="s">
        <v>3824</v>
      </c>
      <c r="B811" s="25" t="s">
        <v>3198</v>
      </c>
      <c r="C811" s="25" t="s">
        <v>2121</v>
      </c>
      <c r="D811" s="25" t="s">
        <v>2141</v>
      </c>
      <c r="E811" s="25" t="s">
        <v>3826</v>
      </c>
      <c r="F811" s="25" t="s">
        <v>2028</v>
      </c>
      <c r="G811" s="25" t="s">
        <v>200</v>
      </c>
    </row>
    <row r="812" ht="15" customHeight="1">
      <c r="A812" s="25" t="s">
        <v>3827</v>
      </c>
      <c r="B812" s="25" t="s">
        <v>2617</v>
      </c>
      <c r="C812" s="25" t="s">
        <v>2125</v>
      </c>
      <c r="D812" s="25" t="s">
        <v>2178</v>
      </c>
      <c r="E812" s="25" t="s">
        <v>3828</v>
      </c>
      <c r="F812" s="25" t="s">
        <v>1888</v>
      </c>
      <c r="G812" s="25" t="s">
        <v>172</v>
      </c>
    </row>
    <row r="813" ht="15" customHeight="1">
      <c r="A813" s="25" t="s">
        <v>3827</v>
      </c>
      <c r="B813" s="25" t="s">
        <v>1688</v>
      </c>
      <c r="C813" s="25" t="s">
        <v>2121</v>
      </c>
      <c r="D813" s="25" t="s">
        <v>2182</v>
      </c>
      <c r="E813" s="25" t="s">
        <v>3829</v>
      </c>
      <c r="F813" s="25" t="s">
        <v>1978</v>
      </c>
      <c r="G813" s="25" t="s">
        <v>177</v>
      </c>
    </row>
    <row r="814" ht="15" customHeight="1">
      <c r="A814" s="25" t="s">
        <v>3830</v>
      </c>
      <c r="B814" s="25" t="s">
        <v>3621</v>
      </c>
      <c r="C814" s="25" t="s">
        <v>2129</v>
      </c>
      <c r="D814" s="25" t="s">
        <v>2185</v>
      </c>
      <c r="E814" s="25" t="s">
        <v>3831</v>
      </c>
      <c r="F814" s="25" t="s">
        <v>1854</v>
      </c>
      <c r="G814" s="25" t="s">
        <v>167</v>
      </c>
    </row>
    <row r="815" ht="15" customHeight="1">
      <c r="A815" s="25" t="s">
        <v>3830</v>
      </c>
      <c r="B815" s="25" t="s">
        <v>2812</v>
      </c>
      <c r="C815" s="25" t="s">
        <v>2157</v>
      </c>
      <c r="D815" s="25" t="s">
        <v>2158</v>
      </c>
      <c r="E815" s="25" t="s">
        <v>3832</v>
      </c>
      <c r="F815" s="25" t="s">
        <v>2058</v>
      </c>
      <c r="G815" s="25" t="s">
        <v>193</v>
      </c>
    </row>
    <row r="816" ht="15" customHeight="1">
      <c r="A816" s="25" t="s">
        <v>3833</v>
      </c>
      <c r="B816" s="25" t="s">
        <v>2758</v>
      </c>
      <c r="C816" s="25" t="s">
        <v>2125</v>
      </c>
      <c r="D816" s="25" t="s">
        <v>2149</v>
      </c>
      <c r="E816" s="25" t="s">
        <v>3834</v>
      </c>
      <c r="F816" s="25" t="s">
        <v>1908</v>
      </c>
      <c r="G816" s="25" t="s">
        <v>189</v>
      </c>
    </row>
    <row r="817" ht="15" customHeight="1">
      <c r="A817" s="25" t="s">
        <v>3833</v>
      </c>
      <c r="B817" s="25" t="s">
        <v>3835</v>
      </c>
      <c r="C817" s="25" t="s">
        <v>2121</v>
      </c>
      <c r="D817" s="25" t="s">
        <v>2165</v>
      </c>
      <c r="E817" s="25" t="s">
        <v>3836</v>
      </c>
      <c r="F817" s="25" t="s">
        <v>2004</v>
      </c>
      <c r="G817" s="25" t="s">
        <v>200</v>
      </c>
    </row>
    <row r="818" ht="15" customHeight="1">
      <c r="A818" s="25" t="s">
        <v>3837</v>
      </c>
      <c r="B818" s="25" t="s">
        <v>3838</v>
      </c>
      <c r="C818" s="25" t="s">
        <v>2145</v>
      </c>
      <c r="D818" s="25" t="s">
        <v>2146</v>
      </c>
      <c r="E818" s="25" t="s">
        <v>3839</v>
      </c>
      <c r="F818" s="25" t="s">
        <v>2106</v>
      </c>
      <c r="G818" s="25" t="s">
        <v>167</v>
      </c>
    </row>
    <row r="819" ht="15" customHeight="1">
      <c r="A819" s="25" t="s">
        <v>3837</v>
      </c>
      <c r="B819" s="25" t="s">
        <v>2917</v>
      </c>
      <c r="C819" s="25" t="s">
        <v>2121</v>
      </c>
      <c r="D819" s="25" t="s">
        <v>2126</v>
      </c>
      <c r="E819" s="25" t="s">
        <v>3840</v>
      </c>
      <c r="F819" s="25" t="s">
        <v>1833</v>
      </c>
      <c r="G819" s="25" t="s">
        <v>172</v>
      </c>
    </row>
    <row r="820" ht="15" customHeight="1">
      <c r="A820" s="25" t="s">
        <v>3841</v>
      </c>
      <c r="B820" s="25" t="s">
        <v>3842</v>
      </c>
      <c r="C820" s="25" t="s">
        <v>2153</v>
      </c>
      <c r="D820" s="25" t="s">
        <v>2380</v>
      </c>
      <c r="E820" s="25" t="s">
        <v>3843</v>
      </c>
      <c r="F820" s="25" t="s">
        <v>1953</v>
      </c>
      <c r="G820" s="25" t="s">
        <v>177</v>
      </c>
    </row>
    <row r="821" ht="15" customHeight="1">
      <c r="A821" s="25" t="s">
        <v>3841</v>
      </c>
      <c r="B821" s="25" t="s">
        <v>3844</v>
      </c>
      <c r="C821" s="25" t="s">
        <v>2199</v>
      </c>
      <c r="D821" s="25" t="s">
        <v>2258</v>
      </c>
      <c r="E821" s="25" t="s">
        <v>3845</v>
      </c>
      <c r="F821" s="25" t="s">
        <v>1895</v>
      </c>
      <c r="G821" s="25" t="s">
        <v>189</v>
      </c>
    </row>
    <row r="822" ht="15" customHeight="1">
      <c r="A822" s="25" t="s">
        <v>3846</v>
      </c>
      <c r="B822" s="25" t="s">
        <v>1328</v>
      </c>
      <c r="C822" s="25" t="s">
        <v>2121</v>
      </c>
      <c r="D822" s="25" t="s">
        <v>2260</v>
      </c>
      <c r="E822" s="25" t="s">
        <v>3847</v>
      </c>
      <c r="F822" s="25" t="s">
        <v>2034</v>
      </c>
      <c r="G822" s="25" t="s">
        <v>193</v>
      </c>
    </row>
    <row r="823" ht="15" customHeight="1">
      <c r="A823" s="25" t="s">
        <v>3846</v>
      </c>
      <c r="B823" s="25" t="s">
        <v>3078</v>
      </c>
      <c r="C823" s="25" t="s">
        <v>2125</v>
      </c>
      <c r="D823" s="25" t="s">
        <v>2301</v>
      </c>
      <c r="E823" s="25" t="s">
        <v>3848</v>
      </c>
      <c r="F823" s="25" t="s">
        <v>2100</v>
      </c>
      <c r="G823" s="25" t="s">
        <v>167</v>
      </c>
    </row>
    <row r="824" ht="15" customHeight="1">
      <c r="A824" s="25" t="s">
        <v>3849</v>
      </c>
      <c r="B824" s="25" t="s">
        <v>2498</v>
      </c>
      <c r="C824" s="25" t="s">
        <v>2145</v>
      </c>
      <c r="D824" s="25" t="s">
        <v>2200</v>
      </c>
      <c r="E824" s="25" t="s">
        <v>3850</v>
      </c>
      <c r="F824" s="25" t="s">
        <v>1819</v>
      </c>
      <c r="G824" s="25" t="s">
        <v>200</v>
      </c>
    </row>
    <row r="825" ht="15" customHeight="1">
      <c r="A825" s="25" t="s">
        <v>3849</v>
      </c>
      <c r="B825" s="25" t="s">
        <v>3851</v>
      </c>
      <c r="C825" s="25" t="s">
        <v>2121</v>
      </c>
      <c r="D825" s="25" t="s">
        <v>2203</v>
      </c>
      <c r="E825" s="25" t="s">
        <v>3852</v>
      </c>
      <c r="F825" s="25" t="s">
        <v>1966</v>
      </c>
      <c r="G825" s="25" t="s">
        <v>172</v>
      </c>
    </row>
    <row r="826" ht="15" customHeight="1">
      <c r="A826" s="25" t="s">
        <v>3853</v>
      </c>
      <c r="B826" s="25" t="s">
        <v>2997</v>
      </c>
      <c r="C826" s="25" t="s">
        <v>2153</v>
      </c>
      <c r="D826" s="25" t="s">
        <v>2154</v>
      </c>
      <c r="E826" s="25" t="s">
        <v>3854</v>
      </c>
      <c r="F826" s="25" t="s">
        <v>1881</v>
      </c>
      <c r="G826" s="25" t="s">
        <v>177</v>
      </c>
    </row>
    <row r="827" ht="15" customHeight="1">
      <c r="A827" s="25" t="s">
        <v>3853</v>
      </c>
      <c r="B827" s="25" t="s">
        <v>1448</v>
      </c>
      <c r="C827" s="25" t="s">
        <v>2133</v>
      </c>
      <c r="D827" s="25" t="s">
        <v>2134</v>
      </c>
      <c r="E827" s="25" t="s">
        <v>3855</v>
      </c>
      <c r="F827" s="25" t="s">
        <v>2016</v>
      </c>
      <c r="G827" s="25" t="s">
        <v>167</v>
      </c>
    </row>
    <row r="828" ht="15" customHeight="1">
      <c r="A828" s="25" t="s">
        <v>3856</v>
      </c>
      <c r="B828" s="25" t="s">
        <v>1286</v>
      </c>
      <c r="C828" s="25" t="s">
        <v>2145</v>
      </c>
      <c r="D828" s="25" t="s">
        <v>2139</v>
      </c>
      <c r="E828" s="25" t="s">
        <v>3857</v>
      </c>
      <c r="F828" s="25" t="s">
        <v>2076</v>
      </c>
      <c r="G828" s="25" t="s">
        <v>193</v>
      </c>
    </row>
    <row r="829" ht="15" customHeight="1">
      <c r="A829" s="25" t="s">
        <v>3856</v>
      </c>
      <c r="B829" s="25" t="s">
        <v>3858</v>
      </c>
      <c r="C829" s="25" t="s">
        <v>2121</v>
      </c>
      <c r="D829" s="25" t="s">
        <v>2141</v>
      </c>
      <c r="E829" s="25" t="s">
        <v>3859</v>
      </c>
      <c r="F829" s="25" t="s">
        <v>1798</v>
      </c>
      <c r="G829" s="25" t="s">
        <v>189</v>
      </c>
    </row>
    <row r="830" ht="15" customHeight="1">
      <c r="A830" s="25" t="s">
        <v>3860</v>
      </c>
      <c r="B830" s="25" t="s">
        <v>2863</v>
      </c>
      <c r="C830" s="25" t="s">
        <v>2125</v>
      </c>
      <c r="D830" s="25" t="s">
        <v>2178</v>
      </c>
      <c r="E830" s="25" t="s">
        <v>3861</v>
      </c>
      <c r="F830" s="25" t="s">
        <v>1933</v>
      </c>
      <c r="G830" s="25" t="s">
        <v>200</v>
      </c>
    </row>
    <row r="831" ht="15" customHeight="1">
      <c r="A831" s="25" t="s">
        <v>3860</v>
      </c>
      <c r="B831" s="25" t="s">
        <v>3107</v>
      </c>
      <c r="C831" s="25" t="s">
        <v>2121</v>
      </c>
      <c r="D831" s="25" t="s">
        <v>2182</v>
      </c>
      <c r="E831" s="25" t="s">
        <v>3862</v>
      </c>
      <c r="F831" s="25" t="s">
        <v>2046</v>
      </c>
      <c r="G831" s="25" t="s">
        <v>167</v>
      </c>
    </row>
    <row r="832" ht="15" customHeight="1">
      <c r="A832" s="25" t="s">
        <v>3863</v>
      </c>
      <c r="B832" s="25" t="s">
        <v>3154</v>
      </c>
      <c r="C832" s="25" t="s">
        <v>2129</v>
      </c>
      <c r="D832" s="25" t="s">
        <v>2185</v>
      </c>
      <c r="E832" s="25" t="s">
        <v>3864</v>
      </c>
      <c r="F832" s="25" t="s">
        <v>2112</v>
      </c>
      <c r="G832" s="25" t="s">
        <v>172</v>
      </c>
    </row>
    <row r="833" ht="15" customHeight="1">
      <c r="A833" s="25" t="s">
        <v>3863</v>
      </c>
      <c r="B833" s="25" t="s">
        <v>1342</v>
      </c>
      <c r="C833" s="25" t="s">
        <v>2157</v>
      </c>
      <c r="D833" s="25" t="s">
        <v>2158</v>
      </c>
      <c r="E833" s="25" t="s">
        <v>3865</v>
      </c>
      <c r="F833" s="25" t="s">
        <v>1868</v>
      </c>
      <c r="G833" s="25" t="s">
        <v>177</v>
      </c>
    </row>
    <row r="834" ht="15" customHeight="1">
      <c r="A834" s="25" t="s">
        <v>3866</v>
      </c>
      <c r="B834" s="25" t="s">
        <v>3373</v>
      </c>
      <c r="C834" s="25" t="s">
        <v>2125</v>
      </c>
      <c r="D834" s="25" t="s">
        <v>2149</v>
      </c>
      <c r="E834" s="25" t="s">
        <v>3867</v>
      </c>
      <c r="F834" s="25" t="s">
        <v>1972</v>
      </c>
      <c r="G834" s="25" t="s">
        <v>189</v>
      </c>
    </row>
    <row r="835" ht="15" customHeight="1">
      <c r="A835" s="25" t="s">
        <v>3866</v>
      </c>
      <c r="B835" s="25" t="s">
        <v>3868</v>
      </c>
      <c r="C835" s="25" t="s">
        <v>2121</v>
      </c>
      <c r="D835" s="25" t="s">
        <v>2165</v>
      </c>
      <c r="E835" s="25" t="s">
        <v>3869</v>
      </c>
      <c r="F835" s="25" t="s">
        <v>1914</v>
      </c>
      <c r="G835" s="25" t="s">
        <v>193</v>
      </c>
    </row>
    <row r="836" ht="15" customHeight="1">
      <c r="A836" s="25" t="s">
        <v>3870</v>
      </c>
      <c r="B836" s="25" t="s">
        <v>2787</v>
      </c>
      <c r="C836" s="25" t="s">
        <v>2145</v>
      </c>
      <c r="D836" s="25" t="s">
        <v>2146</v>
      </c>
      <c r="E836" s="25" t="s">
        <v>3871</v>
      </c>
      <c r="F836" s="25" t="s">
        <v>2052</v>
      </c>
      <c r="G836" s="25" t="s">
        <v>167</v>
      </c>
    </row>
    <row r="837" ht="15" customHeight="1">
      <c r="A837" s="25" t="s">
        <v>3870</v>
      </c>
      <c r="B837" s="25" t="s">
        <v>3020</v>
      </c>
      <c r="C837" s="25" t="s">
        <v>2121</v>
      </c>
      <c r="D837" s="25" t="s">
        <v>2126</v>
      </c>
      <c r="E837" s="25" t="s">
        <v>3872</v>
      </c>
      <c r="F837" s="25" t="s">
        <v>1812</v>
      </c>
      <c r="G837" s="25" t="s">
        <v>200</v>
      </c>
    </row>
    <row r="838" ht="15" customHeight="1">
      <c r="A838" s="25" t="s">
        <v>3873</v>
      </c>
      <c r="B838" s="25" t="s">
        <v>2765</v>
      </c>
      <c r="C838" s="25" t="s">
        <v>2153</v>
      </c>
      <c r="D838" s="25" t="s">
        <v>2380</v>
      </c>
      <c r="E838" s="25" t="s">
        <v>3874</v>
      </c>
      <c r="F838" s="25" t="s">
        <v>1959</v>
      </c>
      <c r="G838" s="25" t="s">
        <v>172</v>
      </c>
    </row>
    <row r="839" ht="15" customHeight="1">
      <c r="A839" s="25" t="s">
        <v>3873</v>
      </c>
      <c r="B839" s="25" t="s">
        <v>3875</v>
      </c>
      <c r="C839" s="25" t="s">
        <v>2199</v>
      </c>
      <c r="D839" s="25" t="s">
        <v>2258</v>
      </c>
      <c r="E839" s="25" t="s">
        <v>3876</v>
      </c>
      <c r="F839" s="25" t="s">
        <v>1861</v>
      </c>
      <c r="G839" s="25" t="s">
        <v>177</v>
      </c>
    </row>
    <row r="840" ht="15" customHeight="1">
      <c r="A840" s="25" t="s">
        <v>3877</v>
      </c>
      <c r="B840" s="25" t="s">
        <v>1375</v>
      </c>
      <c r="C840" s="25" t="s">
        <v>2121</v>
      </c>
      <c r="D840" s="25" t="s">
        <v>2260</v>
      </c>
      <c r="E840" s="25" t="s">
        <v>3878</v>
      </c>
      <c r="F840" s="25" t="s">
        <v>2010</v>
      </c>
      <c r="G840" s="25" t="s">
        <v>167</v>
      </c>
    </row>
    <row r="841" ht="15" customHeight="1">
      <c r="A841" s="25" t="s">
        <v>3877</v>
      </c>
      <c r="B841" s="25" t="s">
        <v>3879</v>
      </c>
      <c r="C841" s="25" t="s">
        <v>2125</v>
      </c>
      <c r="D841" s="25" t="s">
        <v>2301</v>
      </c>
      <c r="E841" s="25" t="s">
        <v>3880</v>
      </c>
      <c r="F841" s="25" t="s">
        <v>2094</v>
      </c>
      <c r="G841" s="25" t="s">
        <v>193</v>
      </c>
    </row>
    <row r="842" ht="15" customHeight="1">
      <c r="A842" s="25" t="s">
        <v>3881</v>
      </c>
      <c r="B842" s="25" t="s">
        <v>3730</v>
      </c>
      <c r="C842" s="25" t="s">
        <v>2145</v>
      </c>
      <c r="D842" s="25" t="s">
        <v>2200</v>
      </c>
      <c r="E842" s="25" t="s">
        <v>3882</v>
      </c>
      <c r="F842" s="25" t="s">
        <v>1927</v>
      </c>
      <c r="G842" s="25" t="s">
        <v>189</v>
      </c>
    </row>
    <row r="843" ht="15" customHeight="1">
      <c r="A843" s="25" t="s">
        <v>3881</v>
      </c>
      <c r="B843" s="25" t="s">
        <v>3189</v>
      </c>
      <c r="C843" s="25" t="s">
        <v>2121</v>
      </c>
      <c r="D843" s="25" t="s">
        <v>2203</v>
      </c>
      <c r="E843" s="25" t="s">
        <v>3883</v>
      </c>
      <c r="F843" s="25" t="s">
        <v>1805</v>
      </c>
      <c r="G843" s="25" t="s">
        <v>200</v>
      </c>
    </row>
    <row r="844" ht="15" customHeight="1">
      <c r="A844" s="25" t="s">
        <v>3884</v>
      </c>
      <c r="B844" s="25" t="s">
        <v>3746</v>
      </c>
      <c r="C844" s="25" t="s">
        <v>2153</v>
      </c>
      <c r="D844" s="25" t="s">
        <v>2154</v>
      </c>
      <c r="E844" s="25" t="s">
        <v>3885</v>
      </c>
      <c r="F844" s="25" t="s">
        <v>2040</v>
      </c>
      <c r="G844" s="25" t="s">
        <v>167</v>
      </c>
    </row>
    <row r="845" ht="15" customHeight="1">
      <c r="A845" s="25" t="s">
        <v>3884</v>
      </c>
      <c r="B845" s="25" t="s">
        <v>2793</v>
      </c>
      <c r="C845" s="25" t="s">
        <v>2133</v>
      </c>
      <c r="D845" s="25" t="s">
        <v>2134</v>
      </c>
      <c r="E845" s="25" t="s">
        <v>3886</v>
      </c>
      <c r="F845" s="25" t="s">
        <v>1902</v>
      </c>
      <c r="G845" s="25" t="s">
        <v>172</v>
      </c>
    </row>
    <row r="846" ht="15" customHeight="1">
      <c r="A846" s="25" t="s">
        <v>3887</v>
      </c>
      <c r="B846" s="25" t="s">
        <v>1267</v>
      </c>
      <c r="C846" s="25" t="s">
        <v>2145</v>
      </c>
      <c r="D846" s="25" t="s">
        <v>2139</v>
      </c>
      <c r="E846" s="25" t="s">
        <v>3888</v>
      </c>
      <c r="F846" s="25" t="s">
        <v>1984</v>
      </c>
      <c r="G846" s="25" t="s">
        <v>177</v>
      </c>
    </row>
    <row r="847" ht="15" customHeight="1">
      <c r="A847" s="25" t="s">
        <v>3887</v>
      </c>
      <c r="B847" s="25" t="s">
        <v>3889</v>
      </c>
      <c r="C847" s="25" t="s">
        <v>2121</v>
      </c>
      <c r="D847" s="25" t="s">
        <v>2141</v>
      </c>
      <c r="E847" s="25" t="s">
        <v>3890</v>
      </c>
      <c r="F847" s="25" t="s">
        <v>2022</v>
      </c>
      <c r="G847" s="25" t="s">
        <v>189</v>
      </c>
    </row>
    <row r="848" ht="15" customHeight="1">
      <c r="A848" s="25" t="s">
        <v>3891</v>
      </c>
      <c r="B848" s="25" t="s">
        <v>414</v>
      </c>
      <c r="C848" s="25" t="s">
        <v>2125</v>
      </c>
      <c r="D848" s="25" t="s">
        <v>2178</v>
      </c>
      <c r="E848" s="25" t="s">
        <v>3892</v>
      </c>
      <c r="F848" s="25" t="s">
        <v>2088</v>
      </c>
      <c r="G848" s="25" t="s">
        <v>193</v>
      </c>
    </row>
    <row r="849" ht="15" customHeight="1">
      <c r="A849" s="25" t="s">
        <v>3891</v>
      </c>
      <c r="B849" s="25" t="s">
        <v>3095</v>
      </c>
      <c r="C849" s="25" t="s">
        <v>2121</v>
      </c>
      <c r="D849" s="25" t="s">
        <v>2182</v>
      </c>
      <c r="E849" s="25" t="s">
        <v>3893</v>
      </c>
      <c r="F849" s="25" t="s">
        <v>1940</v>
      </c>
      <c r="G849" s="25" t="s">
        <v>167</v>
      </c>
    </row>
    <row r="850" ht="15" customHeight="1">
      <c r="A850" s="25" t="s">
        <v>3894</v>
      </c>
      <c r="B850" s="25" t="s">
        <v>1427</v>
      </c>
      <c r="C850" s="25" t="s">
        <v>2129</v>
      </c>
      <c r="D850" s="25" t="s">
        <v>2185</v>
      </c>
      <c r="E850" s="25" t="s">
        <v>3895</v>
      </c>
      <c r="F850" s="25" t="s">
        <v>2070</v>
      </c>
      <c r="G850" s="25" t="s">
        <v>200</v>
      </c>
    </row>
    <row r="851" ht="15" customHeight="1">
      <c r="A851" s="25" t="s">
        <v>3894</v>
      </c>
      <c r="B851" s="25" t="s">
        <v>1554</v>
      </c>
      <c r="C851" s="25" t="s">
        <v>2157</v>
      </c>
      <c r="D851" s="25" t="s">
        <v>2158</v>
      </c>
      <c r="E851" s="25" t="s">
        <v>3896</v>
      </c>
      <c r="F851" s="25" t="s">
        <v>1991</v>
      </c>
      <c r="G851" s="25" t="s">
        <v>172</v>
      </c>
    </row>
    <row r="852" ht="15" customHeight="1">
      <c r="A852" s="25" t="s">
        <v>3897</v>
      </c>
      <c r="B852" s="25" t="s">
        <v>2334</v>
      </c>
      <c r="C852" s="25" t="s">
        <v>2125</v>
      </c>
      <c r="D852" s="25" t="s">
        <v>2149</v>
      </c>
      <c r="E852" s="25" t="s">
        <v>3898</v>
      </c>
      <c r="F852" s="25" t="s">
        <v>1874</v>
      </c>
      <c r="G852" s="25" t="s">
        <v>177</v>
      </c>
    </row>
    <row r="853" ht="15" customHeight="1">
      <c r="A853" s="25" t="s">
        <v>3897</v>
      </c>
      <c r="B853" s="25" t="s">
        <v>3899</v>
      </c>
      <c r="C853" s="25" t="s">
        <v>2121</v>
      </c>
      <c r="D853" s="25" t="s">
        <v>2165</v>
      </c>
      <c r="E853" s="25" t="s">
        <v>3900</v>
      </c>
      <c r="F853" s="25" t="s">
        <v>1840</v>
      </c>
      <c r="G853" s="25" t="s">
        <v>167</v>
      </c>
    </row>
    <row r="854" ht="15" customHeight="1">
      <c r="A854" s="25" t="s">
        <v>3901</v>
      </c>
      <c r="B854" s="25" t="s">
        <v>3902</v>
      </c>
      <c r="C854" s="25" t="s">
        <v>2145</v>
      </c>
      <c r="D854" s="25" t="s">
        <v>2146</v>
      </c>
      <c r="E854" s="25" t="s">
        <v>3903</v>
      </c>
      <c r="F854" s="25" t="s">
        <v>1947</v>
      </c>
      <c r="G854" s="25" t="s">
        <v>193</v>
      </c>
    </row>
    <row r="855" ht="15" customHeight="1">
      <c r="A855" s="25" t="s">
        <v>3901</v>
      </c>
      <c r="B855" s="25" t="s">
        <v>2954</v>
      </c>
      <c r="C855" s="25" t="s">
        <v>2121</v>
      </c>
      <c r="D855" s="25" t="s">
        <v>2126</v>
      </c>
      <c r="E855" s="25" t="s">
        <v>3904</v>
      </c>
      <c r="F855" s="25" t="s">
        <v>2082</v>
      </c>
      <c r="G855" s="25" t="s">
        <v>189</v>
      </c>
    </row>
    <row r="856" ht="15" customHeight="1">
      <c r="A856" s="25" t="s">
        <v>3905</v>
      </c>
      <c r="B856" s="25" t="s">
        <v>3457</v>
      </c>
      <c r="C856" s="25" t="s">
        <v>2153</v>
      </c>
      <c r="D856" s="25" t="s">
        <v>2380</v>
      </c>
      <c r="E856" s="25" t="s">
        <v>3906</v>
      </c>
      <c r="F856" s="25" t="s">
        <v>1847</v>
      </c>
      <c r="G856" s="25" t="s">
        <v>200</v>
      </c>
    </row>
    <row r="857" ht="15" customHeight="1">
      <c r="A857" s="25" t="s">
        <v>3905</v>
      </c>
      <c r="B857" s="25" t="s">
        <v>2475</v>
      </c>
      <c r="C857" s="25" t="s">
        <v>2199</v>
      </c>
      <c r="D857" s="25" t="s">
        <v>2258</v>
      </c>
      <c r="E857" s="25" t="s">
        <v>3907</v>
      </c>
      <c r="F857" s="25" t="s">
        <v>1997</v>
      </c>
      <c r="G857" s="25" t="s">
        <v>167</v>
      </c>
    </row>
    <row r="858" ht="15" customHeight="1">
      <c r="A858" s="25" t="s">
        <v>3908</v>
      </c>
      <c r="B858" s="25" t="s">
        <v>2450</v>
      </c>
      <c r="C858" s="25" t="s">
        <v>2121</v>
      </c>
      <c r="D858" s="25" t="s">
        <v>2260</v>
      </c>
      <c r="E858" s="25" t="s">
        <v>3909</v>
      </c>
      <c r="F858" s="25" t="s">
        <v>1920</v>
      </c>
      <c r="G858" s="25" t="s">
        <v>172</v>
      </c>
    </row>
    <row r="859" ht="15" customHeight="1">
      <c r="A859" s="25" t="s">
        <v>3908</v>
      </c>
      <c r="B859" s="25" t="s">
        <v>3440</v>
      </c>
      <c r="C859" s="25" t="s">
        <v>2125</v>
      </c>
      <c r="D859" s="25" t="s">
        <v>2301</v>
      </c>
      <c r="E859" s="25" t="s">
        <v>3910</v>
      </c>
      <c r="F859" s="25" t="s">
        <v>2064</v>
      </c>
      <c r="G859" s="25" t="s">
        <v>177</v>
      </c>
    </row>
    <row r="860" ht="15" customHeight="1">
      <c r="A860" s="25" t="s">
        <v>3911</v>
      </c>
      <c r="B860" s="25" t="s">
        <v>3912</v>
      </c>
      <c r="C860" s="25" t="s">
        <v>2145</v>
      </c>
      <c r="D860" s="25" t="s">
        <v>2200</v>
      </c>
      <c r="E860" s="25" t="s">
        <v>3913</v>
      </c>
      <c r="F860" s="25" t="s">
        <v>1826</v>
      </c>
      <c r="G860" s="25" t="s">
        <v>189</v>
      </c>
    </row>
    <row r="861" ht="15" customHeight="1">
      <c r="A861" s="25" t="s">
        <v>3911</v>
      </c>
      <c r="B861" s="25" t="s">
        <v>2917</v>
      </c>
      <c r="C861" s="25" t="s">
        <v>2121</v>
      </c>
      <c r="D861" s="25" t="s">
        <v>2203</v>
      </c>
      <c r="E861" s="25" t="s">
        <v>3914</v>
      </c>
      <c r="F861" s="25" t="s">
        <v>2028</v>
      </c>
      <c r="G861" s="25" t="s">
        <v>193</v>
      </c>
    </row>
    <row r="862" ht="15" customHeight="1">
      <c r="A862" s="25" t="s">
        <v>3915</v>
      </c>
      <c r="B862" s="25" t="s">
        <v>2957</v>
      </c>
      <c r="C862" s="25" t="s">
        <v>2153</v>
      </c>
      <c r="D862" s="25" t="s">
        <v>2154</v>
      </c>
      <c r="E862" s="25" t="s">
        <v>3916</v>
      </c>
      <c r="F862" s="25" t="s">
        <v>1888</v>
      </c>
      <c r="G862" s="25" t="s">
        <v>167</v>
      </c>
    </row>
    <row r="863" ht="15" customHeight="1">
      <c r="A863" s="25" t="s">
        <v>3915</v>
      </c>
      <c r="B863" s="25" t="s">
        <v>3917</v>
      </c>
      <c r="C863" s="25" t="s">
        <v>2133</v>
      </c>
      <c r="D863" s="25" t="s">
        <v>2134</v>
      </c>
      <c r="E863" s="25" t="s">
        <v>3918</v>
      </c>
      <c r="F863" s="25" t="s">
        <v>1978</v>
      </c>
      <c r="G863" s="25" t="s">
        <v>200</v>
      </c>
    </row>
    <row r="864" ht="15" customHeight="1">
      <c r="A864" s="25" t="s">
        <v>3919</v>
      </c>
      <c r="B864" s="25" t="s">
        <v>1328</v>
      </c>
      <c r="C864" s="25" t="s">
        <v>2145</v>
      </c>
      <c r="D864" s="25" t="s">
        <v>2139</v>
      </c>
      <c r="E864" s="25" t="s">
        <v>3920</v>
      </c>
      <c r="F864" s="25" t="s">
        <v>1854</v>
      </c>
      <c r="G864" s="25" t="s">
        <v>172</v>
      </c>
    </row>
    <row r="865" ht="15" customHeight="1">
      <c r="A865" s="25" t="s">
        <v>3919</v>
      </c>
      <c r="B865" s="25" t="s">
        <v>815</v>
      </c>
      <c r="C865" s="25" t="s">
        <v>2121</v>
      </c>
      <c r="D865" s="25" t="s">
        <v>2141</v>
      </c>
      <c r="E865" s="25" t="s">
        <v>3921</v>
      </c>
      <c r="F865" s="25" t="s">
        <v>2058</v>
      </c>
      <c r="G865" s="25" t="s">
        <v>177</v>
      </c>
    </row>
    <row r="866" ht="15" customHeight="1">
      <c r="A866" s="25" t="s">
        <v>3922</v>
      </c>
      <c r="B866" s="25" t="s">
        <v>3500</v>
      </c>
      <c r="C866" s="25" t="s">
        <v>2125</v>
      </c>
      <c r="D866" s="25" t="s">
        <v>2178</v>
      </c>
      <c r="E866" s="25" t="s">
        <v>3923</v>
      </c>
      <c r="F866" s="25" t="s">
        <v>1908</v>
      </c>
      <c r="G866" s="25" t="s">
        <v>167</v>
      </c>
    </row>
    <row r="867" ht="15" customHeight="1">
      <c r="A867" s="25" t="s">
        <v>3922</v>
      </c>
      <c r="B867" s="25" t="s">
        <v>2161</v>
      </c>
      <c r="C867" s="25" t="s">
        <v>2121</v>
      </c>
      <c r="D867" s="25" t="s">
        <v>2182</v>
      </c>
      <c r="E867" s="25" t="s">
        <v>3924</v>
      </c>
      <c r="F867" s="25" t="s">
        <v>2004</v>
      </c>
      <c r="G867" s="25" t="s">
        <v>193</v>
      </c>
    </row>
    <row r="868" ht="15" customHeight="1">
      <c r="A868" s="25" t="s">
        <v>3925</v>
      </c>
      <c r="B868" s="25" t="s">
        <v>3516</v>
      </c>
      <c r="C868" s="25" t="s">
        <v>2129</v>
      </c>
      <c r="D868" s="25" t="s">
        <v>2185</v>
      </c>
      <c r="E868" s="25" t="s">
        <v>3926</v>
      </c>
      <c r="F868" s="25" t="s">
        <v>2106</v>
      </c>
      <c r="G868" s="25" t="s">
        <v>189</v>
      </c>
    </row>
    <row r="869" ht="15" customHeight="1">
      <c r="A869" s="25" t="s">
        <v>3925</v>
      </c>
      <c r="B869" s="25" t="s">
        <v>3600</v>
      </c>
      <c r="C869" s="25" t="s">
        <v>2157</v>
      </c>
      <c r="D869" s="25" t="s">
        <v>2158</v>
      </c>
      <c r="E869" s="25" t="s">
        <v>3927</v>
      </c>
      <c r="F869" s="25" t="s">
        <v>1833</v>
      </c>
      <c r="G869" s="25" t="s">
        <v>200</v>
      </c>
    </row>
    <row r="870" ht="15" customHeight="1">
      <c r="A870" s="25" t="s">
        <v>3928</v>
      </c>
      <c r="B870" s="25" t="s">
        <v>3929</v>
      </c>
      <c r="C870" s="25" t="s">
        <v>2125</v>
      </c>
      <c r="D870" s="25" t="s">
        <v>2149</v>
      </c>
      <c r="E870" s="25" t="s">
        <v>3930</v>
      </c>
      <c r="F870" s="25" t="s">
        <v>1953</v>
      </c>
      <c r="G870" s="25" t="s">
        <v>167</v>
      </c>
    </row>
    <row r="871" ht="15" customHeight="1">
      <c r="A871" s="25" t="s">
        <v>3928</v>
      </c>
      <c r="B871" s="25" t="s">
        <v>2399</v>
      </c>
      <c r="C871" s="25" t="s">
        <v>2121</v>
      </c>
      <c r="D871" s="25" t="s">
        <v>2165</v>
      </c>
      <c r="E871" s="25" t="s">
        <v>3931</v>
      </c>
      <c r="F871" s="25" t="s">
        <v>1895</v>
      </c>
      <c r="G871" s="25" t="s">
        <v>172</v>
      </c>
    </row>
    <row r="872" ht="15" customHeight="1">
      <c r="A872" s="25" t="s">
        <v>3932</v>
      </c>
      <c r="B872" s="25" t="s">
        <v>3707</v>
      </c>
      <c r="C872" s="25" t="s">
        <v>2145</v>
      </c>
      <c r="D872" s="25" t="s">
        <v>2146</v>
      </c>
      <c r="E872" s="25" t="s">
        <v>3933</v>
      </c>
      <c r="F872" s="25" t="s">
        <v>2034</v>
      </c>
      <c r="G872" s="25" t="s">
        <v>177</v>
      </c>
    </row>
    <row r="873" ht="15" customHeight="1">
      <c r="A873" s="25" t="s">
        <v>3932</v>
      </c>
      <c r="B873" s="25" t="s">
        <v>3107</v>
      </c>
      <c r="C873" s="25" t="s">
        <v>2121</v>
      </c>
      <c r="D873" s="25" t="s">
        <v>2126</v>
      </c>
      <c r="E873" s="25" t="s">
        <v>3934</v>
      </c>
      <c r="F873" s="25" t="s">
        <v>2100</v>
      </c>
      <c r="G873" s="25" t="s">
        <v>189</v>
      </c>
    </row>
    <row r="874" ht="15" customHeight="1">
      <c r="A874" s="25" t="s">
        <v>3935</v>
      </c>
      <c r="B874" s="25" t="s">
        <v>3316</v>
      </c>
      <c r="C874" s="25" t="s">
        <v>2153</v>
      </c>
      <c r="D874" s="25" t="s">
        <v>2380</v>
      </c>
      <c r="E874" s="25" t="s">
        <v>3936</v>
      </c>
      <c r="F874" s="25" t="s">
        <v>1819</v>
      </c>
      <c r="G874" s="25" t="s">
        <v>193</v>
      </c>
    </row>
    <row r="875" ht="15" customHeight="1">
      <c r="A875" s="25" t="s">
        <v>3935</v>
      </c>
      <c r="B875" s="25" t="s">
        <v>3937</v>
      </c>
      <c r="C875" s="25" t="s">
        <v>2199</v>
      </c>
      <c r="D875" s="25" t="s">
        <v>2258</v>
      </c>
      <c r="E875" s="25" t="s">
        <v>3938</v>
      </c>
      <c r="F875" s="25" t="s">
        <v>1966</v>
      </c>
      <c r="G875" s="25" t="s">
        <v>167</v>
      </c>
    </row>
    <row r="876" ht="15" customHeight="1">
      <c r="A876" s="25" t="s">
        <v>3939</v>
      </c>
      <c r="B876" s="25" t="s">
        <v>2814</v>
      </c>
      <c r="C876" s="25" t="s">
        <v>2121</v>
      </c>
      <c r="D876" s="25" t="s">
        <v>2260</v>
      </c>
      <c r="E876" s="25" t="s">
        <v>3940</v>
      </c>
      <c r="F876" s="25" t="s">
        <v>1881</v>
      </c>
      <c r="G876" s="25" t="s">
        <v>200</v>
      </c>
    </row>
    <row r="877" ht="15" customHeight="1">
      <c r="A877" s="25" t="s">
        <v>3939</v>
      </c>
      <c r="B877" s="25" t="s">
        <v>3868</v>
      </c>
      <c r="C877" s="25" t="s">
        <v>2125</v>
      </c>
      <c r="D877" s="25" t="s">
        <v>2301</v>
      </c>
      <c r="E877" s="25" t="s">
        <v>3941</v>
      </c>
      <c r="F877" s="25" t="s">
        <v>2016</v>
      </c>
      <c r="G877" s="25" t="s">
        <v>172</v>
      </c>
    </row>
    <row r="878" ht="15" customHeight="1">
      <c r="A878" s="25" t="s">
        <v>3942</v>
      </c>
      <c r="B878" s="25" t="s">
        <v>699</v>
      </c>
      <c r="C878" s="25" t="s">
        <v>2145</v>
      </c>
      <c r="D878" s="25" t="s">
        <v>2200</v>
      </c>
      <c r="E878" s="25" t="s">
        <v>3943</v>
      </c>
      <c r="F878" s="25" t="s">
        <v>2076</v>
      </c>
      <c r="G878" s="25" t="s">
        <v>177</v>
      </c>
    </row>
    <row r="879" ht="15" customHeight="1">
      <c r="A879" s="25" t="s">
        <v>3942</v>
      </c>
      <c r="B879" s="25" t="s">
        <v>3175</v>
      </c>
      <c r="C879" s="25" t="s">
        <v>2121</v>
      </c>
      <c r="D879" s="25" t="s">
        <v>2203</v>
      </c>
      <c r="E879" s="25" t="s">
        <v>3944</v>
      </c>
      <c r="F879" s="25" t="s">
        <v>1798</v>
      </c>
      <c r="G879" s="25" t="s">
        <v>167</v>
      </c>
    </row>
    <row r="880" ht="15" customHeight="1">
      <c r="A880" s="25" t="s">
        <v>3945</v>
      </c>
      <c r="B880" s="25" t="s">
        <v>3946</v>
      </c>
      <c r="C880" s="25" t="s">
        <v>2153</v>
      </c>
      <c r="D880" s="25" t="s">
        <v>2154</v>
      </c>
      <c r="E880" s="25" t="s">
        <v>3947</v>
      </c>
      <c r="F880" s="25" t="s">
        <v>1933</v>
      </c>
      <c r="G880" s="25" t="s">
        <v>193</v>
      </c>
    </row>
    <row r="881" ht="15" customHeight="1">
      <c r="A881" s="25" t="s">
        <v>3945</v>
      </c>
      <c r="B881" s="25" t="s">
        <v>1177</v>
      </c>
      <c r="C881" s="25" t="s">
        <v>2133</v>
      </c>
      <c r="D881" s="25" t="s">
        <v>2134</v>
      </c>
      <c r="E881" s="25" t="s">
        <v>3948</v>
      </c>
      <c r="F881" s="25" t="s">
        <v>2046</v>
      </c>
      <c r="G881" s="25" t="s">
        <v>189</v>
      </c>
    </row>
    <row r="882" ht="15" customHeight="1">
      <c r="A882" s="25" t="s">
        <v>3949</v>
      </c>
      <c r="B882" s="25" t="s">
        <v>1534</v>
      </c>
      <c r="C882" s="25" t="s">
        <v>2145</v>
      </c>
      <c r="D882" s="25" t="s">
        <v>2139</v>
      </c>
      <c r="E882" s="25" t="s">
        <v>3950</v>
      </c>
      <c r="F882" s="25" t="s">
        <v>2112</v>
      </c>
      <c r="G882" s="25" t="s">
        <v>200</v>
      </c>
    </row>
    <row r="883" ht="15" customHeight="1">
      <c r="A883" s="25" t="s">
        <v>3949</v>
      </c>
      <c r="B883" s="25" t="s">
        <v>3951</v>
      </c>
      <c r="C883" s="25" t="s">
        <v>2121</v>
      </c>
      <c r="D883" s="25" t="s">
        <v>2141</v>
      </c>
      <c r="E883" s="25" t="s">
        <v>3952</v>
      </c>
      <c r="F883" s="25" t="s">
        <v>1868</v>
      </c>
      <c r="G883" s="25" t="s">
        <v>167</v>
      </c>
    </row>
    <row r="884" ht="15" customHeight="1">
      <c r="A884" s="25" t="s">
        <v>3953</v>
      </c>
      <c r="B884" s="25" t="s">
        <v>3584</v>
      </c>
      <c r="C884" s="25" t="s">
        <v>2125</v>
      </c>
      <c r="D884" s="25" t="s">
        <v>2178</v>
      </c>
      <c r="E884" s="25" t="s">
        <v>3954</v>
      </c>
      <c r="F884" s="25" t="s">
        <v>1972</v>
      </c>
      <c r="G884" s="25" t="s">
        <v>172</v>
      </c>
    </row>
    <row r="885" ht="15" customHeight="1">
      <c r="A885" s="25" t="s">
        <v>3953</v>
      </c>
      <c r="B885" s="25" t="s">
        <v>1688</v>
      </c>
      <c r="C885" s="25" t="s">
        <v>2121</v>
      </c>
      <c r="D885" s="25" t="s">
        <v>2182</v>
      </c>
      <c r="E885" s="25" t="s">
        <v>3955</v>
      </c>
      <c r="F885" s="25" t="s">
        <v>1914</v>
      </c>
      <c r="G885" s="25" t="s">
        <v>177</v>
      </c>
    </row>
    <row r="886" ht="15" customHeight="1">
      <c r="A886" s="25" t="s">
        <v>3956</v>
      </c>
      <c r="B886" s="25" t="s">
        <v>3957</v>
      </c>
      <c r="C886" s="25" t="s">
        <v>2129</v>
      </c>
      <c r="D886" s="25" t="s">
        <v>2185</v>
      </c>
      <c r="E886" s="25" t="s">
        <v>3958</v>
      </c>
      <c r="F886" s="25" t="s">
        <v>2052</v>
      </c>
      <c r="G886" s="25" t="s">
        <v>189</v>
      </c>
    </row>
    <row r="887" ht="15" customHeight="1">
      <c r="A887" s="25" t="s">
        <v>3956</v>
      </c>
      <c r="B887" s="25" t="s">
        <v>3959</v>
      </c>
      <c r="C887" s="25" t="s">
        <v>2157</v>
      </c>
      <c r="D887" s="25" t="s">
        <v>2158</v>
      </c>
      <c r="E887" s="25" t="s">
        <v>3960</v>
      </c>
      <c r="F887" s="25" t="s">
        <v>1812</v>
      </c>
      <c r="G887" s="25" t="s">
        <v>193</v>
      </c>
    </row>
    <row r="888" ht="15" customHeight="1">
      <c r="A888" s="25" t="s">
        <v>3961</v>
      </c>
      <c r="B888" s="25" t="s">
        <v>3647</v>
      </c>
      <c r="C888" s="25" t="s">
        <v>2125</v>
      </c>
      <c r="D888" s="25" t="s">
        <v>2149</v>
      </c>
      <c r="E888" s="25" t="s">
        <v>3962</v>
      </c>
      <c r="F888" s="25" t="s">
        <v>1959</v>
      </c>
      <c r="G888" s="25" t="s">
        <v>167</v>
      </c>
    </row>
    <row r="889" ht="15" customHeight="1">
      <c r="A889" s="25" t="s">
        <v>3961</v>
      </c>
      <c r="B889" s="25" t="s">
        <v>2885</v>
      </c>
      <c r="C889" s="25" t="s">
        <v>2121</v>
      </c>
      <c r="D889" s="25" t="s">
        <v>2165</v>
      </c>
      <c r="E889" s="25" t="s">
        <v>3963</v>
      </c>
      <c r="F889" s="25" t="s">
        <v>1861</v>
      </c>
      <c r="G889" s="25" t="s">
        <v>200</v>
      </c>
    </row>
    <row r="890" ht="15" customHeight="1">
      <c r="A890" s="25" t="s">
        <v>3964</v>
      </c>
      <c r="B890" s="25" t="s">
        <v>3965</v>
      </c>
      <c r="C890" s="25" t="s">
        <v>2145</v>
      </c>
      <c r="D890" s="25" t="s">
        <v>2146</v>
      </c>
      <c r="E890" s="25" t="s">
        <v>3966</v>
      </c>
      <c r="F890" s="25" t="s">
        <v>2010</v>
      </c>
      <c r="G890" s="25" t="s">
        <v>172</v>
      </c>
    </row>
    <row r="891" ht="15" customHeight="1">
      <c r="A891" s="25" t="s">
        <v>3964</v>
      </c>
      <c r="B891" s="25" t="s">
        <v>3234</v>
      </c>
      <c r="C891" s="25" t="s">
        <v>2121</v>
      </c>
      <c r="D891" s="25" t="s">
        <v>2126</v>
      </c>
      <c r="E891" s="25" t="s">
        <v>3967</v>
      </c>
      <c r="F891" s="25" t="s">
        <v>2094</v>
      </c>
      <c r="G891" s="25" t="s">
        <v>177</v>
      </c>
    </row>
    <row r="892" ht="15" customHeight="1">
      <c r="A892" s="25" t="s">
        <v>3968</v>
      </c>
      <c r="B892" s="25" t="s">
        <v>1515</v>
      </c>
      <c r="C892" s="25" t="s">
        <v>2153</v>
      </c>
      <c r="D892" s="25" t="s">
        <v>2380</v>
      </c>
      <c r="E892" s="25" t="s">
        <v>3969</v>
      </c>
      <c r="F892" s="25" t="s">
        <v>1927</v>
      </c>
      <c r="G892" s="25" t="s">
        <v>167</v>
      </c>
    </row>
    <row r="893" ht="15" customHeight="1">
      <c r="A893" s="25" t="s">
        <v>3968</v>
      </c>
      <c r="B893" s="25" t="s">
        <v>2636</v>
      </c>
      <c r="C893" s="25" t="s">
        <v>2199</v>
      </c>
      <c r="D893" s="25" t="s">
        <v>2258</v>
      </c>
      <c r="E893" s="25" t="s">
        <v>3970</v>
      </c>
      <c r="F893" s="25" t="s">
        <v>1805</v>
      </c>
      <c r="G893" s="25" t="s">
        <v>193</v>
      </c>
    </row>
    <row r="894" ht="15" customHeight="1">
      <c r="A894" s="25" t="s">
        <v>3971</v>
      </c>
      <c r="B894" s="25" t="s">
        <v>2171</v>
      </c>
      <c r="C894" s="25" t="s">
        <v>2121</v>
      </c>
      <c r="D894" s="25" t="s">
        <v>2260</v>
      </c>
      <c r="E894" s="25" t="s">
        <v>3972</v>
      </c>
      <c r="F894" s="25" t="s">
        <v>2040</v>
      </c>
      <c r="G894" s="25" t="s">
        <v>189</v>
      </c>
    </row>
    <row r="895" ht="15" customHeight="1">
      <c r="A895" s="25" t="s">
        <v>3971</v>
      </c>
      <c r="B895" s="25" t="s">
        <v>3973</v>
      </c>
      <c r="C895" s="25" t="s">
        <v>2125</v>
      </c>
      <c r="D895" s="25" t="s">
        <v>2301</v>
      </c>
      <c r="E895" s="25" t="s">
        <v>3974</v>
      </c>
      <c r="F895" s="25" t="s">
        <v>1902</v>
      </c>
      <c r="G895" s="25" t="s">
        <v>200</v>
      </c>
    </row>
    <row r="896" ht="15" customHeight="1">
      <c r="A896" s="25" t="s">
        <v>3975</v>
      </c>
      <c r="B896" s="25" t="s">
        <v>3976</v>
      </c>
      <c r="C896" s="25" t="s">
        <v>2145</v>
      </c>
      <c r="D896" s="25" t="s">
        <v>2200</v>
      </c>
      <c r="E896" s="25" t="s">
        <v>3977</v>
      </c>
      <c r="F896" s="25" t="s">
        <v>1984</v>
      </c>
      <c r="G896" s="25" t="s">
        <v>167</v>
      </c>
    </row>
    <row r="897" ht="15" customHeight="1">
      <c r="A897" s="25" t="s">
        <v>3975</v>
      </c>
      <c r="B897" s="25" t="s">
        <v>2306</v>
      </c>
      <c r="C897" s="25" t="s">
        <v>2121</v>
      </c>
      <c r="D897" s="25" t="s">
        <v>2203</v>
      </c>
      <c r="E897" s="25" t="s">
        <v>3978</v>
      </c>
      <c r="F897" s="25" t="s">
        <v>2022</v>
      </c>
      <c r="G897" s="25" t="s">
        <v>172</v>
      </c>
    </row>
    <row r="898" ht="15" customHeight="1">
      <c r="A898" s="25" t="s">
        <v>3979</v>
      </c>
      <c r="B898" s="25" t="s">
        <v>3457</v>
      </c>
      <c r="C898" s="25" t="s">
        <v>2153</v>
      </c>
      <c r="D898" s="25" t="s">
        <v>2154</v>
      </c>
      <c r="E898" s="25" t="s">
        <v>3980</v>
      </c>
      <c r="F898" s="25" t="s">
        <v>2088</v>
      </c>
      <c r="G898" s="25" t="s">
        <v>177</v>
      </c>
    </row>
    <row r="899" ht="15" customHeight="1">
      <c r="A899" s="25" t="s">
        <v>3979</v>
      </c>
      <c r="B899" s="25" t="s">
        <v>999</v>
      </c>
      <c r="C899" s="25" t="s">
        <v>2133</v>
      </c>
      <c r="D899" s="25" t="s">
        <v>2134</v>
      </c>
      <c r="E899" s="25" t="s">
        <v>3981</v>
      </c>
      <c r="F899" s="25" t="s">
        <v>1940</v>
      </c>
      <c r="G899" s="25" t="s">
        <v>189</v>
      </c>
    </row>
    <row r="900" ht="15" customHeight="1">
      <c r="A900" s="25" t="s">
        <v>3982</v>
      </c>
      <c r="B900" s="25" t="s">
        <v>3983</v>
      </c>
      <c r="C900" s="25" t="s">
        <v>2145</v>
      </c>
      <c r="D900" s="25" t="s">
        <v>2139</v>
      </c>
      <c r="E900" s="25" t="s">
        <v>3984</v>
      </c>
      <c r="F900" s="25" t="s">
        <v>2070</v>
      </c>
      <c r="G900" s="25" t="s">
        <v>193</v>
      </c>
    </row>
    <row r="901" ht="15" customHeight="1">
      <c r="A901" s="25" t="s">
        <v>3982</v>
      </c>
      <c r="B901" s="25" t="s">
        <v>2224</v>
      </c>
      <c r="C901" s="25" t="s">
        <v>2121</v>
      </c>
      <c r="D901" s="25" t="s">
        <v>2141</v>
      </c>
      <c r="E901" s="25" t="s">
        <v>3985</v>
      </c>
      <c r="F901" s="25" t="s">
        <v>1991</v>
      </c>
      <c r="G901" s="25" t="s">
        <v>167</v>
      </c>
    </row>
    <row r="902" ht="15" customHeight="1">
      <c r="A902" s="25" t="s">
        <v>3986</v>
      </c>
      <c r="B902" s="25" t="s">
        <v>512</v>
      </c>
      <c r="C902" s="25" t="s">
        <v>2125</v>
      </c>
      <c r="D902" s="25" t="s">
        <v>2178</v>
      </c>
      <c r="E902" s="25" t="s">
        <v>3987</v>
      </c>
      <c r="F902" s="25" t="s">
        <v>1874</v>
      </c>
      <c r="G902" s="25" t="s">
        <v>200</v>
      </c>
    </row>
    <row r="903" ht="15" customHeight="1">
      <c r="A903" s="25" t="s">
        <v>3986</v>
      </c>
      <c r="B903" s="25" t="s">
        <v>3663</v>
      </c>
      <c r="C903" s="25" t="s">
        <v>2121</v>
      </c>
      <c r="D903" s="25" t="s">
        <v>2182</v>
      </c>
      <c r="E903" s="25" t="s">
        <v>3988</v>
      </c>
      <c r="F903" s="25" t="s">
        <v>1840</v>
      </c>
      <c r="G903" s="25" t="s">
        <v>172</v>
      </c>
    </row>
    <row r="904" ht="15" customHeight="1">
      <c r="A904" s="25" t="s">
        <v>3989</v>
      </c>
      <c r="B904" s="25" t="s">
        <v>3316</v>
      </c>
      <c r="C904" s="25" t="s">
        <v>2129</v>
      </c>
      <c r="D904" s="25" t="s">
        <v>2185</v>
      </c>
      <c r="E904" s="25" t="s">
        <v>3990</v>
      </c>
      <c r="F904" s="25" t="s">
        <v>1947</v>
      </c>
      <c r="G904" s="25" t="s">
        <v>177</v>
      </c>
    </row>
    <row r="905" ht="15" customHeight="1">
      <c r="A905" s="25" t="s">
        <v>3989</v>
      </c>
      <c r="B905" s="25" t="s">
        <v>3991</v>
      </c>
      <c r="C905" s="25" t="s">
        <v>2157</v>
      </c>
      <c r="D905" s="25" t="s">
        <v>2158</v>
      </c>
      <c r="E905" s="25" t="s">
        <v>3992</v>
      </c>
      <c r="F905" s="25" t="s">
        <v>2082</v>
      </c>
      <c r="G905" s="25" t="s">
        <v>167</v>
      </c>
    </row>
    <row r="906" ht="15" customHeight="1">
      <c r="A906" s="25" t="s">
        <v>3993</v>
      </c>
      <c r="B906" s="25" t="s">
        <v>3994</v>
      </c>
      <c r="C906" s="25" t="s">
        <v>2125</v>
      </c>
      <c r="D906" s="25" t="s">
        <v>2149</v>
      </c>
      <c r="E906" s="25" t="s">
        <v>3995</v>
      </c>
      <c r="F906" s="25" t="s">
        <v>1847</v>
      </c>
      <c r="G906" s="25" t="s">
        <v>193</v>
      </c>
    </row>
    <row r="907" ht="15" customHeight="1">
      <c r="A907" s="25" t="s">
        <v>3993</v>
      </c>
      <c r="B907" s="25" t="s">
        <v>3055</v>
      </c>
      <c r="C907" s="25" t="s">
        <v>2121</v>
      </c>
      <c r="D907" s="25" t="s">
        <v>2165</v>
      </c>
      <c r="E907" s="25" t="s">
        <v>3996</v>
      </c>
      <c r="F907" s="25" t="s">
        <v>1997</v>
      </c>
      <c r="G907" s="25" t="s">
        <v>189</v>
      </c>
    </row>
    <row r="908" ht="15" customHeight="1">
      <c r="A908" s="25" t="s">
        <v>3997</v>
      </c>
      <c r="B908" s="25" t="s">
        <v>3998</v>
      </c>
      <c r="C908" s="25" t="s">
        <v>2145</v>
      </c>
      <c r="D908" s="25" t="s">
        <v>2146</v>
      </c>
      <c r="E908" s="25" t="s">
        <v>3999</v>
      </c>
      <c r="F908" s="25" t="s">
        <v>1920</v>
      </c>
      <c r="G908" s="25" t="s">
        <v>200</v>
      </c>
    </row>
    <row r="909" ht="15" customHeight="1">
      <c r="A909" s="25" t="s">
        <v>3997</v>
      </c>
      <c r="B909" s="25" t="s">
        <v>4000</v>
      </c>
      <c r="C909" s="25" t="s">
        <v>2121</v>
      </c>
      <c r="D909" s="25" t="s">
        <v>2126</v>
      </c>
      <c r="E909" s="25" t="s">
        <v>4001</v>
      </c>
      <c r="F909" s="25" t="s">
        <v>2064</v>
      </c>
      <c r="G909" s="25" t="s">
        <v>167</v>
      </c>
    </row>
    <row r="910" ht="15" customHeight="1">
      <c r="A910" s="25" t="s">
        <v>4002</v>
      </c>
      <c r="B910" s="25" t="s">
        <v>3121</v>
      </c>
      <c r="C910" s="25" t="s">
        <v>2153</v>
      </c>
      <c r="D910" s="25" t="s">
        <v>2380</v>
      </c>
      <c r="E910" s="25" t="s">
        <v>4003</v>
      </c>
      <c r="F910" s="25" t="s">
        <v>1826</v>
      </c>
      <c r="G910" s="25" t="s">
        <v>172</v>
      </c>
    </row>
    <row r="911" ht="15" customHeight="1">
      <c r="A911" s="25" t="s">
        <v>4002</v>
      </c>
      <c r="B911" s="25" t="s">
        <v>2675</v>
      </c>
      <c r="C911" s="25" t="s">
        <v>2199</v>
      </c>
      <c r="D911" s="25" t="s">
        <v>2258</v>
      </c>
      <c r="E911" s="25" t="s">
        <v>4004</v>
      </c>
      <c r="F911" s="25" t="s">
        <v>2028</v>
      </c>
      <c r="G911" s="25" t="s">
        <v>177</v>
      </c>
    </row>
    <row r="912" ht="15" customHeight="1">
      <c r="A912" s="25" t="s">
        <v>4005</v>
      </c>
      <c r="B912" s="25" t="s">
        <v>2975</v>
      </c>
      <c r="C912" s="25" t="s">
        <v>2121</v>
      </c>
      <c r="D912" s="25" t="s">
        <v>2260</v>
      </c>
      <c r="E912" s="25" t="s">
        <v>4006</v>
      </c>
      <c r="F912" s="25" t="s">
        <v>1888</v>
      </c>
      <c r="G912" s="25" t="s">
        <v>189</v>
      </c>
    </row>
    <row r="913" ht="15" customHeight="1">
      <c r="A913" s="25" t="s">
        <v>4005</v>
      </c>
      <c r="B913" s="25" t="s">
        <v>4007</v>
      </c>
      <c r="C913" s="25" t="s">
        <v>2125</v>
      </c>
      <c r="D913" s="25" t="s">
        <v>2301</v>
      </c>
      <c r="E913" s="25" t="s">
        <v>4008</v>
      </c>
      <c r="F913" s="25" t="s">
        <v>1978</v>
      </c>
      <c r="G913" s="25" t="s">
        <v>193</v>
      </c>
    </row>
    <row r="914" ht="15" customHeight="1">
      <c r="A914" s="25" t="s">
        <v>4009</v>
      </c>
      <c r="B914" s="25" t="s">
        <v>4010</v>
      </c>
      <c r="C914" s="25" t="s">
        <v>2145</v>
      </c>
      <c r="D914" s="25" t="s">
        <v>2200</v>
      </c>
      <c r="E914" s="25" t="s">
        <v>4011</v>
      </c>
      <c r="F914" s="25" t="s">
        <v>1854</v>
      </c>
      <c r="G914" s="25" t="s">
        <v>167</v>
      </c>
    </row>
    <row r="915" ht="15" customHeight="1">
      <c r="A915" s="25" t="s">
        <v>4009</v>
      </c>
      <c r="B915" s="25" t="s">
        <v>1752</v>
      </c>
      <c r="C915" s="25" t="s">
        <v>2121</v>
      </c>
      <c r="D915" s="25" t="s">
        <v>2203</v>
      </c>
      <c r="E915" s="25" t="s">
        <v>4012</v>
      </c>
      <c r="F915" s="25" t="s">
        <v>2058</v>
      </c>
      <c r="G915" s="25" t="s">
        <v>200</v>
      </c>
    </row>
    <row r="916" ht="15" customHeight="1">
      <c r="A916" s="25" t="s">
        <v>4013</v>
      </c>
      <c r="B916" s="25" t="s">
        <v>2765</v>
      </c>
      <c r="C916" s="25" t="s">
        <v>2153</v>
      </c>
      <c r="D916" s="25" t="s">
        <v>2154</v>
      </c>
      <c r="E916" s="25" t="s">
        <v>4014</v>
      </c>
      <c r="F916" s="25" t="s">
        <v>1908</v>
      </c>
      <c r="G916" s="25" t="s">
        <v>172</v>
      </c>
    </row>
    <row r="917" ht="15" customHeight="1">
      <c r="A917" s="25" t="s">
        <v>4013</v>
      </c>
      <c r="B917" s="25" t="s">
        <v>4015</v>
      </c>
      <c r="C917" s="25" t="s">
        <v>2133</v>
      </c>
      <c r="D917" s="25" t="s">
        <v>2134</v>
      </c>
      <c r="E917" s="25" t="s">
        <v>4016</v>
      </c>
      <c r="F917" s="25" t="s">
        <v>2004</v>
      </c>
      <c r="G917" s="25" t="s">
        <v>177</v>
      </c>
    </row>
    <row r="918" ht="15" customHeight="1">
      <c r="A918" s="25" t="s">
        <v>4017</v>
      </c>
      <c r="B918" s="25" t="s">
        <v>3591</v>
      </c>
      <c r="C918" s="25" t="s">
        <v>2145</v>
      </c>
      <c r="D918" s="25" t="s">
        <v>2139</v>
      </c>
      <c r="E918" s="25" t="s">
        <v>4018</v>
      </c>
      <c r="F918" s="25" t="s">
        <v>2106</v>
      </c>
      <c r="G918" s="25" t="s">
        <v>167</v>
      </c>
    </row>
    <row r="919" ht="15" customHeight="1">
      <c r="A919" s="25" t="s">
        <v>4017</v>
      </c>
      <c r="B919" s="25" t="s">
        <v>3534</v>
      </c>
      <c r="C919" s="25" t="s">
        <v>2121</v>
      </c>
      <c r="D919" s="25" t="s">
        <v>2141</v>
      </c>
      <c r="E919" s="25" t="s">
        <v>4019</v>
      </c>
      <c r="F919" s="25" t="s">
        <v>1833</v>
      </c>
      <c r="G919" s="25" t="s">
        <v>193</v>
      </c>
    </row>
    <row r="920" ht="15" customHeight="1">
      <c r="A920" s="25" t="s">
        <v>4020</v>
      </c>
      <c r="B920" s="25" t="s">
        <v>2408</v>
      </c>
      <c r="C920" s="25" t="s">
        <v>2125</v>
      </c>
      <c r="D920" s="25" t="s">
        <v>2178</v>
      </c>
      <c r="E920" s="25" t="s">
        <v>4021</v>
      </c>
      <c r="F920" s="25" t="s">
        <v>1953</v>
      </c>
      <c r="G920" s="25" t="s">
        <v>189</v>
      </c>
    </row>
    <row r="921" ht="15" customHeight="1">
      <c r="A921" s="25" t="s">
        <v>4020</v>
      </c>
      <c r="B921" s="25" t="s">
        <v>1752</v>
      </c>
      <c r="C921" s="25" t="s">
        <v>2121</v>
      </c>
      <c r="D921" s="25" t="s">
        <v>2182</v>
      </c>
      <c r="E921" s="25" t="s">
        <v>4022</v>
      </c>
      <c r="F921" s="25" t="s">
        <v>1895</v>
      </c>
      <c r="G921" s="25" t="s">
        <v>200</v>
      </c>
    </row>
    <row r="922" ht="15" customHeight="1">
      <c r="A922" s="25" t="s">
        <v>4023</v>
      </c>
      <c r="B922" s="25" t="s">
        <v>2687</v>
      </c>
      <c r="C922" s="25" t="s">
        <v>2129</v>
      </c>
      <c r="D922" s="25" t="s">
        <v>2185</v>
      </c>
      <c r="E922" s="25" t="s">
        <v>4024</v>
      </c>
      <c r="F922" s="25" t="s">
        <v>2034</v>
      </c>
      <c r="G922" s="25" t="s">
        <v>167</v>
      </c>
    </row>
    <row r="923" ht="15" customHeight="1">
      <c r="A923" s="25" t="s">
        <v>4023</v>
      </c>
      <c r="B923" s="25" t="s">
        <v>4025</v>
      </c>
      <c r="C923" s="25" t="s">
        <v>2157</v>
      </c>
      <c r="D923" s="25" t="s">
        <v>2158</v>
      </c>
      <c r="E923" s="25" t="s">
        <v>4026</v>
      </c>
      <c r="F923" s="25" t="s">
        <v>2100</v>
      </c>
      <c r="G923" s="25" t="s">
        <v>172</v>
      </c>
    </row>
    <row r="924" ht="15" customHeight="1">
      <c r="A924" s="25" t="s">
        <v>4027</v>
      </c>
      <c r="B924" s="25" t="s">
        <v>2831</v>
      </c>
      <c r="C924" s="25" t="s">
        <v>2125</v>
      </c>
      <c r="D924" s="25" t="s">
        <v>2149</v>
      </c>
      <c r="E924" s="25" t="s">
        <v>4028</v>
      </c>
      <c r="F924" s="25" t="s">
        <v>1819</v>
      </c>
      <c r="G924" s="25" t="s">
        <v>177</v>
      </c>
    </row>
    <row r="925" ht="15" customHeight="1">
      <c r="A925" s="25" t="s">
        <v>4027</v>
      </c>
      <c r="B925" s="25" t="s">
        <v>4029</v>
      </c>
      <c r="C925" s="25" t="s">
        <v>2121</v>
      </c>
      <c r="D925" s="25" t="s">
        <v>2165</v>
      </c>
      <c r="E925" s="25" t="s">
        <v>4030</v>
      </c>
      <c r="F925" s="25" t="s">
        <v>1966</v>
      </c>
      <c r="G925" s="25" t="s">
        <v>189</v>
      </c>
    </row>
    <row r="926" ht="15" customHeight="1">
      <c r="A926" s="25" t="s">
        <v>4031</v>
      </c>
      <c r="B926" s="25" t="s">
        <v>4032</v>
      </c>
      <c r="C926" s="25" t="s">
        <v>2145</v>
      </c>
      <c r="D926" s="25" t="s">
        <v>2146</v>
      </c>
      <c r="E926" s="25" t="s">
        <v>4033</v>
      </c>
      <c r="F926" s="25" t="s">
        <v>1881</v>
      </c>
      <c r="G926" s="25" t="s">
        <v>193</v>
      </c>
    </row>
    <row r="927" ht="15" customHeight="1">
      <c r="A927" s="25" t="s">
        <v>4031</v>
      </c>
      <c r="B927" s="25" t="s">
        <v>1701</v>
      </c>
      <c r="C927" s="25" t="s">
        <v>2121</v>
      </c>
      <c r="D927" s="25" t="s">
        <v>2126</v>
      </c>
      <c r="E927" s="25" t="s">
        <v>4034</v>
      </c>
      <c r="F927" s="25" t="s">
        <v>2016</v>
      </c>
      <c r="G927" s="25" t="s">
        <v>167</v>
      </c>
    </row>
    <row r="928" ht="15" customHeight="1">
      <c r="A928" s="25" t="s">
        <v>4035</v>
      </c>
      <c r="B928" s="25" t="s">
        <v>3493</v>
      </c>
      <c r="C928" s="25" t="s">
        <v>2153</v>
      </c>
      <c r="D928" s="25" t="s">
        <v>2380</v>
      </c>
      <c r="E928" s="25" t="s">
        <v>4036</v>
      </c>
      <c r="F928" s="25" t="s">
        <v>2076</v>
      </c>
      <c r="G928" s="25" t="s">
        <v>200</v>
      </c>
    </row>
    <row r="929" ht="15" customHeight="1">
      <c r="A929" s="25" t="s">
        <v>4035</v>
      </c>
      <c r="B929" s="25" t="s">
        <v>4037</v>
      </c>
      <c r="C929" s="25" t="s">
        <v>2199</v>
      </c>
      <c r="D929" s="25" t="s">
        <v>2258</v>
      </c>
      <c r="E929" s="25" t="s">
        <v>4038</v>
      </c>
      <c r="F929" s="25" t="s">
        <v>1798</v>
      </c>
      <c r="G929" s="25" t="s">
        <v>172</v>
      </c>
    </row>
    <row r="930" ht="15" customHeight="1">
      <c r="A930" s="25" t="s">
        <v>4039</v>
      </c>
      <c r="B930" s="25" t="s">
        <v>1292</v>
      </c>
      <c r="C930" s="25" t="s">
        <v>2121</v>
      </c>
      <c r="D930" s="25" t="s">
        <v>2260</v>
      </c>
      <c r="E930" s="25" t="s">
        <v>4040</v>
      </c>
      <c r="F930" s="25" t="s">
        <v>1933</v>
      </c>
      <c r="G930" s="25" t="s">
        <v>177</v>
      </c>
    </row>
    <row r="931" ht="15" customHeight="1">
      <c r="A931" s="25" t="s">
        <v>4039</v>
      </c>
      <c r="B931" s="25" t="s">
        <v>4041</v>
      </c>
      <c r="C931" s="25" t="s">
        <v>2125</v>
      </c>
      <c r="D931" s="25" t="s">
        <v>2301</v>
      </c>
      <c r="E931" s="25" t="s">
        <v>4042</v>
      </c>
      <c r="F931" s="25" t="s">
        <v>2046</v>
      </c>
      <c r="G931" s="25" t="s">
        <v>167</v>
      </c>
    </row>
    <row r="932" ht="15" customHeight="1">
      <c r="A932" s="25" t="s">
        <v>4043</v>
      </c>
      <c r="B932" s="25" t="s">
        <v>3584</v>
      </c>
      <c r="C932" s="25" t="s">
        <v>2145</v>
      </c>
      <c r="D932" s="25" t="s">
        <v>2200</v>
      </c>
      <c r="E932" s="25" t="s">
        <v>4044</v>
      </c>
      <c r="F932" s="25" t="s">
        <v>2112</v>
      </c>
      <c r="G932" s="25" t="s">
        <v>193</v>
      </c>
    </row>
    <row r="933" ht="15" customHeight="1">
      <c r="A933" s="25" t="s">
        <v>4043</v>
      </c>
      <c r="B933" s="25" t="s">
        <v>1660</v>
      </c>
      <c r="C933" s="25" t="s">
        <v>2121</v>
      </c>
      <c r="D933" s="25" t="s">
        <v>2203</v>
      </c>
      <c r="E933" s="25" t="s">
        <v>4045</v>
      </c>
      <c r="F933" s="25" t="s">
        <v>1868</v>
      </c>
      <c r="G933" s="25" t="s">
        <v>189</v>
      </c>
    </row>
    <row r="934" ht="15" customHeight="1">
      <c r="A934" s="25" t="s">
        <v>4046</v>
      </c>
      <c r="B934" s="25" t="s">
        <v>4047</v>
      </c>
      <c r="C934" s="25" t="s">
        <v>2153</v>
      </c>
      <c r="D934" s="25" t="s">
        <v>2154</v>
      </c>
      <c r="E934" s="25" t="s">
        <v>4048</v>
      </c>
      <c r="F934" s="25" t="s">
        <v>1972</v>
      </c>
      <c r="G934" s="25" t="s">
        <v>200</v>
      </c>
    </row>
    <row r="935" ht="15" customHeight="1">
      <c r="A935" s="25" t="s">
        <v>4046</v>
      </c>
      <c r="B935" s="25" t="s">
        <v>2188</v>
      </c>
      <c r="C935" s="25" t="s">
        <v>2133</v>
      </c>
      <c r="D935" s="25" t="s">
        <v>2134</v>
      </c>
      <c r="E935" s="25" t="s">
        <v>4049</v>
      </c>
      <c r="F935" s="25" t="s">
        <v>1914</v>
      </c>
      <c r="G935" s="25" t="s">
        <v>167</v>
      </c>
    </row>
    <row r="936" ht="15" customHeight="1">
      <c r="A936" s="25" t="s">
        <v>4050</v>
      </c>
      <c r="B936" s="25" t="s">
        <v>3579</v>
      </c>
      <c r="C936" s="25" t="s">
        <v>2145</v>
      </c>
      <c r="D936" s="25" t="s">
        <v>2139</v>
      </c>
      <c r="E936" s="25" t="s">
        <v>4051</v>
      </c>
      <c r="F936" s="25" t="s">
        <v>2052</v>
      </c>
      <c r="G936" s="25" t="s">
        <v>172</v>
      </c>
    </row>
    <row r="937" ht="15" customHeight="1">
      <c r="A937" s="25" t="s">
        <v>4050</v>
      </c>
      <c r="B937" s="25" t="s">
        <v>4052</v>
      </c>
      <c r="C937" s="25" t="s">
        <v>2121</v>
      </c>
      <c r="D937" s="25" t="s">
        <v>2141</v>
      </c>
      <c r="E937" s="25" t="s">
        <v>4053</v>
      </c>
      <c r="F937" s="25" t="s">
        <v>1812</v>
      </c>
      <c r="G937" s="25" t="s">
        <v>177</v>
      </c>
    </row>
    <row r="938" ht="15" customHeight="1">
      <c r="A938" s="25" t="s">
        <v>4054</v>
      </c>
      <c r="B938" s="25" t="s">
        <v>4055</v>
      </c>
      <c r="C938" s="25" t="s">
        <v>2125</v>
      </c>
      <c r="D938" s="25" t="s">
        <v>2178</v>
      </c>
      <c r="E938" s="25" t="s">
        <v>4056</v>
      </c>
      <c r="F938" s="25" t="s">
        <v>1959</v>
      </c>
      <c r="G938" s="25" t="s">
        <v>189</v>
      </c>
    </row>
    <row r="939" ht="15" customHeight="1">
      <c r="A939" s="25" t="s">
        <v>4054</v>
      </c>
      <c r="B939" s="25" t="s">
        <v>2775</v>
      </c>
      <c r="C939" s="25" t="s">
        <v>2121</v>
      </c>
      <c r="D939" s="25" t="s">
        <v>2182</v>
      </c>
      <c r="E939" s="25" t="s">
        <v>4057</v>
      </c>
      <c r="F939" s="25" t="s">
        <v>1861</v>
      </c>
      <c r="G939" s="25" t="s">
        <v>193</v>
      </c>
    </row>
    <row r="940" ht="15" customHeight="1">
      <c r="A940" s="25" t="s">
        <v>4058</v>
      </c>
      <c r="B940" s="25" t="s">
        <v>2379</v>
      </c>
      <c r="C940" s="25" t="s">
        <v>2129</v>
      </c>
      <c r="D940" s="25" t="s">
        <v>2185</v>
      </c>
      <c r="E940" s="25" t="s">
        <v>4059</v>
      </c>
      <c r="F940" s="25" t="s">
        <v>2010</v>
      </c>
      <c r="G940" s="25" t="s">
        <v>167</v>
      </c>
    </row>
    <row r="941" ht="15" customHeight="1">
      <c r="A941" s="25" t="s">
        <v>4058</v>
      </c>
      <c r="B941" s="25" t="s">
        <v>3112</v>
      </c>
      <c r="C941" s="25" t="s">
        <v>2157</v>
      </c>
      <c r="D941" s="25" t="s">
        <v>2158</v>
      </c>
      <c r="E941" s="25" t="s">
        <v>4060</v>
      </c>
      <c r="F941" s="25" t="s">
        <v>2094</v>
      </c>
      <c r="G941" s="25" t="s">
        <v>200</v>
      </c>
    </row>
    <row r="942" ht="15" customHeight="1">
      <c r="A942" s="25" t="s">
        <v>4061</v>
      </c>
      <c r="B942" s="25" t="s">
        <v>1320</v>
      </c>
      <c r="C942" s="25" t="s">
        <v>2125</v>
      </c>
      <c r="D942" s="25" t="s">
        <v>2149</v>
      </c>
      <c r="E942" s="25" t="s">
        <v>4062</v>
      </c>
      <c r="F942" s="25" t="s">
        <v>1927</v>
      </c>
      <c r="G942" s="25" t="s">
        <v>172</v>
      </c>
    </row>
    <row r="943" ht="15" customHeight="1">
      <c r="A943" s="25" t="s">
        <v>4061</v>
      </c>
      <c r="B943" s="25" t="s">
        <v>4063</v>
      </c>
      <c r="C943" s="25" t="s">
        <v>2121</v>
      </c>
      <c r="D943" s="25" t="s">
        <v>2165</v>
      </c>
      <c r="E943" s="25" t="s">
        <v>4064</v>
      </c>
      <c r="F943" s="25" t="s">
        <v>1805</v>
      </c>
      <c r="G943" s="25" t="s">
        <v>177</v>
      </c>
    </row>
    <row r="944" ht="15" customHeight="1">
      <c r="A944" s="25" t="s">
        <v>4065</v>
      </c>
      <c r="B944" s="25" t="s">
        <v>2972</v>
      </c>
      <c r="C944" s="25" t="s">
        <v>2145</v>
      </c>
      <c r="D944" s="25" t="s">
        <v>2146</v>
      </c>
      <c r="E944" s="25" t="s">
        <v>4066</v>
      </c>
      <c r="F944" s="25" t="s">
        <v>2040</v>
      </c>
      <c r="G944" s="25" t="s">
        <v>167</v>
      </c>
    </row>
    <row r="945" ht="15" customHeight="1">
      <c r="A945" s="25" t="s">
        <v>4065</v>
      </c>
      <c r="B945" s="25" t="s">
        <v>3851</v>
      </c>
      <c r="C945" s="25" t="s">
        <v>2121</v>
      </c>
      <c r="D945" s="25" t="s">
        <v>2126</v>
      </c>
      <c r="E945" s="25" t="s">
        <v>4067</v>
      </c>
      <c r="F945" s="25" t="s">
        <v>1902</v>
      </c>
      <c r="G945" s="25" t="s">
        <v>193</v>
      </c>
    </row>
    <row r="946" ht="15" customHeight="1">
      <c r="A946" s="25" t="s">
        <v>4068</v>
      </c>
      <c r="B946" s="25" t="s">
        <v>1503</v>
      </c>
      <c r="C946" s="25" t="s">
        <v>2153</v>
      </c>
      <c r="D946" s="25" t="s">
        <v>2380</v>
      </c>
      <c r="E946" s="25" t="s">
        <v>4069</v>
      </c>
      <c r="F946" s="25" t="s">
        <v>1984</v>
      </c>
      <c r="G946" s="25" t="s">
        <v>189</v>
      </c>
    </row>
    <row r="947" ht="15" customHeight="1">
      <c r="A947" s="25" t="s">
        <v>4068</v>
      </c>
      <c r="B947" s="25" t="s">
        <v>4070</v>
      </c>
      <c r="C947" s="25" t="s">
        <v>2199</v>
      </c>
      <c r="D947" s="25" t="s">
        <v>2258</v>
      </c>
      <c r="E947" s="25" t="s">
        <v>4071</v>
      </c>
      <c r="F947" s="25" t="s">
        <v>2022</v>
      </c>
      <c r="G947" s="25" t="s">
        <v>200</v>
      </c>
    </row>
    <row r="948" ht="15" customHeight="1">
      <c r="A948" s="25" t="s">
        <v>4072</v>
      </c>
      <c r="B948" s="25" t="s">
        <v>3715</v>
      </c>
      <c r="C948" s="25" t="s">
        <v>2121</v>
      </c>
      <c r="D948" s="25" t="s">
        <v>2260</v>
      </c>
      <c r="E948" s="25" t="s">
        <v>4073</v>
      </c>
      <c r="F948" s="25" t="s">
        <v>2088</v>
      </c>
      <c r="G948" s="25" t="s">
        <v>167</v>
      </c>
    </row>
    <row r="949" ht="15" customHeight="1">
      <c r="A949" s="25" t="s">
        <v>4072</v>
      </c>
      <c r="B949" s="25" t="s">
        <v>4074</v>
      </c>
      <c r="C949" s="25" t="s">
        <v>2125</v>
      </c>
      <c r="D949" s="25" t="s">
        <v>2301</v>
      </c>
      <c r="E949" s="25" t="s">
        <v>4075</v>
      </c>
      <c r="F949" s="25" t="s">
        <v>1940</v>
      </c>
      <c r="G949" s="25" t="s">
        <v>172</v>
      </c>
    </row>
    <row r="950" ht="15" customHeight="1">
      <c r="A950" s="25" t="s">
        <v>4076</v>
      </c>
      <c r="B950" s="25" t="s">
        <v>817</v>
      </c>
      <c r="C950" s="25" t="s">
        <v>2145</v>
      </c>
      <c r="D950" s="25" t="s">
        <v>2200</v>
      </c>
      <c r="E950" s="25" t="s">
        <v>4077</v>
      </c>
      <c r="F950" s="25" t="s">
        <v>2070</v>
      </c>
      <c r="G950" s="25" t="s">
        <v>177</v>
      </c>
    </row>
    <row r="951" ht="15" customHeight="1">
      <c r="A951" s="25" t="s">
        <v>4076</v>
      </c>
      <c r="B951" s="25" t="s">
        <v>2464</v>
      </c>
      <c r="C951" s="25" t="s">
        <v>2121</v>
      </c>
      <c r="D951" s="25" t="s">
        <v>2203</v>
      </c>
      <c r="E951" s="25" t="s">
        <v>4078</v>
      </c>
      <c r="F951" s="25" t="s">
        <v>1991</v>
      </c>
      <c r="G951" s="25" t="s">
        <v>189</v>
      </c>
    </row>
    <row r="952" ht="15" customHeight="1">
      <c r="A952" s="25" t="s">
        <v>4079</v>
      </c>
      <c r="B952" s="25" t="s">
        <v>2984</v>
      </c>
      <c r="C952" s="25" t="s">
        <v>2153</v>
      </c>
      <c r="D952" s="25" t="s">
        <v>2154</v>
      </c>
      <c r="E952" s="25" t="s">
        <v>4080</v>
      </c>
      <c r="F952" s="25" t="s">
        <v>1874</v>
      </c>
      <c r="G952" s="25" t="s">
        <v>193</v>
      </c>
    </row>
    <row r="953" ht="15" customHeight="1">
      <c r="A953" s="25" t="s">
        <v>4079</v>
      </c>
      <c r="B953" s="25" t="s">
        <v>4081</v>
      </c>
      <c r="C953" s="25" t="s">
        <v>2133</v>
      </c>
      <c r="D953" s="25" t="s">
        <v>2134</v>
      </c>
      <c r="E953" s="25" t="s">
        <v>4082</v>
      </c>
      <c r="F953" s="25" t="s">
        <v>1840</v>
      </c>
      <c r="G953" s="25" t="s">
        <v>167</v>
      </c>
    </row>
    <row r="954" ht="15" customHeight="1">
      <c r="A954" s="25" t="s">
        <v>4083</v>
      </c>
      <c r="B954" s="25" t="s">
        <v>1180</v>
      </c>
      <c r="C954" s="25" t="s">
        <v>2145</v>
      </c>
      <c r="D954" s="25" t="s">
        <v>2139</v>
      </c>
      <c r="E954" s="25" t="s">
        <v>4084</v>
      </c>
      <c r="F954" s="25" t="s">
        <v>1947</v>
      </c>
      <c r="G954" s="25" t="s">
        <v>200</v>
      </c>
    </row>
    <row r="955" ht="15" customHeight="1">
      <c r="A955" s="25" t="s">
        <v>4083</v>
      </c>
      <c r="B955" s="25" t="s">
        <v>2602</v>
      </c>
      <c r="C955" s="25" t="s">
        <v>2121</v>
      </c>
      <c r="D955" s="25" t="s">
        <v>2141</v>
      </c>
      <c r="E955" s="25" t="s">
        <v>4085</v>
      </c>
      <c r="F955" s="25" t="s">
        <v>2082</v>
      </c>
      <c r="G955" s="25" t="s">
        <v>172</v>
      </c>
    </row>
    <row r="956" ht="15" customHeight="1">
      <c r="A956" s="25" t="s">
        <v>4086</v>
      </c>
      <c r="B956" s="25" t="s">
        <v>550</v>
      </c>
      <c r="C956" s="25" t="s">
        <v>2125</v>
      </c>
      <c r="D956" s="25" t="s">
        <v>2178</v>
      </c>
      <c r="E956" s="25" t="s">
        <v>4087</v>
      </c>
      <c r="F956" s="25" t="s">
        <v>1847</v>
      </c>
      <c r="G956" s="25" t="s">
        <v>177</v>
      </c>
    </row>
    <row r="957" ht="15" customHeight="1">
      <c r="A957" s="25" t="s">
        <v>4086</v>
      </c>
      <c r="B957" s="25" t="s">
        <v>4088</v>
      </c>
      <c r="C957" s="25" t="s">
        <v>2121</v>
      </c>
      <c r="D957" s="25" t="s">
        <v>2182</v>
      </c>
      <c r="E957" s="25" t="s">
        <v>4089</v>
      </c>
      <c r="F957" s="25" t="s">
        <v>1997</v>
      </c>
      <c r="G957" s="25" t="s">
        <v>167</v>
      </c>
    </row>
    <row r="958" ht="15" customHeight="1">
      <c r="A958" s="25" t="s">
        <v>4090</v>
      </c>
      <c r="B958" s="25" t="s">
        <v>1515</v>
      </c>
      <c r="C958" s="25" t="s">
        <v>2129</v>
      </c>
      <c r="D958" s="25" t="s">
        <v>2185</v>
      </c>
      <c r="E958" s="25" t="s">
        <v>4091</v>
      </c>
      <c r="F958" s="25" t="s">
        <v>1920</v>
      </c>
      <c r="G958" s="25" t="s">
        <v>193</v>
      </c>
    </row>
    <row r="959" ht="15" customHeight="1">
      <c r="A959" s="25" t="s">
        <v>4090</v>
      </c>
      <c r="B959" s="25" t="s">
        <v>1325</v>
      </c>
      <c r="C959" s="25" t="s">
        <v>2157</v>
      </c>
      <c r="D959" s="25" t="s">
        <v>2158</v>
      </c>
      <c r="E959" s="25" t="s">
        <v>4092</v>
      </c>
      <c r="F959" s="25" t="s">
        <v>2064</v>
      </c>
      <c r="G959" s="25" t="s">
        <v>189</v>
      </c>
    </row>
    <row r="960" ht="15" customHeight="1">
      <c r="A960" s="25" t="s">
        <v>4093</v>
      </c>
      <c r="B960" s="25" t="s">
        <v>3252</v>
      </c>
      <c r="C960" s="25" t="s">
        <v>2125</v>
      </c>
      <c r="D960" s="25" t="s">
        <v>2149</v>
      </c>
      <c r="E960" s="25" t="s">
        <v>4094</v>
      </c>
      <c r="F960" s="25" t="s">
        <v>1826</v>
      </c>
      <c r="G960" s="25" t="s">
        <v>200</v>
      </c>
    </row>
    <row r="961" ht="15" customHeight="1">
      <c r="A961" s="25" t="s">
        <v>4093</v>
      </c>
      <c r="B961" s="25" t="s">
        <v>815</v>
      </c>
      <c r="C961" s="25" t="s">
        <v>2121</v>
      </c>
      <c r="D961" s="25" t="s">
        <v>2165</v>
      </c>
      <c r="E961" s="25" t="s">
        <v>4095</v>
      </c>
      <c r="F961" s="25" t="s">
        <v>2028</v>
      </c>
      <c r="G961" s="25" t="s">
        <v>167</v>
      </c>
    </row>
    <row r="962" ht="15" customHeight="1">
      <c r="A962" s="25" t="s">
        <v>4096</v>
      </c>
      <c r="B962" s="25" t="s">
        <v>605</v>
      </c>
      <c r="C962" s="25" t="s">
        <v>2145</v>
      </c>
      <c r="D962" s="25" t="s">
        <v>2146</v>
      </c>
      <c r="E962" s="25" t="s">
        <v>4097</v>
      </c>
      <c r="F962" s="25" t="s">
        <v>1888</v>
      </c>
      <c r="G962" s="25" t="s">
        <v>172</v>
      </c>
    </row>
    <row r="963" ht="15" customHeight="1">
      <c r="A963" s="25" t="s">
        <v>4096</v>
      </c>
      <c r="B963" s="25" t="s">
        <v>2904</v>
      </c>
      <c r="C963" s="25" t="s">
        <v>2121</v>
      </c>
      <c r="D963" s="25" t="s">
        <v>2126</v>
      </c>
      <c r="E963" s="25" t="s">
        <v>4098</v>
      </c>
      <c r="F963" s="25" t="s">
        <v>1978</v>
      </c>
      <c r="G963" s="25" t="s">
        <v>177</v>
      </c>
    </row>
    <row r="964" ht="15" customHeight="1">
      <c r="A964" s="25" t="s">
        <v>4099</v>
      </c>
      <c r="B964" s="25" t="s">
        <v>3338</v>
      </c>
      <c r="C964" s="25" t="s">
        <v>2153</v>
      </c>
      <c r="D964" s="25" t="s">
        <v>2380</v>
      </c>
      <c r="E964" s="25" t="s">
        <v>4100</v>
      </c>
      <c r="F964" s="25" t="s">
        <v>1854</v>
      </c>
      <c r="G964" s="25" t="s">
        <v>189</v>
      </c>
    </row>
    <row r="965" ht="15" customHeight="1">
      <c r="A965" s="25" t="s">
        <v>4099</v>
      </c>
      <c r="B965" s="25" t="s">
        <v>1454</v>
      </c>
      <c r="C965" s="25" t="s">
        <v>2199</v>
      </c>
      <c r="D965" s="25" t="s">
        <v>2258</v>
      </c>
      <c r="E965" s="25" t="s">
        <v>4101</v>
      </c>
      <c r="F965" s="25" t="s">
        <v>2058</v>
      </c>
      <c r="G965" s="25" t="s">
        <v>193</v>
      </c>
    </row>
    <row r="966" ht="15" customHeight="1">
      <c r="A966" s="25" t="s">
        <v>4102</v>
      </c>
      <c r="B966" s="25" t="s">
        <v>1229</v>
      </c>
      <c r="C966" s="25" t="s">
        <v>2121</v>
      </c>
      <c r="D966" s="25" t="s">
        <v>2260</v>
      </c>
      <c r="E966" s="25" t="s">
        <v>4103</v>
      </c>
      <c r="F966" s="25" t="s">
        <v>1908</v>
      </c>
      <c r="G966" s="25" t="s">
        <v>167</v>
      </c>
    </row>
    <row r="967" ht="15" customHeight="1">
      <c r="A967" s="25" t="s">
        <v>4102</v>
      </c>
      <c r="B967" s="25" t="s">
        <v>1116</v>
      </c>
      <c r="C967" s="25" t="s">
        <v>2125</v>
      </c>
      <c r="D967" s="25" t="s">
        <v>2301</v>
      </c>
      <c r="E967" s="25" t="s">
        <v>4104</v>
      </c>
      <c r="F967" s="25" t="s">
        <v>2004</v>
      </c>
      <c r="G967" s="25" t="s">
        <v>200</v>
      </c>
    </row>
    <row r="968" ht="15" customHeight="1">
      <c r="A968" s="25" t="s">
        <v>4105</v>
      </c>
      <c r="B968" s="25" t="s">
        <v>3707</v>
      </c>
      <c r="C968" s="25" t="s">
        <v>2145</v>
      </c>
      <c r="D968" s="25" t="s">
        <v>2200</v>
      </c>
      <c r="E968" s="25" t="s">
        <v>4106</v>
      </c>
      <c r="F968" s="25" t="s">
        <v>2106</v>
      </c>
      <c r="G968" s="25" t="s">
        <v>172</v>
      </c>
    </row>
    <row r="969" ht="15" customHeight="1">
      <c r="A969" s="25" t="s">
        <v>4105</v>
      </c>
      <c r="B969" s="25" t="s">
        <v>1594</v>
      </c>
      <c r="C969" s="25" t="s">
        <v>2121</v>
      </c>
      <c r="D969" s="25" t="s">
        <v>2203</v>
      </c>
      <c r="E969" s="25" t="s">
        <v>4107</v>
      </c>
      <c r="F969" s="25" t="s">
        <v>1833</v>
      </c>
      <c r="G969" s="25" t="s">
        <v>177</v>
      </c>
    </row>
    <row r="970" ht="15" customHeight="1">
      <c r="A970" s="25" t="s">
        <v>4108</v>
      </c>
      <c r="B970" s="25" t="s">
        <v>2754</v>
      </c>
      <c r="C970" s="25" t="s">
        <v>2153</v>
      </c>
      <c r="D970" s="25" t="s">
        <v>2154</v>
      </c>
      <c r="E970" s="25" t="s">
        <v>4109</v>
      </c>
      <c r="F970" s="25" t="s">
        <v>1953</v>
      </c>
      <c r="G970" s="25" t="s">
        <v>167</v>
      </c>
    </row>
    <row r="971" ht="15" customHeight="1">
      <c r="A971" s="25" t="s">
        <v>4108</v>
      </c>
      <c r="B971" s="25" t="s">
        <v>2447</v>
      </c>
      <c r="C971" s="25" t="s">
        <v>2133</v>
      </c>
      <c r="D971" s="25" t="s">
        <v>2134</v>
      </c>
      <c r="E971" s="25" t="s">
        <v>4110</v>
      </c>
      <c r="F971" s="25" t="s">
        <v>1895</v>
      </c>
      <c r="G971" s="25" t="s">
        <v>193</v>
      </c>
    </row>
    <row r="972" ht="15" customHeight="1">
      <c r="A972" s="25" t="s">
        <v>4111</v>
      </c>
      <c r="B972" s="25" t="s">
        <v>1507</v>
      </c>
      <c r="C972" s="25" t="s">
        <v>2145</v>
      </c>
      <c r="D972" s="25" t="s">
        <v>2139</v>
      </c>
      <c r="E972" s="25" t="s">
        <v>4112</v>
      </c>
      <c r="F972" s="25" t="s">
        <v>2034</v>
      </c>
      <c r="G972" s="25" t="s">
        <v>189</v>
      </c>
    </row>
    <row r="973" ht="15" customHeight="1">
      <c r="A973" s="25" t="s">
        <v>4111</v>
      </c>
      <c r="B973" s="25" t="s">
        <v>4113</v>
      </c>
      <c r="C973" s="25" t="s">
        <v>2121</v>
      </c>
      <c r="D973" s="25" t="s">
        <v>2141</v>
      </c>
      <c r="E973" s="25" t="s">
        <v>4114</v>
      </c>
      <c r="F973" s="25" t="s">
        <v>2100</v>
      </c>
      <c r="G973" s="25" t="s">
        <v>200</v>
      </c>
    </row>
    <row r="974" ht="15" customHeight="1">
      <c r="A974" s="25" t="s">
        <v>4115</v>
      </c>
      <c r="B974" s="25" t="s">
        <v>3559</v>
      </c>
      <c r="C974" s="25" t="s">
        <v>2125</v>
      </c>
      <c r="D974" s="25" t="s">
        <v>2178</v>
      </c>
      <c r="E974" s="25" t="s">
        <v>4116</v>
      </c>
      <c r="F974" s="25" t="s">
        <v>1819</v>
      </c>
      <c r="G974" s="25" t="s">
        <v>167</v>
      </c>
    </row>
    <row r="975" ht="15" customHeight="1">
      <c r="A975" s="25" t="s">
        <v>4115</v>
      </c>
      <c r="B975" s="25" t="s">
        <v>3046</v>
      </c>
      <c r="C975" s="25" t="s">
        <v>2121</v>
      </c>
      <c r="D975" s="25" t="s">
        <v>2182</v>
      </c>
      <c r="E975" s="25" t="s">
        <v>4117</v>
      </c>
      <c r="F975" s="25" t="s">
        <v>1966</v>
      </c>
      <c r="G975" s="25" t="s">
        <v>172</v>
      </c>
    </row>
    <row r="976" ht="15" customHeight="1">
      <c r="A976" s="25" t="s">
        <v>4118</v>
      </c>
      <c r="B976" s="25" t="s">
        <v>3563</v>
      </c>
      <c r="C976" s="25" t="s">
        <v>2129</v>
      </c>
      <c r="D976" s="25" t="s">
        <v>2185</v>
      </c>
      <c r="E976" s="25" t="s">
        <v>4119</v>
      </c>
      <c r="F976" s="25" t="s">
        <v>1881</v>
      </c>
      <c r="G976" s="25" t="s">
        <v>177</v>
      </c>
    </row>
    <row r="977" ht="15" customHeight="1">
      <c r="A977" s="25" t="s">
        <v>4118</v>
      </c>
      <c r="B977" s="25" t="s">
        <v>1074</v>
      </c>
      <c r="C977" s="25" t="s">
        <v>2157</v>
      </c>
      <c r="D977" s="25" t="s">
        <v>2158</v>
      </c>
      <c r="E977" s="25" t="s">
        <v>4120</v>
      </c>
      <c r="F977" s="25" t="s">
        <v>2016</v>
      </c>
      <c r="G977" s="25" t="s">
        <v>189</v>
      </c>
    </row>
    <row r="978" ht="15" customHeight="1">
      <c r="A978" s="25" t="s">
        <v>4121</v>
      </c>
      <c r="B978" s="25" t="s">
        <v>1229</v>
      </c>
      <c r="C978" s="25" t="s">
        <v>2125</v>
      </c>
      <c r="D978" s="25" t="s">
        <v>2149</v>
      </c>
      <c r="E978" s="25" t="s">
        <v>4122</v>
      </c>
      <c r="F978" s="25" t="s">
        <v>2076</v>
      </c>
      <c r="G978" s="25" t="s">
        <v>193</v>
      </c>
    </row>
    <row r="979" ht="15" customHeight="1">
      <c r="A979" s="25" t="s">
        <v>4121</v>
      </c>
      <c r="B979" s="25" t="s">
        <v>3773</v>
      </c>
      <c r="C979" s="25" t="s">
        <v>2121</v>
      </c>
      <c r="D979" s="25" t="s">
        <v>2165</v>
      </c>
      <c r="E979" s="25" t="s">
        <v>4123</v>
      </c>
      <c r="F979" s="25" t="s">
        <v>1798</v>
      </c>
      <c r="G979" s="25" t="s">
        <v>167</v>
      </c>
    </row>
    <row r="980" ht="15" customHeight="1">
      <c r="A980" s="25" t="s">
        <v>4124</v>
      </c>
      <c r="B980" s="25" t="s">
        <v>3965</v>
      </c>
      <c r="C980" s="25" t="s">
        <v>2145</v>
      </c>
      <c r="D980" s="25" t="s">
        <v>2146</v>
      </c>
      <c r="E980" s="25" t="s">
        <v>4125</v>
      </c>
      <c r="F980" s="25" t="s">
        <v>1933</v>
      </c>
      <c r="G980" s="25" t="s">
        <v>200</v>
      </c>
    </row>
    <row r="981" ht="15" customHeight="1">
      <c r="A981" s="25" t="s">
        <v>4124</v>
      </c>
      <c r="B981" s="25" t="s">
        <v>2276</v>
      </c>
      <c r="C981" s="25" t="s">
        <v>2121</v>
      </c>
      <c r="D981" s="25" t="s">
        <v>2126</v>
      </c>
      <c r="E981" s="25" t="s">
        <v>4126</v>
      </c>
      <c r="F981" s="25" t="s">
        <v>2046</v>
      </c>
      <c r="G981" s="25" t="s">
        <v>172</v>
      </c>
    </row>
    <row r="982" ht="15" customHeight="1">
      <c r="A982" s="25" t="s">
        <v>4127</v>
      </c>
      <c r="B982" s="25" t="s">
        <v>1377</v>
      </c>
      <c r="C982" s="25" t="s">
        <v>2153</v>
      </c>
      <c r="D982" s="25" t="s">
        <v>2380</v>
      </c>
      <c r="E982" s="25" t="s">
        <v>4128</v>
      </c>
      <c r="F982" s="25" t="s">
        <v>2112</v>
      </c>
      <c r="G982" s="25" t="s">
        <v>177</v>
      </c>
    </row>
    <row r="983" ht="15" customHeight="1">
      <c r="A983" s="25" t="s">
        <v>4127</v>
      </c>
      <c r="B983" s="25" t="s">
        <v>1308</v>
      </c>
      <c r="C983" s="25" t="s">
        <v>2199</v>
      </c>
      <c r="D983" s="25" t="s">
        <v>2258</v>
      </c>
      <c r="E983" s="25" t="s">
        <v>4129</v>
      </c>
      <c r="F983" s="25" t="s">
        <v>1868</v>
      </c>
      <c r="G983" s="25" t="s">
        <v>167</v>
      </c>
    </row>
    <row r="984" ht="15" customHeight="1">
      <c r="A984" s="25" t="s">
        <v>4130</v>
      </c>
      <c r="B984" s="25" t="s">
        <v>1481</v>
      </c>
      <c r="C984" s="25" t="s">
        <v>2121</v>
      </c>
      <c r="D984" s="25" t="s">
        <v>2260</v>
      </c>
      <c r="E984" s="25" t="s">
        <v>4131</v>
      </c>
      <c r="F984" s="25" t="s">
        <v>1972</v>
      </c>
      <c r="G984" s="25" t="s">
        <v>193</v>
      </c>
    </row>
    <row r="985" ht="15" customHeight="1">
      <c r="A985" s="25" t="s">
        <v>4130</v>
      </c>
      <c r="B985" s="25" t="s">
        <v>1288</v>
      </c>
      <c r="C985" s="25" t="s">
        <v>2125</v>
      </c>
      <c r="D985" s="25" t="s">
        <v>2301</v>
      </c>
      <c r="E985" s="25" t="s">
        <v>4132</v>
      </c>
      <c r="F985" s="25" t="s">
        <v>1914</v>
      </c>
      <c r="G985" s="25" t="s">
        <v>189</v>
      </c>
    </row>
    <row r="986" ht="15" customHeight="1">
      <c r="A986" s="25" t="s">
        <v>4133</v>
      </c>
      <c r="B986" s="25" t="s">
        <v>4032</v>
      </c>
      <c r="C986" s="25" t="s">
        <v>2145</v>
      </c>
      <c r="D986" s="25" t="s">
        <v>2200</v>
      </c>
      <c r="E986" s="25" t="s">
        <v>4134</v>
      </c>
      <c r="F986" s="25" t="s">
        <v>2052</v>
      </c>
      <c r="G986" s="25" t="s">
        <v>200</v>
      </c>
    </row>
    <row r="987" ht="15" customHeight="1">
      <c r="A987" s="25" t="s">
        <v>4133</v>
      </c>
      <c r="B987" s="25" t="s">
        <v>1673</v>
      </c>
      <c r="C987" s="25" t="s">
        <v>2121</v>
      </c>
      <c r="D987" s="25" t="s">
        <v>2203</v>
      </c>
      <c r="E987" s="25" t="s">
        <v>4135</v>
      </c>
      <c r="F987" s="25" t="s">
        <v>1812</v>
      </c>
      <c r="G987" s="25" t="s">
        <v>167</v>
      </c>
    </row>
    <row r="988" ht="15" customHeight="1">
      <c r="A988" s="25" t="s">
        <v>4136</v>
      </c>
      <c r="B988" s="25" t="s">
        <v>2583</v>
      </c>
      <c r="C988" s="25" t="s">
        <v>2153</v>
      </c>
      <c r="D988" s="25" t="s">
        <v>2154</v>
      </c>
      <c r="E988" s="25" t="s">
        <v>4137</v>
      </c>
      <c r="F988" s="25" t="s">
        <v>1959</v>
      </c>
      <c r="G988" s="25" t="s">
        <v>172</v>
      </c>
    </row>
    <row r="989" ht="15" customHeight="1">
      <c r="A989" s="25" t="s">
        <v>4136</v>
      </c>
      <c r="B989" s="25" t="s">
        <v>4138</v>
      </c>
      <c r="C989" s="25" t="s">
        <v>2133</v>
      </c>
      <c r="D989" s="25" t="s">
        <v>2134</v>
      </c>
      <c r="E989" s="25" t="s">
        <v>4139</v>
      </c>
      <c r="F989" s="25" t="s">
        <v>1861</v>
      </c>
      <c r="G989" s="25" t="s">
        <v>177</v>
      </c>
    </row>
    <row r="990" ht="15" customHeight="1">
      <c r="A990" s="25" t="s">
        <v>4140</v>
      </c>
      <c r="B990" s="25" t="s">
        <v>4141</v>
      </c>
      <c r="C990" s="25" t="s">
        <v>2145</v>
      </c>
      <c r="D990" s="25" t="s">
        <v>2139</v>
      </c>
      <c r="E990" s="25" t="s">
        <v>4142</v>
      </c>
      <c r="F990" s="25" t="s">
        <v>2010</v>
      </c>
      <c r="G990" s="25" t="s">
        <v>189</v>
      </c>
    </row>
    <row r="991" ht="15" customHeight="1">
      <c r="A991" s="25" t="s">
        <v>4140</v>
      </c>
      <c r="B991" s="25" t="s">
        <v>2833</v>
      </c>
      <c r="C991" s="25" t="s">
        <v>2121</v>
      </c>
      <c r="D991" s="25" t="s">
        <v>2141</v>
      </c>
      <c r="E991" s="25" t="s">
        <v>4143</v>
      </c>
      <c r="F991" s="25" t="s">
        <v>2094</v>
      </c>
      <c r="G991" s="25" t="s">
        <v>193</v>
      </c>
    </row>
    <row r="992" ht="15" customHeight="1">
      <c r="A992" s="25" t="s">
        <v>4144</v>
      </c>
      <c r="B992" s="25" t="s">
        <v>928</v>
      </c>
      <c r="C992" s="25" t="s">
        <v>2125</v>
      </c>
      <c r="D992" s="25" t="s">
        <v>2178</v>
      </c>
      <c r="E992" s="25" t="s">
        <v>4145</v>
      </c>
      <c r="F992" s="25" t="s">
        <v>1927</v>
      </c>
      <c r="G992" s="25" t="s">
        <v>167</v>
      </c>
    </row>
    <row r="993" ht="15" customHeight="1">
      <c r="A993" s="25" t="s">
        <v>4144</v>
      </c>
      <c r="B993" s="25" t="s">
        <v>1784</v>
      </c>
      <c r="C993" s="25" t="s">
        <v>2121</v>
      </c>
      <c r="D993" s="25" t="s">
        <v>2182</v>
      </c>
      <c r="E993" s="25" t="s">
        <v>4146</v>
      </c>
      <c r="F993" s="25" t="s">
        <v>1805</v>
      </c>
      <c r="G993" s="25" t="s">
        <v>200</v>
      </c>
    </row>
    <row r="994" ht="15" customHeight="1">
      <c r="A994" s="25" t="s">
        <v>4147</v>
      </c>
      <c r="B994" s="25" t="s">
        <v>1377</v>
      </c>
      <c r="C994" s="25" t="s">
        <v>2129</v>
      </c>
      <c r="D994" s="25" t="s">
        <v>2185</v>
      </c>
      <c r="E994" s="25" t="s">
        <v>4148</v>
      </c>
      <c r="F994" s="25" t="s">
        <v>2040</v>
      </c>
      <c r="G994" s="25" t="s">
        <v>172</v>
      </c>
    </row>
    <row r="995" ht="15" customHeight="1">
      <c r="A995" s="25" t="s">
        <v>4147</v>
      </c>
      <c r="B995" s="25" t="s">
        <v>4149</v>
      </c>
      <c r="C995" s="25" t="s">
        <v>2157</v>
      </c>
      <c r="D995" s="25" t="s">
        <v>2158</v>
      </c>
      <c r="E995" s="25" t="s">
        <v>4150</v>
      </c>
      <c r="F995" s="25" t="s">
        <v>1902</v>
      </c>
      <c r="G995" s="25" t="s">
        <v>177</v>
      </c>
    </row>
    <row r="996" ht="15" customHeight="1">
      <c r="A996" s="25" t="s">
        <v>4151</v>
      </c>
      <c r="B996" s="25" t="s">
        <v>1249</v>
      </c>
      <c r="C996" s="25" t="s">
        <v>2125</v>
      </c>
      <c r="D996" s="25" t="s">
        <v>2149</v>
      </c>
      <c r="E996" s="25" t="s">
        <v>4152</v>
      </c>
      <c r="F996" s="25" t="s">
        <v>1984</v>
      </c>
      <c r="G996" s="25" t="s">
        <v>167</v>
      </c>
    </row>
    <row r="997" ht="15" customHeight="1">
      <c r="A997" s="25" t="s">
        <v>4151</v>
      </c>
      <c r="B997" s="25" t="s">
        <v>2602</v>
      </c>
      <c r="C997" s="25" t="s">
        <v>2121</v>
      </c>
      <c r="D997" s="25" t="s">
        <v>2165</v>
      </c>
      <c r="E997" s="25" t="s">
        <v>4153</v>
      </c>
      <c r="F997" s="25" t="s">
        <v>2022</v>
      </c>
      <c r="G997" s="25" t="s">
        <v>193</v>
      </c>
    </row>
    <row r="998" ht="15" customHeight="1">
      <c r="A998" s="25" t="s">
        <v>4154</v>
      </c>
      <c r="B998" s="25" t="s">
        <v>683</v>
      </c>
      <c r="C998" s="25" t="s">
        <v>2145</v>
      </c>
      <c r="D998" s="25" t="s">
        <v>2146</v>
      </c>
      <c r="E998" s="25" t="s">
        <v>4155</v>
      </c>
      <c r="F998" s="25" t="s">
        <v>2088</v>
      </c>
      <c r="G998" s="25" t="s">
        <v>189</v>
      </c>
    </row>
    <row r="999" ht="15" customHeight="1">
      <c r="A999" s="25" t="s">
        <v>4154</v>
      </c>
      <c r="B999" s="25" t="s">
        <v>2328</v>
      </c>
      <c r="C999" s="25" t="s">
        <v>2121</v>
      </c>
      <c r="D999" s="25" t="s">
        <v>2126</v>
      </c>
      <c r="E999" s="25" t="s">
        <v>4156</v>
      </c>
      <c r="F999" s="25" t="s">
        <v>1940</v>
      </c>
      <c r="G999" s="25" t="s">
        <v>200</v>
      </c>
    </row>
    <row r="1000" ht="15" customHeight="1">
      <c r="A1000" s="25" t="s">
        <v>4157</v>
      </c>
      <c r="B1000" s="25" t="s">
        <v>4158</v>
      </c>
      <c r="C1000" s="25" t="s">
        <v>2153</v>
      </c>
      <c r="D1000" s="25" t="s">
        <v>2380</v>
      </c>
      <c r="E1000" s="25" t="s">
        <v>4159</v>
      </c>
      <c r="F1000" s="25" t="s">
        <v>2070</v>
      </c>
      <c r="G1000" s="25" t="s">
        <v>167</v>
      </c>
    </row>
    <row r="1001" ht="15" customHeight="1">
      <c r="A1001" s="25" t="s">
        <v>4157</v>
      </c>
      <c r="B1001" s="25" t="s">
        <v>3678</v>
      </c>
      <c r="C1001" s="25" t="s">
        <v>2199</v>
      </c>
      <c r="D1001" s="25" t="s">
        <v>2258</v>
      </c>
      <c r="E1001" s="25" t="s">
        <v>4160</v>
      </c>
      <c r="F1001" s="25" t="s">
        <v>1991</v>
      </c>
      <c r="G1001" s="25" t="s">
        <v>172</v>
      </c>
    </row>
    <row r="1003" ht="15" customHeight="1">
      <c r="I1003" s="16" t="s">
        <v>1794</v>
      </c>
    </row>
  </sheetData>
  <printOptions headings="0" gridLines="0"/>
  <pageMargins left="0.75" right="0.75" top="1" bottom="1" header="0.51181102362204689" footer="0.51181102362204689"/>
  <pageSetup paperSize="9" scale="100" fitToWidth="1" fitToHeight="1" pageOrder="downThenOver" orientation="portrait" usePrinterDefaults="1" blackAndWhite="0" draft="0" cellComments="none" useFirstPageNumber="0" errors="displayed" horizontalDpi="300" verticalDpi="300" copies="1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filterMode="0">
    <outlinePr applyStyles="0" summaryBelow="1" summaryRight="1" showOutlineSymbols="1"/>
    <pageSetUpPr autoPageBreaks="1" fitToPage="0"/>
  </sheetPr>
  <sheetViews>
    <sheetView showFormulas="0" showGridLines="0" showRowColHeaders="1" showZeros="1" showRuler="1" view="normal" topLeftCell="A1" zoomScale="100" workbookViewId="0">
      <pane ySplit="1" topLeftCell="A2" activePane="bottomLeft" state="frozen"/>
      <selection activeCell="A1" activeCellId="0" sqref="A1"/>
    </sheetView>
  </sheetViews>
  <sheetFormatPr defaultColWidth="8.6796875" defaultRowHeight="14.25"/>
  <cols>
    <col customWidth="1" min="1" max="1" style="1" width="12"/>
    <col customWidth="1" min="2" max="2" style="1" width="30"/>
    <col customWidth="1" min="3" max="3" style="1" width="16"/>
    <col customWidth="1" min="4" max="4" style="1" width="20"/>
    <col customWidth="1" min="5" max="5" style="1" width="22"/>
    <col customWidth="1" min="6" max="6" style="1" width="20"/>
    <col customWidth="1" min="7" max="7" style="1" width="16"/>
  </cols>
  <sheetData>
    <row r="1" ht="23.25" customHeight="1">
      <c r="A1" s="24" t="s">
        <v>126</v>
      </c>
      <c r="B1" s="24" t="s">
        <v>4161</v>
      </c>
      <c r="C1" s="24" t="s">
        <v>149</v>
      </c>
      <c r="D1" s="24" t="s">
        <v>1796</v>
      </c>
      <c r="E1" s="24" t="s">
        <v>31</v>
      </c>
      <c r="F1" s="24" t="s">
        <v>4162</v>
      </c>
      <c r="G1" s="24" t="s">
        <v>150</v>
      </c>
    </row>
    <row r="2" ht="15" customHeight="1">
      <c r="A2" s="25" t="s">
        <v>2123</v>
      </c>
      <c r="B2" s="25" t="s">
        <v>4163</v>
      </c>
      <c r="C2" s="25" t="s">
        <v>4164</v>
      </c>
      <c r="D2" s="25" t="s">
        <v>1802</v>
      </c>
      <c r="E2" s="25" t="s">
        <v>4165</v>
      </c>
      <c r="F2" s="25" t="s">
        <v>171</v>
      </c>
      <c r="G2" s="25" t="s">
        <v>4166</v>
      </c>
    </row>
    <row r="3" ht="15" customHeight="1">
      <c r="A3" s="25" t="s">
        <v>2127</v>
      </c>
      <c r="B3" s="25" t="s">
        <v>4167</v>
      </c>
      <c r="C3" s="25" t="s">
        <v>4168</v>
      </c>
      <c r="D3" s="25" t="s">
        <v>1809</v>
      </c>
      <c r="E3" s="25" t="s">
        <v>4169</v>
      </c>
      <c r="F3" s="25" t="s">
        <v>181</v>
      </c>
      <c r="G3" s="25" t="s">
        <v>4170</v>
      </c>
    </row>
    <row r="4" ht="15" customHeight="1">
      <c r="A4" s="25" t="s">
        <v>2131</v>
      </c>
      <c r="B4" s="25" t="s">
        <v>4171</v>
      </c>
      <c r="C4" s="25" t="s">
        <v>4172</v>
      </c>
      <c r="D4" s="25" t="s">
        <v>1816</v>
      </c>
      <c r="E4" s="25" t="s">
        <v>4173</v>
      </c>
      <c r="F4" s="25" t="s">
        <v>191</v>
      </c>
      <c r="G4" s="25" t="s">
        <v>4174</v>
      </c>
    </row>
    <row r="5" ht="15" customHeight="1">
      <c r="A5" s="25" t="s">
        <v>2135</v>
      </c>
      <c r="B5" s="25" t="s">
        <v>4175</v>
      </c>
      <c r="C5" s="25" t="s">
        <v>4176</v>
      </c>
      <c r="D5" s="25" t="s">
        <v>1823</v>
      </c>
      <c r="E5" s="25" t="s">
        <v>4177</v>
      </c>
      <c r="F5" s="25" t="s">
        <v>4178</v>
      </c>
      <c r="G5" s="25" t="s">
        <v>4179</v>
      </c>
    </row>
    <row r="6" ht="15" customHeight="1">
      <c r="A6" s="25" t="s">
        <v>2140</v>
      </c>
      <c r="B6" s="25" t="s">
        <v>4180</v>
      </c>
      <c r="C6" s="25" t="s">
        <v>4181</v>
      </c>
      <c r="D6" s="25" t="s">
        <v>1892</v>
      </c>
      <c r="E6" s="25" t="s">
        <v>4182</v>
      </c>
      <c r="F6" s="25" t="s">
        <v>4183</v>
      </c>
      <c r="G6" s="25" t="s">
        <v>4184</v>
      </c>
    </row>
    <row r="7" ht="15" customHeight="1">
      <c r="A7" s="25" t="s">
        <v>2142</v>
      </c>
      <c r="B7" s="25" t="s">
        <v>4185</v>
      </c>
      <c r="C7" s="25" t="s">
        <v>4186</v>
      </c>
      <c r="D7" s="25" t="s">
        <v>4187</v>
      </c>
      <c r="E7" s="25" t="s">
        <v>4188</v>
      </c>
      <c r="F7" s="25" t="s">
        <v>198</v>
      </c>
      <c r="G7" s="25" t="s">
        <v>4189</v>
      </c>
    </row>
    <row r="8" ht="15" customHeight="1">
      <c r="A8" s="25" t="s">
        <v>2147</v>
      </c>
      <c r="B8" s="25" t="s">
        <v>4190</v>
      </c>
      <c r="C8" s="25" t="s">
        <v>4191</v>
      </c>
      <c r="D8" s="25" t="s">
        <v>4192</v>
      </c>
      <c r="E8" s="25" t="s">
        <v>4193</v>
      </c>
      <c r="F8" s="25" t="s">
        <v>4194</v>
      </c>
      <c r="G8" s="25" t="s">
        <v>4195</v>
      </c>
    </row>
    <row r="9" ht="15" customHeight="1">
      <c r="A9" s="25" t="s">
        <v>2150</v>
      </c>
      <c r="B9" s="25" t="s">
        <v>4196</v>
      </c>
      <c r="C9" s="25" t="s">
        <v>4197</v>
      </c>
      <c r="D9" s="25" t="s">
        <v>1837</v>
      </c>
      <c r="E9" s="25" t="s">
        <v>4198</v>
      </c>
      <c r="F9" s="25" t="s">
        <v>4199</v>
      </c>
      <c r="G9" s="25" t="s">
        <v>4200</v>
      </c>
    </row>
    <row r="10" ht="15" customHeight="1">
      <c r="A10" s="25" t="s">
        <v>2155</v>
      </c>
      <c r="B10" s="25" t="s">
        <v>4201</v>
      </c>
      <c r="C10" s="25" t="s">
        <v>4202</v>
      </c>
      <c r="D10" s="25" t="s">
        <v>4203</v>
      </c>
      <c r="E10" s="25" t="s">
        <v>4204</v>
      </c>
      <c r="F10" s="25" t="s">
        <v>4205</v>
      </c>
      <c r="G10" s="25" t="s">
        <v>4206</v>
      </c>
    </row>
    <row r="11" ht="15" customHeight="1">
      <c r="A11" s="25" t="s">
        <v>2159</v>
      </c>
      <c r="B11" s="25" t="s">
        <v>4207</v>
      </c>
      <c r="C11" s="25" t="s">
        <v>4208</v>
      </c>
      <c r="D11" s="25" t="s">
        <v>4209</v>
      </c>
      <c r="E11" s="25" t="s">
        <v>4210</v>
      </c>
      <c r="F11" s="25" t="s">
        <v>4211</v>
      </c>
      <c r="G11" s="25" t="s">
        <v>4212</v>
      </c>
    </row>
    <row r="12" ht="15" customHeight="1">
      <c r="A12" s="25" t="s">
        <v>2163</v>
      </c>
      <c r="B12" s="25" t="s">
        <v>4213</v>
      </c>
      <c r="C12" s="25" t="s">
        <v>4214</v>
      </c>
      <c r="D12" s="25" t="s">
        <v>1851</v>
      </c>
      <c r="E12" s="25" t="s">
        <v>4215</v>
      </c>
      <c r="F12" s="25" t="s">
        <v>4216</v>
      </c>
      <c r="G12" s="25" t="s">
        <v>4217</v>
      </c>
    </row>
    <row r="13" ht="15" customHeight="1">
      <c r="A13" s="25" t="s">
        <v>2166</v>
      </c>
      <c r="B13" s="25" t="s">
        <v>4218</v>
      </c>
      <c r="C13" s="25" t="s">
        <v>4219</v>
      </c>
      <c r="D13" s="25" t="s">
        <v>4220</v>
      </c>
      <c r="E13" s="25" t="s">
        <v>4221</v>
      </c>
      <c r="F13" s="25" t="s">
        <v>4222</v>
      </c>
      <c r="G13" s="25" t="s">
        <v>4223</v>
      </c>
    </row>
    <row r="14" ht="15" customHeight="1">
      <c r="A14" s="25" t="s">
        <v>2170</v>
      </c>
      <c r="B14" s="25" t="s">
        <v>4224</v>
      </c>
      <c r="C14" s="25" t="s">
        <v>4225</v>
      </c>
      <c r="D14" s="25" t="s">
        <v>1858</v>
      </c>
      <c r="E14" s="25" t="s">
        <v>4226</v>
      </c>
      <c r="F14" s="25" t="s">
        <v>4227</v>
      </c>
      <c r="G14" s="25" t="s">
        <v>4228</v>
      </c>
    </row>
    <row r="15" ht="15" customHeight="1">
      <c r="A15" s="25" t="s">
        <v>2173</v>
      </c>
      <c r="B15" s="25" t="s">
        <v>4229</v>
      </c>
      <c r="C15" s="25" t="s">
        <v>4230</v>
      </c>
      <c r="D15" s="25" t="s">
        <v>1865</v>
      </c>
      <c r="E15" s="25" t="s">
        <v>4231</v>
      </c>
      <c r="F15" s="25" t="s">
        <v>4232</v>
      </c>
      <c r="G15" s="25" t="s">
        <v>4233</v>
      </c>
    </row>
    <row r="16" ht="15" customHeight="1">
      <c r="A16" s="25" t="s">
        <v>2177</v>
      </c>
      <c r="B16" s="25" t="s">
        <v>4234</v>
      </c>
      <c r="C16" s="25" t="s">
        <v>4235</v>
      </c>
      <c r="D16" s="25" t="s">
        <v>4236</v>
      </c>
      <c r="E16" s="25" t="s">
        <v>4237</v>
      </c>
      <c r="F16" s="25" t="s">
        <v>4238</v>
      </c>
      <c r="G16" s="25" t="s">
        <v>4239</v>
      </c>
    </row>
    <row r="17" ht="15" customHeight="1">
      <c r="A17" s="25" t="s">
        <v>2179</v>
      </c>
      <c r="B17" s="25" t="s">
        <v>4240</v>
      </c>
      <c r="C17" s="25" t="s">
        <v>4241</v>
      </c>
      <c r="D17" s="25" t="s">
        <v>4242</v>
      </c>
      <c r="E17" s="25" t="s">
        <v>4243</v>
      </c>
      <c r="F17" s="25" t="s">
        <v>4244</v>
      </c>
      <c r="G17" s="25" t="s">
        <v>4245</v>
      </c>
    </row>
    <row r="18" ht="15" customHeight="1">
      <c r="A18" s="25" t="s">
        <v>2183</v>
      </c>
      <c r="B18" s="25" t="s">
        <v>4246</v>
      </c>
      <c r="C18" s="25" t="s">
        <v>4247</v>
      </c>
      <c r="D18" s="25" t="s">
        <v>1802</v>
      </c>
      <c r="E18" s="25" t="s">
        <v>4248</v>
      </c>
      <c r="F18" s="25" t="s">
        <v>4249</v>
      </c>
      <c r="G18" s="25" t="s">
        <v>4250</v>
      </c>
    </row>
    <row r="19" ht="15" customHeight="1">
      <c r="A19" s="25" t="s">
        <v>2186</v>
      </c>
      <c r="B19" s="25" t="s">
        <v>4251</v>
      </c>
      <c r="C19" s="25" t="s">
        <v>4252</v>
      </c>
      <c r="D19" s="25" t="s">
        <v>4253</v>
      </c>
      <c r="E19" s="25" t="s">
        <v>4254</v>
      </c>
      <c r="F19" s="25" t="s">
        <v>4255</v>
      </c>
      <c r="G19" s="25" t="s">
        <v>4256</v>
      </c>
    </row>
    <row r="20" ht="15" customHeight="1">
      <c r="A20" s="25" t="s">
        <v>2190</v>
      </c>
      <c r="B20" s="25" t="s">
        <v>4257</v>
      </c>
      <c r="C20" s="25" t="s">
        <v>4258</v>
      </c>
      <c r="D20" s="25" t="s">
        <v>4259</v>
      </c>
      <c r="E20" s="25" t="s">
        <v>4260</v>
      </c>
      <c r="F20" s="25" t="s">
        <v>4261</v>
      </c>
      <c r="G20" s="25" t="s">
        <v>4262</v>
      </c>
    </row>
    <row r="21" ht="15" customHeight="1">
      <c r="A21" s="25" t="s">
        <v>2193</v>
      </c>
      <c r="B21" s="25" t="s">
        <v>4263</v>
      </c>
      <c r="C21" s="25" t="s">
        <v>4264</v>
      </c>
      <c r="D21" s="25" t="s">
        <v>1944</v>
      </c>
      <c r="E21" s="25" t="s">
        <v>4265</v>
      </c>
      <c r="F21" s="25" t="s">
        <v>4266</v>
      </c>
      <c r="G21" s="25" t="s">
        <v>4267</v>
      </c>
    </row>
    <row r="22" ht="15" customHeight="1">
      <c r="A22" s="25" t="s">
        <v>2197</v>
      </c>
      <c r="B22" s="25" t="s">
        <v>4268</v>
      </c>
      <c r="C22" s="25" t="s">
        <v>4269</v>
      </c>
      <c r="D22" s="25" t="s">
        <v>1816</v>
      </c>
      <c r="E22" s="25" t="s">
        <v>4270</v>
      </c>
      <c r="F22" s="25" t="s">
        <v>4271</v>
      </c>
      <c r="G22" s="25" t="s">
        <v>4272</v>
      </c>
    </row>
    <row r="23" ht="15" customHeight="1">
      <c r="A23" s="25" t="s">
        <v>2201</v>
      </c>
      <c r="B23" s="25" t="s">
        <v>4273</v>
      </c>
      <c r="C23" s="25" t="s">
        <v>4274</v>
      </c>
      <c r="D23" s="25" t="s">
        <v>4275</v>
      </c>
      <c r="E23" s="25" t="s">
        <v>4276</v>
      </c>
      <c r="F23" s="25" t="s">
        <v>4277</v>
      </c>
      <c r="G23" s="25" t="s">
        <v>4278</v>
      </c>
    </row>
    <row r="24" ht="15" customHeight="1">
      <c r="A24" s="25" t="s">
        <v>2204</v>
      </c>
      <c r="B24" s="25" t="s">
        <v>4279</v>
      </c>
      <c r="C24" s="25" t="s">
        <v>4280</v>
      </c>
      <c r="D24" s="25" t="s">
        <v>4281</v>
      </c>
      <c r="E24" s="25" t="s">
        <v>4282</v>
      </c>
      <c r="F24" s="25" t="s">
        <v>4283</v>
      </c>
      <c r="G24" s="25" t="s">
        <v>4284</v>
      </c>
    </row>
    <row r="25" ht="15" customHeight="1">
      <c r="A25" s="25" t="s">
        <v>2207</v>
      </c>
      <c r="B25" s="25" t="s">
        <v>4285</v>
      </c>
      <c r="C25" s="25" t="s">
        <v>4286</v>
      </c>
      <c r="D25" s="25" t="s">
        <v>4287</v>
      </c>
      <c r="E25" s="25" t="s">
        <v>4288</v>
      </c>
      <c r="F25" s="25" t="s">
        <v>4289</v>
      </c>
      <c r="G25" s="25" t="s">
        <v>4290</v>
      </c>
    </row>
    <row r="26" ht="15" customHeight="1">
      <c r="A26" s="25" t="s">
        <v>2210</v>
      </c>
      <c r="B26" s="25" t="s">
        <v>4291</v>
      </c>
      <c r="C26" s="25" t="s">
        <v>4292</v>
      </c>
      <c r="D26" s="25" t="s">
        <v>1823</v>
      </c>
      <c r="E26" s="25" t="s">
        <v>4293</v>
      </c>
      <c r="F26" s="25" t="s">
        <v>4294</v>
      </c>
      <c r="G26" s="25" t="s">
        <v>4295</v>
      </c>
    </row>
    <row r="27" ht="15" customHeight="1">
      <c r="A27" s="25" t="s">
        <v>2213</v>
      </c>
      <c r="B27" s="25" t="s">
        <v>4296</v>
      </c>
      <c r="C27" s="25" t="s">
        <v>4297</v>
      </c>
      <c r="D27" s="25" t="s">
        <v>1892</v>
      </c>
      <c r="E27" s="25" t="s">
        <v>4298</v>
      </c>
      <c r="F27" s="25" t="s">
        <v>4299</v>
      </c>
      <c r="G27" s="25" t="s">
        <v>4300</v>
      </c>
    </row>
    <row r="28" ht="15" customHeight="1">
      <c r="A28" s="25" t="s">
        <v>2217</v>
      </c>
      <c r="B28" s="25" t="s">
        <v>4301</v>
      </c>
      <c r="C28" s="25" t="s">
        <v>4302</v>
      </c>
      <c r="D28" s="25" t="s">
        <v>4187</v>
      </c>
      <c r="E28" s="25" t="s">
        <v>4303</v>
      </c>
      <c r="F28" s="25" t="s">
        <v>4304</v>
      </c>
      <c r="G28" s="25" t="s">
        <v>4305</v>
      </c>
    </row>
    <row r="29" ht="15" customHeight="1">
      <c r="A29" s="25" t="s">
        <v>2219</v>
      </c>
      <c r="B29" s="25" t="s">
        <v>4306</v>
      </c>
      <c r="C29" s="25" t="s">
        <v>4307</v>
      </c>
      <c r="D29" s="25" t="s">
        <v>4192</v>
      </c>
      <c r="E29" s="25" t="s">
        <v>4308</v>
      </c>
      <c r="F29" s="25" t="s">
        <v>4309</v>
      </c>
      <c r="G29" s="25" t="s">
        <v>4310</v>
      </c>
    </row>
    <row r="30" ht="15" customHeight="1">
      <c r="A30" s="25" t="s">
        <v>2223</v>
      </c>
      <c r="B30" s="25" t="s">
        <v>4311</v>
      </c>
      <c r="C30" s="25" t="s">
        <v>4312</v>
      </c>
      <c r="D30" s="25" t="s">
        <v>1830</v>
      </c>
      <c r="E30" s="25" t="s">
        <v>4313</v>
      </c>
      <c r="F30" s="25" t="s">
        <v>4314</v>
      </c>
      <c r="G30" s="25" t="s">
        <v>4315</v>
      </c>
    </row>
    <row r="31" ht="15" customHeight="1">
      <c r="A31" s="25" t="s">
        <v>2226</v>
      </c>
      <c r="B31" s="25" t="s">
        <v>4316</v>
      </c>
      <c r="C31" s="25" t="s">
        <v>4317</v>
      </c>
      <c r="D31" s="25" t="s">
        <v>4318</v>
      </c>
      <c r="E31" s="25" t="s">
        <v>4319</v>
      </c>
      <c r="F31" s="25" t="s">
        <v>4320</v>
      </c>
      <c r="G31" s="25" t="s">
        <v>4321</v>
      </c>
    </row>
    <row r="32" ht="15" customHeight="1">
      <c r="A32" s="25" t="s">
        <v>2229</v>
      </c>
      <c r="B32" s="25" t="s">
        <v>4322</v>
      </c>
      <c r="C32" s="25" t="s">
        <v>4323</v>
      </c>
      <c r="D32" s="25" t="s">
        <v>4324</v>
      </c>
      <c r="E32" s="25" t="s">
        <v>4325</v>
      </c>
      <c r="F32" s="25" t="s">
        <v>4326</v>
      </c>
      <c r="G32" s="25" t="s">
        <v>4327</v>
      </c>
    </row>
    <row r="33" ht="15" customHeight="1">
      <c r="A33" s="25" t="s">
        <v>2231</v>
      </c>
      <c r="B33" s="25" t="s">
        <v>4328</v>
      </c>
      <c r="C33" s="25" t="s">
        <v>4329</v>
      </c>
      <c r="D33" s="25" t="s">
        <v>1837</v>
      </c>
      <c r="E33" s="25" t="s">
        <v>4330</v>
      </c>
      <c r="F33" s="25" t="s">
        <v>4331</v>
      </c>
      <c r="G33" s="25" t="s">
        <v>4332</v>
      </c>
    </row>
    <row r="34" ht="15" customHeight="1">
      <c r="A34" s="25" t="s">
        <v>2235</v>
      </c>
      <c r="B34" s="25" t="s">
        <v>4333</v>
      </c>
      <c r="C34" s="25" t="s">
        <v>4334</v>
      </c>
      <c r="D34" s="25" t="s">
        <v>4203</v>
      </c>
      <c r="E34" s="25" t="s">
        <v>4335</v>
      </c>
      <c r="F34" s="25" t="s">
        <v>4336</v>
      </c>
      <c r="G34" s="25" t="s">
        <v>4337</v>
      </c>
    </row>
    <row r="35" ht="15" customHeight="1">
      <c r="A35" s="25" t="s">
        <v>2236</v>
      </c>
      <c r="B35" s="25" t="s">
        <v>4338</v>
      </c>
      <c r="C35" s="25" t="s">
        <v>4339</v>
      </c>
      <c r="D35" s="25" t="s">
        <v>4340</v>
      </c>
      <c r="E35" s="25" t="s">
        <v>4341</v>
      </c>
      <c r="F35" s="25" t="s">
        <v>4342</v>
      </c>
      <c r="G35" s="25" t="s">
        <v>4343</v>
      </c>
    </row>
    <row r="36" ht="15" customHeight="1">
      <c r="A36" s="25" t="s">
        <v>2239</v>
      </c>
      <c r="B36" s="25" t="s">
        <v>4344</v>
      </c>
      <c r="C36" s="25" t="s">
        <v>4345</v>
      </c>
      <c r="D36" s="25" t="s">
        <v>4346</v>
      </c>
      <c r="E36" s="25" t="s">
        <v>4347</v>
      </c>
      <c r="F36" s="25" t="s">
        <v>4348</v>
      </c>
      <c r="G36" s="25" t="s">
        <v>4349</v>
      </c>
    </row>
    <row r="37" ht="15" customHeight="1">
      <c r="A37" s="25" t="s">
        <v>2240</v>
      </c>
      <c r="B37" s="25" t="s">
        <v>4350</v>
      </c>
      <c r="C37" s="25" t="s">
        <v>4351</v>
      </c>
      <c r="D37" s="25" t="s">
        <v>4352</v>
      </c>
      <c r="E37" s="25" t="s">
        <v>4353</v>
      </c>
      <c r="F37" s="25" t="s">
        <v>4354</v>
      </c>
      <c r="G37" s="25" t="s">
        <v>4355</v>
      </c>
    </row>
    <row r="38" ht="15" customHeight="1">
      <c r="A38" s="25" t="s">
        <v>2243</v>
      </c>
      <c r="B38" s="25" t="s">
        <v>4356</v>
      </c>
      <c r="C38" s="25" t="s">
        <v>4357</v>
      </c>
      <c r="D38" s="25" t="s">
        <v>4209</v>
      </c>
      <c r="E38" s="25" t="s">
        <v>4358</v>
      </c>
      <c r="F38" s="25" t="s">
        <v>4359</v>
      </c>
      <c r="G38" s="25" t="s">
        <v>4360</v>
      </c>
    </row>
    <row r="39" ht="15" customHeight="1">
      <c r="A39" s="25" t="s">
        <v>2246</v>
      </c>
      <c r="B39" s="25" t="s">
        <v>4361</v>
      </c>
      <c r="C39" s="25" t="s">
        <v>4362</v>
      </c>
      <c r="D39" s="25" t="s">
        <v>1851</v>
      </c>
      <c r="E39" s="25" t="s">
        <v>4363</v>
      </c>
      <c r="F39" s="25" t="s">
        <v>4364</v>
      </c>
      <c r="G39" s="25" t="s">
        <v>4365</v>
      </c>
    </row>
    <row r="40" ht="15" customHeight="1">
      <c r="A40" s="25" t="s">
        <v>2248</v>
      </c>
      <c r="B40" s="25" t="s">
        <v>4366</v>
      </c>
      <c r="C40" s="25" t="s">
        <v>4367</v>
      </c>
      <c r="D40" s="25" t="s">
        <v>4220</v>
      </c>
      <c r="E40" s="25" t="s">
        <v>4368</v>
      </c>
      <c r="F40" s="25" t="s">
        <v>4369</v>
      </c>
      <c r="G40" s="25" t="s">
        <v>4370</v>
      </c>
    </row>
    <row r="41" ht="15" customHeight="1">
      <c r="A41" s="25" t="s">
        <v>2250</v>
      </c>
      <c r="B41" s="25" t="s">
        <v>4371</v>
      </c>
      <c r="C41" s="25" t="s">
        <v>4372</v>
      </c>
      <c r="D41" s="25" t="s">
        <v>1858</v>
      </c>
      <c r="E41" s="25" t="s">
        <v>4373</v>
      </c>
      <c r="F41" s="25" t="s">
        <v>4374</v>
      </c>
      <c r="G41" s="25" t="s">
        <v>4375</v>
      </c>
    </row>
    <row r="42" ht="15" customHeight="1">
      <c r="A42" s="25" t="s">
        <v>2253</v>
      </c>
      <c r="B42" s="25" t="s">
        <v>4376</v>
      </c>
      <c r="C42" s="25" t="s">
        <v>4377</v>
      </c>
      <c r="D42" s="25" t="s">
        <v>4378</v>
      </c>
      <c r="E42" s="25" t="s">
        <v>4379</v>
      </c>
      <c r="F42" s="25" t="s">
        <v>4380</v>
      </c>
      <c r="G42" s="25" t="s">
        <v>4381</v>
      </c>
    </row>
    <row r="43" ht="15" customHeight="1">
      <c r="A43" s="25" t="s">
        <v>2255</v>
      </c>
      <c r="B43" s="25" t="s">
        <v>4382</v>
      </c>
      <c r="C43" s="25" t="s">
        <v>4383</v>
      </c>
      <c r="D43" s="25" t="s">
        <v>4384</v>
      </c>
      <c r="E43" s="25" t="s">
        <v>4385</v>
      </c>
      <c r="F43" s="25" t="s">
        <v>4386</v>
      </c>
      <c r="G43" s="25" t="s">
        <v>4387</v>
      </c>
    </row>
    <row r="44" ht="15" customHeight="1">
      <c r="A44" s="25" t="s">
        <v>2259</v>
      </c>
      <c r="B44" s="25" t="s">
        <v>4388</v>
      </c>
      <c r="C44" s="25" t="s">
        <v>4389</v>
      </c>
      <c r="D44" s="25" t="s">
        <v>4390</v>
      </c>
      <c r="E44" s="25" t="s">
        <v>4391</v>
      </c>
      <c r="F44" s="25" t="s">
        <v>4392</v>
      </c>
      <c r="G44" s="25" t="s">
        <v>4393</v>
      </c>
    </row>
    <row r="45" ht="15" customHeight="1">
      <c r="A45" s="25" t="s">
        <v>2261</v>
      </c>
      <c r="B45" s="25" t="s">
        <v>4394</v>
      </c>
      <c r="C45" s="25" t="s">
        <v>4395</v>
      </c>
      <c r="D45" s="25" t="s">
        <v>1865</v>
      </c>
      <c r="E45" s="25" t="s">
        <v>4396</v>
      </c>
      <c r="F45" s="25" t="s">
        <v>4397</v>
      </c>
      <c r="G45" s="25" t="s">
        <v>4398</v>
      </c>
    </row>
    <row r="46" ht="15" customHeight="1">
      <c r="A46" s="25" t="s">
        <v>2265</v>
      </c>
      <c r="B46" s="25" t="s">
        <v>4399</v>
      </c>
      <c r="C46" s="25" t="s">
        <v>4400</v>
      </c>
      <c r="D46" s="25" t="s">
        <v>4236</v>
      </c>
      <c r="E46" s="25" t="s">
        <v>4401</v>
      </c>
      <c r="F46" s="25" t="s">
        <v>4402</v>
      </c>
      <c r="G46" s="25" t="s">
        <v>4403</v>
      </c>
    </row>
    <row r="47" ht="15" customHeight="1">
      <c r="A47" s="25" t="s">
        <v>2267</v>
      </c>
      <c r="B47" s="25" t="s">
        <v>4404</v>
      </c>
      <c r="C47" s="25" t="s">
        <v>4405</v>
      </c>
      <c r="D47" s="25" t="s">
        <v>4242</v>
      </c>
      <c r="E47" s="25" t="s">
        <v>4406</v>
      </c>
      <c r="F47" s="25" t="s">
        <v>4407</v>
      </c>
      <c r="G47" s="25" t="s">
        <v>4408</v>
      </c>
    </row>
    <row r="48" ht="15" customHeight="1">
      <c r="A48" s="25" t="s">
        <v>2270</v>
      </c>
      <c r="B48" s="25" t="s">
        <v>4409</v>
      </c>
      <c r="C48" s="25" t="s">
        <v>4410</v>
      </c>
      <c r="D48" s="25" t="s">
        <v>1802</v>
      </c>
      <c r="E48" s="25" t="s">
        <v>4411</v>
      </c>
      <c r="F48" s="25" t="s">
        <v>4412</v>
      </c>
      <c r="G48" s="25" t="s">
        <v>4413</v>
      </c>
    </row>
    <row r="49" ht="15" customHeight="1">
      <c r="A49" s="25" t="s">
        <v>2272</v>
      </c>
      <c r="B49" s="25" t="s">
        <v>4414</v>
      </c>
      <c r="C49" s="25" t="s">
        <v>4415</v>
      </c>
      <c r="D49" s="25" t="s">
        <v>4253</v>
      </c>
      <c r="E49" s="25" t="s">
        <v>4416</v>
      </c>
      <c r="F49" s="25" t="s">
        <v>4417</v>
      </c>
      <c r="G49" s="25" t="s">
        <v>4418</v>
      </c>
    </row>
    <row r="50" ht="15" customHeight="1">
      <c r="A50" s="25" t="s">
        <v>2275</v>
      </c>
      <c r="B50" s="25" t="s">
        <v>4419</v>
      </c>
      <c r="C50" s="25" t="s">
        <v>4420</v>
      </c>
      <c r="D50" s="25" t="s">
        <v>4259</v>
      </c>
      <c r="E50" s="25" t="s">
        <v>4421</v>
      </c>
      <c r="F50" s="25" t="s">
        <v>4422</v>
      </c>
      <c r="G50" s="25" t="s">
        <v>4423</v>
      </c>
    </row>
    <row r="51" ht="15" customHeight="1">
      <c r="A51" s="25" t="s">
        <v>2277</v>
      </c>
      <c r="B51" s="25" t="s">
        <v>4424</v>
      </c>
      <c r="C51" s="25" t="s">
        <v>4425</v>
      </c>
      <c r="D51" s="25" t="s">
        <v>1944</v>
      </c>
      <c r="E51" s="25" t="s">
        <v>4426</v>
      </c>
      <c r="F51" s="25" t="s">
        <v>4427</v>
      </c>
      <c r="G51" s="25" t="s">
        <v>4428</v>
      </c>
    </row>
    <row r="52" ht="15" customHeight="1">
      <c r="A52" s="25" t="s">
        <v>2280</v>
      </c>
      <c r="B52" s="25" t="s">
        <v>4429</v>
      </c>
      <c r="C52" s="25" t="s">
        <v>4430</v>
      </c>
      <c r="D52" s="25" t="s">
        <v>1816</v>
      </c>
      <c r="E52" s="25" t="s">
        <v>4431</v>
      </c>
      <c r="F52" s="25" t="s">
        <v>4432</v>
      </c>
      <c r="G52" s="25" t="s">
        <v>4433</v>
      </c>
    </row>
    <row r="53" ht="15" customHeight="1">
      <c r="A53" s="25" t="s">
        <v>2282</v>
      </c>
      <c r="B53" s="25" t="s">
        <v>4434</v>
      </c>
      <c r="C53" s="25" t="s">
        <v>4435</v>
      </c>
      <c r="D53" s="25" t="s">
        <v>4275</v>
      </c>
      <c r="E53" s="25" t="s">
        <v>4436</v>
      </c>
      <c r="F53" s="25" t="s">
        <v>4437</v>
      </c>
      <c r="G53" s="25" t="s">
        <v>4438</v>
      </c>
    </row>
    <row r="54" ht="15" customHeight="1">
      <c r="A54" s="25" t="s">
        <v>2284</v>
      </c>
      <c r="B54" s="25" t="s">
        <v>4439</v>
      </c>
      <c r="C54" s="25" t="s">
        <v>4440</v>
      </c>
      <c r="D54" s="25" t="s">
        <v>4281</v>
      </c>
      <c r="E54" s="25" t="s">
        <v>4441</v>
      </c>
      <c r="F54" s="25" t="s">
        <v>4442</v>
      </c>
      <c r="G54" s="25" t="s">
        <v>4443</v>
      </c>
    </row>
    <row r="55" ht="15" customHeight="1">
      <c r="A55" s="25" t="s">
        <v>2286</v>
      </c>
      <c r="B55" s="25" t="s">
        <v>4444</v>
      </c>
      <c r="C55" s="25" t="s">
        <v>4445</v>
      </c>
      <c r="D55" s="25" t="s">
        <v>4287</v>
      </c>
      <c r="E55" s="25" t="s">
        <v>4446</v>
      </c>
      <c r="F55" s="25" t="s">
        <v>4447</v>
      </c>
      <c r="G55" s="25" t="s">
        <v>4448</v>
      </c>
    </row>
    <row r="56" ht="15" customHeight="1">
      <c r="A56" s="25" t="s">
        <v>2288</v>
      </c>
      <c r="B56" s="25" t="s">
        <v>4449</v>
      </c>
      <c r="C56" s="25" t="s">
        <v>4450</v>
      </c>
      <c r="D56" s="25" t="s">
        <v>1823</v>
      </c>
      <c r="E56" s="25" t="s">
        <v>4451</v>
      </c>
      <c r="F56" s="25" t="s">
        <v>4452</v>
      </c>
      <c r="G56" s="25" t="s">
        <v>4453</v>
      </c>
    </row>
    <row r="57" ht="15" customHeight="1">
      <c r="A57" s="25" t="s">
        <v>2290</v>
      </c>
      <c r="B57" s="25" t="s">
        <v>4454</v>
      </c>
      <c r="C57" s="25" t="s">
        <v>4455</v>
      </c>
      <c r="D57" s="25" t="s">
        <v>1892</v>
      </c>
      <c r="E57" s="25" t="s">
        <v>4456</v>
      </c>
      <c r="F57" s="25" t="s">
        <v>4457</v>
      </c>
      <c r="G57" s="25" t="s">
        <v>4458</v>
      </c>
    </row>
    <row r="58" ht="15" customHeight="1">
      <c r="A58" s="25" t="s">
        <v>2294</v>
      </c>
      <c r="B58" s="25" t="s">
        <v>4459</v>
      </c>
      <c r="C58" s="25" t="s">
        <v>4460</v>
      </c>
      <c r="D58" s="25" t="s">
        <v>4187</v>
      </c>
      <c r="E58" s="25" t="s">
        <v>4461</v>
      </c>
      <c r="F58" s="25" t="s">
        <v>4462</v>
      </c>
      <c r="G58" s="25" t="s">
        <v>4463</v>
      </c>
    </row>
    <row r="59" ht="15" customHeight="1">
      <c r="A59" s="25" t="s">
        <v>2296</v>
      </c>
      <c r="B59" s="25" t="s">
        <v>4464</v>
      </c>
      <c r="C59" s="25" t="s">
        <v>4465</v>
      </c>
      <c r="D59" s="25" t="s">
        <v>4192</v>
      </c>
      <c r="E59" s="25" t="s">
        <v>4466</v>
      </c>
      <c r="F59" s="25" t="s">
        <v>4467</v>
      </c>
      <c r="G59" s="25" t="s">
        <v>4468</v>
      </c>
    </row>
    <row r="60" ht="15" customHeight="1">
      <c r="A60" s="25" t="s">
        <v>2299</v>
      </c>
      <c r="B60" s="25" t="s">
        <v>4469</v>
      </c>
      <c r="C60" s="25" t="s">
        <v>4470</v>
      </c>
      <c r="D60" s="25" t="s">
        <v>1830</v>
      </c>
      <c r="E60" s="25" t="s">
        <v>4471</v>
      </c>
      <c r="F60" s="25" t="s">
        <v>4472</v>
      </c>
      <c r="G60" s="25" t="s">
        <v>4473</v>
      </c>
    </row>
    <row r="61" ht="15" customHeight="1">
      <c r="A61" s="25" t="s">
        <v>2302</v>
      </c>
      <c r="B61" s="25" t="s">
        <v>4474</v>
      </c>
      <c r="C61" s="25" t="s">
        <v>4475</v>
      </c>
      <c r="D61" s="25" t="s">
        <v>4318</v>
      </c>
      <c r="E61" s="25" t="s">
        <v>4476</v>
      </c>
      <c r="F61" s="25" t="s">
        <v>4477</v>
      </c>
      <c r="G61" s="25" t="s">
        <v>4478</v>
      </c>
    </row>
    <row r="62" ht="15" customHeight="1">
      <c r="A62" s="25" t="s">
        <v>2305</v>
      </c>
      <c r="B62" s="25" t="s">
        <v>4479</v>
      </c>
      <c r="C62" s="25" t="s">
        <v>4480</v>
      </c>
      <c r="D62" s="25" t="s">
        <v>4324</v>
      </c>
      <c r="E62" s="25" t="s">
        <v>4481</v>
      </c>
      <c r="F62" s="25" t="s">
        <v>4482</v>
      </c>
      <c r="G62" s="25" t="s">
        <v>4483</v>
      </c>
    </row>
    <row r="63" ht="15" customHeight="1">
      <c r="A63" s="25" t="s">
        <v>2308</v>
      </c>
      <c r="B63" s="25" t="s">
        <v>4484</v>
      </c>
      <c r="C63" s="25" t="s">
        <v>4485</v>
      </c>
      <c r="D63" s="25" t="s">
        <v>1837</v>
      </c>
      <c r="E63" s="25" t="s">
        <v>4486</v>
      </c>
      <c r="F63" s="25" t="s">
        <v>4487</v>
      </c>
      <c r="G63" s="25" t="s">
        <v>4488</v>
      </c>
    </row>
    <row r="64" ht="15" customHeight="1">
      <c r="A64" s="25" t="s">
        <v>2311</v>
      </c>
      <c r="B64" s="25" t="s">
        <v>4489</v>
      </c>
      <c r="C64" s="25" t="s">
        <v>4490</v>
      </c>
      <c r="D64" s="25" t="s">
        <v>4203</v>
      </c>
      <c r="E64" s="25" t="s">
        <v>4491</v>
      </c>
      <c r="F64" s="25" t="s">
        <v>4492</v>
      </c>
      <c r="G64" s="25" t="s">
        <v>4493</v>
      </c>
    </row>
    <row r="65" ht="15" customHeight="1">
      <c r="A65" s="25" t="s">
        <v>2313</v>
      </c>
      <c r="B65" s="25" t="s">
        <v>4494</v>
      </c>
      <c r="C65" s="25" t="s">
        <v>4495</v>
      </c>
      <c r="D65" s="25" t="s">
        <v>4340</v>
      </c>
      <c r="E65" s="25" t="s">
        <v>4496</v>
      </c>
      <c r="F65" s="25" t="s">
        <v>4497</v>
      </c>
      <c r="G65" s="25" t="s">
        <v>4498</v>
      </c>
    </row>
    <row r="66" ht="15" customHeight="1">
      <c r="A66" s="25" t="s">
        <v>2315</v>
      </c>
      <c r="B66" s="25" t="s">
        <v>4499</v>
      </c>
      <c r="C66" s="25" t="s">
        <v>4500</v>
      </c>
      <c r="D66" s="25" t="s">
        <v>4346</v>
      </c>
      <c r="E66" s="25" t="s">
        <v>4501</v>
      </c>
      <c r="F66" s="25" t="s">
        <v>4502</v>
      </c>
      <c r="G66" s="25" t="s">
        <v>4503</v>
      </c>
    </row>
    <row r="67" ht="15" customHeight="1">
      <c r="A67" s="25" t="s">
        <v>2317</v>
      </c>
      <c r="B67" s="25" t="s">
        <v>4504</v>
      </c>
      <c r="C67" s="25" t="s">
        <v>4505</v>
      </c>
      <c r="D67" s="25" t="s">
        <v>4352</v>
      </c>
      <c r="E67" s="25" t="s">
        <v>4506</v>
      </c>
      <c r="F67" s="25" t="s">
        <v>4507</v>
      </c>
      <c r="G67" s="25" t="s">
        <v>4508</v>
      </c>
    </row>
    <row r="68" ht="15" customHeight="1">
      <c r="A68" s="25" t="s">
        <v>2320</v>
      </c>
      <c r="B68" s="25" t="s">
        <v>4509</v>
      </c>
      <c r="C68" s="25" t="s">
        <v>4510</v>
      </c>
      <c r="D68" s="25" t="s">
        <v>4209</v>
      </c>
      <c r="E68" s="25" t="s">
        <v>4511</v>
      </c>
      <c r="F68" s="25" t="s">
        <v>4512</v>
      </c>
      <c r="G68" s="25" t="s">
        <v>4513</v>
      </c>
    </row>
    <row r="69" ht="15" customHeight="1">
      <c r="A69" s="25" t="s">
        <v>2321</v>
      </c>
      <c r="B69" s="25" t="s">
        <v>4514</v>
      </c>
      <c r="C69" s="25" t="s">
        <v>4515</v>
      </c>
      <c r="D69" s="25" t="s">
        <v>1851</v>
      </c>
      <c r="E69" s="25" t="s">
        <v>4516</v>
      </c>
      <c r="F69" s="25" t="s">
        <v>4517</v>
      </c>
      <c r="G69" s="25" t="s">
        <v>4518</v>
      </c>
    </row>
    <row r="70" ht="15" customHeight="1">
      <c r="A70" s="25" t="s">
        <v>2325</v>
      </c>
      <c r="B70" s="25" t="s">
        <v>4519</v>
      </c>
      <c r="C70" s="25" t="s">
        <v>4520</v>
      </c>
      <c r="D70" s="25" t="s">
        <v>4220</v>
      </c>
      <c r="E70" s="25" t="s">
        <v>4521</v>
      </c>
      <c r="F70" s="25" t="s">
        <v>4522</v>
      </c>
      <c r="G70" s="25" t="s">
        <v>4523</v>
      </c>
    </row>
    <row r="71" ht="15" customHeight="1">
      <c r="A71" s="25" t="s">
        <v>2326</v>
      </c>
      <c r="B71" s="25" t="s">
        <v>4524</v>
      </c>
      <c r="C71" s="25" t="s">
        <v>4525</v>
      </c>
      <c r="D71" s="25" t="s">
        <v>1858</v>
      </c>
      <c r="E71" s="25" t="s">
        <v>4526</v>
      </c>
      <c r="F71" s="25" t="s">
        <v>4527</v>
      </c>
      <c r="G71" s="25" t="s">
        <v>4528</v>
      </c>
    </row>
    <row r="72" ht="15" customHeight="1">
      <c r="A72" s="25" t="s">
        <v>2329</v>
      </c>
      <c r="B72" s="25" t="s">
        <v>4529</v>
      </c>
      <c r="C72" s="25" t="s">
        <v>4530</v>
      </c>
      <c r="D72" s="25" t="s">
        <v>4378</v>
      </c>
      <c r="E72" s="25" t="s">
        <v>4531</v>
      </c>
      <c r="F72" s="25" t="s">
        <v>4532</v>
      </c>
      <c r="G72" s="25" t="s">
        <v>4533</v>
      </c>
    </row>
    <row r="73" ht="15" customHeight="1">
      <c r="A73" s="25" t="s">
        <v>2331</v>
      </c>
      <c r="B73" s="25" t="s">
        <v>4534</v>
      </c>
      <c r="C73" s="25" t="s">
        <v>4535</v>
      </c>
      <c r="D73" s="25" t="s">
        <v>4384</v>
      </c>
      <c r="E73" s="25" t="s">
        <v>4536</v>
      </c>
      <c r="F73" s="25" t="s">
        <v>4537</v>
      </c>
      <c r="G73" s="25" t="s">
        <v>4538</v>
      </c>
    </row>
    <row r="74" ht="15" customHeight="1">
      <c r="A74" s="25" t="s">
        <v>2333</v>
      </c>
      <c r="B74" s="25" t="s">
        <v>4539</v>
      </c>
      <c r="C74" s="25" t="s">
        <v>4540</v>
      </c>
      <c r="D74" s="25" t="s">
        <v>4390</v>
      </c>
      <c r="E74" s="25" t="s">
        <v>4541</v>
      </c>
      <c r="F74" s="25" t="s">
        <v>4542</v>
      </c>
      <c r="G74" s="25" t="s">
        <v>4543</v>
      </c>
    </row>
    <row r="75" ht="15" customHeight="1">
      <c r="A75" s="25" t="s">
        <v>2335</v>
      </c>
      <c r="B75" s="25" t="s">
        <v>4544</v>
      </c>
      <c r="C75" s="25" t="s">
        <v>4545</v>
      </c>
      <c r="D75" s="25" t="s">
        <v>1865</v>
      </c>
      <c r="E75" s="25" t="s">
        <v>4546</v>
      </c>
      <c r="F75" s="25" t="s">
        <v>4547</v>
      </c>
      <c r="G75" s="25" t="s">
        <v>4548</v>
      </c>
    </row>
    <row r="76" ht="15" customHeight="1">
      <c r="A76" s="25" t="s">
        <v>2339</v>
      </c>
      <c r="B76" s="25" t="s">
        <v>4549</v>
      </c>
      <c r="C76" s="25" t="s">
        <v>4550</v>
      </c>
      <c r="D76" s="25" t="s">
        <v>4236</v>
      </c>
      <c r="E76" s="25" t="s">
        <v>4551</v>
      </c>
      <c r="F76" s="25" t="s">
        <v>4552</v>
      </c>
      <c r="G76" s="25" t="s">
        <v>4553</v>
      </c>
    </row>
    <row r="77" ht="15" customHeight="1">
      <c r="A77" s="25" t="s">
        <v>2341</v>
      </c>
      <c r="B77" s="25" t="s">
        <v>4554</v>
      </c>
      <c r="C77" s="25" t="s">
        <v>4555</v>
      </c>
      <c r="D77" s="25" t="s">
        <v>4242</v>
      </c>
      <c r="E77" s="25" t="s">
        <v>4556</v>
      </c>
      <c r="F77" s="25" t="s">
        <v>4557</v>
      </c>
      <c r="G77" s="25" t="s">
        <v>4558</v>
      </c>
    </row>
    <row r="78" ht="15" customHeight="1">
      <c r="A78" s="25" t="s">
        <v>2343</v>
      </c>
      <c r="B78" s="25" t="s">
        <v>4559</v>
      </c>
      <c r="C78" s="25" t="s">
        <v>4560</v>
      </c>
      <c r="D78" s="25" t="s">
        <v>1802</v>
      </c>
      <c r="E78" s="25" t="s">
        <v>4561</v>
      </c>
      <c r="F78" s="25" t="s">
        <v>4562</v>
      </c>
      <c r="G78" s="25" t="s">
        <v>4563</v>
      </c>
    </row>
    <row r="79" ht="15" customHeight="1">
      <c r="A79" s="25" t="s">
        <v>2345</v>
      </c>
      <c r="B79" s="25" t="s">
        <v>4564</v>
      </c>
      <c r="C79" s="25" t="s">
        <v>4565</v>
      </c>
      <c r="D79" s="25" t="s">
        <v>4253</v>
      </c>
      <c r="E79" s="25" t="s">
        <v>4566</v>
      </c>
      <c r="F79" s="25" t="s">
        <v>4567</v>
      </c>
      <c r="G79" s="25" t="s">
        <v>4568</v>
      </c>
    </row>
    <row r="80" ht="15" customHeight="1">
      <c r="A80" s="25" t="s">
        <v>2348</v>
      </c>
      <c r="B80" s="25" t="s">
        <v>4569</v>
      </c>
      <c r="C80" s="25" t="s">
        <v>4570</v>
      </c>
      <c r="D80" s="25" t="s">
        <v>4259</v>
      </c>
      <c r="E80" s="25" t="s">
        <v>4571</v>
      </c>
      <c r="F80" s="25" t="s">
        <v>4572</v>
      </c>
      <c r="G80" s="25" t="s">
        <v>4573</v>
      </c>
    </row>
    <row r="81" ht="15" customHeight="1">
      <c r="A81" s="25" t="s">
        <v>2349</v>
      </c>
      <c r="B81" s="25" t="s">
        <v>4574</v>
      </c>
      <c r="C81" s="25" t="s">
        <v>4575</v>
      </c>
      <c r="D81" s="25" t="s">
        <v>1944</v>
      </c>
      <c r="E81" s="25" t="s">
        <v>4576</v>
      </c>
      <c r="F81" s="25" t="s">
        <v>4577</v>
      </c>
      <c r="G81" s="25" t="s">
        <v>4578</v>
      </c>
    </row>
    <row r="82" ht="15" customHeight="1">
      <c r="A82" s="25" t="s">
        <v>2351</v>
      </c>
      <c r="B82" s="25" t="s">
        <v>4579</v>
      </c>
      <c r="C82" s="25" t="s">
        <v>4580</v>
      </c>
      <c r="D82" s="25" t="s">
        <v>1816</v>
      </c>
      <c r="E82" s="25" t="s">
        <v>4581</v>
      </c>
      <c r="F82" s="25" t="s">
        <v>4582</v>
      </c>
      <c r="G82" s="25" t="s">
        <v>4583</v>
      </c>
    </row>
    <row r="83" ht="15" customHeight="1">
      <c r="A83" s="25" t="s">
        <v>2353</v>
      </c>
      <c r="B83" s="25" t="s">
        <v>4584</v>
      </c>
      <c r="C83" s="25" t="s">
        <v>4585</v>
      </c>
      <c r="D83" s="25" t="s">
        <v>4275</v>
      </c>
      <c r="E83" s="25" t="s">
        <v>4586</v>
      </c>
      <c r="F83" s="25" t="s">
        <v>4587</v>
      </c>
      <c r="G83" s="25" t="s">
        <v>4588</v>
      </c>
    </row>
    <row r="84" ht="15" customHeight="1">
      <c r="A84" s="25" t="s">
        <v>2356</v>
      </c>
      <c r="B84" s="25" t="s">
        <v>4589</v>
      </c>
      <c r="C84" s="25" t="s">
        <v>4590</v>
      </c>
      <c r="D84" s="25" t="s">
        <v>4281</v>
      </c>
      <c r="E84" s="25" t="s">
        <v>4591</v>
      </c>
      <c r="F84" s="25" t="s">
        <v>4592</v>
      </c>
      <c r="G84" s="25" t="s">
        <v>4593</v>
      </c>
    </row>
    <row r="85" ht="15" customHeight="1">
      <c r="A85" s="25" t="s">
        <v>2358</v>
      </c>
      <c r="B85" s="25" t="s">
        <v>4594</v>
      </c>
      <c r="C85" s="25" t="s">
        <v>4595</v>
      </c>
      <c r="D85" s="25" t="s">
        <v>4287</v>
      </c>
      <c r="E85" s="25" t="s">
        <v>4596</v>
      </c>
      <c r="F85" s="25" t="s">
        <v>4597</v>
      </c>
      <c r="G85" s="25" t="s">
        <v>4598</v>
      </c>
    </row>
    <row r="86" ht="15" customHeight="1">
      <c r="A86" s="25" t="s">
        <v>2361</v>
      </c>
      <c r="B86" s="25" t="s">
        <v>4599</v>
      </c>
      <c r="C86" s="25" t="s">
        <v>4600</v>
      </c>
      <c r="D86" s="25" t="s">
        <v>1823</v>
      </c>
      <c r="E86" s="25" t="s">
        <v>4601</v>
      </c>
      <c r="F86" s="25" t="s">
        <v>4602</v>
      </c>
      <c r="G86" s="25" t="s">
        <v>4603</v>
      </c>
    </row>
    <row r="87" ht="15" customHeight="1">
      <c r="A87" s="25" t="s">
        <v>2363</v>
      </c>
      <c r="B87" s="25" t="s">
        <v>4604</v>
      </c>
      <c r="C87" s="25" t="s">
        <v>4605</v>
      </c>
      <c r="D87" s="25" t="s">
        <v>1892</v>
      </c>
      <c r="E87" s="25" t="s">
        <v>4606</v>
      </c>
      <c r="F87" s="25" t="s">
        <v>4607</v>
      </c>
      <c r="G87" s="25" t="s">
        <v>4608</v>
      </c>
    </row>
    <row r="88" ht="15" customHeight="1">
      <c r="A88" s="25" t="s">
        <v>2367</v>
      </c>
      <c r="B88" s="25" t="s">
        <v>4609</v>
      </c>
      <c r="C88" s="25" t="s">
        <v>4610</v>
      </c>
      <c r="D88" s="25" t="s">
        <v>4187</v>
      </c>
      <c r="E88" s="25" t="s">
        <v>4611</v>
      </c>
      <c r="F88" s="25" t="s">
        <v>4612</v>
      </c>
      <c r="G88" s="25" t="s">
        <v>4613</v>
      </c>
    </row>
    <row r="89" ht="15" customHeight="1">
      <c r="A89" s="25" t="s">
        <v>2368</v>
      </c>
      <c r="B89" s="25" t="s">
        <v>4614</v>
      </c>
      <c r="C89" s="25" t="s">
        <v>4615</v>
      </c>
      <c r="D89" s="25" t="s">
        <v>4192</v>
      </c>
      <c r="E89" s="25" t="s">
        <v>4616</v>
      </c>
      <c r="F89" s="25" t="s">
        <v>4617</v>
      </c>
      <c r="G89" s="25" t="s">
        <v>4618</v>
      </c>
    </row>
    <row r="90" ht="15" customHeight="1">
      <c r="A90" s="25" t="s">
        <v>2371</v>
      </c>
      <c r="B90" s="25" t="s">
        <v>4619</v>
      </c>
      <c r="C90" s="25" t="s">
        <v>4620</v>
      </c>
      <c r="D90" s="25" t="s">
        <v>1830</v>
      </c>
      <c r="E90" s="25" t="s">
        <v>4621</v>
      </c>
      <c r="F90" s="25" t="s">
        <v>4386</v>
      </c>
      <c r="G90" s="25" t="s">
        <v>4622</v>
      </c>
    </row>
    <row r="91" ht="15" customHeight="1">
      <c r="A91" s="25" t="s">
        <v>2373</v>
      </c>
      <c r="B91" s="25" t="s">
        <v>4623</v>
      </c>
      <c r="C91" s="25" t="s">
        <v>4624</v>
      </c>
      <c r="D91" s="25" t="s">
        <v>4318</v>
      </c>
      <c r="E91" s="25" t="s">
        <v>4625</v>
      </c>
      <c r="F91" s="25" t="s">
        <v>4407</v>
      </c>
      <c r="G91" s="25" t="s">
        <v>4626</v>
      </c>
    </row>
    <row r="92" ht="15" customHeight="1">
      <c r="A92" s="25" t="s">
        <v>2376</v>
      </c>
      <c r="B92" s="25" t="s">
        <v>4627</v>
      </c>
      <c r="C92" s="25" t="s">
        <v>4628</v>
      </c>
      <c r="D92" s="25" t="s">
        <v>4324</v>
      </c>
      <c r="E92" s="25" t="s">
        <v>4629</v>
      </c>
      <c r="F92" s="25" t="s">
        <v>4354</v>
      </c>
      <c r="G92" s="25" t="s">
        <v>4630</v>
      </c>
    </row>
    <row r="93" ht="15" customHeight="1">
      <c r="A93" s="25" t="s">
        <v>2377</v>
      </c>
      <c r="B93" s="25" t="s">
        <v>4631</v>
      </c>
      <c r="C93" s="25" t="s">
        <v>4632</v>
      </c>
      <c r="D93" s="25" t="s">
        <v>1837</v>
      </c>
      <c r="E93" s="25" t="s">
        <v>4633</v>
      </c>
      <c r="F93" s="25" t="s">
        <v>4447</v>
      </c>
      <c r="G93" s="25" t="s">
        <v>4634</v>
      </c>
    </row>
    <row r="94" ht="15" customHeight="1">
      <c r="A94" s="25" t="s">
        <v>2381</v>
      </c>
      <c r="B94" s="25" t="s">
        <v>4635</v>
      </c>
      <c r="C94" s="25" t="s">
        <v>4636</v>
      </c>
      <c r="D94" s="25" t="s">
        <v>4203</v>
      </c>
      <c r="E94" s="25" t="s">
        <v>4637</v>
      </c>
      <c r="F94" s="25" t="s">
        <v>4437</v>
      </c>
      <c r="G94" s="25" t="s">
        <v>4638</v>
      </c>
    </row>
    <row r="95" ht="15" customHeight="1">
      <c r="A95" s="25" t="s">
        <v>2382</v>
      </c>
      <c r="B95" s="25" t="s">
        <v>4639</v>
      </c>
      <c r="C95" s="25" t="s">
        <v>4640</v>
      </c>
      <c r="D95" s="25" t="s">
        <v>4340</v>
      </c>
      <c r="E95" s="25" t="s">
        <v>4641</v>
      </c>
      <c r="F95" s="25" t="s">
        <v>4422</v>
      </c>
      <c r="G95" s="25" t="s">
        <v>4642</v>
      </c>
    </row>
    <row r="96" ht="15" customHeight="1">
      <c r="A96" s="25" t="s">
        <v>2385</v>
      </c>
      <c r="B96" s="25" t="s">
        <v>4643</v>
      </c>
      <c r="C96" s="25" t="s">
        <v>4644</v>
      </c>
      <c r="D96" s="25" t="s">
        <v>4346</v>
      </c>
      <c r="E96" s="25" t="s">
        <v>4645</v>
      </c>
      <c r="F96" s="25" t="s">
        <v>4427</v>
      </c>
      <c r="G96" s="25" t="s">
        <v>4646</v>
      </c>
    </row>
    <row r="97" ht="15" customHeight="1">
      <c r="A97" s="25" t="s">
        <v>2387</v>
      </c>
      <c r="B97" s="25" t="s">
        <v>4647</v>
      </c>
      <c r="C97" s="25" t="s">
        <v>4648</v>
      </c>
      <c r="D97" s="25" t="s">
        <v>4352</v>
      </c>
      <c r="E97" s="25" t="s">
        <v>4649</v>
      </c>
      <c r="F97" s="25" t="s">
        <v>4294</v>
      </c>
      <c r="G97" s="25" t="s">
        <v>4650</v>
      </c>
    </row>
    <row r="98" ht="15" customHeight="1">
      <c r="A98" s="25" t="s">
        <v>2389</v>
      </c>
      <c r="B98" s="25" t="s">
        <v>4651</v>
      </c>
      <c r="C98" s="25" t="s">
        <v>4652</v>
      </c>
      <c r="D98" s="25" t="s">
        <v>4209</v>
      </c>
      <c r="E98" s="25" t="s">
        <v>4653</v>
      </c>
      <c r="F98" s="25" t="s">
        <v>4227</v>
      </c>
      <c r="G98" s="25" t="s">
        <v>4654</v>
      </c>
    </row>
    <row r="99" ht="15" customHeight="1">
      <c r="A99" s="25" t="s">
        <v>2391</v>
      </c>
      <c r="B99" s="25" t="s">
        <v>4655</v>
      </c>
      <c r="C99" s="25" t="s">
        <v>4656</v>
      </c>
      <c r="D99" s="25" t="s">
        <v>1851</v>
      </c>
      <c r="E99" s="25" t="s">
        <v>4657</v>
      </c>
      <c r="F99" s="25" t="s">
        <v>4364</v>
      </c>
      <c r="G99" s="25" t="s">
        <v>4658</v>
      </c>
    </row>
    <row r="100" ht="15" customHeight="1">
      <c r="A100" s="25" t="s">
        <v>2394</v>
      </c>
      <c r="B100" s="25" t="s">
        <v>4659</v>
      </c>
      <c r="C100" s="25" t="s">
        <v>4660</v>
      </c>
      <c r="D100" s="25" t="s">
        <v>4220</v>
      </c>
      <c r="E100" s="25" t="s">
        <v>4661</v>
      </c>
      <c r="F100" s="25" t="s">
        <v>4244</v>
      </c>
      <c r="G100" s="25" t="s">
        <v>4662</v>
      </c>
    </row>
    <row r="101" ht="15" customHeight="1">
      <c r="A101" s="25" t="s">
        <v>2395</v>
      </c>
      <c r="B101" s="25" t="s">
        <v>4663</v>
      </c>
      <c r="C101" s="25" t="s">
        <v>4664</v>
      </c>
      <c r="D101" s="25" t="s">
        <v>1858</v>
      </c>
      <c r="E101" s="25" t="s">
        <v>4665</v>
      </c>
      <c r="F101" s="25" t="s">
        <v>4249</v>
      </c>
      <c r="G101" s="25" t="s">
        <v>4666</v>
      </c>
    </row>
    <row r="102" ht="15" customHeight="1">
      <c r="A102" s="25" t="s">
        <v>2398</v>
      </c>
      <c r="B102" s="25" t="s">
        <v>4667</v>
      </c>
      <c r="C102" s="25" t="s">
        <v>4668</v>
      </c>
      <c r="D102" s="25" t="s">
        <v>4378</v>
      </c>
      <c r="E102" s="25" t="s">
        <v>4669</v>
      </c>
      <c r="F102" s="25" t="s">
        <v>4271</v>
      </c>
      <c r="G102" s="25" t="s">
        <v>4670</v>
      </c>
    </row>
    <row r="103" ht="15" customHeight="1">
      <c r="A103" s="25" t="s">
        <v>2400</v>
      </c>
      <c r="B103" s="25" t="s">
        <v>4671</v>
      </c>
      <c r="C103" s="25" t="s">
        <v>4672</v>
      </c>
      <c r="D103" s="25" t="s">
        <v>4384</v>
      </c>
      <c r="E103" s="25" t="s">
        <v>4673</v>
      </c>
      <c r="F103" s="25" t="s">
        <v>4283</v>
      </c>
      <c r="G103" s="25" t="s">
        <v>4674</v>
      </c>
    </row>
    <row r="104" ht="15" customHeight="1">
      <c r="A104" s="25" t="s">
        <v>2403</v>
      </c>
      <c r="B104" s="25" t="s">
        <v>4675</v>
      </c>
      <c r="C104" s="25" t="s">
        <v>4676</v>
      </c>
      <c r="D104" s="25" t="s">
        <v>4390</v>
      </c>
      <c r="E104" s="25" t="s">
        <v>4677</v>
      </c>
      <c r="F104" s="25" t="s">
        <v>4194</v>
      </c>
      <c r="G104" s="25" t="s">
        <v>4678</v>
      </c>
    </row>
    <row r="105" ht="15" customHeight="1">
      <c r="A105" s="25" t="s">
        <v>2405</v>
      </c>
      <c r="B105" s="25" t="s">
        <v>4679</v>
      </c>
      <c r="C105" s="25" t="s">
        <v>4680</v>
      </c>
      <c r="D105" s="25" t="s">
        <v>1865</v>
      </c>
      <c r="E105" s="25" t="s">
        <v>4681</v>
      </c>
      <c r="F105" s="25" t="s">
        <v>4205</v>
      </c>
      <c r="G105" s="25" t="s">
        <v>4682</v>
      </c>
    </row>
    <row r="106" ht="15" customHeight="1">
      <c r="A106" s="25" t="s">
        <v>2407</v>
      </c>
      <c r="B106" s="25" t="s">
        <v>4683</v>
      </c>
      <c r="C106" s="25" t="s">
        <v>4684</v>
      </c>
      <c r="D106" s="25" t="s">
        <v>4236</v>
      </c>
      <c r="E106" s="25" t="s">
        <v>4685</v>
      </c>
      <c r="F106" s="25" t="s">
        <v>4211</v>
      </c>
      <c r="G106" s="25" t="s">
        <v>4686</v>
      </c>
    </row>
    <row r="107" ht="15" customHeight="1">
      <c r="A107" s="25" t="s">
        <v>2409</v>
      </c>
      <c r="B107" s="25" t="s">
        <v>4687</v>
      </c>
      <c r="C107" s="25" t="s">
        <v>4688</v>
      </c>
      <c r="D107" s="25" t="s">
        <v>4242</v>
      </c>
      <c r="E107" s="25" t="s">
        <v>4689</v>
      </c>
      <c r="F107" s="25" t="s">
        <v>4216</v>
      </c>
      <c r="G107" s="25" t="s">
        <v>4690</v>
      </c>
    </row>
    <row r="108" ht="15" customHeight="1">
      <c r="A108" s="25" t="s">
        <v>2412</v>
      </c>
      <c r="B108" s="25" t="s">
        <v>4691</v>
      </c>
      <c r="C108" s="25" t="s">
        <v>4692</v>
      </c>
      <c r="D108" s="25" t="s">
        <v>1802</v>
      </c>
      <c r="E108" s="25" t="s">
        <v>4693</v>
      </c>
      <c r="F108" s="25" t="s">
        <v>4222</v>
      </c>
      <c r="G108" s="25" t="s">
        <v>4694</v>
      </c>
    </row>
    <row r="109" ht="15" customHeight="1">
      <c r="A109" s="25" t="s">
        <v>2414</v>
      </c>
      <c r="B109" s="25" t="s">
        <v>4695</v>
      </c>
      <c r="C109" s="25" t="s">
        <v>4696</v>
      </c>
      <c r="D109" s="25" t="s">
        <v>4253</v>
      </c>
      <c r="E109" s="25" t="s">
        <v>4697</v>
      </c>
      <c r="F109" s="25" t="s">
        <v>4232</v>
      </c>
      <c r="G109" s="25" t="s">
        <v>4698</v>
      </c>
    </row>
    <row r="110" ht="15" customHeight="1">
      <c r="A110" s="25" t="s">
        <v>2417</v>
      </c>
      <c r="B110" s="25" t="s">
        <v>4699</v>
      </c>
      <c r="C110" s="25" t="s">
        <v>4700</v>
      </c>
      <c r="D110" s="25" t="s">
        <v>4259</v>
      </c>
      <c r="E110" s="25" t="s">
        <v>4701</v>
      </c>
      <c r="F110" s="25" t="s">
        <v>4238</v>
      </c>
      <c r="G110" s="25" t="s">
        <v>4702</v>
      </c>
    </row>
    <row r="111" ht="15" customHeight="1">
      <c r="A111" s="25" t="s">
        <v>2418</v>
      </c>
      <c r="B111" s="25" t="s">
        <v>4703</v>
      </c>
      <c r="C111" s="25" t="s">
        <v>4704</v>
      </c>
      <c r="D111" s="25" t="s">
        <v>1944</v>
      </c>
      <c r="E111" s="25" t="s">
        <v>4705</v>
      </c>
      <c r="F111" s="25" t="s">
        <v>198</v>
      </c>
      <c r="G111" s="25" t="s">
        <v>4706</v>
      </c>
    </row>
    <row r="112" ht="15" customHeight="1">
      <c r="A112" s="25" t="s">
        <v>2421</v>
      </c>
      <c r="B112" s="25" t="s">
        <v>4707</v>
      </c>
      <c r="C112" s="25" t="s">
        <v>4708</v>
      </c>
      <c r="D112" s="25" t="s">
        <v>1816</v>
      </c>
      <c r="E112" s="25" t="s">
        <v>4709</v>
      </c>
      <c r="F112" s="25" t="s">
        <v>4178</v>
      </c>
      <c r="G112" s="25" t="s">
        <v>4710</v>
      </c>
    </row>
    <row r="113" ht="15" customHeight="1">
      <c r="A113" s="25" t="s">
        <v>2423</v>
      </c>
      <c r="B113" s="25" t="s">
        <v>4711</v>
      </c>
      <c r="C113" s="25" t="s">
        <v>4712</v>
      </c>
      <c r="D113" s="25" t="s">
        <v>4275</v>
      </c>
      <c r="E113" s="25" t="s">
        <v>4713</v>
      </c>
      <c r="F113" s="25" t="s">
        <v>191</v>
      </c>
      <c r="G113" s="25" t="s">
        <v>4714</v>
      </c>
    </row>
    <row r="114" ht="15" customHeight="1">
      <c r="A114" s="25" t="s">
        <v>2425</v>
      </c>
      <c r="B114" s="25" t="s">
        <v>4715</v>
      </c>
      <c r="C114" s="25" t="s">
        <v>4716</v>
      </c>
      <c r="D114" s="25" t="s">
        <v>4281</v>
      </c>
      <c r="E114" s="25" t="s">
        <v>4717</v>
      </c>
      <c r="F114" s="25" t="s">
        <v>4183</v>
      </c>
      <c r="G114" s="25" t="s">
        <v>4718</v>
      </c>
    </row>
    <row r="115" ht="15" customHeight="1">
      <c r="A115" s="25" t="s">
        <v>2427</v>
      </c>
      <c r="B115" s="25" t="s">
        <v>4719</v>
      </c>
      <c r="C115" s="25" t="s">
        <v>4720</v>
      </c>
      <c r="D115" s="25" t="s">
        <v>4287</v>
      </c>
      <c r="E115" s="25" t="s">
        <v>4721</v>
      </c>
      <c r="F115" s="25" t="s">
        <v>4199</v>
      </c>
      <c r="G115" s="25" t="s">
        <v>4722</v>
      </c>
    </row>
    <row r="116" ht="15" customHeight="1">
      <c r="A116" s="25" t="s">
        <v>2429</v>
      </c>
      <c r="B116" s="25" t="s">
        <v>4723</v>
      </c>
      <c r="C116" s="25" t="s">
        <v>4724</v>
      </c>
      <c r="D116" s="25" t="s">
        <v>1823</v>
      </c>
      <c r="E116" s="25" t="s">
        <v>4725</v>
      </c>
      <c r="F116" s="25" t="s">
        <v>4194</v>
      </c>
      <c r="G116" s="25" t="s">
        <v>4726</v>
      </c>
    </row>
    <row r="117" ht="15" customHeight="1">
      <c r="A117" s="25" t="s">
        <v>2431</v>
      </c>
      <c r="B117" s="25" t="s">
        <v>4727</v>
      </c>
      <c r="C117" s="25" t="s">
        <v>4728</v>
      </c>
      <c r="D117" s="25" t="s">
        <v>1892</v>
      </c>
      <c r="E117" s="25" t="s">
        <v>4729</v>
      </c>
      <c r="F117" s="25" t="s">
        <v>4205</v>
      </c>
      <c r="G117" s="25" t="s">
        <v>4730</v>
      </c>
    </row>
    <row r="118" ht="15" customHeight="1">
      <c r="A118" s="25" t="s">
        <v>2433</v>
      </c>
      <c r="B118" s="25" t="s">
        <v>4731</v>
      </c>
      <c r="C118" s="25" t="s">
        <v>4732</v>
      </c>
      <c r="D118" s="25" t="s">
        <v>4187</v>
      </c>
      <c r="E118" s="25" t="s">
        <v>4733</v>
      </c>
      <c r="F118" s="25" t="s">
        <v>4211</v>
      </c>
      <c r="G118" s="25" t="s">
        <v>4734</v>
      </c>
    </row>
    <row r="119" ht="15" customHeight="1">
      <c r="A119" s="25" t="s">
        <v>2435</v>
      </c>
      <c r="B119" s="25" t="s">
        <v>4735</v>
      </c>
      <c r="C119" s="25" t="s">
        <v>4202</v>
      </c>
      <c r="D119" s="25" t="s">
        <v>4192</v>
      </c>
      <c r="E119" s="25" t="s">
        <v>4736</v>
      </c>
      <c r="F119" s="25" t="s">
        <v>4216</v>
      </c>
      <c r="G119" s="25" t="s">
        <v>4737</v>
      </c>
    </row>
    <row r="120" ht="15" customHeight="1">
      <c r="A120" s="25" t="s">
        <v>2438</v>
      </c>
      <c r="B120" s="25" t="s">
        <v>4738</v>
      </c>
      <c r="C120" s="25" t="s">
        <v>4739</v>
      </c>
      <c r="D120" s="25" t="s">
        <v>1830</v>
      </c>
      <c r="E120" s="25" t="s">
        <v>4740</v>
      </c>
      <c r="F120" s="25" t="s">
        <v>4222</v>
      </c>
      <c r="G120" s="25" t="s">
        <v>4741</v>
      </c>
    </row>
    <row r="121" ht="15" customHeight="1">
      <c r="A121" s="25" t="s">
        <v>2440</v>
      </c>
      <c r="B121" s="25" t="s">
        <v>4742</v>
      </c>
      <c r="C121" s="25" t="s">
        <v>4743</v>
      </c>
      <c r="D121" s="25" t="s">
        <v>4318</v>
      </c>
      <c r="E121" s="25" t="s">
        <v>4744</v>
      </c>
      <c r="F121" s="25" t="s">
        <v>4232</v>
      </c>
      <c r="G121" s="25" t="s">
        <v>4745</v>
      </c>
    </row>
    <row r="122" ht="15" customHeight="1">
      <c r="A122" s="25" t="s">
        <v>2442</v>
      </c>
      <c r="B122" s="25" t="s">
        <v>4746</v>
      </c>
      <c r="C122" s="25" t="s">
        <v>4747</v>
      </c>
      <c r="D122" s="25" t="s">
        <v>4324</v>
      </c>
      <c r="E122" s="25" t="s">
        <v>4748</v>
      </c>
      <c r="F122" s="25" t="s">
        <v>4238</v>
      </c>
      <c r="G122" s="25" t="s">
        <v>4749</v>
      </c>
    </row>
    <row r="123" ht="15" customHeight="1">
      <c r="A123" s="25" t="s">
        <v>2443</v>
      </c>
      <c r="B123" s="25" t="s">
        <v>4750</v>
      </c>
      <c r="C123" s="25" t="s">
        <v>4751</v>
      </c>
      <c r="D123" s="25" t="s">
        <v>1837</v>
      </c>
      <c r="E123" s="25" t="s">
        <v>4752</v>
      </c>
      <c r="F123" s="25" t="s">
        <v>4244</v>
      </c>
      <c r="G123" s="25" t="s">
        <v>4753</v>
      </c>
    </row>
    <row r="124" ht="15" customHeight="1">
      <c r="A124" s="25" t="s">
        <v>2446</v>
      </c>
      <c r="B124" s="25" t="s">
        <v>4754</v>
      </c>
      <c r="C124" s="25" t="s">
        <v>4755</v>
      </c>
      <c r="D124" s="25" t="s">
        <v>4203</v>
      </c>
      <c r="E124" s="25" t="s">
        <v>4756</v>
      </c>
      <c r="F124" s="25" t="s">
        <v>4249</v>
      </c>
      <c r="G124" s="25" t="s">
        <v>4757</v>
      </c>
    </row>
    <row r="125" ht="15" customHeight="1">
      <c r="A125" s="25" t="s">
        <v>2448</v>
      </c>
      <c r="B125" s="25" t="s">
        <v>4758</v>
      </c>
      <c r="C125" s="25" t="s">
        <v>4759</v>
      </c>
      <c r="D125" s="25" t="s">
        <v>4340</v>
      </c>
      <c r="E125" s="25" t="s">
        <v>4760</v>
      </c>
      <c r="F125" s="25" t="s">
        <v>4255</v>
      </c>
      <c r="G125" s="25" t="s">
        <v>4761</v>
      </c>
    </row>
    <row r="126" ht="15" customHeight="1">
      <c r="A126" s="25" t="s">
        <v>2451</v>
      </c>
      <c r="B126" s="25" t="s">
        <v>4762</v>
      </c>
      <c r="C126" s="25" t="s">
        <v>4763</v>
      </c>
      <c r="D126" s="25" t="s">
        <v>4346</v>
      </c>
      <c r="E126" s="25" t="s">
        <v>4764</v>
      </c>
      <c r="F126" s="25" t="s">
        <v>4261</v>
      </c>
      <c r="G126" s="25" t="s">
        <v>4765</v>
      </c>
    </row>
    <row r="127" ht="15" customHeight="1">
      <c r="A127" s="25" t="s">
        <v>2453</v>
      </c>
      <c r="B127" s="25" t="s">
        <v>4766</v>
      </c>
      <c r="C127" s="25" t="s">
        <v>4767</v>
      </c>
      <c r="D127" s="25" t="s">
        <v>4352</v>
      </c>
      <c r="E127" s="25" t="s">
        <v>4768</v>
      </c>
      <c r="F127" s="25" t="s">
        <v>4266</v>
      </c>
      <c r="G127" s="25" t="s">
        <v>4769</v>
      </c>
    </row>
    <row r="128" ht="15" customHeight="1">
      <c r="A128" s="25" t="s">
        <v>2456</v>
      </c>
      <c r="B128" s="25" t="s">
        <v>4770</v>
      </c>
      <c r="C128" s="25" t="s">
        <v>4771</v>
      </c>
      <c r="D128" s="25" t="s">
        <v>4209</v>
      </c>
      <c r="E128" s="25" t="s">
        <v>4772</v>
      </c>
      <c r="F128" s="25" t="s">
        <v>4271</v>
      </c>
      <c r="G128" s="25" t="s">
        <v>4773</v>
      </c>
    </row>
    <row r="129" ht="15" customHeight="1">
      <c r="A129" s="25" t="s">
        <v>2457</v>
      </c>
      <c r="B129" s="25" t="s">
        <v>4774</v>
      </c>
      <c r="C129" s="25" t="s">
        <v>4775</v>
      </c>
      <c r="D129" s="25" t="s">
        <v>1851</v>
      </c>
      <c r="E129" s="25" t="s">
        <v>4776</v>
      </c>
      <c r="F129" s="25" t="s">
        <v>4277</v>
      </c>
      <c r="G129" s="25" t="s">
        <v>4777</v>
      </c>
    </row>
    <row r="130" ht="15" customHeight="1">
      <c r="A130" s="25" t="s">
        <v>2460</v>
      </c>
      <c r="B130" s="25" t="s">
        <v>4778</v>
      </c>
      <c r="C130" s="25" t="s">
        <v>4779</v>
      </c>
      <c r="D130" s="25" t="s">
        <v>4220</v>
      </c>
      <c r="E130" s="25" t="s">
        <v>4780</v>
      </c>
      <c r="F130" s="25" t="s">
        <v>4283</v>
      </c>
      <c r="G130" s="25" t="s">
        <v>4781</v>
      </c>
    </row>
    <row r="131" ht="15" customHeight="1">
      <c r="A131" s="25" t="s">
        <v>2462</v>
      </c>
      <c r="B131" s="25" t="s">
        <v>4782</v>
      </c>
      <c r="C131" s="25" t="s">
        <v>4783</v>
      </c>
      <c r="D131" s="25" t="s">
        <v>1858</v>
      </c>
      <c r="E131" s="25" t="s">
        <v>4784</v>
      </c>
      <c r="F131" s="25" t="s">
        <v>4289</v>
      </c>
      <c r="G131" s="25" t="s">
        <v>4785</v>
      </c>
    </row>
    <row r="132" ht="15" customHeight="1">
      <c r="A132" s="25" t="s">
        <v>2465</v>
      </c>
      <c r="B132" s="25" t="s">
        <v>4786</v>
      </c>
      <c r="C132" s="25" t="s">
        <v>4787</v>
      </c>
      <c r="D132" s="25" t="s">
        <v>4378</v>
      </c>
      <c r="E132" s="25" t="s">
        <v>4788</v>
      </c>
      <c r="F132" s="25" t="s">
        <v>4294</v>
      </c>
      <c r="G132" s="25" t="s">
        <v>4789</v>
      </c>
    </row>
    <row r="133" ht="15" customHeight="1">
      <c r="A133" s="25" t="s">
        <v>2467</v>
      </c>
      <c r="B133" s="25" t="s">
        <v>4790</v>
      </c>
      <c r="C133" s="25" t="s">
        <v>4791</v>
      </c>
      <c r="D133" s="25" t="s">
        <v>4384</v>
      </c>
      <c r="E133" s="25" t="s">
        <v>4792</v>
      </c>
      <c r="F133" s="25" t="s">
        <v>4299</v>
      </c>
      <c r="G133" s="25" t="s">
        <v>4793</v>
      </c>
    </row>
    <row r="134" ht="15" customHeight="1">
      <c r="A134" s="25" t="s">
        <v>2470</v>
      </c>
      <c r="B134" s="25" t="s">
        <v>4794</v>
      </c>
      <c r="C134" s="25" t="s">
        <v>4389</v>
      </c>
      <c r="D134" s="25" t="s">
        <v>4390</v>
      </c>
      <c r="E134" s="25" t="s">
        <v>4795</v>
      </c>
      <c r="F134" s="25" t="s">
        <v>4304</v>
      </c>
      <c r="G134" s="25" t="s">
        <v>4796</v>
      </c>
    </row>
    <row r="135" ht="15" customHeight="1">
      <c r="A135" s="25" t="s">
        <v>2471</v>
      </c>
      <c r="B135" s="25" t="s">
        <v>4797</v>
      </c>
      <c r="C135" s="25" t="s">
        <v>4798</v>
      </c>
      <c r="D135" s="25" t="s">
        <v>1865</v>
      </c>
      <c r="E135" s="25" t="s">
        <v>4799</v>
      </c>
      <c r="F135" s="25" t="s">
        <v>4309</v>
      </c>
      <c r="G135" s="25" t="s">
        <v>4800</v>
      </c>
    </row>
    <row r="136" ht="15" customHeight="1">
      <c r="A136" s="25" t="s">
        <v>2474</v>
      </c>
      <c r="B136" s="25" t="s">
        <v>4801</v>
      </c>
      <c r="C136" s="25" t="s">
        <v>4802</v>
      </c>
      <c r="D136" s="25" t="s">
        <v>4236</v>
      </c>
      <c r="E136" s="25" t="s">
        <v>4803</v>
      </c>
      <c r="F136" s="25" t="s">
        <v>4314</v>
      </c>
      <c r="G136" s="25" t="s">
        <v>4804</v>
      </c>
    </row>
    <row r="137" ht="15" customHeight="1">
      <c r="A137" s="25" t="s">
        <v>2476</v>
      </c>
      <c r="B137" s="25" t="s">
        <v>4805</v>
      </c>
      <c r="C137" s="25" t="s">
        <v>4806</v>
      </c>
      <c r="D137" s="25" t="s">
        <v>4242</v>
      </c>
      <c r="E137" s="25" t="s">
        <v>4807</v>
      </c>
      <c r="F137" s="25" t="s">
        <v>4320</v>
      </c>
      <c r="G137" s="25" t="s">
        <v>4808</v>
      </c>
    </row>
    <row r="138" ht="15" customHeight="1">
      <c r="A138" s="25" t="s">
        <v>2479</v>
      </c>
      <c r="B138" s="25" t="s">
        <v>4809</v>
      </c>
      <c r="C138" s="25" t="s">
        <v>4810</v>
      </c>
      <c r="D138" s="25" t="s">
        <v>1802</v>
      </c>
      <c r="E138" s="25" t="s">
        <v>4811</v>
      </c>
      <c r="F138" s="25" t="s">
        <v>4326</v>
      </c>
      <c r="G138" s="25" t="s">
        <v>4812</v>
      </c>
    </row>
    <row r="139" ht="15" customHeight="1">
      <c r="A139" s="25" t="s">
        <v>2481</v>
      </c>
      <c r="B139" s="25" t="s">
        <v>4813</v>
      </c>
      <c r="C139" s="25" t="s">
        <v>4814</v>
      </c>
      <c r="D139" s="25" t="s">
        <v>4253</v>
      </c>
      <c r="E139" s="25" t="s">
        <v>4815</v>
      </c>
      <c r="F139" s="25" t="s">
        <v>4331</v>
      </c>
      <c r="G139" s="25" t="s">
        <v>4816</v>
      </c>
    </row>
    <row r="140" ht="15" customHeight="1">
      <c r="A140" s="25" t="s">
        <v>2484</v>
      </c>
      <c r="B140" s="25" t="s">
        <v>4817</v>
      </c>
      <c r="C140" s="25" t="s">
        <v>4818</v>
      </c>
      <c r="D140" s="25" t="s">
        <v>4259</v>
      </c>
      <c r="E140" s="25" t="s">
        <v>4819</v>
      </c>
      <c r="F140" s="25" t="s">
        <v>4336</v>
      </c>
      <c r="G140" s="25" t="s">
        <v>4820</v>
      </c>
    </row>
    <row r="141" ht="15" customHeight="1">
      <c r="A141" s="25" t="s">
        <v>2486</v>
      </c>
      <c r="B141" s="25" t="s">
        <v>4821</v>
      </c>
      <c r="C141" s="25" t="s">
        <v>4822</v>
      </c>
      <c r="D141" s="25" t="s">
        <v>1944</v>
      </c>
      <c r="E141" s="25" t="s">
        <v>4823</v>
      </c>
      <c r="F141" s="25" t="s">
        <v>4342</v>
      </c>
      <c r="G141" s="25" t="s">
        <v>4824</v>
      </c>
    </row>
    <row r="142" ht="15" customHeight="1">
      <c r="A142" s="25" t="s">
        <v>2489</v>
      </c>
      <c r="B142" s="25" t="s">
        <v>4825</v>
      </c>
      <c r="C142" s="25" t="s">
        <v>4826</v>
      </c>
      <c r="D142" s="25" t="s">
        <v>1816</v>
      </c>
      <c r="E142" s="25" t="s">
        <v>4827</v>
      </c>
      <c r="F142" s="25" t="s">
        <v>4348</v>
      </c>
      <c r="G142" s="25" t="s">
        <v>4828</v>
      </c>
    </row>
    <row r="143" ht="15" customHeight="1">
      <c r="A143" s="25" t="s">
        <v>2491</v>
      </c>
      <c r="B143" s="25" t="s">
        <v>4829</v>
      </c>
      <c r="C143" s="25" t="s">
        <v>4830</v>
      </c>
      <c r="D143" s="25" t="s">
        <v>4275</v>
      </c>
      <c r="E143" s="25" t="s">
        <v>4831</v>
      </c>
      <c r="F143" s="25" t="s">
        <v>4354</v>
      </c>
      <c r="G143" s="25" t="s">
        <v>4832</v>
      </c>
    </row>
    <row r="144" ht="15" customHeight="1">
      <c r="A144" s="25" t="s">
        <v>2494</v>
      </c>
      <c r="B144" s="25" t="s">
        <v>4833</v>
      </c>
      <c r="C144" s="25" t="s">
        <v>4834</v>
      </c>
      <c r="D144" s="25" t="s">
        <v>4281</v>
      </c>
      <c r="E144" s="25" t="s">
        <v>4835</v>
      </c>
      <c r="F144" s="25" t="s">
        <v>4359</v>
      </c>
      <c r="G144" s="25" t="s">
        <v>4836</v>
      </c>
    </row>
    <row r="145" ht="15" customHeight="1">
      <c r="A145" s="25" t="s">
        <v>2496</v>
      </c>
      <c r="B145" s="25" t="s">
        <v>4837</v>
      </c>
      <c r="C145" s="25" t="s">
        <v>4838</v>
      </c>
      <c r="D145" s="25" t="s">
        <v>4287</v>
      </c>
      <c r="E145" s="25" t="s">
        <v>4839</v>
      </c>
      <c r="F145" s="25" t="s">
        <v>4364</v>
      </c>
      <c r="G145" s="25" t="s">
        <v>4840</v>
      </c>
    </row>
    <row r="146" ht="15" customHeight="1">
      <c r="A146" s="25" t="s">
        <v>2499</v>
      </c>
      <c r="B146" s="25" t="s">
        <v>4841</v>
      </c>
      <c r="C146" s="25" t="s">
        <v>4842</v>
      </c>
      <c r="D146" s="25" t="s">
        <v>1823</v>
      </c>
      <c r="E146" s="25" t="s">
        <v>4843</v>
      </c>
      <c r="F146" s="25" t="s">
        <v>4374</v>
      </c>
      <c r="G146" s="25" t="s">
        <v>4844</v>
      </c>
    </row>
    <row r="147" ht="15" customHeight="1">
      <c r="A147" s="25" t="s">
        <v>2501</v>
      </c>
      <c r="B147" s="25" t="s">
        <v>4845</v>
      </c>
      <c r="C147" s="25" t="s">
        <v>4846</v>
      </c>
      <c r="D147" s="25" t="s">
        <v>1892</v>
      </c>
      <c r="E147" s="25" t="s">
        <v>4847</v>
      </c>
      <c r="F147" s="25" t="s">
        <v>4369</v>
      </c>
      <c r="G147" s="25" t="s">
        <v>4848</v>
      </c>
    </row>
    <row r="148" ht="15" customHeight="1">
      <c r="A148" s="25" t="s">
        <v>2503</v>
      </c>
      <c r="B148" s="25" t="s">
        <v>4849</v>
      </c>
      <c r="C148" s="25" t="s">
        <v>4850</v>
      </c>
      <c r="D148" s="25" t="s">
        <v>4187</v>
      </c>
      <c r="E148" s="25" t="s">
        <v>4851</v>
      </c>
      <c r="F148" s="25" t="s">
        <v>4380</v>
      </c>
      <c r="G148" s="25" t="s">
        <v>4852</v>
      </c>
    </row>
    <row r="149" ht="15" customHeight="1">
      <c r="A149" s="25" t="s">
        <v>2505</v>
      </c>
      <c r="B149" s="25" t="s">
        <v>4853</v>
      </c>
      <c r="C149" s="25" t="s">
        <v>4854</v>
      </c>
      <c r="D149" s="25" t="s">
        <v>4192</v>
      </c>
      <c r="E149" s="25" t="s">
        <v>4855</v>
      </c>
      <c r="F149" s="25" t="s">
        <v>4386</v>
      </c>
      <c r="G149" s="25" t="s">
        <v>4856</v>
      </c>
    </row>
    <row r="150" ht="15" customHeight="1">
      <c r="A150" s="25" t="s">
        <v>2507</v>
      </c>
      <c r="B150" s="25" t="s">
        <v>4857</v>
      </c>
      <c r="C150" s="25" t="s">
        <v>4858</v>
      </c>
      <c r="D150" s="25" t="s">
        <v>1830</v>
      </c>
      <c r="E150" s="25" t="s">
        <v>4859</v>
      </c>
      <c r="F150" s="25" t="s">
        <v>4392</v>
      </c>
      <c r="G150" s="25" t="s">
        <v>4860</v>
      </c>
    </row>
    <row r="151" ht="15" customHeight="1">
      <c r="A151" s="25" t="s">
        <v>2509</v>
      </c>
      <c r="B151" s="25" t="s">
        <v>4861</v>
      </c>
      <c r="C151" s="25" t="s">
        <v>4862</v>
      </c>
      <c r="D151" s="25" t="s">
        <v>4318</v>
      </c>
      <c r="E151" s="25" t="s">
        <v>4863</v>
      </c>
      <c r="F151" s="25" t="s">
        <v>4397</v>
      </c>
      <c r="G151" s="25" t="s">
        <v>4864</v>
      </c>
    </row>
    <row r="152" ht="15" customHeight="1">
      <c r="A152" s="25" t="s">
        <v>2512</v>
      </c>
      <c r="B152" s="25" t="s">
        <v>4865</v>
      </c>
      <c r="C152" s="25" t="s">
        <v>4866</v>
      </c>
      <c r="D152" s="25" t="s">
        <v>4324</v>
      </c>
      <c r="E152" s="25" t="s">
        <v>4867</v>
      </c>
      <c r="F152" s="25" t="s">
        <v>4402</v>
      </c>
      <c r="G152" s="25" t="s">
        <v>4868</v>
      </c>
    </row>
    <row r="153" ht="15" customHeight="1">
      <c r="A153" s="25" t="s">
        <v>2514</v>
      </c>
      <c r="B153" s="25" t="s">
        <v>4869</v>
      </c>
      <c r="C153" s="25" t="s">
        <v>4870</v>
      </c>
      <c r="D153" s="25" t="s">
        <v>1837</v>
      </c>
      <c r="E153" s="25" t="s">
        <v>4871</v>
      </c>
      <c r="F153" s="25" t="s">
        <v>4407</v>
      </c>
      <c r="G153" s="25" t="s">
        <v>4872</v>
      </c>
    </row>
    <row r="154" ht="15" customHeight="1">
      <c r="A154" s="25" t="s">
        <v>2517</v>
      </c>
      <c r="B154" s="25" t="s">
        <v>4873</v>
      </c>
      <c r="C154" s="25" t="s">
        <v>4874</v>
      </c>
      <c r="D154" s="25" t="s">
        <v>4203</v>
      </c>
      <c r="E154" s="25" t="s">
        <v>4875</v>
      </c>
      <c r="F154" s="25" t="s">
        <v>4412</v>
      </c>
      <c r="G154" s="25" t="s">
        <v>4876</v>
      </c>
    </row>
    <row r="155" ht="15" customHeight="1">
      <c r="A155" s="25" t="s">
        <v>2519</v>
      </c>
      <c r="B155" s="25" t="s">
        <v>4877</v>
      </c>
      <c r="C155" s="25" t="s">
        <v>4878</v>
      </c>
      <c r="D155" s="25" t="s">
        <v>4340</v>
      </c>
      <c r="E155" s="25" t="s">
        <v>4879</v>
      </c>
      <c r="F155" s="25" t="s">
        <v>4417</v>
      </c>
      <c r="G155" s="25" t="s">
        <v>4880</v>
      </c>
    </row>
    <row r="156" ht="15" customHeight="1">
      <c r="A156" s="25" t="s">
        <v>2522</v>
      </c>
      <c r="B156" s="25" t="s">
        <v>4881</v>
      </c>
      <c r="C156" s="25" t="s">
        <v>4882</v>
      </c>
      <c r="D156" s="25" t="s">
        <v>4346</v>
      </c>
      <c r="E156" s="25" t="s">
        <v>4883</v>
      </c>
      <c r="F156" s="25" t="s">
        <v>4422</v>
      </c>
      <c r="G156" s="25" t="s">
        <v>4884</v>
      </c>
    </row>
    <row r="157" ht="15" customHeight="1">
      <c r="A157" s="25" t="s">
        <v>2524</v>
      </c>
      <c r="B157" s="25" t="s">
        <v>4885</v>
      </c>
      <c r="C157" s="25" t="s">
        <v>4886</v>
      </c>
      <c r="D157" s="25" t="s">
        <v>4352</v>
      </c>
      <c r="E157" s="25" t="s">
        <v>4887</v>
      </c>
      <c r="F157" s="25" t="s">
        <v>4427</v>
      </c>
      <c r="G157" s="25" t="s">
        <v>4888</v>
      </c>
    </row>
    <row r="158" ht="15" customHeight="1">
      <c r="A158" s="25" t="s">
        <v>2527</v>
      </c>
      <c r="B158" s="25" t="s">
        <v>4889</v>
      </c>
      <c r="C158" s="25" t="s">
        <v>4890</v>
      </c>
      <c r="D158" s="25" t="s">
        <v>4209</v>
      </c>
      <c r="E158" s="25" t="s">
        <v>4210</v>
      </c>
      <c r="F158" s="25" t="s">
        <v>4432</v>
      </c>
      <c r="G158" s="25" t="s">
        <v>4891</v>
      </c>
    </row>
    <row r="159" ht="15" customHeight="1">
      <c r="A159" s="25" t="s">
        <v>2529</v>
      </c>
      <c r="B159" s="25" t="s">
        <v>4892</v>
      </c>
      <c r="C159" s="25" t="s">
        <v>4893</v>
      </c>
      <c r="D159" s="25" t="s">
        <v>1851</v>
      </c>
      <c r="E159" s="25" t="s">
        <v>4894</v>
      </c>
      <c r="F159" s="25" t="s">
        <v>4437</v>
      </c>
      <c r="G159" s="25" t="s">
        <v>4895</v>
      </c>
    </row>
    <row r="160" ht="15" customHeight="1">
      <c r="A160" s="25" t="s">
        <v>2532</v>
      </c>
      <c r="B160" s="25" t="s">
        <v>4896</v>
      </c>
      <c r="C160" s="25" t="s">
        <v>4897</v>
      </c>
      <c r="D160" s="25" t="s">
        <v>4220</v>
      </c>
      <c r="E160" s="25" t="s">
        <v>4898</v>
      </c>
      <c r="F160" s="25" t="s">
        <v>4442</v>
      </c>
      <c r="G160" s="25" t="s">
        <v>4899</v>
      </c>
    </row>
    <row r="161" ht="15" customHeight="1">
      <c r="A161" s="25" t="s">
        <v>2534</v>
      </c>
      <c r="B161" s="25" t="s">
        <v>4900</v>
      </c>
      <c r="C161" s="25" t="s">
        <v>4901</v>
      </c>
      <c r="D161" s="25" t="s">
        <v>1858</v>
      </c>
      <c r="E161" s="25" t="s">
        <v>4902</v>
      </c>
      <c r="F161" s="25" t="s">
        <v>4447</v>
      </c>
      <c r="G161" s="25" t="s">
        <v>4903</v>
      </c>
    </row>
    <row r="162" ht="15" customHeight="1">
      <c r="A162" s="25" t="s">
        <v>2537</v>
      </c>
      <c r="B162" s="25" t="s">
        <v>4904</v>
      </c>
      <c r="C162" s="25" t="s">
        <v>4905</v>
      </c>
      <c r="D162" s="25" t="s">
        <v>4378</v>
      </c>
      <c r="E162" s="25" t="s">
        <v>4906</v>
      </c>
      <c r="F162" s="25" t="s">
        <v>4452</v>
      </c>
      <c r="G162" s="25" t="s">
        <v>4907</v>
      </c>
    </row>
    <row r="163" ht="15" customHeight="1">
      <c r="A163" s="25" t="s">
        <v>2539</v>
      </c>
      <c r="B163" s="25" t="s">
        <v>4908</v>
      </c>
      <c r="C163" s="25" t="s">
        <v>4909</v>
      </c>
      <c r="D163" s="25" t="s">
        <v>4384</v>
      </c>
      <c r="E163" s="25" t="s">
        <v>4910</v>
      </c>
      <c r="F163" s="25" t="s">
        <v>4457</v>
      </c>
      <c r="G163" s="25" t="s">
        <v>4911</v>
      </c>
    </row>
    <row r="164" ht="15" customHeight="1">
      <c r="A164" s="25" t="s">
        <v>2542</v>
      </c>
      <c r="B164" s="25" t="s">
        <v>4912</v>
      </c>
      <c r="C164" s="25" t="s">
        <v>4913</v>
      </c>
      <c r="D164" s="25" t="s">
        <v>4390</v>
      </c>
      <c r="E164" s="25" t="s">
        <v>4914</v>
      </c>
      <c r="F164" s="25" t="s">
        <v>4462</v>
      </c>
      <c r="G164" s="25" t="s">
        <v>4915</v>
      </c>
    </row>
    <row r="165" ht="15" customHeight="1">
      <c r="A165" s="25" t="s">
        <v>2544</v>
      </c>
      <c r="B165" s="25" t="s">
        <v>4916</v>
      </c>
      <c r="C165" s="25" t="s">
        <v>4917</v>
      </c>
      <c r="D165" s="25" t="s">
        <v>1865</v>
      </c>
      <c r="E165" s="25" t="s">
        <v>4918</v>
      </c>
      <c r="F165" s="25" t="s">
        <v>4467</v>
      </c>
      <c r="G165" s="25" t="s">
        <v>4919</v>
      </c>
    </row>
    <row r="166" ht="15" customHeight="1">
      <c r="A166" s="25" t="s">
        <v>2547</v>
      </c>
      <c r="B166" s="25" t="s">
        <v>4920</v>
      </c>
      <c r="C166" s="25" t="s">
        <v>4921</v>
      </c>
      <c r="D166" s="25" t="s">
        <v>4236</v>
      </c>
      <c r="E166" s="25" t="s">
        <v>4922</v>
      </c>
      <c r="F166" s="25" t="s">
        <v>4472</v>
      </c>
      <c r="G166" s="25" t="s">
        <v>4923</v>
      </c>
    </row>
    <row r="167" ht="15" customHeight="1">
      <c r="A167" s="25" t="s">
        <v>2548</v>
      </c>
      <c r="B167" s="25" t="s">
        <v>4924</v>
      </c>
      <c r="C167" s="25" t="s">
        <v>4925</v>
      </c>
      <c r="D167" s="25" t="s">
        <v>4242</v>
      </c>
      <c r="E167" s="25" t="s">
        <v>4926</v>
      </c>
      <c r="F167" s="25" t="s">
        <v>4477</v>
      </c>
      <c r="G167" s="25" t="s">
        <v>4927</v>
      </c>
    </row>
    <row r="168" ht="15" customHeight="1">
      <c r="A168" s="25" t="s">
        <v>2550</v>
      </c>
      <c r="B168" s="25" t="s">
        <v>4928</v>
      </c>
      <c r="C168" s="25" t="s">
        <v>4929</v>
      </c>
      <c r="D168" s="25" t="s">
        <v>1802</v>
      </c>
      <c r="E168" s="25" t="s">
        <v>4930</v>
      </c>
      <c r="F168" s="25" t="s">
        <v>4482</v>
      </c>
      <c r="G168" s="25" t="s">
        <v>4931</v>
      </c>
    </row>
    <row r="169" ht="15" customHeight="1">
      <c r="A169" s="25" t="s">
        <v>2552</v>
      </c>
      <c r="B169" s="25" t="s">
        <v>4932</v>
      </c>
      <c r="C169" s="25" t="s">
        <v>4933</v>
      </c>
      <c r="D169" s="25" t="s">
        <v>4253</v>
      </c>
      <c r="E169" s="25" t="s">
        <v>4934</v>
      </c>
      <c r="F169" s="25" t="s">
        <v>4487</v>
      </c>
      <c r="G169" s="25" t="s">
        <v>4935</v>
      </c>
    </row>
    <row r="170" ht="15" customHeight="1">
      <c r="A170" s="25" t="s">
        <v>2555</v>
      </c>
      <c r="B170" s="25" t="s">
        <v>4936</v>
      </c>
      <c r="C170" s="25" t="s">
        <v>4937</v>
      </c>
      <c r="D170" s="25" t="s">
        <v>4259</v>
      </c>
      <c r="E170" s="25" t="s">
        <v>4938</v>
      </c>
      <c r="F170" s="25" t="s">
        <v>4492</v>
      </c>
      <c r="G170" s="25" t="s">
        <v>4939</v>
      </c>
    </row>
    <row r="171" ht="15" customHeight="1">
      <c r="A171" s="25" t="s">
        <v>2556</v>
      </c>
      <c r="B171" s="25" t="s">
        <v>4940</v>
      </c>
      <c r="C171" s="25" t="s">
        <v>4941</v>
      </c>
      <c r="D171" s="25" t="s">
        <v>1944</v>
      </c>
      <c r="E171" s="25" t="s">
        <v>4942</v>
      </c>
      <c r="F171" s="25" t="s">
        <v>4497</v>
      </c>
      <c r="G171" s="25" t="s">
        <v>4943</v>
      </c>
    </row>
    <row r="172" ht="15" customHeight="1">
      <c r="A172" s="25" t="s">
        <v>2559</v>
      </c>
      <c r="B172" s="25" t="s">
        <v>4944</v>
      </c>
      <c r="C172" s="25" t="s">
        <v>4945</v>
      </c>
      <c r="D172" s="25" t="s">
        <v>1816</v>
      </c>
      <c r="E172" s="25" t="s">
        <v>4946</v>
      </c>
      <c r="F172" s="25" t="s">
        <v>4502</v>
      </c>
      <c r="G172" s="25" t="s">
        <v>4947</v>
      </c>
    </row>
    <row r="173" ht="15" customHeight="1">
      <c r="A173" s="25" t="s">
        <v>2561</v>
      </c>
      <c r="B173" s="25" t="s">
        <v>4948</v>
      </c>
      <c r="C173" s="25" t="s">
        <v>4949</v>
      </c>
      <c r="D173" s="25" t="s">
        <v>4275</v>
      </c>
      <c r="E173" s="25" t="s">
        <v>4950</v>
      </c>
      <c r="F173" s="25" t="s">
        <v>4507</v>
      </c>
      <c r="G173" s="25" t="s">
        <v>4951</v>
      </c>
    </row>
    <row r="174" ht="15" customHeight="1">
      <c r="A174" s="25" t="s">
        <v>2564</v>
      </c>
      <c r="B174" s="25" t="s">
        <v>4952</v>
      </c>
      <c r="C174" s="25" t="s">
        <v>4953</v>
      </c>
      <c r="D174" s="25" t="s">
        <v>4281</v>
      </c>
      <c r="E174" s="25" t="s">
        <v>4954</v>
      </c>
      <c r="F174" s="25" t="s">
        <v>4512</v>
      </c>
      <c r="G174" s="25" t="s">
        <v>4955</v>
      </c>
    </row>
    <row r="175" ht="15" customHeight="1">
      <c r="A175" s="25" t="s">
        <v>2565</v>
      </c>
      <c r="B175" s="25" t="s">
        <v>4956</v>
      </c>
      <c r="C175" s="25" t="s">
        <v>4957</v>
      </c>
      <c r="D175" s="25" t="s">
        <v>4287</v>
      </c>
      <c r="E175" s="25" t="s">
        <v>4958</v>
      </c>
      <c r="F175" s="25" t="s">
        <v>4517</v>
      </c>
      <c r="G175" s="25" t="s">
        <v>4959</v>
      </c>
    </row>
    <row r="176" ht="15" customHeight="1">
      <c r="A176" s="25" t="s">
        <v>2567</v>
      </c>
      <c r="B176" s="25" t="s">
        <v>4960</v>
      </c>
      <c r="C176" s="25" t="s">
        <v>4961</v>
      </c>
      <c r="D176" s="25" t="s">
        <v>1823</v>
      </c>
      <c r="E176" s="25" t="s">
        <v>4962</v>
      </c>
      <c r="F176" s="25" t="s">
        <v>4522</v>
      </c>
      <c r="G176" s="25" t="s">
        <v>4963</v>
      </c>
    </row>
    <row r="177" ht="15" customHeight="1">
      <c r="A177" s="25" t="s">
        <v>2568</v>
      </c>
      <c r="B177" s="25" t="s">
        <v>4964</v>
      </c>
      <c r="C177" s="25" t="s">
        <v>4965</v>
      </c>
      <c r="D177" s="25" t="s">
        <v>1892</v>
      </c>
      <c r="E177" s="25" t="s">
        <v>4966</v>
      </c>
      <c r="F177" s="25" t="s">
        <v>4527</v>
      </c>
      <c r="G177" s="25" t="s">
        <v>4967</v>
      </c>
    </row>
    <row r="178" ht="15" customHeight="1">
      <c r="A178" s="25" t="s">
        <v>2571</v>
      </c>
      <c r="B178" s="25" t="s">
        <v>4968</v>
      </c>
      <c r="C178" s="25" t="s">
        <v>4969</v>
      </c>
      <c r="D178" s="25" t="s">
        <v>4187</v>
      </c>
      <c r="E178" s="25" t="s">
        <v>4970</v>
      </c>
      <c r="F178" s="25" t="s">
        <v>4532</v>
      </c>
      <c r="G178" s="25" t="s">
        <v>4971</v>
      </c>
    </row>
    <row r="179" ht="15" customHeight="1">
      <c r="A179" s="25" t="s">
        <v>2572</v>
      </c>
      <c r="B179" s="25" t="s">
        <v>4972</v>
      </c>
      <c r="C179" s="25" t="s">
        <v>4973</v>
      </c>
      <c r="D179" s="25" t="s">
        <v>4192</v>
      </c>
      <c r="E179" s="25" t="s">
        <v>4974</v>
      </c>
      <c r="F179" s="25" t="s">
        <v>4537</v>
      </c>
      <c r="G179" s="25" t="s">
        <v>4975</v>
      </c>
    </row>
    <row r="180" ht="15" customHeight="1">
      <c r="A180" s="25" t="s">
        <v>2574</v>
      </c>
      <c r="B180" s="25" t="s">
        <v>4976</v>
      </c>
      <c r="C180" s="25" t="s">
        <v>4977</v>
      </c>
      <c r="D180" s="25" t="s">
        <v>1830</v>
      </c>
      <c r="E180" s="25" t="s">
        <v>4978</v>
      </c>
      <c r="F180" s="25" t="s">
        <v>4542</v>
      </c>
      <c r="G180" s="25" t="s">
        <v>4979</v>
      </c>
    </row>
    <row r="181" ht="15" customHeight="1">
      <c r="A181" s="25" t="s">
        <v>2576</v>
      </c>
      <c r="B181" s="25" t="s">
        <v>4980</v>
      </c>
      <c r="C181" s="25" t="s">
        <v>4981</v>
      </c>
      <c r="D181" s="25" t="s">
        <v>4318</v>
      </c>
      <c r="E181" s="25" t="s">
        <v>4982</v>
      </c>
      <c r="F181" s="25" t="s">
        <v>4547</v>
      </c>
      <c r="G181" s="25" t="s">
        <v>4983</v>
      </c>
    </row>
    <row r="182" ht="15" customHeight="1">
      <c r="A182" s="25" t="s">
        <v>2579</v>
      </c>
      <c r="B182" s="25" t="s">
        <v>4984</v>
      </c>
      <c r="C182" s="25" t="s">
        <v>4985</v>
      </c>
      <c r="D182" s="25" t="s">
        <v>4324</v>
      </c>
      <c r="E182" s="25" t="s">
        <v>4986</v>
      </c>
      <c r="F182" s="25" t="s">
        <v>4552</v>
      </c>
      <c r="G182" s="25" t="s">
        <v>4987</v>
      </c>
    </row>
    <row r="183" ht="15" customHeight="1">
      <c r="A183" s="25" t="s">
        <v>2581</v>
      </c>
      <c r="B183" s="25" t="s">
        <v>4988</v>
      </c>
      <c r="C183" s="25" t="s">
        <v>4989</v>
      </c>
      <c r="D183" s="25" t="s">
        <v>1837</v>
      </c>
      <c r="E183" s="25" t="s">
        <v>4990</v>
      </c>
      <c r="F183" s="25" t="s">
        <v>4557</v>
      </c>
      <c r="G183" s="25" t="s">
        <v>4991</v>
      </c>
    </row>
    <row r="184" ht="15" customHeight="1">
      <c r="A184" s="25" t="s">
        <v>2584</v>
      </c>
      <c r="B184" s="25" t="s">
        <v>4992</v>
      </c>
      <c r="C184" s="25" t="s">
        <v>4993</v>
      </c>
      <c r="D184" s="25" t="s">
        <v>4203</v>
      </c>
      <c r="E184" s="25" t="s">
        <v>4994</v>
      </c>
      <c r="F184" s="25" t="s">
        <v>4562</v>
      </c>
      <c r="G184" s="25" t="s">
        <v>4995</v>
      </c>
    </row>
    <row r="185" ht="15" customHeight="1">
      <c r="A185" s="25" t="s">
        <v>2585</v>
      </c>
      <c r="B185" s="25" t="s">
        <v>4996</v>
      </c>
      <c r="C185" s="25" t="s">
        <v>4997</v>
      </c>
      <c r="D185" s="25" t="s">
        <v>4340</v>
      </c>
      <c r="E185" s="25" t="s">
        <v>4998</v>
      </c>
      <c r="F185" s="25" t="s">
        <v>4567</v>
      </c>
      <c r="G185" s="25" t="s">
        <v>4999</v>
      </c>
    </row>
    <row r="186" ht="15" customHeight="1">
      <c r="A186" s="25" t="s">
        <v>2587</v>
      </c>
      <c r="B186" s="25" t="s">
        <v>5000</v>
      </c>
      <c r="C186" s="25" t="s">
        <v>5001</v>
      </c>
      <c r="D186" s="25" t="s">
        <v>4346</v>
      </c>
      <c r="E186" s="25" t="s">
        <v>5002</v>
      </c>
      <c r="F186" s="25" t="s">
        <v>4572</v>
      </c>
      <c r="G186" s="25" t="s">
        <v>5003</v>
      </c>
    </row>
    <row r="187" ht="15" customHeight="1">
      <c r="A187" s="25" t="s">
        <v>2589</v>
      </c>
      <c r="B187" s="25" t="s">
        <v>5004</v>
      </c>
      <c r="C187" s="25" t="s">
        <v>5005</v>
      </c>
      <c r="D187" s="25" t="s">
        <v>4352</v>
      </c>
      <c r="E187" s="25" t="s">
        <v>5006</v>
      </c>
      <c r="F187" s="25" t="s">
        <v>4577</v>
      </c>
      <c r="G187" s="25" t="s">
        <v>5007</v>
      </c>
    </row>
    <row r="188" ht="15" customHeight="1">
      <c r="A188" s="25" t="s">
        <v>2592</v>
      </c>
      <c r="B188" s="25" t="s">
        <v>5008</v>
      </c>
      <c r="C188" s="25" t="s">
        <v>5009</v>
      </c>
      <c r="D188" s="25" t="s">
        <v>4209</v>
      </c>
      <c r="E188" s="25" t="s">
        <v>5010</v>
      </c>
      <c r="F188" s="25" t="s">
        <v>4582</v>
      </c>
      <c r="G188" s="25" t="s">
        <v>5011</v>
      </c>
    </row>
    <row r="189" ht="15" customHeight="1">
      <c r="A189" s="25" t="s">
        <v>2594</v>
      </c>
      <c r="B189" s="25" t="s">
        <v>5012</v>
      </c>
      <c r="C189" s="25" t="s">
        <v>5013</v>
      </c>
      <c r="D189" s="25" t="s">
        <v>1851</v>
      </c>
      <c r="E189" s="25" t="s">
        <v>5014</v>
      </c>
      <c r="F189" s="25" t="s">
        <v>4587</v>
      </c>
      <c r="G189" s="25" t="s">
        <v>5015</v>
      </c>
    </row>
    <row r="190" ht="15" customHeight="1">
      <c r="A190" s="25" t="s">
        <v>2597</v>
      </c>
      <c r="B190" s="25" t="s">
        <v>5016</v>
      </c>
      <c r="C190" s="25" t="s">
        <v>5017</v>
      </c>
      <c r="D190" s="25" t="s">
        <v>4220</v>
      </c>
      <c r="E190" s="25" t="s">
        <v>5018</v>
      </c>
      <c r="F190" s="25" t="s">
        <v>4592</v>
      </c>
      <c r="G190" s="25" t="s">
        <v>5019</v>
      </c>
    </row>
    <row r="191" ht="15" customHeight="1">
      <c r="A191" s="25" t="s">
        <v>2598</v>
      </c>
      <c r="B191" s="25" t="s">
        <v>5020</v>
      </c>
      <c r="C191" s="25" t="s">
        <v>5021</v>
      </c>
      <c r="D191" s="25" t="s">
        <v>1858</v>
      </c>
      <c r="E191" s="25" t="s">
        <v>5022</v>
      </c>
      <c r="F191" s="25" t="s">
        <v>4597</v>
      </c>
      <c r="G191" s="25" t="s">
        <v>5023</v>
      </c>
    </row>
    <row r="192" ht="15" customHeight="1">
      <c r="A192" s="25" t="s">
        <v>2601</v>
      </c>
      <c r="B192" s="25" t="s">
        <v>5024</v>
      </c>
      <c r="C192" s="25" t="s">
        <v>5025</v>
      </c>
      <c r="D192" s="25" t="s">
        <v>4378</v>
      </c>
      <c r="E192" s="25" t="s">
        <v>5026</v>
      </c>
      <c r="F192" s="25" t="s">
        <v>4602</v>
      </c>
      <c r="G192" s="25" t="s">
        <v>5027</v>
      </c>
    </row>
    <row r="193" ht="15" customHeight="1">
      <c r="A193" s="25" t="s">
        <v>2603</v>
      </c>
      <c r="B193" s="25" t="s">
        <v>5028</v>
      </c>
      <c r="C193" s="25" t="s">
        <v>5029</v>
      </c>
      <c r="D193" s="25" t="s">
        <v>4384</v>
      </c>
      <c r="E193" s="25" t="s">
        <v>5030</v>
      </c>
      <c r="F193" s="25" t="s">
        <v>4607</v>
      </c>
      <c r="G193" s="25" t="s">
        <v>5031</v>
      </c>
    </row>
    <row r="194" ht="15" customHeight="1">
      <c r="A194" s="25" t="s">
        <v>2606</v>
      </c>
      <c r="B194" s="25" t="s">
        <v>5032</v>
      </c>
      <c r="C194" s="25" t="s">
        <v>5033</v>
      </c>
      <c r="D194" s="25" t="s">
        <v>4390</v>
      </c>
      <c r="E194" s="25" t="s">
        <v>5034</v>
      </c>
      <c r="F194" s="25" t="s">
        <v>4612</v>
      </c>
      <c r="G194" s="25" t="s">
        <v>5035</v>
      </c>
    </row>
    <row r="195" ht="15" customHeight="1">
      <c r="A195" s="25" t="s">
        <v>2607</v>
      </c>
      <c r="B195" s="25" t="s">
        <v>5036</v>
      </c>
      <c r="C195" s="25" t="s">
        <v>5037</v>
      </c>
      <c r="D195" s="25" t="s">
        <v>1865</v>
      </c>
      <c r="E195" s="25" t="s">
        <v>5038</v>
      </c>
      <c r="F195" s="25" t="s">
        <v>4617</v>
      </c>
      <c r="G195" s="25" t="s">
        <v>5039</v>
      </c>
    </row>
    <row r="196" ht="15" customHeight="1">
      <c r="A196" s="25" t="s">
        <v>2610</v>
      </c>
      <c r="B196" s="25" t="s">
        <v>5040</v>
      </c>
      <c r="C196" s="25" t="s">
        <v>5041</v>
      </c>
      <c r="D196" s="25" t="s">
        <v>4236</v>
      </c>
      <c r="E196" s="25" t="s">
        <v>5042</v>
      </c>
      <c r="F196" s="25" t="s">
        <v>4407</v>
      </c>
      <c r="G196" s="25" t="s">
        <v>5043</v>
      </c>
    </row>
    <row r="197" ht="15" customHeight="1">
      <c r="A197" s="25" t="s">
        <v>2611</v>
      </c>
      <c r="B197" s="25" t="s">
        <v>5044</v>
      </c>
      <c r="C197" s="25" t="s">
        <v>5045</v>
      </c>
      <c r="D197" s="25" t="s">
        <v>4242</v>
      </c>
      <c r="E197" s="25" t="s">
        <v>5046</v>
      </c>
      <c r="F197" s="25" t="s">
        <v>4354</v>
      </c>
      <c r="G197" s="25" t="s">
        <v>5047</v>
      </c>
    </row>
    <row r="198" ht="15" customHeight="1">
      <c r="A198" s="25" t="s">
        <v>2613</v>
      </c>
      <c r="B198" s="25" t="s">
        <v>5048</v>
      </c>
      <c r="C198" s="25" t="s">
        <v>5049</v>
      </c>
      <c r="D198" s="25" t="s">
        <v>1802</v>
      </c>
      <c r="E198" s="25" t="s">
        <v>5050</v>
      </c>
      <c r="F198" s="25" t="s">
        <v>4447</v>
      </c>
      <c r="G198" s="25" t="s">
        <v>5051</v>
      </c>
    </row>
    <row r="199" ht="15" customHeight="1">
      <c r="A199" s="25" t="s">
        <v>2615</v>
      </c>
      <c r="B199" s="25" t="s">
        <v>5052</v>
      </c>
      <c r="C199" s="25" t="s">
        <v>5053</v>
      </c>
      <c r="D199" s="25" t="s">
        <v>4253</v>
      </c>
      <c r="E199" s="25" t="s">
        <v>5054</v>
      </c>
      <c r="F199" s="25" t="s">
        <v>4437</v>
      </c>
      <c r="G199" s="25" t="s">
        <v>5055</v>
      </c>
    </row>
    <row r="200" ht="15" customHeight="1">
      <c r="A200" s="25" t="s">
        <v>2618</v>
      </c>
      <c r="B200" s="25" t="s">
        <v>5056</v>
      </c>
      <c r="C200" s="25" t="s">
        <v>5057</v>
      </c>
      <c r="D200" s="25" t="s">
        <v>4259</v>
      </c>
      <c r="E200" s="25" t="s">
        <v>5058</v>
      </c>
      <c r="F200" s="25" t="s">
        <v>4422</v>
      </c>
      <c r="G200" s="25" t="s">
        <v>5059</v>
      </c>
    </row>
    <row r="201" ht="15" customHeight="1">
      <c r="A201" s="25" t="s">
        <v>2619</v>
      </c>
      <c r="B201" s="25" t="s">
        <v>5060</v>
      </c>
      <c r="C201" s="25" t="s">
        <v>5061</v>
      </c>
      <c r="D201" s="25" t="s">
        <v>1944</v>
      </c>
      <c r="E201" s="25" t="s">
        <v>5062</v>
      </c>
      <c r="F201" s="25" t="s">
        <v>4427</v>
      </c>
      <c r="G201" s="25" t="s">
        <v>5063</v>
      </c>
    </row>
    <row r="202" ht="15" customHeight="1">
      <c r="A202" s="25" t="s">
        <v>2621</v>
      </c>
      <c r="B202" s="25" t="s">
        <v>5064</v>
      </c>
      <c r="C202" s="25" t="s">
        <v>5065</v>
      </c>
      <c r="D202" s="25" t="s">
        <v>1816</v>
      </c>
      <c r="E202" s="25" t="s">
        <v>5066</v>
      </c>
      <c r="F202" s="25" t="s">
        <v>4432</v>
      </c>
      <c r="G202" s="25" t="s">
        <v>5067</v>
      </c>
    </row>
    <row r="203" ht="15" customHeight="1">
      <c r="A203" s="25" t="s">
        <v>2623</v>
      </c>
      <c r="B203" s="25" t="s">
        <v>5068</v>
      </c>
      <c r="C203" s="25" t="s">
        <v>5069</v>
      </c>
      <c r="D203" s="25" t="s">
        <v>4275</v>
      </c>
      <c r="E203" s="25" t="s">
        <v>5070</v>
      </c>
      <c r="F203" s="25" t="s">
        <v>4437</v>
      </c>
      <c r="G203" s="25" t="s">
        <v>5071</v>
      </c>
    </row>
    <row r="204" ht="15" customHeight="1">
      <c r="A204" s="25" t="s">
        <v>2626</v>
      </c>
      <c r="B204" s="25" t="s">
        <v>5072</v>
      </c>
      <c r="C204" s="25" t="s">
        <v>5073</v>
      </c>
      <c r="D204" s="25" t="s">
        <v>4281</v>
      </c>
      <c r="E204" s="25" t="s">
        <v>5074</v>
      </c>
      <c r="F204" s="25" t="s">
        <v>4442</v>
      </c>
      <c r="G204" s="25" t="s">
        <v>5075</v>
      </c>
    </row>
    <row r="205" ht="15" customHeight="1">
      <c r="A205" s="25" t="s">
        <v>2628</v>
      </c>
      <c r="B205" s="25" t="s">
        <v>5076</v>
      </c>
      <c r="C205" s="25" t="s">
        <v>5077</v>
      </c>
      <c r="D205" s="25" t="s">
        <v>4287</v>
      </c>
      <c r="E205" s="25" t="s">
        <v>5078</v>
      </c>
      <c r="F205" s="25" t="s">
        <v>4447</v>
      </c>
      <c r="G205" s="25" t="s">
        <v>5079</v>
      </c>
    </row>
    <row r="206" ht="15" customHeight="1">
      <c r="A206" s="25" t="s">
        <v>2631</v>
      </c>
      <c r="B206" s="25" t="s">
        <v>5080</v>
      </c>
      <c r="C206" s="25" t="s">
        <v>5081</v>
      </c>
      <c r="D206" s="25" t="s">
        <v>1823</v>
      </c>
      <c r="E206" s="25" t="s">
        <v>5082</v>
      </c>
      <c r="F206" s="25" t="s">
        <v>4452</v>
      </c>
      <c r="G206" s="25" t="s">
        <v>5083</v>
      </c>
    </row>
    <row r="207" ht="15" customHeight="1">
      <c r="A207" s="25" t="s">
        <v>2632</v>
      </c>
      <c r="B207" s="25" t="s">
        <v>5084</v>
      </c>
      <c r="C207" s="25" t="s">
        <v>5085</v>
      </c>
      <c r="D207" s="25" t="s">
        <v>1892</v>
      </c>
      <c r="E207" s="25" t="s">
        <v>5086</v>
      </c>
      <c r="F207" s="25" t="s">
        <v>4457</v>
      </c>
      <c r="G207" s="25" t="s">
        <v>5087</v>
      </c>
    </row>
    <row r="208" ht="15" customHeight="1">
      <c r="A208" s="25" t="s">
        <v>2635</v>
      </c>
      <c r="B208" s="25" t="s">
        <v>5088</v>
      </c>
      <c r="C208" s="25" t="s">
        <v>5089</v>
      </c>
      <c r="D208" s="25" t="s">
        <v>4187</v>
      </c>
      <c r="E208" s="25" t="s">
        <v>5090</v>
      </c>
      <c r="F208" s="25" t="s">
        <v>4462</v>
      </c>
      <c r="G208" s="25" t="s">
        <v>5091</v>
      </c>
    </row>
    <row r="209" ht="15" customHeight="1">
      <c r="A209" s="25" t="s">
        <v>2637</v>
      </c>
      <c r="B209" s="25" t="s">
        <v>5092</v>
      </c>
      <c r="C209" s="25" t="s">
        <v>5093</v>
      </c>
      <c r="D209" s="25" t="s">
        <v>4192</v>
      </c>
      <c r="E209" s="25" t="s">
        <v>5094</v>
      </c>
      <c r="F209" s="25" t="s">
        <v>4467</v>
      </c>
      <c r="G209" s="25" t="s">
        <v>5095</v>
      </c>
    </row>
    <row r="210" ht="15" customHeight="1">
      <c r="A210" s="25" t="s">
        <v>2640</v>
      </c>
      <c r="B210" s="25" t="s">
        <v>5096</v>
      </c>
      <c r="C210" s="25" t="s">
        <v>5097</v>
      </c>
      <c r="D210" s="25" t="s">
        <v>1830</v>
      </c>
      <c r="E210" s="25" t="s">
        <v>5098</v>
      </c>
      <c r="F210" s="25" t="s">
        <v>4472</v>
      </c>
      <c r="G210" s="25" t="s">
        <v>5099</v>
      </c>
    </row>
    <row r="211" ht="15" customHeight="1">
      <c r="A211" s="25" t="s">
        <v>2642</v>
      </c>
      <c r="B211" s="25" t="s">
        <v>5100</v>
      </c>
      <c r="C211" s="25" t="s">
        <v>5101</v>
      </c>
      <c r="D211" s="25" t="s">
        <v>4318</v>
      </c>
      <c r="E211" s="25" t="s">
        <v>5102</v>
      </c>
      <c r="F211" s="25" t="s">
        <v>4477</v>
      </c>
      <c r="G211" s="25" t="s">
        <v>5103</v>
      </c>
    </row>
    <row r="212" ht="15" customHeight="1">
      <c r="A212" s="25" t="s">
        <v>2644</v>
      </c>
      <c r="B212" s="25" t="s">
        <v>5104</v>
      </c>
      <c r="C212" s="25" t="s">
        <v>5105</v>
      </c>
      <c r="D212" s="25" t="s">
        <v>4324</v>
      </c>
      <c r="E212" s="25" t="s">
        <v>5106</v>
      </c>
      <c r="F212" s="25" t="s">
        <v>4482</v>
      </c>
      <c r="G212" s="25" t="s">
        <v>5107</v>
      </c>
    </row>
    <row r="213" ht="15" customHeight="1">
      <c r="A213" s="25" t="s">
        <v>2646</v>
      </c>
      <c r="B213" s="25" t="s">
        <v>5108</v>
      </c>
      <c r="C213" s="25" t="s">
        <v>5109</v>
      </c>
      <c r="D213" s="25" t="s">
        <v>1837</v>
      </c>
      <c r="E213" s="25" t="s">
        <v>5110</v>
      </c>
      <c r="F213" s="25" t="s">
        <v>4487</v>
      </c>
      <c r="G213" s="25" t="s">
        <v>5111</v>
      </c>
    </row>
    <row r="214" ht="15" customHeight="1">
      <c r="A214" s="25" t="s">
        <v>2649</v>
      </c>
      <c r="B214" s="25" t="s">
        <v>5112</v>
      </c>
      <c r="C214" s="25" t="s">
        <v>5113</v>
      </c>
      <c r="D214" s="25" t="s">
        <v>4203</v>
      </c>
      <c r="E214" s="25" t="s">
        <v>5114</v>
      </c>
      <c r="F214" s="25" t="s">
        <v>4492</v>
      </c>
      <c r="G214" s="25" t="s">
        <v>5115</v>
      </c>
    </row>
    <row r="215" ht="15" customHeight="1">
      <c r="A215" s="25" t="s">
        <v>2651</v>
      </c>
      <c r="B215" s="25" t="s">
        <v>5116</v>
      </c>
      <c r="C215" s="25" t="s">
        <v>5117</v>
      </c>
      <c r="D215" s="25" t="s">
        <v>4340</v>
      </c>
      <c r="E215" s="25" t="s">
        <v>5118</v>
      </c>
      <c r="F215" s="25" t="s">
        <v>4497</v>
      </c>
      <c r="G215" s="25" t="s">
        <v>5119</v>
      </c>
    </row>
    <row r="216" ht="15" customHeight="1">
      <c r="A216" s="25" t="s">
        <v>2654</v>
      </c>
      <c r="B216" s="25" t="s">
        <v>5120</v>
      </c>
      <c r="C216" s="25" t="s">
        <v>5121</v>
      </c>
      <c r="D216" s="25" t="s">
        <v>4346</v>
      </c>
      <c r="E216" s="25" t="s">
        <v>5122</v>
      </c>
      <c r="F216" s="25" t="s">
        <v>4502</v>
      </c>
      <c r="G216" s="25" t="s">
        <v>5123</v>
      </c>
    </row>
    <row r="217" ht="15" customHeight="1">
      <c r="A217" s="25" t="s">
        <v>2655</v>
      </c>
      <c r="B217" s="25" t="s">
        <v>5124</v>
      </c>
      <c r="C217" s="25" t="s">
        <v>5125</v>
      </c>
      <c r="D217" s="25" t="s">
        <v>4352</v>
      </c>
      <c r="E217" s="25" t="s">
        <v>5126</v>
      </c>
      <c r="F217" s="25" t="s">
        <v>4507</v>
      </c>
      <c r="G217" s="25" t="s">
        <v>5127</v>
      </c>
    </row>
    <row r="218" ht="15" customHeight="1">
      <c r="A218" s="25" t="s">
        <v>2657</v>
      </c>
      <c r="B218" s="25" t="s">
        <v>5128</v>
      </c>
      <c r="C218" s="25" t="s">
        <v>5129</v>
      </c>
      <c r="D218" s="25" t="s">
        <v>4209</v>
      </c>
      <c r="E218" s="25" t="s">
        <v>5130</v>
      </c>
      <c r="F218" s="25" t="s">
        <v>4512</v>
      </c>
      <c r="G218" s="25" t="s">
        <v>5131</v>
      </c>
    </row>
    <row r="219" ht="15" customHeight="1">
      <c r="A219" s="25" t="s">
        <v>2659</v>
      </c>
      <c r="B219" s="25" t="s">
        <v>5132</v>
      </c>
      <c r="C219" s="25" t="s">
        <v>5133</v>
      </c>
      <c r="D219" s="25" t="s">
        <v>1851</v>
      </c>
      <c r="E219" s="25" t="s">
        <v>5134</v>
      </c>
      <c r="F219" s="25" t="s">
        <v>4517</v>
      </c>
      <c r="G219" s="25" t="s">
        <v>5135</v>
      </c>
    </row>
    <row r="220" ht="15" customHeight="1">
      <c r="A220" s="25" t="s">
        <v>2661</v>
      </c>
      <c r="B220" s="25" t="s">
        <v>5136</v>
      </c>
      <c r="C220" s="25" t="s">
        <v>5137</v>
      </c>
      <c r="D220" s="25" t="s">
        <v>4220</v>
      </c>
      <c r="E220" s="25" t="s">
        <v>5138</v>
      </c>
      <c r="F220" s="25" t="s">
        <v>4522</v>
      </c>
      <c r="G220" s="25" t="s">
        <v>5139</v>
      </c>
    </row>
    <row r="221" ht="15" customHeight="1">
      <c r="A221" s="25" t="s">
        <v>2662</v>
      </c>
      <c r="B221" s="25" t="s">
        <v>5140</v>
      </c>
      <c r="C221" s="25" t="s">
        <v>4822</v>
      </c>
      <c r="D221" s="25" t="s">
        <v>1858</v>
      </c>
      <c r="E221" s="25" t="s">
        <v>5141</v>
      </c>
      <c r="F221" s="25" t="s">
        <v>4527</v>
      </c>
      <c r="G221" s="25" t="s">
        <v>5142</v>
      </c>
    </row>
    <row r="222" ht="15" customHeight="1">
      <c r="A222" s="25" t="s">
        <v>2665</v>
      </c>
      <c r="B222" s="25" t="s">
        <v>5143</v>
      </c>
      <c r="C222" s="25" t="s">
        <v>5144</v>
      </c>
      <c r="D222" s="25" t="s">
        <v>4378</v>
      </c>
      <c r="E222" s="25" t="s">
        <v>5145</v>
      </c>
      <c r="F222" s="25" t="s">
        <v>4532</v>
      </c>
      <c r="G222" s="25" t="s">
        <v>5146</v>
      </c>
    </row>
    <row r="223" ht="15" customHeight="1">
      <c r="A223" s="25" t="s">
        <v>2666</v>
      </c>
      <c r="B223" s="25" t="s">
        <v>5147</v>
      </c>
      <c r="C223" s="25" t="s">
        <v>5148</v>
      </c>
      <c r="D223" s="25" t="s">
        <v>4384</v>
      </c>
      <c r="E223" s="25" t="s">
        <v>5149</v>
      </c>
      <c r="F223" s="25" t="s">
        <v>4537</v>
      </c>
      <c r="G223" s="25" t="s">
        <v>5150</v>
      </c>
    </row>
    <row r="224" ht="15" customHeight="1">
      <c r="A224" s="25" t="s">
        <v>2669</v>
      </c>
      <c r="B224" s="25" t="s">
        <v>5151</v>
      </c>
      <c r="C224" s="25" t="s">
        <v>5152</v>
      </c>
      <c r="D224" s="25" t="s">
        <v>4390</v>
      </c>
      <c r="E224" s="25" t="s">
        <v>5153</v>
      </c>
      <c r="F224" s="25" t="s">
        <v>4542</v>
      </c>
      <c r="G224" s="25" t="s">
        <v>5154</v>
      </c>
    </row>
    <row r="225" ht="15" customHeight="1">
      <c r="A225" s="25" t="s">
        <v>2671</v>
      </c>
      <c r="B225" s="25" t="s">
        <v>5155</v>
      </c>
      <c r="C225" s="25" t="s">
        <v>5156</v>
      </c>
      <c r="D225" s="25" t="s">
        <v>1865</v>
      </c>
      <c r="E225" s="25" t="s">
        <v>5157</v>
      </c>
      <c r="F225" s="25" t="s">
        <v>4547</v>
      </c>
      <c r="G225" s="25" t="s">
        <v>5158</v>
      </c>
    </row>
    <row r="226" ht="15" customHeight="1">
      <c r="A226" s="25" t="s">
        <v>2674</v>
      </c>
      <c r="B226" s="25" t="s">
        <v>5159</v>
      </c>
      <c r="C226" s="25" t="s">
        <v>5160</v>
      </c>
      <c r="D226" s="25" t="s">
        <v>4236</v>
      </c>
      <c r="E226" s="25" t="s">
        <v>4863</v>
      </c>
      <c r="F226" s="25" t="s">
        <v>4552</v>
      </c>
      <c r="G226" s="25" t="s">
        <v>5161</v>
      </c>
    </row>
    <row r="227" ht="15" customHeight="1">
      <c r="A227" s="25" t="s">
        <v>2676</v>
      </c>
      <c r="B227" s="25" t="s">
        <v>5162</v>
      </c>
      <c r="C227" s="25" t="s">
        <v>5163</v>
      </c>
      <c r="D227" s="25" t="s">
        <v>4242</v>
      </c>
      <c r="E227" s="25" t="s">
        <v>5164</v>
      </c>
      <c r="F227" s="25" t="s">
        <v>4557</v>
      </c>
      <c r="G227" s="25" t="s">
        <v>5165</v>
      </c>
    </row>
    <row r="228" ht="15" customHeight="1">
      <c r="A228" s="25" t="s">
        <v>2678</v>
      </c>
      <c r="B228" s="25" t="s">
        <v>5166</v>
      </c>
      <c r="C228" s="25" t="s">
        <v>5167</v>
      </c>
      <c r="D228" s="25" t="s">
        <v>1802</v>
      </c>
      <c r="E228" s="25" t="s">
        <v>5168</v>
      </c>
      <c r="F228" s="25" t="s">
        <v>4562</v>
      </c>
      <c r="G228" s="25" t="s">
        <v>5169</v>
      </c>
    </row>
    <row r="229" ht="15" customHeight="1">
      <c r="A229" s="25" t="s">
        <v>2680</v>
      </c>
      <c r="B229" s="25" t="s">
        <v>5170</v>
      </c>
      <c r="C229" s="25" t="s">
        <v>5171</v>
      </c>
      <c r="D229" s="25" t="s">
        <v>4253</v>
      </c>
      <c r="E229" s="25" t="s">
        <v>5172</v>
      </c>
      <c r="F229" s="25" t="s">
        <v>4567</v>
      </c>
      <c r="G229" s="25" t="s">
        <v>5173</v>
      </c>
    </row>
    <row r="230" ht="15" customHeight="1">
      <c r="A230" s="25" t="s">
        <v>2683</v>
      </c>
      <c r="B230" s="25" t="s">
        <v>5174</v>
      </c>
      <c r="C230" s="25" t="s">
        <v>5175</v>
      </c>
      <c r="D230" s="25" t="s">
        <v>4259</v>
      </c>
      <c r="E230" s="25" t="s">
        <v>5176</v>
      </c>
      <c r="F230" s="25" t="s">
        <v>4572</v>
      </c>
      <c r="G230" s="25" t="s">
        <v>5177</v>
      </c>
    </row>
    <row r="231" ht="15" customHeight="1">
      <c r="A231" s="25" t="s">
        <v>2685</v>
      </c>
      <c r="B231" s="25" t="s">
        <v>5178</v>
      </c>
      <c r="C231" s="25" t="s">
        <v>5179</v>
      </c>
      <c r="D231" s="25" t="s">
        <v>1944</v>
      </c>
      <c r="E231" s="25" t="s">
        <v>5180</v>
      </c>
      <c r="F231" s="25" t="s">
        <v>4577</v>
      </c>
      <c r="G231" s="25" t="s">
        <v>5181</v>
      </c>
    </row>
    <row r="232" ht="15" customHeight="1">
      <c r="A232" s="25" t="s">
        <v>2688</v>
      </c>
      <c r="B232" s="25" t="s">
        <v>5182</v>
      </c>
      <c r="C232" s="25" t="s">
        <v>5183</v>
      </c>
      <c r="D232" s="25" t="s">
        <v>1816</v>
      </c>
      <c r="E232" s="25" t="s">
        <v>5184</v>
      </c>
      <c r="F232" s="25" t="s">
        <v>4582</v>
      </c>
      <c r="G232" s="25" t="s">
        <v>5185</v>
      </c>
    </row>
    <row r="233" ht="15" customHeight="1">
      <c r="A233" s="25" t="s">
        <v>2690</v>
      </c>
      <c r="B233" s="25" t="s">
        <v>5186</v>
      </c>
      <c r="C233" s="25" t="s">
        <v>5187</v>
      </c>
      <c r="D233" s="25" t="s">
        <v>4275</v>
      </c>
      <c r="E233" s="25" t="s">
        <v>5188</v>
      </c>
      <c r="F233" s="25" t="s">
        <v>4587</v>
      </c>
      <c r="G233" s="25" t="s">
        <v>5189</v>
      </c>
    </row>
    <row r="234" ht="15" customHeight="1">
      <c r="A234" s="25" t="s">
        <v>2693</v>
      </c>
      <c r="B234" s="25" t="s">
        <v>5190</v>
      </c>
      <c r="C234" s="25" t="s">
        <v>5191</v>
      </c>
      <c r="D234" s="25" t="s">
        <v>4281</v>
      </c>
      <c r="E234" s="25" t="s">
        <v>5192</v>
      </c>
      <c r="F234" s="25" t="s">
        <v>4592</v>
      </c>
      <c r="G234" s="25" t="s">
        <v>5193</v>
      </c>
    </row>
    <row r="235" ht="15" customHeight="1">
      <c r="A235" s="25" t="s">
        <v>2695</v>
      </c>
      <c r="B235" s="25" t="s">
        <v>5194</v>
      </c>
      <c r="C235" s="25" t="s">
        <v>5195</v>
      </c>
      <c r="D235" s="25" t="s">
        <v>4287</v>
      </c>
      <c r="E235" s="25" t="s">
        <v>5196</v>
      </c>
      <c r="F235" s="25" t="s">
        <v>4597</v>
      </c>
      <c r="G235" s="25" t="s">
        <v>5197</v>
      </c>
    </row>
    <row r="236" ht="15" customHeight="1">
      <c r="A236" s="25" t="s">
        <v>2697</v>
      </c>
      <c r="B236" s="25" t="s">
        <v>5198</v>
      </c>
      <c r="C236" s="25" t="s">
        <v>5199</v>
      </c>
      <c r="D236" s="25" t="s">
        <v>1823</v>
      </c>
      <c r="E236" s="25" t="s">
        <v>5200</v>
      </c>
      <c r="F236" s="25" t="s">
        <v>4602</v>
      </c>
      <c r="G236" s="25" t="s">
        <v>5201</v>
      </c>
    </row>
    <row r="237" ht="15" customHeight="1">
      <c r="A237" s="25" t="s">
        <v>2698</v>
      </c>
      <c r="B237" s="25" t="s">
        <v>5202</v>
      </c>
      <c r="C237" s="25" t="s">
        <v>5203</v>
      </c>
      <c r="D237" s="25" t="s">
        <v>1892</v>
      </c>
      <c r="E237" s="25" t="s">
        <v>5204</v>
      </c>
      <c r="F237" s="25" t="s">
        <v>4607</v>
      </c>
      <c r="G237" s="25" t="s">
        <v>5205</v>
      </c>
    </row>
    <row r="238" ht="15" customHeight="1">
      <c r="A238" s="25" t="s">
        <v>2700</v>
      </c>
      <c r="B238" s="25" t="s">
        <v>5206</v>
      </c>
      <c r="C238" s="25" t="s">
        <v>5207</v>
      </c>
      <c r="D238" s="25" t="s">
        <v>4187</v>
      </c>
      <c r="E238" s="25" t="s">
        <v>5208</v>
      </c>
      <c r="F238" s="25" t="s">
        <v>4612</v>
      </c>
      <c r="G238" s="25" t="s">
        <v>5209</v>
      </c>
    </row>
    <row r="239" ht="15" customHeight="1">
      <c r="A239" s="25" t="s">
        <v>2702</v>
      </c>
      <c r="B239" s="25" t="s">
        <v>5210</v>
      </c>
      <c r="C239" s="25" t="s">
        <v>5211</v>
      </c>
      <c r="D239" s="25" t="s">
        <v>4192</v>
      </c>
      <c r="E239" s="25" t="s">
        <v>5212</v>
      </c>
      <c r="F239" s="25" t="s">
        <v>4617</v>
      </c>
      <c r="G239" s="25" t="s">
        <v>5213</v>
      </c>
    </row>
    <row r="240" ht="15" customHeight="1">
      <c r="A240" s="25" t="s">
        <v>2705</v>
      </c>
      <c r="B240" s="25" t="s">
        <v>5214</v>
      </c>
      <c r="C240" s="25" t="s">
        <v>5215</v>
      </c>
      <c r="D240" s="25" t="s">
        <v>1830</v>
      </c>
      <c r="E240" s="25" t="s">
        <v>5216</v>
      </c>
      <c r="F240" s="25" t="s">
        <v>4386</v>
      </c>
      <c r="G240" s="25" t="s">
        <v>5217</v>
      </c>
    </row>
    <row r="241" ht="15" customHeight="1">
      <c r="A241" s="25" t="s">
        <v>2707</v>
      </c>
      <c r="B241" s="25" t="s">
        <v>5218</v>
      </c>
      <c r="C241" s="25" t="s">
        <v>4312</v>
      </c>
      <c r="D241" s="25" t="s">
        <v>4318</v>
      </c>
      <c r="E241" s="25" t="s">
        <v>5219</v>
      </c>
      <c r="F241" s="25" t="s">
        <v>4407</v>
      </c>
      <c r="G241" s="25" t="s">
        <v>5220</v>
      </c>
    </row>
    <row r="242" ht="15" customHeight="1">
      <c r="A242" s="25" t="s">
        <v>2710</v>
      </c>
      <c r="B242" s="25" t="s">
        <v>5221</v>
      </c>
      <c r="C242" s="25" t="s">
        <v>5222</v>
      </c>
      <c r="D242" s="25" t="s">
        <v>4324</v>
      </c>
      <c r="E242" s="25" t="s">
        <v>5223</v>
      </c>
      <c r="F242" s="25" t="s">
        <v>4354</v>
      </c>
      <c r="G242" s="25" t="s">
        <v>5224</v>
      </c>
    </row>
    <row r="243" ht="15" customHeight="1">
      <c r="A243" s="25" t="s">
        <v>2712</v>
      </c>
      <c r="B243" s="25" t="s">
        <v>5225</v>
      </c>
      <c r="C243" s="25" t="s">
        <v>5226</v>
      </c>
      <c r="D243" s="25" t="s">
        <v>1837</v>
      </c>
      <c r="E243" s="25" t="s">
        <v>5227</v>
      </c>
      <c r="F243" s="25" t="s">
        <v>4447</v>
      </c>
      <c r="G243" s="25" t="s">
        <v>5228</v>
      </c>
    </row>
    <row r="244" ht="15" customHeight="1">
      <c r="A244" s="25" t="s">
        <v>2714</v>
      </c>
      <c r="B244" s="25" t="s">
        <v>5229</v>
      </c>
      <c r="C244" s="25" t="s">
        <v>5230</v>
      </c>
      <c r="D244" s="25" t="s">
        <v>4203</v>
      </c>
      <c r="E244" s="25" t="s">
        <v>5231</v>
      </c>
      <c r="F244" s="25" t="s">
        <v>4437</v>
      </c>
      <c r="G244" s="25" t="s">
        <v>5232</v>
      </c>
    </row>
    <row r="245" ht="15" customHeight="1">
      <c r="A245" s="25" t="s">
        <v>2716</v>
      </c>
      <c r="B245" s="25" t="s">
        <v>5233</v>
      </c>
      <c r="C245" s="25" t="s">
        <v>5234</v>
      </c>
      <c r="D245" s="25" t="s">
        <v>4340</v>
      </c>
      <c r="E245" s="25" t="s">
        <v>5235</v>
      </c>
      <c r="F245" s="25" t="s">
        <v>4422</v>
      </c>
      <c r="G245" s="25" t="s">
        <v>5236</v>
      </c>
    </row>
    <row r="246" ht="15" customHeight="1">
      <c r="A246" s="25" t="s">
        <v>2719</v>
      </c>
      <c r="B246" s="25" t="s">
        <v>5237</v>
      </c>
      <c r="C246" s="25" t="s">
        <v>5238</v>
      </c>
      <c r="D246" s="25" t="s">
        <v>4346</v>
      </c>
      <c r="E246" s="25" t="s">
        <v>5239</v>
      </c>
      <c r="F246" s="25" t="s">
        <v>4427</v>
      </c>
      <c r="G246" s="25" t="s">
        <v>5240</v>
      </c>
    </row>
    <row r="247" ht="15" customHeight="1">
      <c r="A247" s="25" t="s">
        <v>2721</v>
      </c>
      <c r="B247" s="25" t="s">
        <v>5241</v>
      </c>
      <c r="C247" s="25" t="s">
        <v>5089</v>
      </c>
      <c r="D247" s="25" t="s">
        <v>4352</v>
      </c>
      <c r="E247" s="25" t="s">
        <v>5242</v>
      </c>
      <c r="F247" s="25" t="s">
        <v>4432</v>
      </c>
      <c r="G247" s="25" t="s">
        <v>5243</v>
      </c>
    </row>
    <row r="248" ht="15" customHeight="1">
      <c r="A248" s="25" t="s">
        <v>2724</v>
      </c>
      <c r="B248" s="25" t="s">
        <v>5244</v>
      </c>
      <c r="C248" s="25" t="s">
        <v>5245</v>
      </c>
      <c r="D248" s="25" t="s">
        <v>4209</v>
      </c>
      <c r="E248" s="25" t="s">
        <v>5246</v>
      </c>
      <c r="F248" s="25" t="s">
        <v>4437</v>
      </c>
      <c r="G248" s="25" t="s">
        <v>5247</v>
      </c>
    </row>
    <row r="249" ht="15" customHeight="1">
      <c r="A249" s="25" t="s">
        <v>2726</v>
      </c>
      <c r="B249" s="25" t="s">
        <v>5248</v>
      </c>
      <c r="C249" s="25" t="s">
        <v>4280</v>
      </c>
      <c r="D249" s="25" t="s">
        <v>1851</v>
      </c>
      <c r="E249" s="25" t="s">
        <v>5249</v>
      </c>
      <c r="F249" s="25" t="s">
        <v>4442</v>
      </c>
      <c r="G249" s="25" t="s">
        <v>5250</v>
      </c>
    </row>
    <row r="250" ht="15" customHeight="1">
      <c r="A250" s="25" t="s">
        <v>2728</v>
      </c>
      <c r="B250" s="25" t="s">
        <v>5251</v>
      </c>
      <c r="C250" s="25" t="s">
        <v>5252</v>
      </c>
      <c r="D250" s="25" t="s">
        <v>4220</v>
      </c>
      <c r="E250" s="25" t="s">
        <v>5253</v>
      </c>
      <c r="F250" s="25" t="s">
        <v>4447</v>
      </c>
      <c r="G250" s="25" t="s">
        <v>5254</v>
      </c>
    </row>
    <row r="251" ht="15" customHeight="1">
      <c r="A251" s="25" t="s">
        <v>2729</v>
      </c>
      <c r="B251" s="25" t="s">
        <v>5255</v>
      </c>
      <c r="C251" s="25" t="s">
        <v>5256</v>
      </c>
      <c r="D251" s="25" t="s">
        <v>1858</v>
      </c>
      <c r="E251" s="25" t="s">
        <v>5257</v>
      </c>
      <c r="F251" s="25" t="s">
        <v>4452</v>
      </c>
      <c r="G251" s="25" t="s">
        <v>5258</v>
      </c>
    </row>
    <row r="252" ht="15" customHeight="1">
      <c r="A252" s="25" t="s">
        <v>2732</v>
      </c>
      <c r="B252" s="25" t="s">
        <v>5259</v>
      </c>
      <c r="C252" s="25" t="s">
        <v>5260</v>
      </c>
      <c r="D252" s="25" t="s">
        <v>4378</v>
      </c>
      <c r="E252" s="25" t="s">
        <v>5261</v>
      </c>
      <c r="F252" s="25" t="s">
        <v>4457</v>
      </c>
      <c r="G252" s="25" t="s">
        <v>5262</v>
      </c>
    </row>
    <row r="253" ht="15" customHeight="1">
      <c r="A253" s="25" t="s">
        <v>2734</v>
      </c>
      <c r="B253" s="25" t="s">
        <v>5263</v>
      </c>
      <c r="C253" s="25" t="s">
        <v>5264</v>
      </c>
      <c r="D253" s="25" t="s">
        <v>4384</v>
      </c>
      <c r="E253" s="25" t="s">
        <v>5265</v>
      </c>
      <c r="F253" s="25" t="s">
        <v>4462</v>
      </c>
      <c r="G253" s="25" t="s">
        <v>5266</v>
      </c>
    </row>
    <row r="254" ht="15" customHeight="1">
      <c r="A254" s="25" t="s">
        <v>2736</v>
      </c>
      <c r="B254" s="25" t="s">
        <v>5267</v>
      </c>
      <c r="C254" s="25" t="s">
        <v>5268</v>
      </c>
      <c r="D254" s="25" t="s">
        <v>4390</v>
      </c>
      <c r="E254" s="25" t="s">
        <v>5269</v>
      </c>
      <c r="F254" s="25" t="s">
        <v>4467</v>
      </c>
      <c r="G254" s="25" t="s">
        <v>5270</v>
      </c>
    </row>
    <row r="255" ht="15" customHeight="1">
      <c r="A255" s="25" t="s">
        <v>2738</v>
      </c>
      <c r="B255" s="25" t="s">
        <v>5271</v>
      </c>
      <c r="C255" s="25" t="s">
        <v>5272</v>
      </c>
      <c r="D255" s="25" t="s">
        <v>1865</v>
      </c>
      <c r="E255" s="25" t="s">
        <v>5273</v>
      </c>
      <c r="F255" s="25" t="s">
        <v>4472</v>
      </c>
      <c r="G255" s="25" t="s">
        <v>5274</v>
      </c>
    </row>
    <row r="256" ht="15" customHeight="1">
      <c r="A256" s="25" t="s">
        <v>2741</v>
      </c>
      <c r="B256" s="25" t="s">
        <v>5275</v>
      </c>
      <c r="C256" s="25" t="s">
        <v>5276</v>
      </c>
      <c r="D256" s="25" t="s">
        <v>4236</v>
      </c>
      <c r="E256" s="25" t="s">
        <v>5277</v>
      </c>
      <c r="F256" s="25" t="s">
        <v>4477</v>
      </c>
      <c r="G256" s="25" t="s">
        <v>5278</v>
      </c>
    </row>
    <row r="257" ht="15" customHeight="1">
      <c r="A257" s="25" t="s">
        <v>2743</v>
      </c>
      <c r="B257" s="25" t="s">
        <v>5279</v>
      </c>
      <c r="C257" s="25" t="s">
        <v>5280</v>
      </c>
      <c r="D257" s="25" t="s">
        <v>4242</v>
      </c>
      <c r="E257" s="25" t="s">
        <v>5281</v>
      </c>
      <c r="F257" s="25" t="s">
        <v>4482</v>
      </c>
      <c r="G257" s="25" t="s">
        <v>5282</v>
      </c>
    </row>
    <row r="258" ht="15" customHeight="1">
      <c r="A258" s="25" t="s">
        <v>2745</v>
      </c>
      <c r="B258" s="25" t="s">
        <v>5283</v>
      </c>
      <c r="C258" s="25" t="s">
        <v>5284</v>
      </c>
      <c r="D258" s="25" t="s">
        <v>1802</v>
      </c>
      <c r="E258" s="25" t="s">
        <v>5285</v>
      </c>
      <c r="F258" s="25" t="s">
        <v>4487</v>
      </c>
      <c r="G258" s="25" t="s">
        <v>5286</v>
      </c>
    </row>
    <row r="259" ht="15" customHeight="1">
      <c r="A259" s="25" t="s">
        <v>2747</v>
      </c>
      <c r="B259" s="25" t="s">
        <v>5287</v>
      </c>
      <c r="C259" s="25" t="s">
        <v>5288</v>
      </c>
      <c r="D259" s="25" t="s">
        <v>4253</v>
      </c>
      <c r="E259" s="25" t="s">
        <v>5289</v>
      </c>
      <c r="F259" s="25" t="s">
        <v>4492</v>
      </c>
      <c r="G259" s="25" t="s">
        <v>5290</v>
      </c>
    </row>
    <row r="260" ht="15" customHeight="1">
      <c r="A260" s="25" t="s">
        <v>2750</v>
      </c>
      <c r="B260" s="25" t="s">
        <v>5291</v>
      </c>
      <c r="C260" s="25" t="s">
        <v>5292</v>
      </c>
      <c r="D260" s="25" t="s">
        <v>4259</v>
      </c>
      <c r="E260" s="25" t="s">
        <v>5293</v>
      </c>
      <c r="F260" s="25" t="s">
        <v>4497</v>
      </c>
      <c r="G260" s="25" t="s">
        <v>5294</v>
      </c>
    </row>
    <row r="261" ht="15" customHeight="1">
      <c r="A261" s="25" t="s">
        <v>2752</v>
      </c>
      <c r="B261" s="25" t="s">
        <v>5295</v>
      </c>
      <c r="C261" s="25" t="s">
        <v>5001</v>
      </c>
      <c r="D261" s="25" t="s">
        <v>1944</v>
      </c>
      <c r="E261" s="25" t="s">
        <v>5296</v>
      </c>
      <c r="F261" s="25" t="s">
        <v>4502</v>
      </c>
      <c r="G261" s="25" t="s">
        <v>5297</v>
      </c>
    </row>
    <row r="262" ht="15" customHeight="1">
      <c r="A262" s="25" t="s">
        <v>2755</v>
      </c>
      <c r="B262" s="25" t="s">
        <v>5298</v>
      </c>
      <c r="C262" s="25" t="s">
        <v>5299</v>
      </c>
      <c r="D262" s="25" t="s">
        <v>1816</v>
      </c>
      <c r="E262" s="25" t="s">
        <v>5300</v>
      </c>
      <c r="F262" s="25" t="s">
        <v>4507</v>
      </c>
      <c r="G262" s="25" t="s">
        <v>5301</v>
      </c>
    </row>
    <row r="263" ht="15" customHeight="1">
      <c r="A263" s="25" t="s">
        <v>2756</v>
      </c>
      <c r="B263" s="25" t="s">
        <v>5302</v>
      </c>
      <c r="C263" s="25" t="s">
        <v>5303</v>
      </c>
      <c r="D263" s="25" t="s">
        <v>4275</v>
      </c>
      <c r="E263" s="25" t="s">
        <v>5304</v>
      </c>
      <c r="F263" s="25" t="s">
        <v>4512</v>
      </c>
      <c r="G263" s="25" t="s">
        <v>5305</v>
      </c>
    </row>
    <row r="264" ht="15" customHeight="1">
      <c r="A264" s="25" t="s">
        <v>2759</v>
      </c>
      <c r="B264" s="25" t="s">
        <v>5306</v>
      </c>
      <c r="C264" s="25" t="s">
        <v>5307</v>
      </c>
      <c r="D264" s="25" t="s">
        <v>4281</v>
      </c>
      <c r="E264" s="25" t="s">
        <v>5308</v>
      </c>
      <c r="F264" s="25" t="s">
        <v>4517</v>
      </c>
      <c r="G264" s="25" t="s">
        <v>5309</v>
      </c>
    </row>
    <row r="265" ht="15" customHeight="1">
      <c r="A265" s="25" t="s">
        <v>2760</v>
      </c>
      <c r="B265" s="25" t="s">
        <v>5310</v>
      </c>
      <c r="C265" s="25" t="s">
        <v>5311</v>
      </c>
      <c r="D265" s="25" t="s">
        <v>4287</v>
      </c>
      <c r="E265" s="25" t="s">
        <v>5312</v>
      </c>
      <c r="F265" s="25" t="s">
        <v>4522</v>
      </c>
      <c r="G265" s="25" t="s">
        <v>5313</v>
      </c>
    </row>
    <row r="266" ht="15" customHeight="1">
      <c r="A266" s="25" t="s">
        <v>2762</v>
      </c>
      <c r="B266" s="25" t="s">
        <v>5314</v>
      </c>
      <c r="C266" s="25" t="s">
        <v>5315</v>
      </c>
      <c r="D266" s="25" t="s">
        <v>1823</v>
      </c>
      <c r="E266" s="25" t="s">
        <v>5316</v>
      </c>
      <c r="F266" s="25" t="s">
        <v>4527</v>
      </c>
      <c r="G266" s="25" t="s">
        <v>5317</v>
      </c>
    </row>
    <row r="267" ht="15" customHeight="1">
      <c r="A267" s="25" t="s">
        <v>2763</v>
      </c>
      <c r="B267" s="25" t="s">
        <v>5318</v>
      </c>
      <c r="C267" s="25" t="s">
        <v>5319</v>
      </c>
      <c r="D267" s="25" t="s">
        <v>1892</v>
      </c>
      <c r="E267" s="25" t="s">
        <v>5320</v>
      </c>
      <c r="F267" s="25" t="s">
        <v>4532</v>
      </c>
      <c r="G267" s="25" t="s">
        <v>5321</v>
      </c>
    </row>
    <row r="268" ht="15" customHeight="1">
      <c r="A268" s="25" t="s">
        <v>2766</v>
      </c>
      <c r="B268" s="25" t="s">
        <v>5322</v>
      </c>
      <c r="C268" s="25" t="s">
        <v>5323</v>
      </c>
      <c r="D268" s="25" t="s">
        <v>4187</v>
      </c>
      <c r="E268" s="25" t="s">
        <v>5324</v>
      </c>
      <c r="F268" s="25" t="s">
        <v>4537</v>
      </c>
      <c r="G268" s="25" t="s">
        <v>5325</v>
      </c>
    </row>
    <row r="269" ht="15" customHeight="1">
      <c r="A269" s="25" t="s">
        <v>2767</v>
      </c>
      <c r="B269" s="25" t="s">
        <v>5326</v>
      </c>
      <c r="C269" s="25" t="s">
        <v>5327</v>
      </c>
      <c r="D269" s="25" t="s">
        <v>4192</v>
      </c>
      <c r="E269" s="25" t="s">
        <v>5328</v>
      </c>
      <c r="F269" s="25" t="s">
        <v>4542</v>
      </c>
      <c r="G269" s="25" t="s">
        <v>5329</v>
      </c>
    </row>
    <row r="270" ht="15" customHeight="1">
      <c r="A270" s="25" t="s">
        <v>2770</v>
      </c>
      <c r="B270" s="25" t="s">
        <v>5330</v>
      </c>
      <c r="C270" s="25" t="s">
        <v>5331</v>
      </c>
      <c r="D270" s="25" t="s">
        <v>1830</v>
      </c>
      <c r="E270" s="25" t="s">
        <v>5332</v>
      </c>
      <c r="F270" s="25" t="s">
        <v>4547</v>
      </c>
      <c r="G270" s="25" t="s">
        <v>5333</v>
      </c>
    </row>
    <row r="271" ht="15" customHeight="1">
      <c r="A271" s="25" t="s">
        <v>2772</v>
      </c>
      <c r="B271" s="25" t="s">
        <v>5334</v>
      </c>
      <c r="C271" s="25" t="s">
        <v>5335</v>
      </c>
      <c r="D271" s="25" t="s">
        <v>4318</v>
      </c>
      <c r="E271" s="25" t="s">
        <v>5336</v>
      </c>
      <c r="F271" s="25" t="s">
        <v>4552</v>
      </c>
      <c r="G271" s="25" t="s">
        <v>5337</v>
      </c>
    </row>
    <row r="272" ht="15" customHeight="1">
      <c r="A272" s="25" t="s">
        <v>2774</v>
      </c>
      <c r="B272" s="25" t="s">
        <v>5338</v>
      </c>
      <c r="C272" s="25" t="s">
        <v>5339</v>
      </c>
      <c r="D272" s="25" t="s">
        <v>4324</v>
      </c>
      <c r="E272" s="25" t="s">
        <v>5340</v>
      </c>
      <c r="F272" s="25" t="s">
        <v>4557</v>
      </c>
      <c r="G272" s="25" t="s">
        <v>5341</v>
      </c>
    </row>
    <row r="273" ht="15" customHeight="1">
      <c r="A273" s="25" t="s">
        <v>2776</v>
      </c>
      <c r="B273" s="25" t="s">
        <v>5342</v>
      </c>
      <c r="C273" s="25" t="s">
        <v>5343</v>
      </c>
      <c r="D273" s="25" t="s">
        <v>1837</v>
      </c>
      <c r="E273" s="25" t="s">
        <v>5344</v>
      </c>
      <c r="F273" s="25" t="s">
        <v>4562</v>
      </c>
      <c r="G273" s="25" t="s">
        <v>5345</v>
      </c>
    </row>
    <row r="274" ht="15" customHeight="1">
      <c r="A274" s="25" t="s">
        <v>2779</v>
      </c>
      <c r="B274" s="25" t="s">
        <v>5346</v>
      </c>
      <c r="C274" s="25" t="s">
        <v>5347</v>
      </c>
      <c r="D274" s="25" t="s">
        <v>4203</v>
      </c>
      <c r="E274" s="25" t="s">
        <v>5348</v>
      </c>
      <c r="F274" s="25" t="s">
        <v>4567</v>
      </c>
      <c r="G274" s="25" t="s">
        <v>5349</v>
      </c>
    </row>
    <row r="275" ht="15" customHeight="1">
      <c r="A275" s="25" t="s">
        <v>2781</v>
      </c>
      <c r="B275" s="25" t="s">
        <v>5350</v>
      </c>
      <c r="C275" s="25" t="s">
        <v>5351</v>
      </c>
      <c r="D275" s="25" t="s">
        <v>4340</v>
      </c>
      <c r="E275" s="25" t="s">
        <v>5352</v>
      </c>
      <c r="F275" s="25" t="s">
        <v>4572</v>
      </c>
      <c r="G275" s="25" t="s">
        <v>5353</v>
      </c>
    </row>
    <row r="276" ht="15" customHeight="1">
      <c r="A276" s="25" t="s">
        <v>2784</v>
      </c>
      <c r="B276" s="25" t="s">
        <v>5354</v>
      </c>
      <c r="C276" s="25" t="s">
        <v>5355</v>
      </c>
      <c r="D276" s="25" t="s">
        <v>4346</v>
      </c>
      <c r="E276" s="25" t="s">
        <v>5356</v>
      </c>
      <c r="F276" s="25" t="s">
        <v>4577</v>
      </c>
      <c r="G276" s="25" t="s">
        <v>5357</v>
      </c>
    </row>
    <row r="277" ht="15" customHeight="1">
      <c r="A277" s="25" t="s">
        <v>2785</v>
      </c>
      <c r="B277" s="25" t="s">
        <v>5358</v>
      </c>
      <c r="C277" s="25" t="s">
        <v>5359</v>
      </c>
      <c r="D277" s="25" t="s">
        <v>4352</v>
      </c>
      <c r="E277" s="25" t="s">
        <v>5360</v>
      </c>
      <c r="F277" s="25" t="s">
        <v>4582</v>
      </c>
      <c r="G277" s="25" t="s">
        <v>5361</v>
      </c>
    </row>
    <row r="278" ht="15" customHeight="1">
      <c r="A278" s="25" t="s">
        <v>2788</v>
      </c>
      <c r="B278" s="25" t="s">
        <v>5362</v>
      </c>
      <c r="C278" s="25" t="s">
        <v>5363</v>
      </c>
      <c r="D278" s="25" t="s">
        <v>4209</v>
      </c>
      <c r="E278" s="25" t="s">
        <v>5364</v>
      </c>
      <c r="F278" s="25" t="s">
        <v>4587</v>
      </c>
      <c r="G278" s="25" t="s">
        <v>5365</v>
      </c>
    </row>
    <row r="279" ht="15" customHeight="1">
      <c r="A279" s="25" t="s">
        <v>2789</v>
      </c>
      <c r="B279" s="25" t="s">
        <v>5366</v>
      </c>
      <c r="C279" s="25" t="s">
        <v>5367</v>
      </c>
      <c r="D279" s="25" t="s">
        <v>1851</v>
      </c>
      <c r="E279" s="25" t="s">
        <v>5368</v>
      </c>
      <c r="F279" s="25" t="s">
        <v>4592</v>
      </c>
      <c r="G279" s="25" t="s">
        <v>5369</v>
      </c>
    </row>
    <row r="280" ht="15" customHeight="1">
      <c r="A280" s="25" t="s">
        <v>2792</v>
      </c>
      <c r="B280" s="25" t="s">
        <v>5370</v>
      </c>
      <c r="C280" s="25" t="s">
        <v>5371</v>
      </c>
      <c r="D280" s="25" t="s">
        <v>4220</v>
      </c>
      <c r="E280" s="25" t="s">
        <v>5372</v>
      </c>
      <c r="F280" s="25" t="s">
        <v>4597</v>
      </c>
      <c r="G280" s="25" t="s">
        <v>5373</v>
      </c>
    </row>
    <row r="281" ht="15" customHeight="1">
      <c r="A281" s="25" t="s">
        <v>2794</v>
      </c>
      <c r="B281" s="25" t="s">
        <v>5374</v>
      </c>
      <c r="C281" s="25" t="s">
        <v>5375</v>
      </c>
      <c r="D281" s="25" t="s">
        <v>1858</v>
      </c>
      <c r="E281" s="25" t="s">
        <v>5376</v>
      </c>
      <c r="F281" s="25" t="s">
        <v>4602</v>
      </c>
      <c r="G281" s="25" t="s">
        <v>5377</v>
      </c>
    </row>
    <row r="282" ht="15" customHeight="1">
      <c r="A282" s="25" t="s">
        <v>2796</v>
      </c>
      <c r="B282" s="25" t="s">
        <v>5378</v>
      </c>
      <c r="C282" s="25" t="s">
        <v>5379</v>
      </c>
      <c r="D282" s="25" t="s">
        <v>4378</v>
      </c>
      <c r="E282" s="25" t="s">
        <v>5380</v>
      </c>
      <c r="F282" s="25" t="s">
        <v>4607</v>
      </c>
      <c r="G282" s="25" t="s">
        <v>5381</v>
      </c>
    </row>
    <row r="283" ht="15" customHeight="1">
      <c r="A283" s="25" t="s">
        <v>2798</v>
      </c>
      <c r="B283" s="25" t="s">
        <v>5382</v>
      </c>
      <c r="C283" s="25" t="s">
        <v>5383</v>
      </c>
      <c r="D283" s="25" t="s">
        <v>4384</v>
      </c>
      <c r="E283" s="25" t="s">
        <v>5384</v>
      </c>
      <c r="F283" s="25" t="s">
        <v>4612</v>
      </c>
      <c r="G283" s="25" t="s">
        <v>5385</v>
      </c>
    </row>
    <row r="284" ht="15" customHeight="1">
      <c r="A284" s="25" t="s">
        <v>2800</v>
      </c>
      <c r="B284" s="25" t="s">
        <v>5386</v>
      </c>
      <c r="C284" s="25" t="s">
        <v>5387</v>
      </c>
      <c r="D284" s="25" t="s">
        <v>4390</v>
      </c>
      <c r="E284" s="25" t="s">
        <v>5388</v>
      </c>
      <c r="F284" s="25" t="s">
        <v>4617</v>
      </c>
      <c r="G284" s="25" t="s">
        <v>5389</v>
      </c>
    </row>
    <row r="285" ht="15" customHeight="1">
      <c r="A285" s="25" t="s">
        <v>2802</v>
      </c>
      <c r="B285" s="25" t="s">
        <v>5390</v>
      </c>
      <c r="C285" s="25" t="s">
        <v>5391</v>
      </c>
      <c r="D285" s="25" t="s">
        <v>1865</v>
      </c>
      <c r="E285" s="25" t="s">
        <v>5392</v>
      </c>
      <c r="F285" s="25" t="s">
        <v>4407</v>
      </c>
      <c r="G285" s="25" t="s">
        <v>5393</v>
      </c>
    </row>
    <row r="286" ht="15" customHeight="1">
      <c r="A286" s="25" t="s">
        <v>2805</v>
      </c>
      <c r="B286" s="25" t="s">
        <v>5394</v>
      </c>
      <c r="C286" s="25" t="s">
        <v>5395</v>
      </c>
      <c r="D286" s="25" t="s">
        <v>4236</v>
      </c>
      <c r="E286" s="25" t="s">
        <v>5396</v>
      </c>
      <c r="F286" s="25" t="s">
        <v>4354</v>
      </c>
      <c r="G286" s="25" t="s">
        <v>5397</v>
      </c>
    </row>
    <row r="287" ht="15" customHeight="1">
      <c r="A287" s="25" t="s">
        <v>2807</v>
      </c>
      <c r="B287" s="25" t="s">
        <v>5398</v>
      </c>
      <c r="C287" s="25" t="s">
        <v>5399</v>
      </c>
      <c r="D287" s="25" t="s">
        <v>4242</v>
      </c>
      <c r="E287" s="25" t="s">
        <v>5400</v>
      </c>
      <c r="F287" s="25" t="s">
        <v>4447</v>
      </c>
      <c r="G287" s="25" t="s">
        <v>5401</v>
      </c>
    </row>
    <row r="288" ht="15" customHeight="1">
      <c r="A288" s="25" t="s">
        <v>2809</v>
      </c>
      <c r="B288" s="25" t="s">
        <v>5402</v>
      </c>
      <c r="C288" s="25" t="s">
        <v>5403</v>
      </c>
      <c r="D288" s="25" t="s">
        <v>1802</v>
      </c>
      <c r="E288" s="25" t="s">
        <v>5404</v>
      </c>
      <c r="F288" s="25" t="s">
        <v>4437</v>
      </c>
      <c r="G288" s="25" t="s">
        <v>5405</v>
      </c>
    </row>
    <row r="289" ht="15" customHeight="1">
      <c r="A289" s="25" t="s">
        <v>2810</v>
      </c>
      <c r="B289" s="25" t="s">
        <v>5406</v>
      </c>
      <c r="C289" s="25" t="s">
        <v>5407</v>
      </c>
      <c r="D289" s="25" t="s">
        <v>4253</v>
      </c>
      <c r="E289" s="25" t="s">
        <v>5408</v>
      </c>
      <c r="F289" s="25" t="s">
        <v>4422</v>
      </c>
      <c r="G289" s="25" t="s">
        <v>5409</v>
      </c>
    </row>
    <row r="290" ht="15" customHeight="1">
      <c r="A290" s="25" t="s">
        <v>2813</v>
      </c>
      <c r="B290" s="25" t="s">
        <v>5410</v>
      </c>
      <c r="C290" s="25" t="s">
        <v>5411</v>
      </c>
      <c r="D290" s="25" t="s">
        <v>4259</v>
      </c>
      <c r="E290" s="25" t="s">
        <v>5412</v>
      </c>
      <c r="F290" s="25" t="s">
        <v>4427</v>
      </c>
      <c r="G290" s="25" t="s">
        <v>5413</v>
      </c>
    </row>
    <row r="291" ht="15" customHeight="1">
      <c r="A291" s="25" t="s">
        <v>2815</v>
      </c>
      <c r="B291" s="25" t="s">
        <v>5414</v>
      </c>
      <c r="C291" s="25" t="s">
        <v>5415</v>
      </c>
      <c r="D291" s="25" t="s">
        <v>1944</v>
      </c>
      <c r="E291" s="25" t="s">
        <v>5416</v>
      </c>
      <c r="F291" s="25" t="s">
        <v>4432</v>
      </c>
      <c r="G291" s="25" t="s">
        <v>5417</v>
      </c>
    </row>
    <row r="292" ht="15" customHeight="1">
      <c r="A292" s="25" t="s">
        <v>2818</v>
      </c>
      <c r="B292" s="25" t="s">
        <v>5418</v>
      </c>
      <c r="C292" s="25" t="s">
        <v>5419</v>
      </c>
      <c r="D292" s="25" t="s">
        <v>1816</v>
      </c>
      <c r="E292" s="25" t="s">
        <v>5420</v>
      </c>
      <c r="F292" s="25" t="s">
        <v>4437</v>
      </c>
      <c r="G292" s="25" t="s">
        <v>5421</v>
      </c>
    </row>
    <row r="293" ht="15" customHeight="1">
      <c r="A293" s="25" t="s">
        <v>2819</v>
      </c>
      <c r="B293" s="25" t="s">
        <v>5422</v>
      </c>
      <c r="C293" s="25" t="s">
        <v>5423</v>
      </c>
      <c r="D293" s="25" t="s">
        <v>4275</v>
      </c>
      <c r="E293" s="25" t="s">
        <v>5424</v>
      </c>
      <c r="F293" s="25" t="s">
        <v>4442</v>
      </c>
      <c r="G293" s="25" t="s">
        <v>5425</v>
      </c>
    </row>
    <row r="294" ht="15" customHeight="1">
      <c r="A294" s="25" t="s">
        <v>2821</v>
      </c>
      <c r="B294" s="25" t="s">
        <v>5426</v>
      </c>
      <c r="C294" s="25" t="s">
        <v>5427</v>
      </c>
      <c r="D294" s="25" t="s">
        <v>4281</v>
      </c>
      <c r="E294" s="25" t="s">
        <v>5428</v>
      </c>
      <c r="F294" s="25" t="s">
        <v>4447</v>
      </c>
      <c r="G294" s="25" t="s">
        <v>5429</v>
      </c>
    </row>
    <row r="295" ht="15" customHeight="1">
      <c r="A295" s="25" t="s">
        <v>2822</v>
      </c>
      <c r="B295" s="25" t="s">
        <v>5430</v>
      </c>
      <c r="C295" s="25" t="s">
        <v>5431</v>
      </c>
      <c r="D295" s="25" t="s">
        <v>4287</v>
      </c>
      <c r="E295" s="25" t="s">
        <v>5432</v>
      </c>
      <c r="F295" s="25" t="s">
        <v>4452</v>
      </c>
      <c r="G295" s="25" t="s">
        <v>5433</v>
      </c>
    </row>
    <row r="296" ht="15" customHeight="1">
      <c r="A296" s="25" t="s">
        <v>2824</v>
      </c>
      <c r="B296" s="25" t="s">
        <v>5434</v>
      </c>
      <c r="C296" s="25" t="s">
        <v>5435</v>
      </c>
      <c r="D296" s="25" t="s">
        <v>1823</v>
      </c>
      <c r="E296" s="25" t="s">
        <v>5436</v>
      </c>
      <c r="F296" s="25" t="s">
        <v>4457</v>
      </c>
      <c r="G296" s="25" t="s">
        <v>5437</v>
      </c>
    </row>
    <row r="297" ht="15" customHeight="1">
      <c r="A297" s="25" t="s">
        <v>2825</v>
      </c>
      <c r="B297" s="25" t="s">
        <v>5438</v>
      </c>
      <c r="C297" s="25" t="s">
        <v>5439</v>
      </c>
      <c r="D297" s="25" t="s">
        <v>1892</v>
      </c>
      <c r="E297" s="25" t="s">
        <v>5440</v>
      </c>
      <c r="F297" s="25" t="s">
        <v>4462</v>
      </c>
      <c r="G297" s="25" t="s">
        <v>5441</v>
      </c>
    </row>
    <row r="298" ht="15" customHeight="1">
      <c r="A298" s="25" t="s">
        <v>2828</v>
      </c>
      <c r="B298" s="25" t="s">
        <v>5442</v>
      </c>
      <c r="C298" s="25" t="s">
        <v>5443</v>
      </c>
      <c r="D298" s="25" t="s">
        <v>4187</v>
      </c>
      <c r="E298" s="25" t="s">
        <v>5444</v>
      </c>
      <c r="F298" s="25" t="s">
        <v>4467</v>
      </c>
      <c r="G298" s="25" t="s">
        <v>5445</v>
      </c>
    </row>
    <row r="299" ht="15" customHeight="1">
      <c r="A299" s="25" t="s">
        <v>2829</v>
      </c>
      <c r="B299" s="25" t="s">
        <v>5446</v>
      </c>
      <c r="C299" s="25" t="s">
        <v>5447</v>
      </c>
      <c r="D299" s="25" t="s">
        <v>4192</v>
      </c>
      <c r="E299" s="25" t="s">
        <v>5448</v>
      </c>
      <c r="F299" s="25" t="s">
        <v>4472</v>
      </c>
      <c r="G299" s="25" t="s">
        <v>5449</v>
      </c>
    </row>
    <row r="300" ht="15" customHeight="1">
      <c r="A300" s="25" t="s">
        <v>2832</v>
      </c>
      <c r="B300" s="25" t="s">
        <v>5450</v>
      </c>
      <c r="C300" s="25" t="s">
        <v>5451</v>
      </c>
      <c r="D300" s="25" t="s">
        <v>1830</v>
      </c>
      <c r="E300" s="25" t="s">
        <v>5452</v>
      </c>
      <c r="F300" s="25" t="s">
        <v>4477</v>
      </c>
      <c r="G300" s="25" t="s">
        <v>5453</v>
      </c>
    </row>
    <row r="301" ht="15" customHeight="1">
      <c r="A301" s="25" t="s">
        <v>2834</v>
      </c>
      <c r="B301" s="25" t="s">
        <v>5454</v>
      </c>
      <c r="C301" s="25" t="s">
        <v>5455</v>
      </c>
      <c r="D301" s="25" t="s">
        <v>4318</v>
      </c>
      <c r="E301" s="25" t="s">
        <v>5456</v>
      </c>
      <c r="F301" s="25" t="s">
        <v>4482</v>
      </c>
      <c r="G301" s="25" t="s">
        <v>5457</v>
      </c>
    </row>
    <row r="302" ht="15" customHeight="1">
      <c r="A302" s="25" t="s">
        <v>2836</v>
      </c>
      <c r="B302" s="25" t="s">
        <v>5458</v>
      </c>
      <c r="C302" s="25" t="s">
        <v>5459</v>
      </c>
      <c r="D302" s="25" t="s">
        <v>4324</v>
      </c>
      <c r="E302" s="25" t="s">
        <v>5460</v>
      </c>
      <c r="F302" s="25" t="s">
        <v>4487</v>
      </c>
      <c r="G302" s="25" t="s">
        <v>5461</v>
      </c>
    </row>
    <row r="303" ht="15" customHeight="1">
      <c r="A303" s="25" t="s">
        <v>2838</v>
      </c>
      <c r="B303" s="25" t="s">
        <v>5462</v>
      </c>
      <c r="C303" s="25" t="s">
        <v>5463</v>
      </c>
      <c r="D303" s="25" t="s">
        <v>1837</v>
      </c>
      <c r="E303" s="25" t="s">
        <v>5464</v>
      </c>
      <c r="F303" s="25" t="s">
        <v>4492</v>
      </c>
      <c r="G303" s="25" t="s">
        <v>5465</v>
      </c>
    </row>
    <row r="304" ht="15" customHeight="1">
      <c r="A304" s="25" t="s">
        <v>2841</v>
      </c>
      <c r="B304" s="25" t="s">
        <v>5466</v>
      </c>
      <c r="C304" s="25" t="s">
        <v>5467</v>
      </c>
      <c r="D304" s="25" t="s">
        <v>4203</v>
      </c>
      <c r="E304" s="25" t="s">
        <v>5468</v>
      </c>
      <c r="F304" s="25" t="s">
        <v>4497</v>
      </c>
      <c r="G304" s="25" t="s">
        <v>5469</v>
      </c>
    </row>
    <row r="305" ht="15" customHeight="1">
      <c r="A305" s="25" t="s">
        <v>2843</v>
      </c>
      <c r="B305" s="25" t="s">
        <v>5470</v>
      </c>
      <c r="C305" s="25" t="s">
        <v>5471</v>
      </c>
      <c r="D305" s="25" t="s">
        <v>4340</v>
      </c>
      <c r="E305" s="25" t="s">
        <v>5472</v>
      </c>
      <c r="F305" s="25" t="s">
        <v>4502</v>
      </c>
      <c r="G305" s="25" t="s">
        <v>5473</v>
      </c>
    </row>
    <row r="306" ht="15" customHeight="1">
      <c r="A306" s="25" t="s">
        <v>2846</v>
      </c>
      <c r="B306" s="25" t="s">
        <v>5474</v>
      </c>
      <c r="C306" s="25" t="s">
        <v>5475</v>
      </c>
      <c r="D306" s="25" t="s">
        <v>4346</v>
      </c>
      <c r="E306" s="25" t="s">
        <v>5476</v>
      </c>
      <c r="F306" s="25" t="s">
        <v>4507</v>
      </c>
      <c r="G306" s="25" t="s">
        <v>5477</v>
      </c>
    </row>
    <row r="307" ht="15" customHeight="1">
      <c r="A307" s="25" t="s">
        <v>2848</v>
      </c>
      <c r="B307" s="25" t="s">
        <v>5478</v>
      </c>
      <c r="C307" s="25" t="s">
        <v>5479</v>
      </c>
      <c r="D307" s="25" t="s">
        <v>4352</v>
      </c>
      <c r="E307" s="25" t="s">
        <v>5480</v>
      </c>
      <c r="F307" s="25" t="s">
        <v>4512</v>
      </c>
      <c r="G307" s="25" t="s">
        <v>5481</v>
      </c>
    </row>
    <row r="308" ht="15" customHeight="1">
      <c r="A308" s="25" t="s">
        <v>2851</v>
      </c>
      <c r="B308" s="25" t="s">
        <v>5482</v>
      </c>
      <c r="C308" s="25" t="s">
        <v>5483</v>
      </c>
      <c r="D308" s="25" t="s">
        <v>4209</v>
      </c>
      <c r="E308" s="25" t="s">
        <v>5484</v>
      </c>
      <c r="F308" s="25" t="s">
        <v>4517</v>
      </c>
      <c r="G308" s="25" t="s">
        <v>5485</v>
      </c>
    </row>
    <row r="309" ht="15" customHeight="1">
      <c r="A309" s="25" t="s">
        <v>2852</v>
      </c>
      <c r="B309" s="25" t="s">
        <v>5486</v>
      </c>
      <c r="C309" s="25" t="s">
        <v>5487</v>
      </c>
      <c r="D309" s="25" t="s">
        <v>1851</v>
      </c>
      <c r="E309" s="25" t="s">
        <v>5488</v>
      </c>
      <c r="F309" s="25" t="s">
        <v>4522</v>
      </c>
      <c r="G309" s="25" t="s">
        <v>5489</v>
      </c>
    </row>
    <row r="310" ht="15" customHeight="1">
      <c r="A310" s="25" t="s">
        <v>2855</v>
      </c>
      <c r="B310" s="25" t="s">
        <v>5490</v>
      </c>
      <c r="C310" s="25" t="s">
        <v>5491</v>
      </c>
      <c r="D310" s="25" t="s">
        <v>4220</v>
      </c>
      <c r="E310" s="25" t="s">
        <v>5492</v>
      </c>
      <c r="F310" s="25" t="s">
        <v>4527</v>
      </c>
      <c r="G310" s="25" t="s">
        <v>5493</v>
      </c>
    </row>
    <row r="311" ht="15" customHeight="1">
      <c r="A311" s="25" t="s">
        <v>2856</v>
      </c>
      <c r="B311" s="25" t="s">
        <v>5494</v>
      </c>
      <c r="C311" s="25" t="s">
        <v>5363</v>
      </c>
      <c r="D311" s="25" t="s">
        <v>1858</v>
      </c>
      <c r="E311" s="25" t="s">
        <v>5495</v>
      </c>
      <c r="F311" s="25" t="s">
        <v>4532</v>
      </c>
      <c r="G311" s="25" t="s">
        <v>5496</v>
      </c>
    </row>
    <row r="312" ht="15" customHeight="1">
      <c r="A312" s="25" t="s">
        <v>2859</v>
      </c>
      <c r="B312" s="25" t="s">
        <v>5497</v>
      </c>
      <c r="C312" s="25" t="s">
        <v>5498</v>
      </c>
      <c r="D312" s="25" t="s">
        <v>4378</v>
      </c>
      <c r="E312" s="25" t="s">
        <v>5499</v>
      </c>
      <c r="F312" s="25" t="s">
        <v>4537</v>
      </c>
      <c r="G312" s="25" t="s">
        <v>5500</v>
      </c>
    </row>
    <row r="313" ht="15" customHeight="1">
      <c r="A313" s="25" t="s">
        <v>2861</v>
      </c>
      <c r="B313" s="25" t="s">
        <v>5501</v>
      </c>
      <c r="C313" s="25" t="s">
        <v>4973</v>
      </c>
      <c r="D313" s="25" t="s">
        <v>4384</v>
      </c>
      <c r="E313" s="25" t="s">
        <v>5502</v>
      </c>
      <c r="F313" s="25" t="s">
        <v>4542</v>
      </c>
      <c r="G313" s="25" t="s">
        <v>5503</v>
      </c>
    </row>
    <row r="314" ht="15" customHeight="1">
      <c r="A314" s="25" t="s">
        <v>2864</v>
      </c>
      <c r="B314" s="25" t="s">
        <v>5504</v>
      </c>
      <c r="C314" s="25" t="s">
        <v>5505</v>
      </c>
      <c r="D314" s="25" t="s">
        <v>4390</v>
      </c>
      <c r="E314" s="25" t="s">
        <v>5506</v>
      </c>
      <c r="F314" s="25" t="s">
        <v>4547</v>
      </c>
      <c r="G314" s="25" t="s">
        <v>5507</v>
      </c>
    </row>
    <row r="315" ht="15" customHeight="1">
      <c r="A315" s="25" t="s">
        <v>2865</v>
      </c>
      <c r="B315" s="25" t="s">
        <v>5508</v>
      </c>
      <c r="C315" s="25" t="s">
        <v>5509</v>
      </c>
      <c r="D315" s="25" t="s">
        <v>1865</v>
      </c>
      <c r="E315" s="25" t="s">
        <v>5510</v>
      </c>
      <c r="F315" s="25" t="s">
        <v>4552</v>
      </c>
      <c r="G315" s="25" t="s">
        <v>5511</v>
      </c>
    </row>
    <row r="316" ht="15" customHeight="1">
      <c r="A316" s="25" t="s">
        <v>2868</v>
      </c>
      <c r="B316" s="25" t="s">
        <v>5512</v>
      </c>
      <c r="C316" s="25" t="s">
        <v>5513</v>
      </c>
      <c r="D316" s="25" t="s">
        <v>4236</v>
      </c>
      <c r="E316" s="25" t="s">
        <v>5514</v>
      </c>
      <c r="F316" s="25" t="s">
        <v>4557</v>
      </c>
      <c r="G316" s="25" t="s">
        <v>5515</v>
      </c>
    </row>
    <row r="317" ht="15" customHeight="1">
      <c r="A317" s="25" t="s">
        <v>2870</v>
      </c>
      <c r="B317" s="25" t="s">
        <v>5516</v>
      </c>
      <c r="C317" s="25" t="s">
        <v>5517</v>
      </c>
      <c r="D317" s="25" t="s">
        <v>4242</v>
      </c>
      <c r="E317" s="25" t="s">
        <v>5518</v>
      </c>
      <c r="F317" s="25" t="s">
        <v>4562</v>
      </c>
      <c r="G317" s="25" t="s">
        <v>5519</v>
      </c>
    </row>
    <row r="318" ht="15" customHeight="1">
      <c r="A318" s="25" t="s">
        <v>2872</v>
      </c>
      <c r="B318" s="25" t="s">
        <v>5520</v>
      </c>
      <c r="C318" s="25" t="s">
        <v>5521</v>
      </c>
      <c r="D318" s="25" t="s">
        <v>1802</v>
      </c>
      <c r="E318" s="25" t="s">
        <v>5522</v>
      </c>
      <c r="F318" s="25" t="s">
        <v>4567</v>
      </c>
      <c r="G318" s="25" t="s">
        <v>5523</v>
      </c>
    </row>
    <row r="319" ht="15" customHeight="1">
      <c r="A319" s="25" t="s">
        <v>2874</v>
      </c>
      <c r="B319" s="25" t="s">
        <v>5524</v>
      </c>
      <c r="C319" s="25" t="s">
        <v>5525</v>
      </c>
      <c r="D319" s="25" t="s">
        <v>4253</v>
      </c>
      <c r="E319" s="25" t="s">
        <v>5526</v>
      </c>
      <c r="F319" s="25" t="s">
        <v>4572</v>
      </c>
      <c r="G319" s="25" t="s">
        <v>5527</v>
      </c>
    </row>
    <row r="320" ht="15" customHeight="1">
      <c r="A320" s="25" t="s">
        <v>2876</v>
      </c>
      <c r="B320" s="25" t="s">
        <v>5528</v>
      </c>
      <c r="C320" s="25" t="s">
        <v>5529</v>
      </c>
      <c r="D320" s="25" t="s">
        <v>4259</v>
      </c>
      <c r="E320" s="25" t="s">
        <v>5530</v>
      </c>
      <c r="F320" s="25" t="s">
        <v>4577</v>
      </c>
      <c r="G320" s="25" t="s">
        <v>5531</v>
      </c>
    </row>
    <row r="321" ht="15" customHeight="1">
      <c r="A321" s="25" t="s">
        <v>2877</v>
      </c>
      <c r="B321" s="25" t="s">
        <v>5532</v>
      </c>
      <c r="C321" s="25" t="s">
        <v>5533</v>
      </c>
      <c r="D321" s="25" t="s">
        <v>1944</v>
      </c>
      <c r="E321" s="25" t="s">
        <v>5534</v>
      </c>
      <c r="F321" s="25" t="s">
        <v>4582</v>
      </c>
      <c r="G321" s="25" t="s">
        <v>5535</v>
      </c>
    </row>
    <row r="322" ht="15" customHeight="1">
      <c r="A322" s="25" t="s">
        <v>2879</v>
      </c>
      <c r="B322" s="25" t="s">
        <v>5536</v>
      </c>
      <c r="C322" s="25" t="s">
        <v>5537</v>
      </c>
      <c r="D322" s="25" t="s">
        <v>1816</v>
      </c>
      <c r="E322" s="25" t="s">
        <v>5538</v>
      </c>
      <c r="F322" s="25" t="s">
        <v>4587</v>
      </c>
      <c r="G322" s="25" t="s">
        <v>5539</v>
      </c>
    </row>
    <row r="323" ht="15" customHeight="1">
      <c r="A323" s="25" t="s">
        <v>2881</v>
      </c>
      <c r="B323" s="25" t="s">
        <v>5540</v>
      </c>
      <c r="C323" s="25" t="s">
        <v>5541</v>
      </c>
      <c r="D323" s="25" t="s">
        <v>4275</v>
      </c>
      <c r="E323" s="25" t="s">
        <v>5542</v>
      </c>
      <c r="F323" s="25" t="s">
        <v>4592</v>
      </c>
      <c r="G323" s="25" t="s">
        <v>5543</v>
      </c>
    </row>
    <row r="324" ht="15" customHeight="1">
      <c r="A324" s="25" t="s">
        <v>2884</v>
      </c>
      <c r="B324" s="25" t="s">
        <v>5544</v>
      </c>
      <c r="C324" s="25" t="s">
        <v>5545</v>
      </c>
      <c r="D324" s="25" t="s">
        <v>4281</v>
      </c>
      <c r="E324" s="25" t="s">
        <v>5546</v>
      </c>
      <c r="F324" s="25" t="s">
        <v>4597</v>
      </c>
      <c r="G324" s="25" t="s">
        <v>5547</v>
      </c>
    </row>
    <row r="325" ht="15" customHeight="1">
      <c r="A325" s="25" t="s">
        <v>2886</v>
      </c>
      <c r="B325" s="25" t="s">
        <v>5548</v>
      </c>
      <c r="C325" s="25" t="s">
        <v>5549</v>
      </c>
      <c r="D325" s="25" t="s">
        <v>4287</v>
      </c>
      <c r="E325" s="25" t="s">
        <v>5550</v>
      </c>
      <c r="F325" s="25" t="s">
        <v>4602</v>
      </c>
      <c r="G325" s="25" t="s">
        <v>5551</v>
      </c>
    </row>
    <row r="326" ht="15" customHeight="1">
      <c r="A326" s="25" t="s">
        <v>2889</v>
      </c>
      <c r="B326" s="25" t="s">
        <v>5552</v>
      </c>
      <c r="C326" s="25" t="s">
        <v>5553</v>
      </c>
      <c r="D326" s="25" t="s">
        <v>1823</v>
      </c>
      <c r="E326" s="25" t="s">
        <v>5554</v>
      </c>
      <c r="F326" s="25" t="s">
        <v>4607</v>
      </c>
      <c r="G326" s="25" t="s">
        <v>5555</v>
      </c>
    </row>
    <row r="327" ht="15" customHeight="1">
      <c r="A327" s="25" t="s">
        <v>2891</v>
      </c>
      <c r="B327" s="25" t="s">
        <v>5556</v>
      </c>
      <c r="C327" s="25" t="s">
        <v>5557</v>
      </c>
      <c r="D327" s="25" t="s">
        <v>1892</v>
      </c>
      <c r="E327" s="25" t="s">
        <v>5558</v>
      </c>
      <c r="F327" s="25" t="s">
        <v>4612</v>
      </c>
      <c r="G327" s="25" t="s">
        <v>5559</v>
      </c>
    </row>
    <row r="328" ht="15" customHeight="1">
      <c r="A328" s="25" t="s">
        <v>2894</v>
      </c>
      <c r="B328" s="25" t="s">
        <v>5560</v>
      </c>
      <c r="C328" s="25" t="s">
        <v>5561</v>
      </c>
      <c r="D328" s="25" t="s">
        <v>4187</v>
      </c>
      <c r="E328" s="25" t="s">
        <v>5562</v>
      </c>
      <c r="F328" s="25" t="s">
        <v>4617</v>
      </c>
      <c r="G328" s="25" t="s">
        <v>5563</v>
      </c>
    </row>
    <row r="329" ht="15" customHeight="1">
      <c r="A329" s="25" t="s">
        <v>2896</v>
      </c>
      <c r="B329" s="25" t="s">
        <v>5564</v>
      </c>
      <c r="C329" s="25" t="s">
        <v>5565</v>
      </c>
      <c r="D329" s="25" t="s">
        <v>4192</v>
      </c>
      <c r="E329" s="25" t="s">
        <v>5566</v>
      </c>
      <c r="F329" s="25" t="s">
        <v>4386</v>
      </c>
      <c r="G329" s="25" t="s">
        <v>5567</v>
      </c>
    </row>
    <row r="330" ht="15" customHeight="1">
      <c r="A330" s="25" t="s">
        <v>2898</v>
      </c>
      <c r="B330" s="25" t="s">
        <v>5568</v>
      </c>
      <c r="C330" s="25" t="s">
        <v>5569</v>
      </c>
      <c r="D330" s="25" t="s">
        <v>1830</v>
      </c>
      <c r="E330" s="25" t="s">
        <v>5570</v>
      </c>
      <c r="F330" s="25" t="s">
        <v>4407</v>
      </c>
      <c r="G330" s="25" t="s">
        <v>5571</v>
      </c>
    </row>
    <row r="331" ht="15" customHeight="1">
      <c r="A331" s="25" t="s">
        <v>2900</v>
      </c>
      <c r="B331" s="25" t="s">
        <v>5572</v>
      </c>
      <c r="C331" s="25" t="s">
        <v>5573</v>
      </c>
      <c r="D331" s="25" t="s">
        <v>4318</v>
      </c>
      <c r="E331" s="25" t="s">
        <v>5574</v>
      </c>
      <c r="F331" s="25" t="s">
        <v>4354</v>
      </c>
      <c r="G331" s="25" t="s">
        <v>5575</v>
      </c>
    </row>
    <row r="332" ht="15" customHeight="1">
      <c r="A332" s="25" t="s">
        <v>2903</v>
      </c>
      <c r="B332" s="25" t="s">
        <v>5576</v>
      </c>
      <c r="C332" s="25" t="s">
        <v>5577</v>
      </c>
      <c r="D332" s="25" t="s">
        <v>4324</v>
      </c>
      <c r="E332" s="25" t="s">
        <v>5578</v>
      </c>
      <c r="F332" s="25" t="s">
        <v>4447</v>
      </c>
      <c r="G332" s="25" t="s">
        <v>5579</v>
      </c>
    </row>
    <row r="333" ht="15" customHeight="1">
      <c r="A333" s="25" t="s">
        <v>2905</v>
      </c>
      <c r="B333" s="25" t="s">
        <v>5580</v>
      </c>
      <c r="C333" s="25" t="s">
        <v>5581</v>
      </c>
      <c r="D333" s="25" t="s">
        <v>1837</v>
      </c>
      <c r="E333" s="25" t="s">
        <v>5582</v>
      </c>
      <c r="F333" s="25" t="s">
        <v>4437</v>
      </c>
      <c r="G333" s="25" t="s">
        <v>5583</v>
      </c>
    </row>
    <row r="334" ht="15" customHeight="1">
      <c r="A334" s="25" t="s">
        <v>2908</v>
      </c>
      <c r="B334" s="25" t="s">
        <v>5584</v>
      </c>
      <c r="C334" s="25" t="s">
        <v>4854</v>
      </c>
      <c r="D334" s="25" t="s">
        <v>4203</v>
      </c>
      <c r="E334" s="25" t="s">
        <v>4476</v>
      </c>
      <c r="F334" s="25" t="s">
        <v>4422</v>
      </c>
      <c r="G334" s="25" t="s">
        <v>5585</v>
      </c>
    </row>
    <row r="335" ht="15" customHeight="1">
      <c r="A335" s="25" t="s">
        <v>2909</v>
      </c>
      <c r="B335" s="25" t="s">
        <v>5586</v>
      </c>
      <c r="C335" s="25" t="s">
        <v>5587</v>
      </c>
      <c r="D335" s="25" t="s">
        <v>4340</v>
      </c>
      <c r="E335" s="25" t="s">
        <v>5588</v>
      </c>
      <c r="F335" s="25" t="s">
        <v>4427</v>
      </c>
      <c r="G335" s="25" t="s">
        <v>5589</v>
      </c>
    </row>
    <row r="336" ht="15" customHeight="1">
      <c r="A336" s="25" t="s">
        <v>2912</v>
      </c>
      <c r="B336" s="25" t="s">
        <v>5590</v>
      </c>
      <c r="C336" s="25" t="s">
        <v>5591</v>
      </c>
      <c r="D336" s="25" t="s">
        <v>4346</v>
      </c>
      <c r="E336" s="25" t="s">
        <v>5592</v>
      </c>
      <c r="F336" s="25" t="s">
        <v>4432</v>
      </c>
      <c r="G336" s="25" t="s">
        <v>5593</v>
      </c>
    </row>
    <row r="337" ht="15" customHeight="1">
      <c r="A337" s="25" t="s">
        <v>2914</v>
      </c>
      <c r="B337" s="25" t="s">
        <v>5594</v>
      </c>
      <c r="C337" s="25" t="s">
        <v>5595</v>
      </c>
      <c r="D337" s="25" t="s">
        <v>4352</v>
      </c>
      <c r="E337" s="25" t="s">
        <v>5596</v>
      </c>
      <c r="F337" s="25" t="s">
        <v>4437</v>
      </c>
      <c r="G337" s="25" t="s">
        <v>5597</v>
      </c>
    </row>
    <row r="338" ht="15" customHeight="1">
      <c r="A338" s="25" t="s">
        <v>2916</v>
      </c>
      <c r="B338" s="25" t="s">
        <v>5598</v>
      </c>
      <c r="C338" s="25" t="s">
        <v>5599</v>
      </c>
      <c r="D338" s="25" t="s">
        <v>4209</v>
      </c>
      <c r="E338" s="25" t="s">
        <v>5600</v>
      </c>
      <c r="F338" s="25" t="s">
        <v>4442</v>
      </c>
      <c r="G338" s="25" t="s">
        <v>5601</v>
      </c>
    </row>
    <row r="339" ht="15" customHeight="1">
      <c r="A339" s="25" t="s">
        <v>2918</v>
      </c>
      <c r="B339" s="25" t="s">
        <v>5602</v>
      </c>
      <c r="C339" s="25" t="s">
        <v>5603</v>
      </c>
      <c r="D339" s="25" t="s">
        <v>1851</v>
      </c>
      <c r="E339" s="25" t="s">
        <v>5604</v>
      </c>
      <c r="F339" s="25" t="s">
        <v>4447</v>
      </c>
      <c r="G339" s="25" t="s">
        <v>5605</v>
      </c>
    </row>
    <row r="340" ht="15" customHeight="1">
      <c r="A340" s="25" t="s">
        <v>2920</v>
      </c>
      <c r="B340" s="25" t="s">
        <v>5606</v>
      </c>
      <c r="C340" s="25" t="s">
        <v>5607</v>
      </c>
      <c r="D340" s="25" t="s">
        <v>4220</v>
      </c>
      <c r="E340" s="25" t="s">
        <v>5608</v>
      </c>
      <c r="F340" s="25" t="s">
        <v>4452</v>
      </c>
      <c r="G340" s="25" t="s">
        <v>5609</v>
      </c>
    </row>
    <row r="341" ht="15" customHeight="1">
      <c r="A341" s="25" t="s">
        <v>2921</v>
      </c>
      <c r="B341" s="25" t="s">
        <v>5610</v>
      </c>
      <c r="C341" s="25" t="s">
        <v>5611</v>
      </c>
      <c r="D341" s="25" t="s">
        <v>1858</v>
      </c>
      <c r="E341" s="25" t="s">
        <v>5612</v>
      </c>
      <c r="F341" s="25" t="s">
        <v>4457</v>
      </c>
      <c r="G341" s="25" t="s">
        <v>5613</v>
      </c>
    </row>
    <row r="342" ht="15" customHeight="1">
      <c r="A342" s="25" t="s">
        <v>2924</v>
      </c>
      <c r="B342" s="25" t="s">
        <v>5614</v>
      </c>
      <c r="C342" s="25" t="s">
        <v>5615</v>
      </c>
      <c r="D342" s="25" t="s">
        <v>4378</v>
      </c>
      <c r="E342" s="25" t="s">
        <v>5464</v>
      </c>
      <c r="F342" s="25" t="s">
        <v>4462</v>
      </c>
      <c r="G342" s="25" t="s">
        <v>5616</v>
      </c>
    </row>
    <row r="343" ht="15" customHeight="1">
      <c r="A343" s="25" t="s">
        <v>2926</v>
      </c>
      <c r="B343" s="25" t="s">
        <v>5617</v>
      </c>
      <c r="C343" s="25" t="s">
        <v>5618</v>
      </c>
      <c r="D343" s="25" t="s">
        <v>4384</v>
      </c>
      <c r="E343" s="25" t="s">
        <v>5619</v>
      </c>
      <c r="F343" s="25" t="s">
        <v>4467</v>
      </c>
      <c r="G343" s="25" t="s">
        <v>5620</v>
      </c>
    </row>
    <row r="344" ht="15" customHeight="1">
      <c r="A344" s="25" t="s">
        <v>2929</v>
      </c>
      <c r="B344" s="25" t="s">
        <v>5621</v>
      </c>
      <c r="C344" s="25" t="s">
        <v>5622</v>
      </c>
      <c r="D344" s="25" t="s">
        <v>4390</v>
      </c>
      <c r="E344" s="25" t="s">
        <v>5623</v>
      </c>
      <c r="F344" s="25" t="s">
        <v>4472</v>
      </c>
      <c r="G344" s="25" t="s">
        <v>5624</v>
      </c>
    </row>
    <row r="345" ht="15" customHeight="1">
      <c r="A345" s="25" t="s">
        <v>2931</v>
      </c>
      <c r="B345" s="25" t="s">
        <v>5625</v>
      </c>
      <c r="C345" s="25" t="s">
        <v>5626</v>
      </c>
      <c r="D345" s="25" t="s">
        <v>1865</v>
      </c>
      <c r="E345" s="25" t="s">
        <v>5627</v>
      </c>
      <c r="F345" s="25" t="s">
        <v>4477</v>
      </c>
      <c r="G345" s="25" t="s">
        <v>5628</v>
      </c>
    </row>
    <row r="346" ht="15" customHeight="1">
      <c r="A346" s="25" t="s">
        <v>2934</v>
      </c>
      <c r="B346" s="25" t="s">
        <v>5629</v>
      </c>
      <c r="C346" s="25" t="s">
        <v>5630</v>
      </c>
      <c r="D346" s="25" t="s">
        <v>4236</v>
      </c>
      <c r="E346" s="25" t="s">
        <v>5631</v>
      </c>
      <c r="F346" s="25" t="s">
        <v>4482</v>
      </c>
      <c r="G346" s="25" t="s">
        <v>5632</v>
      </c>
    </row>
    <row r="347" ht="15" customHeight="1">
      <c r="A347" s="25" t="s">
        <v>2936</v>
      </c>
      <c r="B347" s="25" t="s">
        <v>5633</v>
      </c>
      <c r="C347" s="25" t="s">
        <v>5634</v>
      </c>
      <c r="D347" s="25" t="s">
        <v>4242</v>
      </c>
      <c r="E347" s="25" t="s">
        <v>5635</v>
      </c>
      <c r="F347" s="25" t="s">
        <v>4487</v>
      </c>
      <c r="G347" s="25" t="s">
        <v>5636</v>
      </c>
    </row>
    <row r="348" ht="15" customHeight="1">
      <c r="A348" s="25" t="s">
        <v>2939</v>
      </c>
      <c r="B348" s="25" t="s">
        <v>5637</v>
      </c>
      <c r="C348" s="25" t="s">
        <v>5638</v>
      </c>
      <c r="D348" s="25" t="s">
        <v>1802</v>
      </c>
      <c r="E348" s="25" t="s">
        <v>5639</v>
      </c>
      <c r="F348" s="25" t="s">
        <v>4492</v>
      </c>
      <c r="G348" s="25" t="s">
        <v>5640</v>
      </c>
    </row>
    <row r="349" ht="15" customHeight="1">
      <c r="A349" s="25" t="s">
        <v>2941</v>
      </c>
      <c r="B349" s="25" t="s">
        <v>5641</v>
      </c>
      <c r="C349" s="25" t="s">
        <v>5642</v>
      </c>
      <c r="D349" s="25" t="s">
        <v>4253</v>
      </c>
      <c r="E349" s="25" t="s">
        <v>5643</v>
      </c>
      <c r="F349" s="25" t="s">
        <v>4497</v>
      </c>
      <c r="G349" s="25" t="s">
        <v>5644</v>
      </c>
    </row>
    <row r="350" ht="15" customHeight="1">
      <c r="A350" s="25" t="s">
        <v>2943</v>
      </c>
      <c r="B350" s="25" t="s">
        <v>5645</v>
      </c>
      <c r="C350" s="25" t="s">
        <v>5646</v>
      </c>
      <c r="D350" s="25" t="s">
        <v>4259</v>
      </c>
      <c r="E350" s="25" t="s">
        <v>5647</v>
      </c>
      <c r="F350" s="25" t="s">
        <v>4502</v>
      </c>
      <c r="G350" s="25" t="s">
        <v>5648</v>
      </c>
    </row>
    <row r="351" ht="15" customHeight="1">
      <c r="A351" s="25" t="s">
        <v>2944</v>
      </c>
      <c r="B351" s="25" t="s">
        <v>5649</v>
      </c>
      <c r="C351" s="25" t="s">
        <v>5650</v>
      </c>
      <c r="D351" s="25" t="s">
        <v>1944</v>
      </c>
      <c r="E351" s="25" t="s">
        <v>5651</v>
      </c>
      <c r="F351" s="25" t="s">
        <v>4507</v>
      </c>
      <c r="G351" s="25" t="s">
        <v>5652</v>
      </c>
    </row>
    <row r="352" ht="15" customHeight="1">
      <c r="A352" s="25" t="s">
        <v>2946</v>
      </c>
      <c r="B352" s="25" t="s">
        <v>5653</v>
      </c>
      <c r="C352" s="25" t="s">
        <v>5654</v>
      </c>
      <c r="D352" s="25" t="s">
        <v>1816</v>
      </c>
      <c r="E352" s="25" t="s">
        <v>5655</v>
      </c>
      <c r="F352" s="25" t="s">
        <v>4512</v>
      </c>
      <c r="G352" s="25" t="s">
        <v>5656</v>
      </c>
    </row>
    <row r="353" ht="15" customHeight="1">
      <c r="A353" s="25" t="s">
        <v>2947</v>
      </c>
      <c r="B353" s="25" t="s">
        <v>5657</v>
      </c>
      <c r="C353" s="25" t="s">
        <v>5658</v>
      </c>
      <c r="D353" s="25" t="s">
        <v>4275</v>
      </c>
      <c r="E353" s="25" t="s">
        <v>5659</v>
      </c>
      <c r="F353" s="25" t="s">
        <v>4517</v>
      </c>
      <c r="G353" s="25" t="s">
        <v>5660</v>
      </c>
    </row>
    <row r="354" ht="15" customHeight="1">
      <c r="A354" s="25" t="s">
        <v>2950</v>
      </c>
      <c r="B354" s="25" t="s">
        <v>5661</v>
      </c>
      <c r="C354" s="25" t="s">
        <v>5662</v>
      </c>
      <c r="D354" s="25" t="s">
        <v>4281</v>
      </c>
      <c r="E354" s="25" t="s">
        <v>5663</v>
      </c>
      <c r="F354" s="25" t="s">
        <v>4522</v>
      </c>
      <c r="G354" s="25" t="s">
        <v>5664</v>
      </c>
    </row>
    <row r="355" ht="15" customHeight="1">
      <c r="A355" s="25" t="s">
        <v>2951</v>
      </c>
      <c r="B355" s="25" t="s">
        <v>5665</v>
      </c>
      <c r="C355" s="25" t="s">
        <v>5666</v>
      </c>
      <c r="D355" s="25" t="s">
        <v>4287</v>
      </c>
      <c r="E355" s="25" t="s">
        <v>5667</v>
      </c>
      <c r="F355" s="25" t="s">
        <v>4527</v>
      </c>
      <c r="G355" s="25" t="s">
        <v>5668</v>
      </c>
    </row>
    <row r="356" ht="15" customHeight="1">
      <c r="A356" s="25" t="s">
        <v>2953</v>
      </c>
      <c r="B356" s="25" t="s">
        <v>5669</v>
      </c>
      <c r="C356" s="25" t="s">
        <v>5670</v>
      </c>
      <c r="D356" s="25" t="s">
        <v>1823</v>
      </c>
      <c r="E356" s="25" t="s">
        <v>5671</v>
      </c>
      <c r="F356" s="25" t="s">
        <v>4532</v>
      </c>
      <c r="G356" s="25" t="s">
        <v>5672</v>
      </c>
    </row>
    <row r="357" ht="15" customHeight="1">
      <c r="A357" s="25" t="s">
        <v>2955</v>
      </c>
      <c r="B357" s="25" t="s">
        <v>5673</v>
      </c>
      <c r="C357" s="25" t="s">
        <v>5674</v>
      </c>
      <c r="D357" s="25" t="s">
        <v>1892</v>
      </c>
      <c r="E357" s="25" t="s">
        <v>5675</v>
      </c>
      <c r="F357" s="25" t="s">
        <v>4537</v>
      </c>
      <c r="G357" s="25" t="s">
        <v>5676</v>
      </c>
    </row>
    <row r="358" ht="15" customHeight="1">
      <c r="A358" s="25" t="s">
        <v>2958</v>
      </c>
      <c r="B358" s="25" t="s">
        <v>5677</v>
      </c>
      <c r="C358" s="25" t="s">
        <v>5678</v>
      </c>
      <c r="D358" s="25" t="s">
        <v>4187</v>
      </c>
      <c r="E358" s="25" t="s">
        <v>5679</v>
      </c>
      <c r="F358" s="25" t="s">
        <v>4542</v>
      </c>
      <c r="G358" s="25" t="s">
        <v>5680</v>
      </c>
    </row>
    <row r="359" ht="15" customHeight="1">
      <c r="A359" s="25" t="s">
        <v>2959</v>
      </c>
      <c r="B359" s="25" t="s">
        <v>5681</v>
      </c>
      <c r="C359" s="25" t="s">
        <v>5682</v>
      </c>
      <c r="D359" s="25" t="s">
        <v>4192</v>
      </c>
      <c r="E359" s="25" t="s">
        <v>5683</v>
      </c>
      <c r="F359" s="25" t="s">
        <v>4547</v>
      </c>
      <c r="G359" s="25" t="s">
        <v>5684</v>
      </c>
    </row>
    <row r="360" ht="15" customHeight="1">
      <c r="A360" s="25" t="s">
        <v>2962</v>
      </c>
      <c r="B360" s="25" t="s">
        <v>5685</v>
      </c>
      <c r="C360" s="25" t="s">
        <v>5686</v>
      </c>
      <c r="D360" s="25" t="s">
        <v>1830</v>
      </c>
      <c r="E360" s="25" t="s">
        <v>5687</v>
      </c>
      <c r="F360" s="25" t="s">
        <v>4552</v>
      </c>
      <c r="G360" s="25" t="s">
        <v>5688</v>
      </c>
    </row>
    <row r="361" ht="15" customHeight="1">
      <c r="A361" s="25" t="s">
        <v>2964</v>
      </c>
      <c r="B361" s="25" t="s">
        <v>5689</v>
      </c>
      <c r="C361" s="25" t="s">
        <v>5690</v>
      </c>
      <c r="D361" s="25" t="s">
        <v>4318</v>
      </c>
      <c r="E361" s="25" t="s">
        <v>5691</v>
      </c>
      <c r="F361" s="25" t="s">
        <v>4557</v>
      </c>
      <c r="G361" s="25" t="s">
        <v>5692</v>
      </c>
    </row>
    <row r="362" ht="15" customHeight="1">
      <c r="A362" s="25" t="s">
        <v>2967</v>
      </c>
      <c r="B362" s="25" t="s">
        <v>5693</v>
      </c>
      <c r="C362" s="25" t="s">
        <v>5694</v>
      </c>
      <c r="D362" s="25" t="s">
        <v>4324</v>
      </c>
      <c r="E362" s="25" t="s">
        <v>5695</v>
      </c>
      <c r="F362" s="25" t="s">
        <v>4562</v>
      </c>
      <c r="G362" s="25" t="s">
        <v>5696</v>
      </c>
    </row>
    <row r="363" ht="15" customHeight="1">
      <c r="A363" s="25" t="s">
        <v>2968</v>
      </c>
      <c r="B363" s="25" t="s">
        <v>5697</v>
      </c>
      <c r="C363" s="25" t="s">
        <v>5698</v>
      </c>
      <c r="D363" s="25" t="s">
        <v>1837</v>
      </c>
      <c r="E363" s="25" t="s">
        <v>5699</v>
      </c>
      <c r="F363" s="25" t="s">
        <v>4567</v>
      </c>
      <c r="G363" s="25" t="s">
        <v>5700</v>
      </c>
    </row>
    <row r="364" ht="15" customHeight="1">
      <c r="A364" s="25" t="s">
        <v>2971</v>
      </c>
      <c r="B364" s="25" t="s">
        <v>5701</v>
      </c>
      <c r="C364" s="25" t="s">
        <v>4214</v>
      </c>
      <c r="D364" s="25" t="s">
        <v>4203</v>
      </c>
      <c r="E364" s="25" t="s">
        <v>5702</v>
      </c>
      <c r="F364" s="25" t="s">
        <v>4572</v>
      </c>
      <c r="G364" s="25" t="s">
        <v>5703</v>
      </c>
    </row>
    <row r="365" ht="15" customHeight="1">
      <c r="A365" s="25" t="s">
        <v>2973</v>
      </c>
      <c r="B365" s="25" t="s">
        <v>5704</v>
      </c>
      <c r="C365" s="25" t="s">
        <v>5705</v>
      </c>
      <c r="D365" s="25" t="s">
        <v>4340</v>
      </c>
      <c r="E365" s="25" t="s">
        <v>5706</v>
      </c>
      <c r="F365" s="25" t="s">
        <v>4577</v>
      </c>
      <c r="G365" s="25" t="s">
        <v>5707</v>
      </c>
    </row>
    <row r="366" ht="15" customHeight="1">
      <c r="A366" s="25" t="s">
        <v>2976</v>
      </c>
      <c r="B366" s="25" t="s">
        <v>5708</v>
      </c>
      <c r="C366" s="25" t="s">
        <v>5709</v>
      </c>
      <c r="D366" s="25" t="s">
        <v>4346</v>
      </c>
      <c r="E366" s="25" t="s">
        <v>5710</v>
      </c>
      <c r="F366" s="25" t="s">
        <v>4582</v>
      </c>
      <c r="G366" s="25" t="s">
        <v>5711</v>
      </c>
    </row>
    <row r="367" ht="15" customHeight="1">
      <c r="A367" s="25" t="s">
        <v>2977</v>
      </c>
      <c r="B367" s="25" t="s">
        <v>5712</v>
      </c>
      <c r="C367" s="25" t="s">
        <v>5713</v>
      </c>
      <c r="D367" s="25" t="s">
        <v>4352</v>
      </c>
      <c r="E367" s="25" t="s">
        <v>5714</v>
      </c>
      <c r="F367" s="25" t="s">
        <v>4587</v>
      </c>
      <c r="G367" s="25" t="s">
        <v>5715</v>
      </c>
    </row>
    <row r="368" ht="15" customHeight="1">
      <c r="A368" s="25" t="s">
        <v>2980</v>
      </c>
      <c r="B368" s="25" t="s">
        <v>5716</v>
      </c>
      <c r="C368" s="25" t="s">
        <v>5717</v>
      </c>
      <c r="D368" s="25" t="s">
        <v>4209</v>
      </c>
      <c r="E368" s="25" t="s">
        <v>5718</v>
      </c>
      <c r="F368" s="25" t="s">
        <v>4592</v>
      </c>
      <c r="G368" s="25" t="s">
        <v>5719</v>
      </c>
    </row>
    <row r="369" ht="15" customHeight="1">
      <c r="A369" s="25" t="s">
        <v>2982</v>
      </c>
      <c r="B369" s="25" t="s">
        <v>5720</v>
      </c>
      <c r="C369" s="25" t="s">
        <v>5721</v>
      </c>
      <c r="D369" s="25" t="s">
        <v>1851</v>
      </c>
      <c r="E369" s="25" t="s">
        <v>5722</v>
      </c>
      <c r="F369" s="25" t="s">
        <v>4597</v>
      </c>
      <c r="G369" s="25" t="s">
        <v>5723</v>
      </c>
    </row>
    <row r="370" ht="15" customHeight="1">
      <c r="A370" s="25" t="s">
        <v>2985</v>
      </c>
      <c r="B370" s="25" t="s">
        <v>5724</v>
      </c>
      <c r="C370" s="25" t="s">
        <v>5725</v>
      </c>
      <c r="D370" s="25" t="s">
        <v>4220</v>
      </c>
      <c r="E370" s="25" t="s">
        <v>5726</v>
      </c>
      <c r="F370" s="25" t="s">
        <v>4602</v>
      </c>
      <c r="G370" s="25" t="s">
        <v>5727</v>
      </c>
    </row>
    <row r="371" ht="15" customHeight="1">
      <c r="A371" s="25" t="s">
        <v>2987</v>
      </c>
      <c r="B371" s="25" t="s">
        <v>5728</v>
      </c>
      <c r="C371" s="25" t="s">
        <v>5729</v>
      </c>
      <c r="D371" s="25" t="s">
        <v>1858</v>
      </c>
      <c r="E371" s="25" t="s">
        <v>5730</v>
      </c>
      <c r="F371" s="25" t="s">
        <v>4607</v>
      </c>
      <c r="G371" s="25" t="s">
        <v>5731</v>
      </c>
    </row>
    <row r="372" ht="15" customHeight="1">
      <c r="A372" s="25" t="s">
        <v>2990</v>
      </c>
      <c r="B372" s="25" t="s">
        <v>5732</v>
      </c>
      <c r="C372" s="25" t="s">
        <v>5733</v>
      </c>
      <c r="D372" s="25" t="s">
        <v>4378</v>
      </c>
      <c r="E372" s="25" t="s">
        <v>5734</v>
      </c>
      <c r="F372" s="25" t="s">
        <v>4612</v>
      </c>
      <c r="G372" s="25" t="s">
        <v>5735</v>
      </c>
    </row>
    <row r="373" ht="15" customHeight="1">
      <c r="A373" s="25" t="s">
        <v>2991</v>
      </c>
      <c r="B373" s="25" t="s">
        <v>5736</v>
      </c>
      <c r="C373" s="25" t="s">
        <v>5737</v>
      </c>
      <c r="D373" s="25" t="s">
        <v>4384</v>
      </c>
      <c r="E373" s="25" t="s">
        <v>5738</v>
      </c>
      <c r="F373" s="25" t="s">
        <v>4617</v>
      </c>
      <c r="G373" s="25" t="s">
        <v>5739</v>
      </c>
    </row>
    <row r="374" ht="15" customHeight="1">
      <c r="A374" s="25" t="s">
        <v>2993</v>
      </c>
      <c r="B374" s="25" t="s">
        <v>5740</v>
      </c>
      <c r="C374" s="25" t="s">
        <v>4830</v>
      </c>
      <c r="D374" s="25" t="s">
        <v>4390</v>
      </c>
      <c r="E374" s="25" t="s">
        <v>5741</v>
      </c>
      <c r="F374" s="25" t="s">
        <v>4407</v>
      </c>
      <c r="G374" s="25" t="s">
        <v>5742</v>
      </c>
    </row>
    <row r="375" ht="15" customHeight="1">
      <c r="A375" s="25" t="s">
        <v>2995</v>
      </c>
      <c r="B375" s="25" t="s">
        <v>5743</v>
      </c>
      <c r="C375" s="25" t="s">
        <v>5744</v>
      </c>
      <c r="D375" s="25" t="s">
        <v>1865</v>
      </c>
      <c r="E375" s="25" t="s">
        <v>5745</v>
      </c>
      <c r="F375" s="25" t="s">
        <v>4354</v>
      </c>
      <c r="G375" s="25" t="s">
        <v>5746</v>
      </c>
    </row>
    <row r="376" ht="15" customHeight="1">
      <c r="A376" s="25" t="s">
        <v>2998</v>
      </c>
      <c r="B376" s="25" t="s">
        <v>5747</v>
      </c>
      <c r="C376" s="25" t="s">
        <v>5748</v>
      </c>
      <c r="D376" s="25" t="s">
        <v>4236</v>
      </c>
      <c r="E376" s="25" t="s">
        <v>5749</v>
      </c>
      <c r="F376" s="25" t="s">
        <v>4447</v>
      </c>
      <c r="G376" s="25" t="s">
        <v>5750</v>
      </c>
    </row>
    <row r="377" ht="15" customHeight="1">
      <c r="A377" s="25" t="s">
        <v>2999</v>
      </c>
      <c r="B377" s="25" t="s">
        <v>5751</v>
      </c>
      <c r="C377" s="25" t="s">
        <v>5752</v>
      </c>
      <c r="D377" s="25" t="s">
        <v>4242</v>
      </c>
      <c r="E377" s="25" t="s">
        <v>5753</v>
      </c>
      <c r="F377" s="25" t="s">
        <v>4437</v>
      </c>
      <c r="G377" s="25" t="s">
        <v>5754</v>
      </c>
    </row>
    <row r="378" ht="15" customHeight="1">
      <c r="A378" s="25" t="s">
        <v>3002</v>
      </c>
      <c r="B378" s="25" t="s">
        <v>5755</v>
      </c>
      <c r="C378" s="25" t="s">
        <v>5756</v>
      </c>
      <c r="D378" s="25" t="s">
        <v>1802</v>
      </c>
      <c r="E378" s="25" t="s">
        <v>5757</v>
      </c>
      <c r="F378" s="25" t="s">
        <v>4422</v>
      </c>
      <c r="G378" s="25" t="s">
        <v>5758</v>
      </c>
    </row>
    <row r="379" ht="15" customHeight="1">
      <c r="A379" s="25" t="s">
        <v>3004</v>
      </c>
      <c r="B379" s="25" t="s">
        <v>5759</v>
      </c>
      <c r="C379" s="25" t="s">
        <v>5760</v>
      </c>
      <c r="D379" s="25" t="s">
        <v>4253</v>
      </c>
      <c r="E379" s="25" t="s">
        <v>5761</v>
      </c>
      <c r="F379" s="25" t="s">
        <v>4427</v>
      </c>
      <c r="G379" s="25" t="s">
        <v>5762</v>
      </c>
    </row>
    <row r="380" ht="15" customHeight="1">
      <c r="A380" s="25" t="s">
        <v>3007</v>
      </c>
      <c r="B380" s="25" t="s">
        <v>5763</v>
      </c>
      <c r="C380" s="25" t="s">
        <v>5764</v>
      </c>
      <c r="D380" s="25" t="s">
        <v>4259</v>
      </c>
      <c r="E380" s="25" t="s">
        <v>5765</v>
      </c>
      <c r="F380" s="25" t="s">
        <v>4432</v>
      </c>
      <c r="G380" s="25" t="s">
        <v>5766</v>
      </c>
    </row>
    <row r="381" ht="15" customHeight="1">
      <c r="A381" s="25" t="s">
        <v>3008</v>
      </c>
      <c r="B381" s="25" t="s">
        <v>5767</v>
      </c>
      <c r="C381" s="25" t="s">
        <v>5768</v>
      </c>
      <c r="D381" s="25" t="s">
        <v>1944</v>
      </c>
      <c r="E381" s="25" t="s">
        <v>5769</v>
      </c>
      <c r="F381" s="25" t="s">
        <v>4437</v>
      </c>
      <c r="G381" s="25" t="s">
        <v>5770</v>
      </c>
    </row>
    <row r="382" ht="15" customHeight="1">
      <c r="A382" s="25" t="s">
        <v>3011</v>
      </c>
      <c r="B382" s="25" t="s">
        <v>5771</v>
      </c>
      <c r="C382" s="25" t="s">
        <v>5772</v>
      </c>
      <c r="D382" s="25" t="s">
        <v>1816</v>
      </c>
      <c r="E382" s="25" t="s">
        <v>5773</v>
      </c>
      <c r="F382" s="25" t="s">
        <v>4442</v>
      </c>
      <c r="G382" s="25" t="s">
        <v>5774</v>
      </c>
    </row>
    <row r="383" ht="15" customHeight="1">
      <c r="A383" s="25" t="s">
        <v>3012</v>
      </c>
      <c r="B383" s="25" t="s">
        <v>5775</v>
      </c>
      <c r="C383" s="25" t="s">
        <v>5776</v>
      </c>
      <c r="D383" s="25" t="s">
        <v>4275</v>
      </c>
      <c r="E383" s="25" t="s">
        <v>5777</v>
      </c>
      <c r="F383" s="25" t="s">
        <v>4447</v>
      </c>
      <c r="G383" s="25" t="s">
        <v>5778</v>
      </c>
    </row>
    <row r="384" ht="15" customHeight="1">
      <c r="A384" s="25" t="s">
        <v>3015</v>
      </c>
      <c r="B384" s="25" t="s">
        <v>5779</v>
      </c>
      <c r="C384" s="25" t="s">
        <v>5780</v>
      </c>
      <c r="D384" s="25" t="s">
        <v>4281</v>
      </c>
      <c r="E384" s="25" t="s">
        <v>5781</v>
      </c>
      <c r="F384" s="25" t="s">
        <v>4452</v>
      </c>
      <c r="G384" s="25" t="s">
        <v>5782</v>
      </c>
    </row>
    <row r="385" ht="15" customHeight="1">
      <c r="A385" s="25" t="s">
        <v>3017</v>
      </c>
      <c r="B385" s="25" t="s">
        <v>5783</v>
      </c>
      <c r="C385" s="25" t="s">
        <v>5784</v>
      </c>
      <c r="D385" s="25" t="s">
        <v>4287</v>
      </c>
      <c r="E385" s="25" t="s">
        <v>5785</v>
      </c>
      <c r="F385" s="25" t="s">
        <v>4457</v>
      </c>
      <c r="G385" s="25" t="s">
        <v>5786</v>
      </c>
    </row>
    <row r="386" ht="15" customHeight="1">
      <c r="A386" s="25" t="s">
        <v>3019</v>
      </c>
      <c r="B386" s="25" t="s">
        <v>5787</v>
      </c>
      <c r="C386" s="25" t="s">
        <v>5788</v>
      </c>
      <c r="D386" s="25" t="s">
        <v>1823</v>
      </c>
      <c r="E386" s="25" t="s">
        <v>5789</v>
      </c>
      <c r="F386" s="25" t="s">
        <v>4462</v>
      </c>
      <c r="G386" s="25" t="s">
        <v>5790</v>
      </c>
    </row>
    <row r="387" ht="15" customHeight="1">
      <c r="A387" s="25" t="s">
        <v>3021</v>
      </c>
      <c r="B387" s="25" t="s">
        <v>5791</v>
      </c>
      <c r="C387" s="25" t="s">
        <v>5792</v>
      </c>
      <c r="D387" s="25" t="s">
        <v>1892</v>
      </c>
      <c r="E387" s="25" t="s">
        <v>5793</v>
      </c>
      <c r="F387" s="25" t="s">
        <v>4467</v>
      </c>
      <c r="G387" s="25" t="s">
        <v>5794</v>
      </c>
    </row>
    <row r="388" ht="15" customHeight="1">
      <c r="A388" s="25" t="s">
        <v>3023</v>
      </c>
      <c r="B388" s="25" t="s">
        <v>5795</v>
      </c>
      <c r="C388" s="25" t="s">
        <v>5796</v>
      </c>
      <c r="D388" s="25" t="s">
        <v>4187</v>
      </c>
      <c r="E388" s="25" t="s">
        <v>5797</v>
      </c>
      <c r="F388" s="25" t="s">
        <v>4472</v>
      </c>
      <c r="G388" s="25" t="s">
        <v>5798</v>
      </c>
    </row>
    <row r="389" ht="15" customHeight="1">
      <c r="A389" s="25" t="s">
        <v>3025</v>
      </c>
      <c r="B389" s="25" t="s">
        <v>5799</v>
      </c>
      <c r="C389" s="25" t="s">
        <v>4989</v>
      </c>
      <c r="D389" s="25" t="s">
        <v>4192</v>
      </c>
      <c r="E389" s="25" t="s">
        <v>5800</v>
      </c>
      <c r="F389" s="25" t="s">
        <v>4477</v>
      </c>
      <c r="G389" s="25" t="s">
        <v>5801</v>
      </c>
    </row>
    <row r="390" ht="15" customHeight="1">
      <c r="A390" s="25" t="s">
        <v>3028</v>
      </c>
      <c r="B390" s="25" t="s">
        <v>5802</v>
      </c>
      <c r="C390" s="25" t="s">
        <v>5803</v>
      </c>
      <c r="D390" s="25" t="s">
        <v>1830</v>
      </c>
      <c r="E390" s="25" t="s">
        <v>5804</v>
      </c>
      <c r="F390" s="25" t="s">
        <v>4482</v>
      </c>
      <c r="G390" s="25" t="s">
        <v>5805</v>
      </c>
    </row>
    <row r="391" ht="15" customHeight="1">
      <c r="A391" s="25" t="s">
        <v>3030</v>
      </c>
      <c r="B391" s="25" t="s">
        <v>5806</v>
      </c>
      <c r="C391" s="25" t="s">
        <v>5807</v>
      </c>
      <c r="D391" s="25" t="s">
        <v>4318</v>
      </c>
      <c r="E391" s="25" t="s">
        <v>5808</v>
      </c>
      <c r="F391" s="25" t="s">
        <v>4487</v>
      </c>
      <c r="G391" s="25" t="s">
        <v>5809</v>
      </c>
    </row>
    <row r="392" ht="15" customHeight="1">
      <c r="A392" s="25" t="s">
        <v>3033</v>
      </c>
      <c r="B392" s="25" t="s">
        <v>5810</v>
      </c>
      <c r="C392" s="25" t="s">
        <v>5811</v>
      </c>
      <c r="D392" s="25" t="s">
        <v>4324</v>
      </c>
      <c r="E392" s="25" t="s">
        <v>5812</v>
      </c>
      <c r="F392" s="25" t="s">
        <v>4492</v>
      </c>
      <c r="G392" s="25" t="s">
        <v>5813</v>
      </c>
    </row>
    <row r="393" ht="15" customHeight="1">
      <c r="A393" s="25" t="s">
        <v>3035</v>
      </c>
      <c r="B393" s="25" t="s">
        <v>5814</v>
      </c>
      <c r="C393" s="25" t="s">
        <v>5815</v>
      </c>
      <c r="D393" s="25" t="s">
        <v>1837</v>
      </c>
      <c r="E393" s="25" t="s">
        <v>5816</v>
      </c>
      <c r="F393" s="25" t="s">
        <v>4497</v>
      </c>
      <c r="G393" s="25" t="s">
        <v>5817</v>
      </c>
    </row>
    <row r="394" ht="15" customHeight="1">
      <c r="A394" s="25" t="s">
        <v>3037</v>
      </c>
      <c r="B394" s="25" t="s">
        <v>5818</v>
      </c>
      <c r="C394" s="25" t="s">
        <v>5819</v>
      </c>
      <c r="D394" s="25" t="s">
        <v>4203</v>
      </c>
      <c r="E394" s="25" t="s">
        <v>5820</v>
      </c>
      <c r="F394" s="25" t="s">
        <v>4502</v>
      </c>
      <c r="G394" s="25" t="s">
        <v>5821</v>
      </c>
    </row>
    <row r="395" ht="15" customHeight="1">
      <c r="A395" s="25" t="s">
        <v>3039</v>
      </c>
      <c r="B395" s="25" t="s">
        <v>5822</v>
      </c>
      <c r="C395" s="25" t="s">
        <v>5823</v>
      </c>
      <c r="D395" s="25" t="s">
        <v>4340</v>
      </c>
      <c r="E395" s="25" t="s">
        <v>5824</v>
      </c>
      <c r="F395" s="25" t="s">
        <v>4507</v>
      </c>
      <c r="G395" s="25" t="s">
        <v>5825</v>
      </c>
    </row>
    <row r="396" ht="15" customHeight="1">
      <c r="A396" s="25" t="s">
        <v>3041</v>
      </c>
      <c r="B396" s="25" t="s">
        <v>5826</v>
      </c>
      <c r="C396" s="25" t="s">
        <v>5827</v>
      </c>
      <c r="D396" s="25" t="s">
        <v>4346</v>
      </c>
      <c r="E396" s="25" t="s">
        <v>4633</v>
      </c>
      <c r="F396" s="25" t="s">
        <v>4512</v>
      </c>
      <c r="G396" s="25" t="s">
        <v>5828</v>
      </c>
    </row>
    <row r="397" ht="15" customHeight="1">
      <c r="A397" s="25" t="s">
        <v>3042</v>
      </c>
      <c r="B397" s="25" t="s">
        <v>5829</v>
      </c>
      <c r="C397" s="25" t="s">
        <v>5830</v>
      </c>
      <c r="D397" s="25" t="s">
        <v>4352</v>
      </c>
      <c r="E397" s="25" t="s">
        <v>5831</v>
      </c>
      <c r="F397" s="25" t="s">
        <v>4517</v>
      </c>
      <c r="G397" s="25" t="s">
        <v>5832</v>
      </c>
    </row>
    <row r="398" ht="15" customHeight="1">
      <c r="A398" s="25" t="s">
        <v>3045</v>
      </c>
      <c r="B398" s="25" t="s">
        <v>5833</v>
      </c>
      <c r="C398" s="25" t="s">
        <v>5834</v>
      </c>
      <c r="D398" s="25" t="s">
        <v>4209</v>
      </c>
      <c r="E398" s="25" t="s">
        <v>5835</v>
      </c>
      <c r="F398" s="25" t="s">
        <v>4522</v>
      </c>
      <c r="G398" s="25" t="s">
        <v>5836</v>
      </c>
    </row>
    <row r="399" ht="15" customHeight="1">
      <c r="A399" s="25" t="s">
        <v>3047</v>
      </c>
      <c r="B399" s="25" t="s">
        <v>5837</v>
      </c>
      <c r="C399" s="25" t="s">
        <v>5838</v>
      </c>
      <c r="D399" s="25" t="s">
        <v>1851</v>
      </c>
      <c r="E399" s="25" t="s">
        <v>5839</v>
      </c>
      <c r="F399" s="25" t="s">
        <v>4527</v>
      </c>
      <c r="G399" s="25" t="s">
        <v>5840</v>
      </c>
    </row>
    <row r="400" ht="15" customHeight="1">
      <c r="A400" s="25" t="s">
        <v>3050</v>
      </c>
      <c r="B400" s="25" t="s">
        <v>5841</v>
      </c>
      <c r="C400" s="25" t="s">
        <v>5842</v>
      </c>
      <c r="D400" s="25" t="s">
        <v>4220</v>
      </c>
      <c r="E400" s="25" t="s">
        <v>5843</v>
      </c>
      <c r="F400" s="25" t="s">
        <v>4532</v>
      </c>
      <c r="G400" s="25" t="s">
        <v>5844</v>
      </c>
    </row>
    <row r="401" ht="15" customHeight="1">
      <c r="A401" s="25" t="s">
        <v>3051</v>
      </c>
      <c r="B401" s="25" t="s">
        <v>5845</v>
      </c>
      <c r="C401" s="25" t="s">
        <v>5846</v>
      </c>
      <c r="D401" s="25" t="s">
        <v>1858</v>
      </c>
      <c r="E401" s="25" t="s">
        <v>5847</v>
      </c>
      <c r="F401" s="25" t="s">
        <v>4537</v>
      </c>
      <c r="G401" s="25" t="s">
        <v>5848</v>
      </c>
    </row>
    <row r="402" ht="15" customHeight="1">
      <c r="A402" s="25" t="s">
        <v>3054</v>
      </c>
      <c r="B402" s="25" t="s">
        <v>5849</v>
      </c>
      <c r="C402" s="25" t="s">
        <v>5850</v>
      </c>
      <c r="D402" s="25" t="s">
        <v>4378</v>
      </c>
      <c r="E402" s="25" t="s">
        <v>5851</v>
      </c>
      <c r="F402" s="25" t="s">
        <v>4542</v>
      </c>
      <c r="G402" s="25" t="s">
        <v>5852</v>
      </c>
    </row>
    <row r="403" ht="15" customHeight="1">
      <c r="A403" s="25" t="s">
        <v>3056</v>
      </c>
      <c r="B403" s="25" t="s">
        <v>5853</v>
      </c>
      <c r="C403" s="25" t="s">
        <v>5854</v>
      </c>
      <c r="D403" s="25" t="s">
        <v>4384</v>
      </c>
      <c r="E403" s="25" t="s">
        <v>5855</v>
      </c>
      <c r="F403" s="25" t="s">
        <v>4547</v>
      </c>
      <c r="G403" s="25" t="s">
        <v>5856</v>
      </c>
    </row>
    <row r="404" ht="15" customHeight="1">
      <c r="A404" s="25" t="s">
        <v>3058</v>
      </c>
      <c r="B404" s="25" t="s">
        <v>5857</v>
      </c>
      <c r="C404" s="25" t="s">
        <v>5858</v>
      </c>
      <c r="D404" s="25" t="s">
        <v>4390</v>
      </c>
      <c r="E404" s="25" t="s">
        <v>5859</v>
      </c>
      <c r="F404" s="25" t="s">
        <v>4552</v>
      </c>
      <c r="G404" s="25" t="s">
        <v>5860</v>
      </c>
    </row>
    <row r="405" ht="15" customHeight="1">
      <c r="A405" s="25" t="s">
        <v>3060</v>
      </c>
      <c r="B405" s="25" t="s">
        <v>5861</v>
      </c>
      <c r="C405" s="25" t="s">
        <v>5862</v>
      </c>
      <c r="D405" s="25" t="s">
        <v>1865</v>
      </c>
      <c r="E405" s="25" t="s">
        <v>5863</v>
      </c>
      <c r="F405" s="25" t="s">
        <v>4557</v>
      </c>
      <c r="G405" s="25" t="s">
        <v>5864</v>
      </c>
    </row>
    <row r="406" ht="15" customHeight="1">
      <c r="A406" s="25" t="s">
        <v>3062</v>
      </c>
      <c r="B406" s="25" t="s">
        <v>5865</v>
      </c>
      <c r="C406" s="25" t="s">
        <v>5866</v>
      </c>
      <c r="D406" s="25" t="s">
        <v>4236</v>
      </c>
      <c r="E406" s="25" t="s">
        <v>5867</v>
      </c>
      <c r="F406" s="25" t="s">
        <v>4562</v>
      </c>
      <c r="G406" s="25" t="s">
        <v>5868</v>
      </c>
    </row>
    <row r="407" ht="15" customHeight="1">
      <c r="A407" s="25" t="s">
        <v>3064</v>
      </c>
      <c r="B407" s="25" t="s">
        <v>5869</v>
      </c>
      <c r="C407" s="25" t="s">
        <v>5870</v>
      </c>
      <c r="D407" s="25" t="s">
        <v>4242</v>
      </c>
      <c r="E407" s="25" t="s">
        <v>5871</v>
      </c>
      <c r="F407" s="25" t="s">
        <v>4567</v>
      </c>
      <c r="G407" s="25" t="s">
        <v>5872</v>
      </c>
    </row>
    <row r="408" ht="15" customHeight="1">
      <c r="A408" s="25" t="s">
        <v>3066</v>
      </c>
      <c r="B408" s="25" t="s">
        <v>5873</v>
      </c>
      <c r="C408" s="25" t="s">
        <v>5443</v>
      </c>
      <c r="D408" s="25" t="s">
        <v>1802</v>
      </c>
      <c r="E408" s="25" t="s">
        <v>5874</v>
      </c>
      <c r="F408" s="25" t="s">
        <v>4572</v>
      </c>
      <c r="G408" s="25" t="s">
        <v>5875</v>
      </c>
    </row>
    <row r="409" ht="15" customHeight="1">
      <c r="A409" s="25" t="s">
        <v>3068</v>
      </c>
      <c r="B409" s="25" t="s">
        <v>5876</v>
      </c>
      <c r="C409" s="25" t="s">
        <v>5877</v>
      </c>
      <c r="D409" s="25" t="s">
        <v>4253</v>
      </c>
      <c r="E409" s="25" t="s">
        <v>5878</v>
      </c>
      <c r="F409" s="25" t="s">
        <v>4577</v>
      </c>
      <c r="G409" s="25" t="s">
        <v>5879</v>
      </c>
    </row>
    <row r="410" ht="15" customHeight="1">
      <c r="A410" s="25" t="s">
        <v>3070</v>
      </c>
      <c r="B410" s="25" t="s">
        <v>5880</v>
      </c>
      <c r="C410" s="25" t="s">
        <v>5881</v>
      </c>
      <c r="D410" s="25" t="s">
        <v>4259</v>
      </c>
      <c r="E410" s="25" t="s">
        <v>5882</v>
      </c>
      <c r="F410" s="25" t="s">
        <v>4582</v>
      </c>
      <c r="G410" s="25" t="s">
        <v>5883</v>
      </c>
    </row>
    <row r="411" ht="15" customHeight="1">
      <c r="A411" s="25" t="s">
        <v>3071</v>
      </c>
      <c r="B411" s="25" t="s">
        <v>5884</v>
      </c>
      <c r="C411" s="25" t="s">
        <v>5885</v>
      </c>
      <c r="D411" s="25" t="s">
        <v>1944</v>
      </c>
      <c r="E411" s="25" t="s">
        <v>5886</v>
      </c>
      <c r="F411" s="25" t="s">
        <v>4587</v>
      </c>
      <c r="G411" s="25" t="s">
        <v>5887</v>
      </c>
    </row>
    <row r="412" ht="15" customHeight="1">
      <c r="A412" s="25" t="s">
        <v>3073</v>
      </c>
      <c r="B412" s="25" t="s">
        <v>5888</v>
      </c>
      <c r="C412" s="25" t="s">
        <v>5889</v>
      </c>
      <c r="D412" s="25" t="s">
        <v>1816</v>
      </c>
      <c r="E412" s="25" t="s">
        <v>5890</v>
      </c>
      <c r="F412" s="25" t="s">
        <v>4592</v>
      </c>
      <c r="G412" s="25" t="s">
        <v>5891</v>
      </c>
    </row>
    <row r="413" ht="15" customHeight="1">
      <c r="A413" s="25" t="s">
        <v>3075</v>
      </c>
      <c r="B413" s="25" t="s">
        <v>5892</v>
      </c>
      <c r="C413" s="25" t="s">
        <v>5893</v>
      </c>
      <c r="D413" s="25" t="s">
        <v>4275</v>
      </c>
      <c r="E413" s="25" t="s">
        <v>5894</v>
      </c>
      <c r="F413" s="25" t="s">
        <v>4597</v>
      </c>
      <c r="G413" s="25" t="s">
        <v>5895</v>
      </c>
    </row>
    <row r="414" ht="15" customHeight="1">
      <c r="A414" s="25" t="s">
        <v>3077</v>
      </c>
      <c r="B414" s="25" t="s">
        <v>5896</v>
      </c>
      <c r="C414" s="25" t="s">
        <v>5897</v>
      </c>
      <c r="D414" s="25" t="s">
        <v>4281</v>
      </c>
      <c r="E414" s="25" t="s">
        <v>5898</v>
      </c>
      <c r="F414" s="25" t="s">
        <v>4602</v>
      </c>
      <c r="G414" s="25" t="s">
        <v>5899</v>
      </c>
    </row>
    <row r="415" ht="15" customHeight="1">
      <c r="A415" s="25" t="s">
        <v>3079</v>
      </c>
      <c r="B415" s="25" t="s">
        <v>5900</v>
      </c>
      <c r="C415" s="25" t="s">
        <v>5901</v>
      </c>
      <c r="D415" s="25" t="s">
        <v>4287</v>
      </c>
      <c r="E415" s="25" t="s">
        <v>5902</v>
      </c>
      <c r="F415" s="25" t="s">
        <v>4607</v>
      </c>
      <c r="G415" s="25" t="s">
        <v>5903</v>
      </c>
    </row>
    <row r="416" ht="15" customHeight="1">
      <c r="A416" s="25" t="s">
        <v>3082</v>
      </c>
      <c r="B416" s="25" t="s">
        <v>5904</v>
      </c>
      <c r="C416" s="25" t="s">
        <v>5905</v>
      </c>
      <c r="D416" s="25" t="s">
        <v>1823</v>
      </c>
      <c r="E416" s="25" t="s">
        <v>5906</v>
      </c>
      <c r="F416" s="25" t="s">
        <v>4612</v>
      </c>
      <c r="G416" s="25" t="s">
        <v>5907</v>
      </c>
    </row>
    <row r="417" ht="15" customHeight="1">
      <c r="A417" s="25" t="s">
        <v>3083</v>
      </c>
      <c r="B417" s="25" t="s">
        <v>5908</v>
      </c>
      <c r="C417" s="25" t="s">
        <v>5909</v>
      </c>
      <c r="D417" s="25" t="s">
        <v>1892</v>
      </c>
      <c r="E417" s="25" t="s">
        <v>5910</v>
      </c>
      <c r="F417" s="25" t="s">
        <v>4617</v>
      </c>
      <c r="G417" s="25" t="s">
        <v>5911</v>
      </c>
    </row>
    <row r="418" ht="15" customHeight="1">
      <c r="A418" s="25" t="s">
        <v>3085</v>
      </c>
      <c r="B418" s="25" t="s">
        <v>5912</v>
      </c>
      <c r="C418" s="25" t="s">
        <v>5630</v>
      </c>
      <c r="D418" s="25" t="s">
        <v>4187</v>
      </c>
      <c r="E418" s="25" t="s">
        <v>5913</v>
      </c>
      <c r="F418" s="25" t="s">
        <v>4407</v>
      </c>
      <c r="G418" s="25" t="s">
        <v>5914</v>
      </c>
    </row>
    <row r="419" ht="15" customHeight="1">
      <c r="A419" s="25" t="s">
        <v>3086</v>
      </c>
      <c r="B419" s="25" t="s">
        <v>5915</v>
      </c>
      <c r="C419" s="25" t="s">
        <v>5431</v>
      </c>
      <c r="D419" s="25" t="s">
        <v>4192</v>
      </c>
      <c r="E419" s="25" t="s">
        <v>5916</v>
      </c>
      <c r="F419" s="25" t="s">
        <v>4354</v>
      </c>
      <c r="G419" s="25" t="s">
        <v>5917</v>
      </c>
    </row>
    <row r="420" ht="15" customHeight="1">
      <c r="A420" s="25" t="s">
        <v>3089</v>
      </c>
      <c r="B420" s="25" t="s">
        <v>5918</v>
      </c>
      <c r="C420" s="25" t="s">
        <v>5919</v>
      </c>
      <c r="D420" s="25" t="s">
        <v>1830</v>
      </c>
      <c r="E420" s="25" t="s">
        <v>5920</v>
      </c>
      <c r="F420" s="25" t="s">
        <v>4447</v>
      </c>
      <c r="G420" s="25" t="s">
        <v>5921</v>
      </c>
    </row>
    <row r="421" ht="15" customHeight="1">
      <c r="A421" s="25" t="s">
        <v>3091</v>
      </c>
      <c r="B421" s="25" t="s">
        <v>5922</v>
      </c>
      <c r="C421" s="25" t="s">
        <v>5923</v>
      </c>
      <c r="D421" s="25" t="s">
        <v>4318</v>
      </c>
      <c r="E421" s="25" t="s">
        <v>5924</v>
      </c>
      <c r="F421" s="25" t="s">
        <v>4437</v>
      </c>
      <c r="G421" s="25" t="s">
        <v>5925</v>
      </c>
    </row>
    <row r="422" ht="15" customHeight="1">
      <c r="A422" s="25" t="s">
        <v>3094</v>
      </c>
      <c r="B422" s="25" t="s">
        <v>5926</v>
      </c>
      <c r="C422" s="25" t="s">
        <v>5927</v>
      </c>
      <c r="D422" s="25" t="s">
        <v>4324</v>
      </c>
      <c r="E422" s="25" t="s">
        <v>5928</v>
      </c>
      <c r="F422" s="25" t="s">
        <v>4422</v>
      </c>
      <c r="G422" s="25" t="s">
        <v>5929</v>
      </c>
    </row>
    <row r="423" ht="15" customHeight="1">
      <c r="A423" s="25" t="s">
        <v>3096</v>
      </c>
      <c r="B423" s="25" t="s">
        <v>5930</v>
      </c>
      <c r="C423" s="25" t="s">
        <v>5129</v>
      </c>
      <c r="D423" s="25" t="s">
        <v>1837</v>
      </c>
      <c r="E423" s="25" t="s">
        <v>5931</v>
      </c>
      <c r="F423" s="25" t="s">
        <v>4427</v>
      </c>
      <c r="G423" s="25" t="s">
        <v>5932</v>
      </c>
    </row>
    <row r="424" ht="15" customHeight="1">
      <c r="A424" s="25" t="s">
        <v>3098</v>
      </c>
      <c r="B424" s="25" t="s">
        <v>5933</v>
      </c>
      <c r="C424" s="25" t="s">
        <v>5415</v>
      </c>
      <c r="D424" s="25" t="s">
        <v>4203</v>
      </c>
      <c r="E424" s="25" t="s">
        <v>5934</v>
      </c>
      <c r="F424" s="25" t="s">
        <v>4432</v>
      </c>
      <c r="G424" s="25" t="s">
        <v>5935</v>
      </c>
    </row>
    <row r="425" ht="15" customHeight="1">
      <c r="A425" s="25" t="s">
        <v>3099</v>
      </c>
      <c r="B425" s="25" t="s">
        <v>5936</v>
      </c>
      <c r="C425" s="25" t="s">
        <v>5937</v>
      </c>
      <c r="D425" s="25" t="s">
        <v>4340</v>
      </c>
      <c r="E425" s="25" t="s">
        <v>5938</v>
      </c>
      <c r="F425" s="25" t="s">
        <v>4437</v>
      </c>
      <c r="G425" s="25" t="s">
        <v>5939</v>
      </c>
    </row>
    <row r="426" ht="15" customHeight="1">
      <c r="A426" s="25" t="s">
        <v>3101</v>
      </c>
      <c r="B426" s="25" t="s">
        <v>5940</v>
      </c>
      <c r="C426" s="25" t="s">
        <v>5941</v>
      </c>
      <c r="D426" s="25" t="s">
        <v>4346</v>
      </c>
      <c r="E426" s="25" t="s">
        <v>5942</v>
      </c>
      <c r="F426" s="25" t="s">
        <v>4442</v>
      </c>
      <c r="G426" s="25" t="s">
        <v>5943</v>
      </c>
    </row>
    <row r="427" ht="15" customHeight="1">
      <c r="A427" s="25" t="s">
        <v>3103</v>
      </c>
      <c r="B427" s="25" t="s">
        <v>5944</v>
      </c>
      <c r="C427" s="25" t="s">
        <v>5945</v>
      </c>
      <c r="D427" s="25" t="s">
        <v>4352</v>
      </c>
      <c r="E427" s="25" t="s">
        <v>5946</v>
      </c>
      <c r="F427" s="25" t="s">
        <v>4447</v>
      </c>
      <c r="G427" s="25" t="s">
        <v>5947</v>
      </c>
    </row>
    <row r="428" ht="15" customHeight="1">
      <c r="A428" s="25" t="s">
        <v>3106</v>
      </c>
      <c r="B428" s="25" t="s">
        <v>5948</v>
      </c>
      <c r="C428" s="25" t="s">
        <v>5949</v>
      </c>
      <c r="D428" s="25" t="s">
        <v>4209</v>
      </c>
      <c r="E428" s="25" t="s">
        <v>5950</v>
      </c>
      <c r="F428" s="25" t="s">
        <v>4452</v>
      </c>
      <c r="G428" s="25" t="s">
        <v>5951</v>
      </c>
    </row>
    <row r="429" ht="15" customHeight="1">
      <c r="A429" s="25" t="s">
        <v>3108</v>
      </c>
      <c r="B429" s="25" t="s">
        <v>5952</v>
      </c>
      <c r="C429" s="25" t="s">
        <v>5953</v>
      </c>
      <c r="D429" s="25" t="s">
        <v>1851</v>
      </c>
      <c r="E429" s="25" t="s">
        <v>5954</v>
      </c>
      <c r="F429" s="25" t="s">
        <v>4457</v>
      </c>
      <c r="G429" s="25" t="s">
        <v>5955</v>
      </c>
    </row>
    <row r="430" ht="15" customHeight="1">
      <c r="A430" s="25" t="s">
        <v>3111</v>
      </c>
      <c r="B430" s="25" t="s">
        <v>5956</v>
      </c>
      <c r="C430" s="25" t="s">
        <v>5957</v>
      </c>
      <c r="D430" s="25" t="s">
        <v>4220</v>
      </c>
      <c r="E430" s="25" t="s">
        <v>5958</v>
      </c>
      <c r="F430" s="25" t="s">
        <v>4462</v>
      </c>
      <c r="G430" s="25" t="s">
        <v>5959</v>
      </c>
    </row>
    <row r="431" ht="15" customHeight="1">
      <c r="A431" s="25" t="s">
        <v>3113</v>
      </c>
      <c r="B431" s="25" t="s">
        <v>5960</v>
      </c>
      <c r="C431" s="25" t="s">
        <v>5961</v>
      </c>
      <c r="D431" s="25" t="s">
        <v>1858</v>
      </c>
      <c r="E431" s="25" t="s">
        <v>5962</v>
      </c>
      <c r="F431" s="25" t="s">
        <v>4467</v>
      </c>
      <c r="G431" s="25" t="s">
        <v>5963</v>
      </c>
    </row>
    <row r="432" ht="15" customHeight="1">
      <c r="A432" s="25" t="s">
        <v>3115</v>
      </c>
      <c r="B432" s="25" t="s">
        <v>5964</v>
      </c>
      <c r="C432" s="25" t="s">
        <v>5965</v>
      </c>
      <c r="D432" s="25" t="s">
        <v>4378</v>
      </c>
      <c r="E432" s="25" t="s">
        <v>5966</v>
      </c>
      <c r="F432" s="25" t="s">
        <v>4472</v>
      </c>
      <c r="G432" s="25" t="s">
        <v>5967</v>
      </c>
    </row>
    <row r="433" ht="15" customHeight="1">
      <c r="A433" s="25" t="s">
        <v>3116</v>
      </c>
      <c r="B433" s="25" t="s">
        <v>5968</v>
      </c>
      <c r="C433" s="25" t="s">
        <v>5969</v>
      </c>
      <c r="D433" s="25" t="s">
        <v>4384</v>
      </c>
      <c r="E433" s="25" t="s">
        <v>5970</v>
      </c>
      <c r="F433" s="25" t="s">
        <v>4477</v>
      </c>
      <c r="G433" s="25" t="s">
        <v>5971</v>
      </c>
    </row>
    <row r="434" ht="15" customHeight="1">
      <c r="A434" s="25" t="s">
        <v>3118</v>
      </c>
      <c r="B434" s="25" t="s">
        <v>5972</v>
      </c>
      <c r="C434" s="25" t="s">
        <v>5973</v>
      </c>
      <c r="D434" s="25" t="s">
        <v>4390</v>
      </c>
      <c r="E434" s="25" t="s">
        <v>5974</v>
      </c>
      <c r="F434" s="25" t="s">
        <v>4482</v>
      </c>
      <c r="G434" s="25" t="s">
        <v>5975</v>
      </c>
    </row>
    <row r="435" ht="15" customHeight="1">
      <c r="A435" s="25" t="s">
        <v>3119</v>
      </c>
      <c r="B435" s="25" t="s">
        <v>5976</v>
      </c>
      <c r="C435" s="25" t="s">
        <v>5977</v>
      </c>
      <c r="D435" s="25" t="s">
        <v>1865</v>
      </c>
      <c r="E435" s="25" t="s">
        <v>5978</v>
      </c>
      <c r="F435" s="25" t="s">
        <v>4487</v>
      </c>
      <c r="G435" s="25" t="s">
        <v>5979</v>
      </c>
    </row>
    <row r="436" ht="15" customHeight="1">
      <c r="A436" s="25" t="s">
        <v>3122</v>
      </c>
      <c r="B436" s="25" t="s">
        <v>5980</v>
      </c>
      <c r="C436" s="25" t="s">
        <v>5981</v>
      </c>
      <c r="D436" s="25" t="s">
        <v>4236</v>
      </c>
      <c r="E436" s="25" t="s">
        <v>5982</v>
      </c>
      <c r="F436" s="25" t="s">
        <v>4492</v>
      </c>
      <c r="G436" s="25" t="s">
        <v>5983</v>
      </c>
    </row>
    <row r="437" ht="15" customHeight="1">
      <c r="A437" s="25" t="s">
        <v>3124</v>
      </c>
      <c r="B437" s="25" t="s">
        <v>5984</v>
      </c>
      <c r="C437" s="25" t="s">
        <v>5985</v>
      </c>
      <c r="D437" s="25" t="s">
        <v>4242</v>
      </c>
      <c r="E437" s="25" t="s">
        <v>5986</v>
      </c>
      <c r="F437" s="25" t="s">
        <v>4497</v>
      </c>
      <c r="G437" s="25" t="s">
        <v>5987</v>
      </c>
    </row>
    <row r="438" ht="15" customHeight="1">
      <c r="A438" s="25" t="s">
        <v>3126</v>
      </c>
      <c r="B438" s="25" t="s">
        <v>5988</v>
      </c>
      <c r="C438" s="25" t="s">
        <v>5989</v>
      </c>
      <c r="D438" s="25" t="s">
        <v>1802</v>
      </c>
      <c r="E438" s="25" t="s">
        <v>5990</v>
      </c>
      <c r="F438" s="25" t="s">
        <v>4502</v>
      </c>
      <c r="G438" s="25" t="s">
        <v>5991</v>
      </c>
    </row>
    <row r="439" ht="15" customHeight="1">
      <c r="A439" s="25" t="s">
        <v>3128</v>
      </c>
      <c r="B439" s="25" t="s">
        <v>5992</v>
      </c>
      <c r="C439" s="25" t="s">
        <v>5993</v>
      </c>
      <c r="D439" s="25" t="s">
        <v>4253</v>
      </c>
      <c r="E439" s="25" t="s">
        <v>5994</v>
      </c>
      <c r="F439" s="25" t="s">
        <v>4507</v>
      </c>
      <c r="G439" s="25" t="s">
        <v>5995</v>
      </c>
    </row>
    <row r="440" ht="15" customHeight="1">
      <c r="A440" s="25" t="s">
        <v>3130</v>
      </c>
      <c r="B440" s="25" t="s">
        <v>5996</v>
      </c>
      <c r="C440" s="25" t="s">
        <v>5997</v>
      </c>
      <c r="D440" s="25" t="s">
        <v>4259</v>
      </c>
      <c r="E440" s="25" t="s">
        <v>5998</v>
      </c>
      <c r="F440" s="25" t="s">
        <v>4512</v>
      </c>
      <c r="G440" s="25" t="s">
        <v>5999</v>
      </c>
    </row>
    <row r="441" ht="15" customHeight="1">
      <c r="A441" s="25" t="s">
        <v>3131</v>
      </c>
      <c r="B441" s="25" t="s">
        <v>6000</v>
      </c>
      <c r="C441" s="25" t="s">
        <v>6001</v>
      </c>
      <c r="D441" s="25" t="s">
        <v>1944</v>
      </c>
      <c r="E441" s="25" t="s">
        <v>6002</v>
      </c>
      <c r="F441" s="25" t="s">
        <v>4517</v>
      </c>
      <c r="G441" s="25" t="s">
        <v>6003</v>
      </c>
    </row>
    <row r="442" ht="15" customHeight="1">
      <c r="A442" s="25" t="s">
        <v>3133</v>
      </c>
      <c r="B442" s="25" t="s">
        <v>6004</v>
      </c>
      <c r="C442" s="25" t="s">
        <v>6005</v>
      </c>
      <c r="D442" s="25" t="s">
        <v>1816</v>
      </c>
      <c r="E442" s="25" t="s">
        <v>6006</v>
      </c>
      <c r="F442" s="25" t="s">
        <v>4522</v>
      </c>
      <c r="G442" s="25" t="s">
        <v>6007</v>
      </c>
    </row>
    <row r="443" ht="15" customHeight="1">
      <c r="A443" s="25" t="s">
        <v>3134</v>
      </c>
      <c r="B443" s="25" t="s">
        <v>6008</v>
      </c>
      <c r="C443" s="25" t="s">
        <v>6009</v>
      </c>
      <c r="D443" s="25" t="s">
        <v>4275</v>
      </c>
      <c r="E443" s="25" t="s">
        <v>6010</v>
      </c>
      <c r="F443" s="25" t="s">
        <v>4527</v>
      </c>
      <c r="G443" s="25" t="s">
        <v>6011</v>
      </c>
    </row>
    <row r="444" ht="15" customHeight="1">
      <c r="A444" s="25" t="s">
        <v>3137</v>
      </c>
      <c r="B444" s="25" t="s">
        <v>6012</v>
      </c>
      <c r="C444" s="25" t="s">
        <v>6013</v>
      </c>
      <c r="D444" s="25" t="s">
        <v>4281</v>
      </c>
      <c r="E444" s="25" t="s">
        <v>6014</v>
      </c>
      <c r="F444" s="25" t="s">
        <v>4532</v>
      </c>
      <c r="G444" s="25" t="s">
        <v>6015</v>
      </c>
    </row>
    <row r="445" ht="15" customHeight="1">
      <c r="A445" s="25" t="s">
        <v>3139</v>
      </c>
      <c r="B445" s="25" t="s">
        <v>6016</v>
      </c>
      <c r="C445" s="25" t="s">
        <v>6017</v>
      </c>
      <c r="D445" s="25" t="s">
        <v>4287</v>
      </c>
      <c r="E445" s="25" t="s">
        <v>4221</v>
      </c>
      <c r="F445" s="25" t="s">
        <v>4537</v>
      </c>
      <c r="G445" s="25" t="s">
        <v>6018</v>
      </c>
    </row>
    <row r="446" ht="15" customHeight="1">
      <c r="A446" s="25" t="s">
        <v>3141</v>
      </c>
      <c r="B446" s="25" t="s">
        <v>6019</v>
      </c>
      <c r="C446" s="25" t="s">
        <v>6020</v>
      </c>
      <c r="D446" s="25" t="s">
        <v>1823</v>
      </c>
      <c r="E446" s="25" t="s">
        <v>6021</v>
      </c>
      <c r="F446" s="25" t="s">
        <v>4542</v>
      </c>
      <c r="G446" s="25" t="s">
        <v>6022</v>
      </c>
    </row>
    <row r="447" ht="15" customHeight="1">
      <c r="A447" s="25" t="s">
        <v>3142</v>
      </c>
      <c r="B447" s="25" t="s">
        <v>6023</v>
      </c>
      <c r="C447" s="25" t="s">
        <v>6024</v>
      </c>
      <c r="D447" s="25" t="s">
        <v>1892</v>
      </c>
      <c r="E447" s="25" t="s">
        <v>6025</v>
      </c>
      <c r="F447" s="25" t="s">
        <v>4547</v>
      </c>
      <c r="G447" s="25" t="s">
        <v>6026</v>
      </c>
    </row>
    <row r="448" ht="15" customHeight="1">
      <c r="A448" s="25" t="s">
        <v>3144</v>
      </c>
      <c r="B448" s="25" t="s">
        <v>6027</v>
      </c>
      <c r="C448" s="25" t="s">
        <v>6028</v>
      </c>
      <c r="D448" s="25" t="s">
        <v>4187</v>
      </c>
      <c r="E448" s="25" t="s">
        <v>6029</v>
      </c>
      <c r="F448" s="25" t="s">
        <v>4552</v>
      </c>
      <c r="G448" s="25" t="s">
        <v>6030</v>
      </c>
    </row>
    <row r="449" ht="15" customHeight="1">
      <c r="A449" s="25" t="s">
        <v>3145</v>
      </c>
      <c r="B449" s="25" t="s">
        <v>6031</v>
      </c>
      <c r="C449" s="25" t="s">
        <v>6032</v>
      </c>
      <c r="D449" s="25" t="s">
        <v>4192</v>
      </c>
      <c r="E449" s="25" t="s">
        <v>6033</v>
      </c>
      <c r="F449" s="25" t="s">
        <v>4557</v>
      </c>
      <c r="G449" s="25" t="s">
        <v>6034</v>
      </c>
    </row>
    <row r="450" ht="15" customHeight="1">
      <c r="A450" s="25" t="s">
        <v>3147</v>
      </c>
      <c r="B450" s="25" t="s">
        <v>6035</v>
      </c>
      <c r="C450" s="25" t="s">
        <v>6036</v>
      </c>
      <c r="D450" s="25" t="s">
        <v>1830</v>
      </c>
      <c r="E450" s="25" t="s">
        <v>6037</v>
      </c>
      <c r="F450" s="25" t="s">
        <v>4562</v>
      </c>
      <c r="G450" s="25" t="s">
        <v>6038</v>
      </c>
    </row>
    <row r="451" ht="15" customHeight="1">
      <c r="A451" s="25" t="s">
        <v>3149</v>
      </c>
      <c r="B451" s="25" t="s">
        <v>6039</v>
      </c>
      <c r="C451" s="25" t="s">
        <v>6040</v>
      </c>
      <c r="D451" s="25" t="s">
        <v>4318</v>
      </c>
      <c r="E451" s="25" t="s">
        <v>6041</v>
      </c>
      <c r="F451" s="25" t="s">
        <v>4567</v>
      </c>
      <c r="G451" s="25" t="s">
        <v>6042</v>
      </c>
    </row>
    <row r="452" ht="15" customHeight="1">
      <c r="A452" s="25" t="s">
        <v>3151</v>
      </c>
      <c r="B452" s="25" t="s">
        <v>6043</v>
      </c>
      <c r="C452" s="25" t="s">
        <v>6044</v>
      </c>
      <c r="D452" s="25" t="s">
        <v>4324</v>
      </c>
      <c r="E452" s="25" t="s">
        <v>6045</v>
      </c>
      <c r="F452" s="25" t="s">
        <v>4572</v>
      </c>
      <c r="G452" s="25" t="s">
        <v>6046</v>
      </c>
    </row>
    <row r="453" ht="15" customHeight="1">
      <c r="A453" s="25" t="s">
        <v>3152</v>
      </c>
      <c r="B453" s="25" t="s">
        <v>6047</v>
      </c>
      <c r="C453" s="25" t="s">
        <v>6048</v>
      </c>
      <c r="D453" s="25" t="s">
        <v>1837</v>
      </c>
      <c r="E453" s="25" t="s">
        <v>6049</v>
      </c>
      <c r="F453" s="25" t="s">
        <v>4577</v>
      </c>
      <c r="G453" s="25" t="s">
        <v>6050</v>
      </c>
    </row>
    <row r="454" ht="15" customHeight="1">
      <c r="A454" s="25" t="s">
        <v>3155</v>
      </c>
      <c r="B454" s="25" t="s">
        <v>6051</v>
      </c>
      <c r="C454" s="25" t="s">
        <v>6052</v>
      </c>
      <c r="D454" s="25" t="s">
        <v>4203</v>
      </c>
      <c r="E454" s="25" t="s">
        <v>6053</v>
      </c>
      <c r="F454" s="25" t="s">
        <v>4582</v>
      </c>
      <c r="G454" s="25" t="s">
        <v>6054</v>
      </c>
    </row>
    <row r="455" ht="15" customHeight="1">
      <c r="A455" s="25" t="s">
        <v>3156</v>
      </c>
      <c r="B455" s="25" t="s">
        <v>6055</v>
      </c>
      <c r="C455" s="25" t="s">
        <v>6056</v>
      </c>
      <c r="D455" s="25" t="s">
        <v>4340</v>
      </c>
      <c r="E455" s="25" t="s">
        <v>6057</v>
      </c>
      <c r="F455" s="25" t="s">
        <v>4587</v>
      </c>
      <c r="G455" s="25" t="s">
        <v>6058</v>
      </c>
    </row>
    <row r="456" ht="15" customHeight="1">
      <c r="A456" s="25" t="s">
        <v>3158</v>
      </c>
      <c r="B456" s="25" t="s">
        <v>6059</v>
      </c>
      <c r="C456" s="25" t="s">
        <v>6060</v>
      </c>
      <c r="D456" s="25" t="s">
        <v>4346</v>
      </c>
      <c r="E456" s="25" t="s">
        <v>6061</v>
      </c>
      <c r="F456" s="25" t="s">
        <v>4592</v>
      </c>
      <c r="G456" s="25" t="s">
        <v>6062</v>
      </c>
    </row>
    <row r="457" ht="15" customHeight="1">
      <c r="A457" s="25" t="s">
        <v>3160</v>
      </c>
      <c r="B457" s="25" t="s">
        <v>6063</v>
      </c>
      <c r="C457" s="25" t="s">
        <v>6064</v>
      </c>
      <c r="D457" s="25" t="s">
        <v>4352</v>
      </c>
      <c r="E457" s="25" t="s">
        <v>6065</v>
      </c>
      <c r="F457" s="25" t="s">
        <v>4597</v>
      </c>
      <c r="G457" s="25" t="s">
        <v>6066</v>
      </c>
    </row>
    <row r="458" ht="15" customHeight="1">
      <c r="A458" s="25" t="s">
        <v>3163</v>
      </c>
      <c r="B458" s="25" t="s">
        <v>6067</v>
      </c>
      <c r="C458" s="25" t="s">
        <v>6068</v>
      </c>
      <c r="D458" s="25" t="s">
        <v>4209</v>
      </c>
      <c r="E458" s="25" t="s">
        <v>6069</v>
      </c>
      <c r="F458" s="25" t="s">
        <v>4602</v>
      </c>
      <c r="G458" s="25" t="s">
        <v>6070</v>
      </c>
    </row>
    <row r="459" ht="15" customHeight="1">
      <c r="A459" s="25" t="s">
        <v>3165</v>
      </c>
      <c r="B459" s="25" t="s">
        <v>6071</v>
      </c>
      <c r="C459" s="25" t="s">
        <v>6072</v>
      </c>
      <c r="D459" s="25" t="s">
        <v>1851</v>
      </c>
      <c r="E459" s="25" t="s">
        <v>6073</v>
      </c>
      <c r="F459" s="25" t="s">
        <v>4607</v>
      </c>
      <c r="G459" s="25" t="s">
        <v>6074</v>
      </c>
    </row>
    <row r="460" ht="15" customHeight="1">
      <c r="A460" s="25" t="s">
        <v>3167</v>
      </c>
      <c r="B460" s="25" t="s">
        <v>6075</v>
      </c>
      <c r="C460" s="25" t="s">
        <v>6076</v>
      </c>
      <c r="D460" s="25" t="s">
        <v>4220</v>
      </c>
      <c r="E460" s="25" t="s">
        <v>6077</v>
      </c>
      <c r="F460" s="25" t="s">
        <v>4612</v>
      </c>
      <c r="G460" s="25" t="s">
        <v>6078</v>
      </c>
    </row>
    <row r="461" ht="15" customHeight="1">
      <c r="A461" s="25" t="s">
        <v>3168</v>
      </c>
      <c r="B461" s="25" t="s">
        <v>6079</v>
      </c>
      <c r="C461" s="25" t="s">
        <v>6080</v>
      </c>
      <c r="D461" s="25" t="s">
        <v>1858</v>
      </c>
      <c r="E461" s="25" t="s">
        <v>6081</v>
      </c>
      <c r="F461" s="25" t="s">
        <v>4617</v>
      </c>
      <c r="G461" s="25" t="s">
        <v>6082</v>
      </c>
    </row>
    <row r="462" ht="15" customHeight="1">
      <c r="A462" s="25" t="s">
        <v>3171</v>
      </c>
      <c r="B462" s="25" t="s">
        <v>6083</v>
      </c>
      <c r="C462" s="25" t="s">
        <v>5897</v>
      </c>
      <c r="D462" s="25" t="s">
        <v>4378</v>
      </c>
      <c r="E462" s="25" t="s">
        <v>6084</v>
      </c>
      <c r="F462" s="25" t="s">
        <v>4407</v>
      </c>
      <c r="G462" s="25" t="s">
        <v>6085</v>
      </c>
    </row>
    <row r="463" ht="15" customHeight="1">
      <c r="A463" s="25" t="s">
        <v>3172</v>
      </c>
      <c r="B463" s="25" t="s">
        <v>6086</v>
      </c>
      <c r="C463" s="25" t="s">
        <v>6087</v>
      </c>
      <c r="D463" s="25" t="s">
        <v>4384</v>
      </c>
      <c r="E463" s="25" t="s">
        <v>6088</v>
      </c>
      <c r="F463" s="25" t="s">
        <v>4354</v>
      </c>
      <c r="G463" s="25" t="s">
        <v>6089</v>
      </c>
    </row>
    <row r="464" ht="15" customHeight="1">
      <c r="A464" s="25" t="s">
        <v>3174</v>
      </c>
      <c r="B464" s="25" t="s">
        <v>6090</v>
      </c>
      <c r="C464" s="25" t="s">
        <v>6091</v>
      </c>
      <c r="D464" s="25" t="s">
        <v>4390</v>
      </c>
      <c r="E464" s="25" t="s">
        <v>6092</v>
      </c>
      <c r="F464" s="25" t="s">
        <v>4447</v>
      </c>
      <c r="G464" s="25" t="s">
        <v>6093</v>
      </c>
    </row>
    <row r="465" ht="15" customHeight="1">
      <c r="A465" s="25" t="s">
        <v>3176</v>
      </c>
      <c r="B465" s="25" t="s">
        <v>6094</v>
      </c>
      <c r="C465" s="25" t="s">
        <v>6095</v>
      </c>
      <c r="D465" s="25" t="s">
        <v>1865</v>
      </c>
      <c r="E465" s="25" t="s">
        <v>6096</v>
      </c>
      <c r="F465" s="25" t="s">
        <v>4437</v>
      </c>
      <c r="G465" s="25" t="s">
        <v>6097</v>
      </c>
    </row>
    <row r="466" ht="15" customHeight="1">
      <c r="A466" s="25" t="s">
        <v>3179</v>
      </c>
      <c r="B466" s="25" t="s">
        <v>6098</v>
      </c>
      <c r="C466" s="25" t="s">
        <v>6099</v>
      </c>
      <c r="D466" s="25" t="s">
        <v>4236</v>
      </c>
      <c r="E466" s="25" t="s">
        <v>6100</v>
      </c>
      <c r="F466" s="25" t="s">
        <v>4422</v>
      </c>
      <c r="G466" s="25" t="s">
        <v>6101</v>
      </c>
    </row>
    <row r="467" ht="15" customHeight="1">
      <c r="A467" s="25" t="s">
        <v>3181</v>
      </c>
      <c r="B467" s="25" t="s">
        <v>6102</v>
      </c>
      <c r="C467" s="25" t="s">
        <v>6103</v>
      </c>
      <c r="D467" s="25" t="s">
        <v>4242</v>
      </c>
      <c r="E467" s="25" t="s">
        <v>6104</v>
      </c>
      <c r="F467" s="25" t="s">
        <v>4427</v>
      </c>
      <c r="G467" s="25" t="s">
        <v>6105</v>
      </c>
    </row>
    <row r="468" ht="15" customHeight="1">
      <c r="A468" s="25" t="s">
        <v>3183</v>
      </c>
      <c r="B468" s="25" t="s">
        <v>6106</v>
      </c>
      <c r="C468" s="25" t="s">
        <v>6107</v>
      </c>
      <c r="D468" s="25" t="s">
        <v>1802</v>
      </c>
      <c r="E468" s="25" t="s">
        <v>6108</v>
      </c>
      <c r="F468" s="25" t="s">
        <v>4432</v>
      </c>
      <c r="G468" s="25" t="s">
        <v>6109</v>
      </c>
    </row>
    <row r="469" ht="15" customHeight="1">
      <c r="A469" s="25" t="s">
        <v>3185</v>
      </c>
      <c r="B469" s="25" t="s">
        <v>6110</v>
      </c>
      <c r="C469" s="25" t="s">
        <v>6111</v>
      </c>
      <c r="D469" s="25" t="s">
        <v>4253</v>
      </c>
      <c r="E469" s="25" t="s">
        <v>6112</v>
      </c>
      <c r="F469" s="25" t="s">
        <v>4437</v>
      </c>
      <c r="G469" s="25" t="s">
        <v>6113</v>
      </c>
    </row>
    <row r="470" ht="15" customHeight="1">
      <c r="A470" s="25" t="s">
        <v>3188</v>
      </c>
      <c r="B470" s="25" t="s">
        <v>6114</v>
      </c>
      <c r="C470" s="25" t="s">
        <v>6115</v>
      </c>
      <c r="D470" s="25" t="s">
        <v>4259</v>
      </c>
      <c r="E470" s="25" t="s">
        <v>6116</v>
      </c>
      <c r="F470" s="25" t="s">
        <v>4442</v>
      </c>
      <c r="G470" s="25" t="s">
        <v>6117</v>
      </c>
    </row>
    <row r="471" ht="15" customHeight="1">
      <c r="A471" s="25" t="s">
        <v>3190</v>
      </c>
      <c r="B471" s="25" t="s">
        <v>6118</v>
      </c>
      <c r="C471" s="25" t="s">
        <v>4882</v>
      </c>
      <c r="D471" s="25" t="s">
        <v>1944</v>
      </c>
      <c r="E471" s="25" t="s">
        <v>6119</v>
      </c>
      <c r="F471" s="25" t="s">
        <v>4447</v>
      </c>
      <c r="G471" s="25" t="s">
        <v>6120</v>
      </c>
    </row>
    <row r="472" ht="15" customHeight="1">
      <c r="A472" s="25" t="s">
        <v>3193</v>
      </c>
      <c r="B472" s="25" t="s">
        <v>6121</v>
      </c>
      <c r="C472" s="25" t="s">
        <v>6122</v>
      </c>
      <c r="D472" s="25" t="s">
        <v>1816</v>
      </c>
      <c r="E472" s="25" t="s">
        <v>6123</v>
      </c>
      <c r="F472" s="25" t="s">
        <v>4452</v>
      </c>
      <c r="G472" s="25" t="s">
        <v>6124</v>
      </c>
    </row>
    <row r="473" ht="15" customHeight="1">
      <c r="A473" s="25" t="s">
        <v>3194</v>
      </c>
      <c r="B473" s="25" t="s">
        <v>6125</v>
      </c>
      <c r="C473" s="25" t="s">
        <v>6126</v>
      </c>
      <c r="D473" s="25" t="s">
        <v>4275</v>
      </c>
      <c r="E473" s="25" t="s">
        <v>6127</v>
      </c>
      <c r="F473" s="25" t="s">
        <v>4457</v>
      </c>
      <c r="G473" s="25" t="s">
        <v>6128</v>
      </c>
    </row>
    <row r="474" ht="15" customHeight="1">
      <c r="A474" s="25" t="s">
        <v>3197</v>
      </c>
      <c r="B474" s="25" t="s">
        <v>6129</v>
      </c>
      <c r="C474" s="25" t="s">
        <v>6130</v>
      </c>
      <c r="D474" s="25" t="s">
        <v>4281</v>
      </c>
      <c r="E474" s="25" t="s">
        <v>6131</v>
      </c>
      <c r="F474" s="25" t="s">
        <v>4462</v>
      </c>
      <c r="G474" s="25" t="s">
        <v>6132</v>
      </c>
    </row>
    <row r="475" ht="15" customHeight="1">
      <c r="A475" s="25" t="s">
        <v>3199</v>
      </c>
      <c r="B475" s="25" t="s">
        <v>6133</v>
      </c>
      <c r="C475" s="25" t="s">
        <v>6134</v>
      </c>
      <c r="D475" s="25" t="s">
        <v>4287</v>
      </c>
      <c r="E475" s="25" t="s">
        <v>6135</v>
      </c>
      <c r="F475" s="25" t="s">
        <v>4467</v>
      </c>
      <c r="G475" s="25" t="s">
        <v>6136</v>
      </c>
    </row>
    <row r="476" ht="15" customHeight="1">
      <c r="A476" s="25" t="s">
        <v>3202</v>
      </c>
      <c r="B476" s="25" t="s">
        <v>6137</v>
      </c>
      <c r="C476" s="25" t="s">
        <v>6138</v>
      </c>
      <c r="D476" s="25" t="s">
        <v>1823</v>
      </c>
      <c r="E476" s="25" t="s">
        <v>6139</v>
      </c>
      <c r="F476" s="25" t="s">
        <v>4472</v>
      </c>
      <c r="G476" s="25" t="s">
        <v>6140</v>
      </c>
    </row>
    <row r="477" ht="15" customHeight="1">
      <c r="A477" s="25" t="s">
        <v>3203</v>
      </c>
      <c r="B477" s="25" t="s">
        <v>6141</v>
      </c>
      <c r="C477" s="25" t="s">
        <v>6142</v>
      </c>
      <c r="D477" s="25" t="s">
        <v>1892</v>
      </c>
      <c r="E477" s="25" t="s">
        <v>6143</v>
      </c>
      <c r="F477" s="25" t="s">
        <v>4477</v>
      </c>
      <c r="G477" s="25" t="s">
        <v>6144</v>
      </c>
    </row>
    <row r="478" ht="15" customHeight="1">
      <c r="A478" s="25" t="s">
        <v>3205</v>
      </c>
      <c r="B478" s="25" t="s">
        <v>6145</v>
      </c>
      <c r="C478" s="25" t="s">
        <v>6146</v>
      </c>
      <c r="D478" s="25" t="s">
        <v>4187</v>
      </c>
      <c r="E478" s="25" t="s">
        <v>6147</v>
      </c>
      <c r="F478" s="25" t="s">
        <v>4482</v>
      </c>
      <c r="G478" s="25" t="s">
        <v>6148</v>
      </c>
    </row>
    <row r="479" ht="15" customHeight="1">
      <c r="A479" s="25" t="s">
        <v>3206</v>
      </c>
      <c r="B479" s="25" t="s">
        <v>6149</v>
      </c>
      <c r="C479" s="25" t="s">
        <v>6150</v>
      </c>
      <c r="D479" s="25" t="s">
        <v>4192</v>
      </c>
      <c r="E479" s="25" t="s">
        <v>6151</v>
      </c>
      <c r="F479" s="25" t="s">
        <v>4487</v>
      </c>
      <c r="G479" s="25" t="s">
        <v>6152</v>
      </c>
    </row>
    <row r="480" ht="15" customHeight="1">
      <c r="A480" s="25" t="s">
        <v>3208</v>
      </c>
      <c r="B480" s="25" t="s">
        <v>6153</v>
      </c>
      <c r="C480" s="25" t="s">
        <v>6154</v>
      </c>
      <c r="D480" s="25" t="s">
        <v>1830</v>
      </c>
      <c r="E480" s="25" t="s">
        <v>6155</v>
      </c>
      <c r="F480" s="25" t="s">
        <v>4492</v>
      </c>
      <c r="G480" s="25" t="s">
        <v>6156</v>
      </c>
    </row>
    <row r="481" ht="15" customHeight="1">
      <c r="A481" s="25" t="s">
        <v>3210</v>
      </c>
      <c r="B481" s="25" t="s">
        <v>6157</v>
      </c>
      <c r="C481" s="25" t="s">
        <v>6158</v>
      </c>
      <c r="D481" s="25" t="s">
        <v>4318</v>
      </c>
      <c r="E481" s="25" t="s">
        <v>6159</v>
      </c>
      <c r="F481" s="25" t="s">
        <v>4497</v>
      </c>
      <c r="G481" s="25" t="s">
        <v>6160</v>
      </c>
    </row>
    <row r="482" ht="15" customHeight="1">
      <c r="A482" s="25" t="s">
        <v>3212</v>
      </c>
      <c r="B482" s="25" t="s">
        <v>6161</v>
      </c>
      <c r="C482" s="25" t="s">
        <v>6162</v>
      </c>
      <c r="D482" s="25" t="s">
        <v>4324</v>
      </c>
      <c r="E482" s="25" t="s">
        <v>6163</v>
      </c>
      <c r="F482" s="25" t="s">
        <v>4502</v>
      </c>
      <c r="G482" s="25" t="s">
        <v>6164</v>
      </c>
    </row>
    <row r="483" ht="15" customHeight="1">
      <c r="A483" s="25" t="s">
        <v>3213</v>
      </c>
      <c r="B483" s="25" t="s">
        <v>6165</v>
      </c>
      <c r="C483" s="25" t="s">
        <v>6166</v>
      </c>
      <c r="D483" s="25" t="s">
        <v>1837</v>
      </c>
      <c r="E483" s="25" t="s">
        <v>6167</v>
      </c>
      <c r="F483" s="25" t="s">
        <v>4507</v>
      </c>
      <c r="G483" s="25" t="s">
        <v>6168</v>
      </c>
    </row>
    <row r="484" ht="15" customHeight="1">
      <c r="A484" s="25" t="s">
        <v>3216</v>
      </c>
      <c r="B484" s="25" t="s">
        <v>6169</v>
      </c>
      <c r="C484" s="25" t="s">
        <v>6170</v>
      </c>
      <c r="D484" s="25" t="s">
        <v>4203</v>
      </c>
      <c r="E484" s="25" t="s">
        <v>6171</v>
      </c>
      <c r="F484" s="25" t="s">
        <v>4512</v>
      </c>
      <c r="G484" s="25" t="s">
        <v>6172</v>
      </c>
    </row>
    <row r="485" ht="15" customHeight="1">
      <c r="A485" s="25" t="s">
        <v>3217</v>
      </c>
      <c r="B485" s="25" t="s">
        <v>6173</v>
      </c>
      <c r="C485" s="25" t="s">
        <v>6174</v>
      </c>
      <c r="D485" s="25" t="s">
        <v>4340</v>
      </c>
      <c r="E485" s="25" t="s">
        <v>6175</v>
      </c>
      <c r="F485" s="25" t="s">
        <v>4517</v>
      </c>
      <c r="G485" s="25" t="s">
        <v>6176</v>
      </c>
    </row>
    <row r="486" ht="15" customHeight="1">
      <c r="A486" s="25" t="s">
        <v>3219</v>
      </c>
      <c r="B486" s="25" t="s">
        <v>6177</v>
      </c>
      <c r="C486" s="25" t="s">
        <v>6178</v>
      </c>
      <c r="D486" s="25" t="s">
        <v>4346</v>
      </c>
      <c r="E486" s="25" t="s">
        <v>6179</v>
      </c>
      <c r="F486" s="25" t="s">
        <v>4522</v>
      </c>
      <c r="G486" s="25" t="s">
        <v>6180</v>
      </c>
    </row>
    <row r="487" ht="15" customHeight="1">
      <c r="A487" s="25" t="s">
        <v>3220</v>
      </c>
      <c r="B487" s="25" t="s">
        <v>6181</v>
      </c>
      <c r="C487" s="25" t="s">
        <v>6182</v>
      </c>
      <c r="D487" s="25" t="s">
        <v>4352</v>
      </c>
      <c r="E487" s="25" t="s">
        <v>6183</v>
      </c>
      <c r="F487" s="25" t="s">
        <v>4527</v>
      </c>
      <c r="G487" s="25" t="s">
        <v>6184</v>
      </c>
    </row>
    <row r="488" ht="15" customHeight="1">
      <c r="A488" s="25" t="s">
        <v>3223</v>
      </c>
      <c r="B488" s="25" t="s">
        <v>6185</v>
      </c>
      <c r="C488" s="25" t="s">
        <v>6186</v>
      </c>
      <c r="D488" s="25" t="s">
        <v>4209</v>
      </c>
      <c r="E488" s="25" t="s">
        <v>6187</v>
      </c>
      <c r="F488" s="25" t="s">
        <v>4532</v>
      </c>
      <c r="G488" s="25" t="s">
        <v>6188</v>
      </c>
    </row>
    <row r="489" ht="15" customHeight="1">
      <c r="A489" s="25" t="s">
        <v>3224</v>
      </c>
      <c r="B489" s="25" t="s">
        <v>6189</v>
      </c>
      <c r="C489" s="25" t="s">
        <v>6190</v>
      </c>
      <c r="D489" s="25" t="s">
        <v>1851</v>
      </c>
      <c r="E489" s="25" t="s">
        <v>6191</v>
      </c>
      <c r="F489" s="25" t="s">
        <v>4537</v>
      </c>
      <c r="G489" s="25" t="s">
        <v>6192</v>
      </c>
    </row>
    <row r="490" ht="15" customHeight="1">
      <c r="A490" s="25" t="s">
        <v>3227</v>
      </c>
      <c r="B490" s="25" t="s">
        <v>6193</v>
      </c>
      <c r="C490" s="25" t="s">
        <v>6194</v>
      </c>
      <c r="D490" s="25" t="s">
        <v>4220</v>
      </c>
      <c r="E490" s="25" t="s">
        <v>6195</v>
      </c>
      <c r="F490" s="25" t="s">
        <v>4542</v>
      </c>
      <c r="G490" s="25" t="s">
        <v>6196</v>
      </c>
    </row>
    <row r="491" ht="15" customHeight="1">
      <c r="A491" s="25" t="s">
        <v>3228</v>
      </c>
      <c r="B491" s="25" t="s">
        <v>6197</v>
      </c>
      <c r="C491" s="25" t="s">
        <v>6198</v>
      </c>
      <c r="D491" s="25" t="s">
        <v>1858</v>
      </c>
      <c r="E491" s="25" t="s">
        <v>6199</v>
      </c>
      <c r="F491" s="25" t="s">
        <v>4547</v>
      </c>
      <c r="G491" s="25" t="s">
        <v>6200</v>
      </c>
    </row>
    <row r="492" ht="15" customHeight="1">
      <c r="A492" s="25" t="s">
        <v>3230</v>
      </c>
      <c r="B492" s="25" t="s">
        <v>6201</v>
      </c>
      <c r="C492" s="25" t="s">
        <v>6202</v>
      </c>
      <c r="D492" s="25" t="s">
        <v>4378</v>
      </c>
      <c r="E492" s="25" t="s">
        <v>6203</v>
      </c>
      <c r="F492" s="25" t="s">
        <v>4552</v>
      </c>
      <c r="G492" s="25" t="s">
        <v>6204</v>
      </c>
    </row>
    <row r="493" ht="15" customHeight="1">
      <c r="A493" s="25" t="s">
        <v>3231</v>
      </c>
      <c r="B493" s="25" t="s">
        <v>6205</v>
      </c>
      <c r="C493" s="25" t="s">
        <v>6206</v>
      </c>
      <c r="D493" s="25" t="s">
        <v>4384</v>
      </c>
      <c r="E493" s="25" t="s">
        <v>6207</v>
      </c>
      <c r="F493" s="25" t="s">
        <v>4557</v>
      </c>
      <c r="G493" s="25" t="s">
        <v>6208</v>
      </c>
    </row>
    <row r="494" ht="15" customHeight="1">
      <c r="A494" s="25" t="s">
        <v>3233</v>
      </c>
      <c r="B494" s="25" t="s">
        <v>6209</v>
      </c>
      <c r="C494" s="25" t="s">
        <v>6210</v>
      </c>
      <c r="D494" s="25" t="s">
        <v>4390</v>
      </c>
      <c r="E494" s="25" t="s">
        <v>6211</v>
      </c>
      <c r="F494" s="25" t="s">
        <v>4562</v>
      </c>
      <c r="G494" s="25" t="s">
        <v>6212</v>
      </c>
    </row>
    <row r="495" ht="15" customHeight="1">
      <c r="A495" s="25" t="s">
        <v>3235</v>
      </c>
      <c r="B495" s="25" t="s">
        <v>5697</v>
      </c>
      <c r="C495" s="25" t="s">
        <v>6213</v>
      </c>
      <c r="D495" s="25" t="s">
        <v>1865</v>
      </c>
      <c r="E495" s="25" t="s">
        <v>5699</v>
      </c>
      <c r="F495" s="25" t="s">
        <v>4567</v>
      </c>
      <c r="G495" s="25" t="s">
        <v>6214</v>
      </c>
    </row>
    <row r="496" ht="15" customHeight="1">
      <c r="A496" s="25" t="s">
        <v>3237</v>
      </c>
      <c r="B496" s="25" t="s">
        <v>6215</v>
      </c>
      <c r="C496" s="25" t="s">
        <v>6216</v>
      </c>
      <c r="D496" s="25" t="s">
        <v>4236</v>
      </c>
      <c r="E496" s="25" t="s">
        <v>6217</v>
      </c>
      <c r="F496" s="25" t="s">
        <v>4572</v>
      </c>
      <c r="G496" s="25" t="s">
        <v>6218</v>
      </c>
    </row>
    <row r="497" ht="15" customHeight="1">
      <c r="A497" s="25" t="s">
        <v>3238</v>
      </c>
      <c r="B497" s="25" t="s">
        <v>6219</v>
      </c>
      <c r="C497" s="25" t="s">
        <v>6220</v>
      </c>
      <c r="D497" s="25" t="s">
        <v>4242</v>
      </c>
      <c r="E497" s="25" t="s">
        <v>6221</v>
      </c>
      <c r="F497" s="25" t="s">
        <v>4577</v>
      </c>
      <c r="G497" s="25" t="s">
        <v>6222</v>
      </c>
    </row>
    <row r="498" ht="15" customHeight="1">
      <c r="A498" s="25" t="s">
        <v>3240</v>
      </c>
      <c r="B498" s="25" t="s">
        <v>6223</v>
      </c>
      <c r="C498" s="25" t="s">
        <v>6224</v>
      </c>
      <c r="D498" s="25" t="s">
        <v>1802</v>
      </c>
      <c r="E498" s="25" t="s">
        <v>6225</v>
      </c>
      <c r="F498" s="25" t="s">
        <v>4582</v>
      </c>
      <c r="G498" s="25" t="s">
        <v>6226</v>
      </c>
    </row>
    <row r="499" ht="15" customHeight="1">
      <c r="A499" s="25" t="s">
        <v>3242</v>
      </c>
      <c r="B499" s="25" t="s">
        <v>6227</v>
      </c>
      <c r="C499" s="25" t="s">
        <v>6228</v>
      </c>
      <c r="D499" s="25" t="s">
        <v>4253</v>
      </c>
      <c r="E499" s="25" t="s">
        <v>6229</v>
      </c>
      <c r="F499" s="25" t="s">
        <v>4587</v>
      </c>
      <c r="G499" s="25" t="s">
        <v>6230</v>
      </c>
    </row>
    <row r="500" ht="15" customHeight="1">
      <c r="A500" s="25" t="s">
        <v>3245</v>
      </c>
      <c r="B500" s="25" t="s">
        <v>6231</v>
      </c>
      <c r="C500" s="25" t="s">
        <v>6232</v>
      </c>
      <c r="D500" s="25" t="s">
        <v>4259</v>
      </c>
      <c r="E500" s="25" t="s">
        <v>6233</v>
      </c>
      <c r="F500" s="25" t="s">
        <v>4592</v>
      </c>
      <c r="G500" s="25" t="s">
        <v>6234</v>
      </c>
    </row>
    <row r="501" ht="15" customHeight="1">
      <c r="A501" s="25" t="s">
        <v>3246</v>
      </c>
      <c r="B501" s="25" t="s">
        <v>6235</v>
      </c>
      <c r="C501" s="25" t="s">
        <v>6236</v>
      </c>
      <c r="D501" s="25" t="s">
        <v>1944</v>
      </c>
      <c r="E501" s="25" t="s">
        <v>6237</v>
      </c>
      <c r="F501" s="25" t="s">
        <v>4597</v>
      </c>
      <c r="G501" s="25" t="s">
        <v>6238</v>
      </c>
    </row>
    <row r="502" ht="15" customHeight="1">
      <c r="A502" s="25" t="s">
        <v>3249</v>
      </c>
      <c r="B502" s="25" t="s">
        <v>6239</v>
      </c>
      <c r="C502" s="25" t="s">
        <v>6240</v>
      </c>
      <c r="D502" s="25" t="s">
        <v>1816</v>
      </c>
      <c r="E502" s="25" t="s">
        <v>6241</v>
      </c>
      <c r="F502" s="25" t="s">
        <v>4602</v>
      </c>
      <c r="G502" s="25" t="s">
        <v>6242</v>
      </c>
    </row>
    <row r="503" ht="15" customHeight="1">
      <c r="A503" s="25" t="s">
        <v>3250</v>
      </c>
      <c r="B503" s="25" t="s">
        <v>6243</v>
      </c>
      <c r="C503" s="25" t="s">
        <v>6213</v>
      </c>
      <c r="D503" s="25" t="s">
        <v>4275</v>
      </c>
      <c r="E503" s="25" t="s">
        <v>6244</v>
      </c>
      <c r="F503" s="25" t="s">
        <v>4607</v>
      </c>
      <c r="G503" s="25" t="s">
        <v>6245</v>
      </c>
    </row>
    <row r="504" ht="15" customHeight="1">
      <c r="A504" s="25" t="s">
        <v>3253</v>
      </c>
      <c r="B504" s="25" t="s">
        <v>6246</v>
      </c>
      <c r="C504" s="25" t="s">
        <v>6247</v>
      </c>
      <c r="D504" s="25" t="s">
        <v>4281</v>
      </c>
      <c r="E504" s="25" t="s">
        <v>6248</v>
      </c>
      <c r="F504" s="25" t="s">
        <v>4612</v>
      </c>
      <c r="G504" s="25" t="s">
        <v>6249</v>
      </c>
    </row>
    <row r="505" ht="15" customHeight="1">
      <c r="A505" s="25" t="s">
        <v>3255</v>
      </c>
      <c r="B505" s="25" t="s">
        <v>6250</v>
      </c>
      <c r="C505" s="25" t="s">
        <v>6251</v>
      </c>
      <c r="D505" s="25" t="s">
        <v>4287</v>
      </c>
      <c r="E505" s="25" t="s">
        <v>6252</v>
      </c>
      <c r="F505" s="25" t="s">
        <v>4617</v>
      </c>
      <c r="G505" s="25" t="s">
        <v>6253</v>
      </c>
    </row>
    <row r="506" ht="15" customHeight="1">
      <c r="A506" s="25" t="s">
        <v>3257</v>
      </c>
      <c r="B506" s="25" t="s">
        <v>6254</v>
      </c>
      <c r="C506" s="25" t="s">
        <v>5768</v>
      </c>
      <c r="D506" s="25" t="s">
        <v>1823</v>
      </c>
      <c r="E506" s="25" t="s">
        <v>5364</v>
      </c>
      <c r="F506" s="25" t="s">
        <v>4407</v>
      </c>
      <c r="G506" s="25" t="s">
        <v>6255</v>
      </c>
    </row>
    <row r="507" ht="15" customHeight="1">
      <c r="A507" s="25" t="s">
        <v>3258</v>
      </c>
      <c r="B507" s="25" t="s">
        <v>6256</v>
      </c>
      <c r="C507" s="25" t="s">
        <v>6257</v>
      </c>
      <c r="D507" s="25" t="s">
        <v>1892</v>
      </c>
      <c r="E507" s="25" t="s">
        <v>6258</v>
      </c>
      <c r="F507" s="25" t="s">
        <v>4354</v>
      </c>
      <c r="G507" s="25" t="s">
        <v>6259</v>
      </c>
    </row>
    <row r="508" ht="15" customHeight="1">
      <c r="A508" s="25" t="s">
        <v>3260</v>
      </c>
      <c r="B508" s="25" t="s">
        <v>6260</v>
      </c>
      <c r="C508" s="25" t="s">
        <v>6261</v>
      </c>
      <c r="D508" s="25" t="s">
        <v>4187</v>
      </c>
      <c r="E508" s="25" t="s">
        <v>4934</v>
      </c>
      <c r="F508" s="25" t="s">
        <v>4447</v>
      </c>
      <c r="G508" s="25" t="s">
        <v>6262</v>
      </c>
    </row>
    <row r="509" ht="15" customHeight="1">
      <c r="A509" s="25" t="s">
        <v>3261</v>
      </c>
      <c r="B509" s="25" t="s">
        <v>6263</v>
      </c>
      <c r="C509" s="25" t="s">
        <v>6264</v>
      </c>
      <c r="D509" s="25" t="s">
        <v>4192</v>
      </c>
      <c r="E509" s="25" t="s">
        <v>6265</v>
      </c>
      <c r="F509" s="25" t="s">
        <v>4437</v>
      </c>
      <c r="G509" s="25" t="s">
        <v>6266</v>
      </c>
    </row>
    <row r="510" ht="15" customHeight="1">
      <c r="A510" s="25" t="s">
        <v>3264</v>
      </c>
      <c r="B510" s="25" t="s">
        <v>6267</v>
      </c>
      <c r="C510" s="25" t="s">
        <v>6268</v>
      </c>
      <c r="D510" s="25" t="s">
        <v>1830</v>
      </c>
      <c r="E510" s="25" t="s">
        <v>6269</v>
      </c>
      <c r="F510" s="25" t="s">
        <v>4422</v>
      </c>
      <c r="G510" s="25" t="s">
        <v>6270</v>
      </c>
    </row>
    <row r="511" ht="15" customHeight="1">
      <c r="A511" s="25" t="s">
        <v>3265</v>
      </c>
      <c r="B511" s="25" t="s">
        <v>6271</v>
      </c>
      <c r="C511" s="25" t="s">
        <v>6272</v>
      </c>
      <c r="D511" s="25" t="s">
        <v>4318</v>
      </c>
      <c r="E511" s="25" t="s">
        <v>6273</v>
      </c>
      <c r="F511" s="25" t="s">
        <v>4427</v>
      </c>
      <c r="G511" s="25" t="s">
        <v>6274</v>
      </c>
    </row>
    <row r="512" ht="15" customHeight="1">
      <c r="A512" s="25" t="s">
        <v>3268</v>
      </c>
      <c r="B512" s="25" t="s">
        <v>6275</v>
      </c>
      <c r="C512" s="25" t="s">
        <v>6276</v>
      </c>
      <c r="D512" s="25" t="s">
        <v>4324</v>
      </c>
      <c r="E512" s="25" t="s">
        <v>6277</v>
      </c>
      <c r="F512" s="25" t="s">
        <v>4432</v>
      </c>
      <c r="G512" s="25" t="s">
        <v>6278</v>
      </c>
    </row>
    <row r="513" ht="15" customHeight="1">
      <c r="A513" s="25" t="s">
        <v>3269</v>
      </c>
      <c r="B513" s="25" t="s">
        <v>6279</v>
      </c>
      <c r="C513" s="25" t="s">
        <v>6280</v>
      </c>
      <c r="D513" s="25" t="s">
        <v>1837</v>
      </c>
      <c r="E513" s="25" t="s">
        <v>6281</v>
      </c>
      <c r="F513" s="25" t="s">
        <v>4437</v>
      </c>
      <c r="G513" s="25" t="s">
        <v>6282</v>
      </c>
    </row>
    <row r="514" ht="15" customHeight="1">
      <c r="A514" s="25" t="s">
        <v>3271</v>
      </c>
      <c r="B514" s="25" t="s">
        <v>6283</v>
      </c>
      <c r="C514" s="25" t="s">
        <v>6284</v>
      </c>
      <c r="D514" s="25" t="s">
        <v>4203</v>
      </c>
      <c r="E514" s="25" t="s">
        <v>6285</v>
      </c>
      <c r="F514" s="25" t="s">
        <v>4442</v>
      </c>
      <c r="G514" s="25" t="s">
        <v>6286</v>
      </c>
    </row>
    <row r="515" ht="15" customHeight="1">
      <c r="A515" s="25" t="s">
        <v>3273</v>
      </c>
      <c r="B515" s="25" t="s">
        <v>6287</v>
      </c>
      <c r="C515" s="25" t="s">
        <v>4297</v>
      </c>
      <c r="D515" s="25" t="s">
        <v>4340</v>
      </c>
      <c r="E515" s="25" t="s">
        <v>6288</v>
      </c>
      <c r="F515" s="25" t="s">
        <v>4447</v>
      </c>
      <c r="G515" s="25" t="s">
        <v>6289</v>
      </c>
    </row>
    <row r="516" ht="15" customHeight="1">
      <c r="A516" s="25" t="s">
        <v>3275</v>
      </c>
      <c r="B516" s="25" t="s">
        <v>6290</v>
      </c>
      <c r="C516" s="25" t="s">
        <v>6291</v>
      </c>
      <c r="D516" s="25" t="s">
        <v>4346</v>
      </c>
      <c r="E516" s="25" t="s">
        <v>6292</v>
      </c>
      <c r="F516" s="25" t="s">
        <v>4452</v>
      </c>
      <c r="G516" s="25" t="s">
        <v>6293</v>
      </c>
    </row>
    <row r="517" ht="15" customHeight="1">
      <c r="A517" s="25" t="s">
        <v>3277</v>
      </c>
      <c r="B517" s="25" t="s">
        <v>6294</v>
      </c>
      <c r="C517" s="25" t="s">
        <v>6295</v>
      </c>
      <c r="D517" s="25" t="s">
        <v>4352</v>
      </c>
      <c r="E517" s="25" t="s">
        <v>6296</v>
      </c>
      <c r="F517" s="25" t="s">
        <v>4457</v>
      </c>
      <c r="G517" s="25" t="s">
        <v>6297</v>
      </c>
    </row>
    <row r="518" ht="15" customHeight="1">
      <c r="A518" s="25" t="s">
        <v>3280</v>
      </c>
      <c r="B518" s="25" t="s">
        <v>6298</v>
      </c>
      <c r="C518" s="25" t="s">
        <v>6299</v>
      </c>
      <c r="D518" s="25" t="s">
        <v>4209</v>
      </c>
      <c r="E518" s="25" t="s">
        <v>6300</v>
      </c>
      <c r="F518" s="25" t="s">
        <v>4462</v>
      </c>
      <c r="G518" s="25" t="s">
        <v>6301</v>
      </c>
    </row>
    <row r="519" ht="15" customHeight="1">
      <c r="A519" s="25" t="s">
        <v>3281</v>
      </c>
      <c r="B519" s="25" t="s">
        <v>6302</v>
      </c>
      <c r="C519" s="25" t="s">
        <v>6303</v>
      </c>
      <c r="D519" s="25" t="s">
        <v>1851</v>
      </c>
      <c r="E519" s="25" t="s">
        <v>6304</v>
      </c>
      <c r="F519" s="25" t="s">
        <v>4467</v>
      </c>
      <c r="G519" s="25" t="s">
        <v>6305</v>
      </c>
    </row>
    <row r="520" ht="15" customHeight="1">
      <c r="A520" s="25" t="s">
        <v>3283</v>
      </c>
      <c r="B520" s="25" t="s">
        <v>6306</v>
      </c>
      <c r="C520" s="25" t="s">
        <v>6307</v>
      </c>
      <c r="D520" s="25" t="s">
        <v>4220</v>
      </c>
      <c r="E520" s="25" t="s">
        <v>6308</v>
      </c>
      <c r="F520" s="25" t="s">
        <v>4472</v>
      </c>
      <c r="G520" s="25" t="s">
        <v>6309</v>
      </c>
    </row>
    <row r="521" ht="15" customHeight="1">
      <c r="A521" s="25" t="s">
        <v>3284</v>
      </c>
      <c r="B521" s="25" t="s">
        <v>6310</v>
      </c>
      <c r="C521" s="25" t="s">
        <v>6311</v>
      </c>
      <c r="D521" s="25" t="s">
        <v>1858</v>
      </c>
      <c r="E521" s="25" t="s">
        <v>6312</v>
      </c>
      <c r="F521" s="25" t="s">
        <v>4477</v>
      </c>
      <c r="G521" s="25" t="s">
        <v>6313</v>
      </c>
    </row>
    <row r="522" ht="15" customHeight="1">
      <c r="A522" s="25" t="s">
        <v>3286</v>
      </c>
      <c r="B522" s="25" t="s">
        <v>6314</v>
      </c>
      <c r="C522" s="25" t="s">
        <v>6315</v>
      </c>
      <c r="D522" s="25" t="s">
        <v>4378</v>
      </c>
      <c r="E522" s="25" t="s">
        <v>6316</v>
      </c>
      <c r="F522" s="25" t="s">
        <v>4482</v>
      </c>
      <c r="G522" s="25" t="s">
        <v>6317</v>
      </c>
    </row>
    <row r="523" ht="15" customHeight="1">
      <c r="A523" s="25" t="s">
        <v>3288</v>
      </c>
      <c r="B523" s="25" t="s">
        <v>6318</v>
      </c>
      <c r="C523" s="25" t="s">
        <v>6319</v>
      </c>
      <c r="D523" s="25" t="s">
        <v>4384</v>
      </c>
      <c r="E523" s="25" t="s">
        <v>6320</v>
      </c>
      <c r="F523" s="25" t="s">
        <v>4487</v>
      </c>
      <c r="G523" s="25" t="s">
        <v>6321</v>
      </c>
    </row>
    <row r="524" ht="15" customHeight="1">
      <c r="A524" s="25" t="s">
        <v>3291</v>
      </c>
      <c r="B524" s="25" t="s">
        <v>6322</v>
      </c>
      <c r="C524" s="25" t="s">
        <v>6323</v>
      </c>
      <c r="D524" s="25" t="s">
        <v>4390</v>
      </c>
      <c r="E524" s="25" t="s">
        <v>5082</v>
      </c>
      <c r="F524" s="25" t="s">
        <v>4492</v>
      </c>
      <c r="G524" s="25" t="s">
        <v>6324</v>
      </c>
    </row>
    <row r="525" ht="15" customHeight="1">
      <c r="A525" s="25" t="s">
        <v>3292</v>
      </c>
      <c r="B525" s="25" t="s">
        <v>6325</v>
      </c>
      <c r="C525" s="25" t="s">
        <v>6326</v>
      </c>
      <c r="D525" s="25" t="s">
        <v>1865</v>
      </c>
      <c r="E525" s="25" t="s">
        <v>6327</v>
      </c>
      <c r="F525" s="25" t="s">
        <v>4497</v>
      </c>
      <c r="G525" s="25" t="s">
        <v>6328</v>
      </c>
    </row>
    <row r="526" ht="15" customHeight="1">
      <c r="A526" s="25" t="s">
        <v>3294</v>
      </c>
      <c r="B526" s="25" t="s">
        <v>6329</v>
      </c>
      <c r="C526" s="25" t="s">
        <v>6330</v>
      </c>
      <c r="D526" s="25" t="s">
        <v>4236</v>
      </c>
      <c r="E526" s="25" t="s">
        <v>6331</v>
      </c>
      <c r="F526" s="25" t="s">
        <v>4502</v>
      </c>
      <c r="G526" s="25" t="s">
        <v>6332</v>
      </c>
    </row>
    <row r="527" ht="15" customHeight="1">
      <c r="A527" s="25" t="s">
        <v>3295</v>
      </c>
      <c r="B527" s="25" t="s">
        <v>6333</v>
      </c>
      <c r="C527" s="25" t="s">
        <v>6334</v>
      </c>
      <c r="D527" s="25" t="s">
        <v>4242</v>
      </c>
      <c r="E527" s="25" t="s">
        <v>6335</v>
      </c>
      <c r="F527" s="25" t="s">
        <v>4507</v>
      </c>
      <c r="G527" s="25" t="s">
        <v>6336</v>
      </c>
    </row>
    <row r="528" ht="15" customHeight="1">
      <c r="A528" s="25" t="s">
        <v>3297</v>
      </c>
      <c r="B528" s="25" t="s">
        <v>6337</v>
      </c>
      <c r="C528" s="25" t="s">
        <v>6338</v>
      </c>
      <c r="D528" s="25" t="s">
        <v>1802</v>
      </c>
      <c r="E528" s="25" t="s">
        <v>6339</v>
      </c>
      <c r="F528" s="25" t="s">
        <v>4512</v>
      </c>
      <c r="G528" s="25" t="s">
        <v>6340</v>
      </c>
    </row>
    <row r="529" ht="15" customHeight="1">
      <c r="A529" s="25" t="s">
        <v>3299</v>
      </c>
      <c r="B529" s="25" t="s">
        <v>6341</v>
      </c>
      <c r="C529" s="25" t="s">
        <v>6342</v>
      </c>
      <c r="D529" s="25" t="s">
        <v>4253</v>
      </c>
      <c r="E529" s="25" t="s">
        <v>6343</v>
      </c>
      <c r="F529" s="25" t="s">
        <v>4517</v>
      </c>
      <c r="G529" s="25" t="s">
        <v>6344</v>
      </c>
    </row>
    <row r="530" ht="15" customHeight="1">
      <c r="A530" s="25" t="s">
        <v>3301</v>
      </c>
      <c r="B530" s="25" t="s">
        <v>6345</v>
      </c>
      <c r="C530" s="25" t="s">
        <v>6346</v>
      </c>
      <c r="D530" s="25" t="s">
        <v>4259</v>
      </c>
      <c r="E530" s="25" t="s">
        <v>6347</v>
      </c>
      <c r="F530" s="25" t="s">
        <v>4522</v>
      </c>
      <c r="G530" s="25" t="s">
        <v>6348</v>
      </c>
    </row>
    <row r="531" ht="15" customHeight="1">
      <c r="A531" s="25" t="s">
        <v>3303</v>
      </c>
      <c r="B531" s="25" t="s">
        <v>6349</v>
      </c>
      <c r="C531" s="25" t="s">
        <v>6350</v>
      </c>
      <c r="D531" s="25" t="s">
        <v>1944</v>
      </c>
      <c r="E531" s="25" t="s">
        <v>6351</v>
      </c>
      <c r="F531" s="25" t="s">
        <v>4527</v>
      </c>
      <c r="G531" s="25" t="s">
        <v>6352</v>
      </c>
    </row>
    <row r="532" ht="15" customHeight="1">
      <c r="A532" s="25" t="s">
        <v>3306</v>
      </c>
      <c r="B532" s="25" t="s">
        <v>6353</v>
      </c>
      <c r="C532" s="25" t="s">
        <v>6354</v>
      </c>
      <c r="D532" s="25" t="s">
        <v>1816</v>
      </c>
      <c r="E532" s="25" t="s">
        <v>6355</v>
      </c>
      <c r="F532" s="25" t="s">
        <v>4532</v>
      </c>
      <c r="G532" s="25" t="s">
        <v>6356</v>
      </c>
    </row>
    <row r="533" ht="15" customHeight="1">
      <c r="A533" s="25" t="s">
        <v>3308</v>
      </c>
      <c r="B533" s="25" t="s">
        <v>6357</v>
      </c>
      <c r="C533" s="25" t="s">
        <v>6358</v>
      </c>
      <c r="D533" s="25" t="s">
        <v>4275</v>
      </c>
      <c r="E533" s="25" t="s">
        <v>6359</v>
      </c>
      <c r="F533" s="25" t="s">
        <v>4537</v>
      </c>
      <c r="G533" s="25" t="s">
        <v>6360</v>
      </c>
    </row>
    <row r="534" ht="15" customHeight="1">
      <c r="A534" s="25" t="s">
        <v>3310</v>
      </c>
      <c r="B534" s="25" t="s">
        <v>6361</v>
      </c>
      <c r="C534" s="25" t="s">
        <v>6362</v>
      </c>
      <c r="D534" s="25" t="s">
        <v>4281</v>
      </c>
      <c r="E534" s="25" t="s">
        <v>4693</v>
      </c>
      <c r="F534" s="25" t="s">
        <v>4542</v>
      </c>
      <c r="G534" s="25" t="s">
        <v>6363</v>
      </c>
    </row>
    <row r="535" ht="15" customHeight="1">
      <c r="A535" s="25" t="s">
        <v>3311</v>
      </c>
      <c r="B535" s="25" t="s">
        <v>6364</v>
      </c>
      <c r="C535" s="25" t="s">
        <v>6365</v>
      </c>
      <c r="D535" s="25" t="s">
        <v>4287</v>
      </c>
      <c r="E535" s="25" t="s">
        <v>6366</v>
      </c>
      <c r="F535" s="25" t="s">
        <v>4547</v>
      </c>
      <c r="G535" s="25" t="s">
        <v>6367</v>
      </c>
    </row>
    <row r="536" ht="15" customHeight="1">
      <c r="A536" s="25" t="s">
        <v>3313</v>
      </c>
      <c r="B536" s="25" t="s">
        <v>6368</v>
      </c>
      <c r="C536" s="25" t="s">
        <v>6369</v>
      </c>
      <c r="D536" s="25" t="s">
        <v>1823</v>
      </c>
      <c r="E536" s="25" t="s">
        <v>6370</v>
      </c>
      <c r="F536" s="25" t="s">
        <v>4552</v>
      </c>
      <c r="G536" s="25" t="s">
        <v>6371</v>
      </c>
    </row>
    <row r="537" ht="15" customHeight="1">
      <c r="A537" s="25" t="s">
        <v>3314</v>
      </c>
      <c r="B537" s="25" t="s">
        <v>6372</v>
      </c>
      <c r="C537" s="25" t="s">
        <v>6373</v>
      </c>
      <c r="D537" s="25" t="s">
        <v>1892</v>
      </c>
      <c r="E537" s="25" t="s">
        <v>6374</v>
      </c>
      <c r="F537" s="25" t="s">
        <v>4557</v>
      </c>
      <c r="G537" s="25" t="s">
        <v>6375</v>
      </c>
    </row>
    <row r="538" ht="15" customHeight="1">
      <c r="A538" s="25" t="s">
        <v>3317</v>
      </c>
      <c r="B538" s="25" t="s">
        <v>6376</v>
      </c>
      <c r="C538" s="25" t="s">
        <v>6377</v>
      </c>
      <c r="D538" s="25" t="s">
        <v>4187</v>
      </c>
      <c r="E538" s="25" t="s">
        <v>6378</v>
      </c>
      <c r="F538" s="25" t="s">
        <v>4562</v>
      </c>
      <c r="G538" s="25" t="s">
        <v>6379</v>
      </c>
    </row>
    <row r="539" ht="15" customHeight="1">
      <c r="A539" s="25" t="s">
        <v>3319</v>
      </c>
      <c r="B539" s="25" t="s">
        <v>6380</v>
      </c>
      <c r="C539" s="25" t="s">
        <v>6381</v>
      </c>
      <c r="D539" s="25" t="s">
        <v>4192</v>
      </c>
      <c r="E539" s="25" t="s">
        <v>6382</v>
      </c>
      <c r="F539" s="25" t="s">
        <v>4567</v>
      </c>
      <c r="G539" s="25" t="s">
        <v>6383</v>
      </c>
    </row>
    <row r="540" ht="15" customHeight="1">
      <c r="A540" s="25" t="s">
        <v>3321</v>
      </c>
      <c r="B540" s="25" t="s">
        <v>6384</v>
      </c>
      <c r="C540" s="25" t="s">
        <v>6385</v>
      </c>
      <c r="D540" s="25" t="s">
        <v>1830</v>
      </c>
      <c r="E540" s="25" t="s">
        <v>6386</v>
      </c>
      <c r="F540" s="25" t="s">
        <v>4572</v>
      </c>
      <c r="G540" s="25" t="s">
        <v>6387</v>
      </c>
    </row>
    <row r="541" ht="15" customHeight="1">
      <c r="A541" s="25" t="s">
        <v>3323</v>
      </c>
      <c r="B541" s="25" t="s">
        <v>6388</v>
      </c>
      <c r="C541" s="25" t="s">
        <v>6389</v>
      </c>
      <c r="D541" s="25" t="s">
        <v>4318</v>
      </c>
      <c r="E541" s="25" t="s">
        <v>6390</v>
      </c>
      <c r="F541" s="25" t="s">
        <v>4577</v>
      </c>
      <c r="G541" s="25" t="s">
        <v>6391</v>
      </c>
    </row>
    <row r="542" ht="15" customHeight="1">
      <c r="A542" s="25" t="s">
        <v>3325</v>
      </c>
      <c r="B542" s="25" t="s">
        <v>6392</v>
      </c>
      <c r="C542" s="25" t="s">
        <v>6393</v>
      </c>
      <c r="D542" s="25" t="s">
        <v>4324</v>
      </c>
      <c r="E542" s="25" t="s">
        <v>6394</v>
      </c>
      <c r="F542" s="25" t="s">
        <v>4582</v>
      </c>
      <c r="G542" s="25" t="s">
        <v>6395</v>
      </c>
    </row>
    <row r="543" ht="15" customHeight="1">
      <c r="A543" s="25" t="s">
        <v>3326</v>
      </c>
      <c r="B543" s="25" t="s">
        <v>6396</v>
      </c>
      <c r="C543" s="25" t="s">
        <v>6397</v>
      </c>
      <c r="D543" s="25" t="s">
        <v>1837</v>
      </c>
      <c r="E543" s="25" t="s">
        <v>6398</v>
      </c>
      <c r="F543" s="25" t="s">
        <v>4587</v>
      </c>
      <c r="G543" s="25" t="s">
        <v>6399</v>
      </c>
    </row>
    <row r="544" ht="15" customHeight="1">
      <c r="A544" s="25" t="s">
        <v>3328</v>
      </c>
      <c r="B544" s="25" t="s">
        <v>6400</v>
      </c>
      <c r="C544" s="25" t="s">
        <v>6401</v>
      </c>
      <c r="D544" s="25" t="s">
        <v>4203</v>
      </c>
      <c r="E544" s="25" t="s">
        <v>6402</v>
      </c>
      <c r="F544" s="25" t="s">
        <v>4592</v>
      </c>
      <c r="G544" s="25" t="s">
        <v>6403</v>
      </c>
    </row>
    <row r="545" ht="15" customHeight="1">
      <c r="A545" s="25" t="s">
        <v>3329</v>
      </c>
      <c r="B545" s="25" t="s">
        <v>6404</v>
      </c>
      <c r="C545" s="25" t="s">
        <v>6405</v>
      </c>
      <c r="D545" s="25" t="s">
        <v>4340</v>
      </c>
      <c r="E545" s="25" t="s">
        <v>6406</v>
      </c>
      <c r="F545" s="25" t="s">
        <v>4597</v>
      </c>
      <c r="G545" s="25" t="s">
        <v>6407</v>
      </c>
    </row>
    <row r="546" ht="15" customHeight="1">
      <c r="A546" s="25" t="s">
        <v>3331</v>
      </c>
      <c r="B546" s="25" t="s">
        <v>6408</v>
      </c>
      <c r="C546" s="25" t="s">
        <v>6409</v>
      </c>
      <c r="D546" s="25" t="s">
        <v>4346</v>
      </c>
      <c r="E546" s="25" t="s">
        <v>6410</v>
      </c>
      <c r="F546" s="25" t="s">
        <v>4602</v>
      </c>
      <c r="G546" s="25" t="s">
        <v>6411</v>
      </c>
    </row>
    <row r="547" ht="15" customHeight="1">
      <c r="A547" s="25" t="s">
        <v>3333</v>
      </c>
      <c r="B547" s="25" t="s">
        <v>6412</v>
      </c>
      <c r="C547" s="25" t="s">
        <v>6413</v>
      </c>
      <c r="D547" s="25" t="s">
        <v>4352</v>
      </c>
      <c r="E547" s="25" t="s">
        <v>6414</v>
      </c>
      <c r="F547" s="25" t="s">
        <v>4607</v>
      </c>
      <c r="G547" s="25" t="s">
        <v>6415</v>
      </c>
    </row>
    <row r="548" ht="15" customHeight="1">
      <c r="A548" s="25" t="s">
        <v>3335</v>
      </c>
      <c r="B548" s="25" t="s">
        <v>6416</v>
      </c>
      <c r="C548" s="25" t="s">
        <v>6115</v>
      </c>
      <c r="D548" s="25" t="s">
        <v>4209</v>
      </c>
      <c r="E548" s="25" t="s">
        <v>6417</v>
      </c>
      <c r="F548" s="25" t="s">
        <v>4612</v>
      </c>
      <c r="G548" s="25" t="s">
        <v>6418</v>
      </c>
    </row>
    <row r="549" ht="15" customHeight="1">
      <c r="A549" s="25" t="s">
        <v>3336</v>
      </c>
      <c r="B549" s="25" t="s">
        <v>6419</v>
      </c>
      <c r="C549" s="25" t="s">
        <v>6420</v>
      </c>
      <c r="D549" s="25" t="s">
        <v>1851</v>
      </c>
      <c r="E549" s="25" t="s">
        <v>6421</v>
      </c>
      <c r="F549" s="25" t="s">
        <v>4617</v>
      </c>
      <c r="G549" s="25" t="s">
        <v>6422</v>
      </c>
    </row>
    <row r="550" ht="15" customHeight="1">
      <c r="A550" s="25" t="s">
        <v>3339</v>
      </c>
      <c r="B550" s="25" t="s">
        <v>6423</v>
      </c>
      <c r="C550" s="25" t="s">
        <v>6424</v>
      </c>
      <c r="D550" s="25" t="s">
        <v>4220</v>
      </c>
      <c r="E550" s="25" t="s">
        <v>6425</v>
      </c>
      <c r="F550" s="25" t="s">
        <v>4386</v>
      </c>
      <c r="G550" s="25" t="s">
        <v>6426</v>
      </c>
    </row>
    <row r="551" ht="15" customHeight="1">
      <c r="A551" s="25" t="s">
        <v>3341</v>
      </c>
      <c r="B551" s="25" t="s">
        <v>6427</v>
      </c>
      <c r="C551" s="25" t="s">
        <v>6428</v>
      </c>
      <c r="D551" s="25" t="s">
        <v>1858</v>
      </c>
      <c r="E551" s="25" t="s">
        <v>6429</v>
      </c>
      <c r="F551" s="25" t="s">
        <v>4407</v>
      </c>
      <c r="G551" s="25" t="s">
        <v>6430</v>
      </c>
    </row>
    <row r="552" ht="15" customHeight="1">
      <c r="A552" s="25" t="s">
        <v>3344</v>
      </c>
      <c r="B552" s="25" t="s">
        <v>6431</v>
      </c>
      <c r="C552" s="25" t="s">
        <v>6432</v>
      </c>
      <c r="D552" s="25" t="s">
        <v>4378</v>
      </c>
      <c r="E552" s="25" t="s">
        <v>6433</v>
      </c>
      <c r="F552" s="25" t="s">
        <v>4354</v>
      </c>
      <c r="G552" s="25" t="s">
        <v>6434</v>
      </c>
    </row>
    <row r="553" ht="15" customHeight="1">
      <c r="A553" s="25" t="s">
        <v>3345</v>
      </c>
      <c r="B553" s="25" t="s">
        <v>6435</v>
      </c>
      <c r="C553" s="25" t="s">
        <v>5471</v>
      </c>
      <c r="D553" s="25" t="s">
        <v>4384</v>
      </c>
      <c r="E553" s="25" t="s">
        <v>6436</v>
      </c>
      <c r="F553" s="25" t="s">
        <v>4447</v>
      </c>
      <c r="G553" s="25" t="s">
        <v>6437</v>
      </c>
    </row>
    <row r="554" ht="15" customHeight="1">
      <c r="A554" s="25" t="s">
        <v>3347</v>
      </c>
      <c r="B554" s="25" t="s">
        <v>6438</v>
      </c>
      <c r="C554" s="25" t="s">
        <v>6439</v>
      </c>
      <c r="D554" s="25" t="s">
        <v>4390</v>
      </c>
      <c r="E554" s="25" t="s">
        <v>6440</v>
      </c>
      <c r="F554" s="25" t="s">
        <v>4437</v>
      </c>
      <c r="G554" s="25" t="s">
        <v>6441</v>
      </c>
    </row>
    <row r="555" ht="15" customHeight="1">
      <c r="A555" s="25" t="s">
        <v>3348</v>
      </c>
      <c r="B555" s="25" t="s">
        <v>6442</v>
      </c>
      <c r="C555" s="25" t="s">
        <v>6443</v>
      </c>
      <c r="D555" s="25" t="s">
        <v>1865</v>
      </c>
      <c r="E555" s="25" t="s">
        <v>6444</v>
      </c>
      <c r="F555" s="25" t="s">
        <v>4422</v>
      </c>
      <c r="G555" s="25" t="s">
        <v>6445</v>
      </c>
    </row>
    <row r="556" ht="15" customHeight="1">
      <c r="A556" s="25" t="s">
        <v>3350</v>
      </c>
      <c r="B556" s="25" t="s">
        <v>6446</v>
      </c>
      <c r="C556" s="25" t="s">
        <v>6447</v>
      </c>
      <c r="D556" s="25" t="s">
        <v>4236</v>
      </c>
      <c r="E556" s="25" t="s">
        <v>6448</v>
      </c>
      <c r="F556" s="25" t="s">
        <v>4427</v>
      </c>
      <c r="G556" s="25" t="s">
        <v>6449</v>
      </c>
    </row>
    <row r="557" ht="15" customHeight="1">
      <c r="A557" s="25" t="s">
        <v>3351</v>
      </c>
      <c r="B557" s="25" t="s">
        <v>6450</v>
      </c>
      <c r="C557" s="25" t="s">
        <v>6451</v>
      </c>
      <c r="D557" s="25" t="s">
        <v>4242</v>
      </c>
      <c r="E557" s="25" t="s">
        <v>6452</v>
      </c>
      <c r="F557" s="25" t="s">
        <v>4432</v>
      </c>
      <c r="G557" s="25" t="s">
        <v>6453</v>
      </c>
    </row>
    <row r="558" ht="15" customHeight="1">
      <c r="A558" s="25" t="s">
        <v>3353</v>
      </c>
      <c r="B558" s="25" t="s">
        <v>6454</v>
      </c>
      <c r="C558" s="25" t="s">
        <v>6455</v>
      </c>
      <c r="D558" s="25" t="s">
        <v>1802</v>
      </c>
      <c r="E558" s="25" t="s">
        <v>6456</v>
      </c>
      <c r="F558" s="25" t="s">
        <v>4437</v>
      </c>
      <c r="G558" s="25" t="s">
        <v>6457</v>
      </c>
    </row>
    <row r="559" ht="15" customHeight="1">
      <c r="A559" s="25" t="s">
        <v>3354</v>
      </c>
      <c r="B559" s="25" t="s">
        <v>6458</v>
      </c>
      <c r="C559" s="25" t="s">
        <v>6459</v>
      </c>
      <c r="D559" s="25" t="s">
        <v>4253</v>
      </c>
      <c r="E559" s="25" t="s">
        <v>6460</v>
      </c>
      <c r="F559" s="25" t="s">
        <v>4442</v>
      </c>
      <c r="G559" s="25" t="s">
        <v>6461</v>
      </c>
    </row>
    <row r="560" ht="15" customHeight="1">
      <c r="A560" s="25" t="s">
        <v>3356</v>
      </c>
      <c r="B560" s="25" t="s">
        <v>6462</v>
      </c>
      <c r="C560" s="25" t="s">
        <v>6463</v>
      </c>
      <c r="D560" s="25" t="s">
        <v>4259</v>
      </c>
      <c r="E560" s="25" t="s">
        <v>6464</v>
      </c>
      <c r="F560" s="25" t="s">
        <v>4447</v>
      </c>
      <c r="G560" s="25" t="s">
        <v>6465</v>
      </c>
    </row>
    <row r="561" ht="15" customHeight="1">
      <c r="A561" s="25" t="s">
        <v>3357</v>
      </c>
      <c r="B561" s="25" t="s">
        <v>6466</v>
      </c>
      <c r="C561" s="25" t="s">
        <v>6467</v>
      </c>
      <c r="D561" s="25" t="s">
        <v>1944</v>
      </c>
      <c r="E561" s="25" t="s">
        <v>6468</v>
      </c>
      <c r="F561" s="25" t="s">
        <v>4452</v>
      </c>
      <c r="G561" s="25" t="s">
        <v>6469</v>
      </c>
    </row>
    <row r="562" ht="15" customHeight="1">
      <c r="A562" s="25" t="s">
        <v>3359</v>
      </c>
      <c r="B562" s="25" t="s">
        <v>6470</v>
      </c>
      <c r="C562" s="25" t="s">
        <v>6471</v>
      </c>
      <c r="D562" s="25" t="s">
        <v>1816</v>
      </c>
      <c r="E562" s="25" t="s">
        <v>6472</v>
      </c>
      <c r="F562" s="25" t="s">
        <v>4457</v>
      </c>
      <c r="G562" s="25" t="s">
        <v>6473</v>
      </c>
    </row>
    <row r="563" ht="15" customHeight="1">
      <c r="A563" s="25" t="s">
        <v>3361</v>
      </c>
      <c r="B563" s="25" t="s">
        <v>6474</v>
      </c>
      <c r="C563" s="25" t="s">
        <v>6475</v>
      </c>
      <c r="D563" s="25" t="s">
        <v>4275</v>
      </c>
      <c r="E563" s="25" t="s">
        <v>6476</v>
      </c>
      <c r="F563" s="25" t="s">
        <v>4462</v>
      </c>
      <c r="G563" s="25" t="s">
        <v>6477</v>
      </c>
    </row>
    <row r="564" ht="15" customHeight="1">
      <c r="A564" s="25" t="s">
        <v>3363</v>
      </c>
      <c r="B564" s="25" t="s">
        <v>6478</v>
      </c>
      <c r="C564" s="25" t="s">
        <v>6479</v>
      </c>
      <c r="D564" s="25" t="s">
        <v>4281</v>
      </c>
      <c r="E564" s="25" t="s">
        <v>6480</v>
      </c>
      <c r="F564" s="25" t="s">
        <v>4467</v>
      </c>
      <c r="G564" s="25" t="s">
        <v>6481</v>
      </c>
    </row>
    <row r="565" ht="15" customHeight="1">
      <c r="A565" s="25" t="s">
        <v>3364</v>
      </c>
      <c r="B565" s="25" t="s">
        <v>6482</v>
      </c>
      <c r="C565" s="25" t="s">
        <v>6483</v>
      </c>
      <c r="D565" s="25" t="s">
        <v>4287</v>
      </c>
      <c r="E565" s="25" t="s">
        <v>6484</v>
      </c>
      <c r="F565" s="25" t="s">
        <v>4472</v>
      </c>
      <c r="G565" s="25" t="s">
        <v>6485</v>
      </c>
    </row>
    <row r="566" ht="15" customHeight="1">
      <c r="A566" s="25" t="s">
        <v>3367</v>
      </c>
      <c r="B566" s="25" t="s">
        <v>6486</v>
      </c>
      <c r="C566" s="25" t="s">
        <v>6487</v>
      </c>
      <c r="D566" s="25" t="s">
        <v>1823</v>
      </c>
      <c r="E566" s="25" t="s">
        <v>6488</v>
      </c>
      <c r="F566" s="25" t="s">
        <v>4477</v>
      </c>
      <c r="G566" s="25" t="s">
        <v>6489</v>
      </c>
    </row>
    <row r="567" ht="15" customHeight="1">
      <c r="A567" s="25" t="s">
        <v>3368</v>
      </c>
      <c r="B567" s="25" t="s">
        <v>6490</v>
      </c>
      <c r="C567" s="25" t="s">
        <v>6491</v>
      </c>
      <c r="D567" s="25" t="s">
        <v>1892</v>
      </c>
      <c r="E567" s="25" t="s">
        <v>6492</v>
      </c>
      <c r="F567" s="25" t="s">
        <v>4482</v>
      </c>
      <c r="G567" s="25" t="s">
        <v>6493</v>
      </c>
    </row>
    <row r="568" ht="15" customHeight="1">
      <c r="A568" s="25" t="s">
        <v>3370</v>
      </c>
      <c r="B568" s="25" t="s">
        <v>6494</v>
      </c>
      <c r="C568" s="25" t="s">
        <v>6495</v>
      </c>
      <c r="D568" s="25" t="s">
        <v>4187</v>
      </c>
      <c r="E568" s="25" t="s">
        <v>6496</v>
      </c>
      <c r="F568" s="25" t="s">
        <v>4487</v>
      </c>
      <c r="G568" s="25" t="s">
        <v>6497</v>
      </c>
    </row>
    <row r="569" ht="15" customHeight="1">
      <c r="A569" s="25" t="s">
        <v>3371</v>
      </c>
      <c r="B569" s="25" t="s">
        <v>6498</v>
      </c>
      <c r="C569" s="25" t="s">
        <v>6499</v>
      </c>
      <c r="D569" s="25" t="s">
        <v>4192</v>
      </c>
      <c r="E569" s="25" t="s">
        <v>6500</v>
      </c>
      <c r="F569" s="25" t="s">
        <v>4492</v>
      </c>
      <c r="G569" s="25" t="s">
        <v>6501</v>
      </c>
    </row>
    <row r="570" ht="15" customHeight="1">
      <c r="A570" s="25" t="s">
        <v>3374</v>
      </c>
      <c r="B570" s="25" t="s">
        <v>6502</v>
      </c>
      <c r="C570" s="25" t="s">
        <v>6503</v>
      </c>
      <c r="D570" s="25" t="s">
        <v>1830</v>
      </c>
      <c r="E570" s="25" t="s">
        <v>6504</v>
      </c>
      <c r="F570" s="25" t="s">
        <v>4497</v>
      </c>
      <c r="G570" s="25" t="s">
        <v>6505</v>
      </c>
    </row>
    <row r="571" ht="15" customHeight="1">
      <c r="A571" s="25" t="s">
        <v>3376</v>
      </c>
      <c r="B571" s="25" t="s">
        <v>6506</v>
      </c>
      <c r="C571" s="25" t="s">
        <v>6507</v>
      </c>
      <c r="D571" s="25" t="s">
        <v>4318</v>
      </c>
      <c r="E571" s="25" t="s">
        <v>6508</v>
      </c>
      <c r="F571" s="25" t="s">
        <v>4502</v>
      </c>
      <c r="G571" s="25" t="s">
        <v>6509</v>
      </c>
    </row>
    <row r="572" ht="15" customHeight="1">
      <c r="A572" s="25" t="s">
        <v>3378</v>
      </c>
      <c r="B572" s="25" t="s">
        <v>6510</v>
      </c>
      <c r="C572" s="25" t="s">
        <v>5748</v>
      </c>
      <c r="D572" s="25" t="s">
        <v>4324</v>
      </c>
      <c r="E572" s="25" t="s">
        <v>6511</v>
      </c>
      <c r="F572" s="25" t="s">
        <v>4507</v>
      </c>
      <c r="G572" s="25" t="s">
        <v>6512</v>
      </c>
    </row>
    <row r="573" ht="15" customHeight="1">
      <c r="A573" s="25" t="s">
        <v>3380</v>
      </c>
      <c r="B573" s="25" t="s">
        <v>6513</v>
      </c>
      <c r="C573" s="25" t="s">
        <v>6514</v>
      </c>
      <c r="D573" s="25" t="s">
        <v>1837</v>
      </c>
      <c r="E573" s="25" t="s">
        <v>6515</v>
      </c>
      <c r="F573" s="25" t="s">
        <v>4512</v>
      </c>
      <c r="G573" s="25" t="s">
        <v>6516</v>
      </c>
    </row>
    <row r="574" ht="15" customHeight="1">
      <c r="A574" s="25" t="s">
        <v>3382</v>
      </c>
      <c r="B574" s="25" t="s">
        <v>6517</v>
      </c>
      <c r="C574" s="25" t="s">
        <v>6518</v>
      </c>
      <c r="D574" s="25" t="s">
        <v>4203</v>
      </c>
      <c r="E574" s="25" t="s">
        <v>6519</v>
      </c>
      <c r="F574" s="25" t="s">
        <v>4517</v>
      </c>
      <c r="G574" s="25" t="s">
        <v>6520</v>
      </c>
    </row>
    <row r="575" ht="15" customHeight="1">
      <c r="A575" s="25" t="s">
        <v>3383</v>
      </c>
      <c r="B575" s="25" t="s">
        <v>6521</v>
      </c>
      <c r="C575" s="25" t="s">
        <v>6522</v>
      </c>
      <c r="D575" s="25" t="s">
        <v>4340</v>
      </c>
      <c r="E575" s="25" t="s">
        <v>6523</v>
      </c>
      <c r="F575" s="25" t="s">
        <v>4522</v>
      </c>
      <c r="G575" s="25" t="s">
        <v>6524</v>
      </c>
    </row>
    <row r="576" ht="15" customHeight="1">
      <c r="A576" s="25" t="s">
        <v>3385</v>
      </c>
      <c r="B576" s="25" t="s">
        <v>6525</v>
      </c>
      <c r="C576" s="25" t="s">
        <v>6526</v>
      </c>
      <c r="D576" s="25" t="s">
        <v>4346</v>
      </c>
      <c r="E576" s="25" t="s">
        <v>6203</v>
      </c>
      <c r="F576" s="25" t="s">
        <v>4527</v>
      </c>
      <c r="G576" s="25" t="s">
        <v>6527</v>
      </c>
    </row>
    <row r="577" ht="15" customHeight="1">
      <c r="A577" s="25" t="s">
        <v>3387</v>
      </c>
      <c r="B577" s="25" t="s">
        <v>6528</v>
      </c>
      <c r="C577" s="25" t="s">
        <v>6529</v>
      </c>
      <c r="D577" s="25" t="s">
        <v>4352</v>
      </c>
      <c r="E577" s="25" t="s">
        <v>6530</v>
      </c>
      <c r="F577" s="25" t="s">
        <v>4532</v>
      </c>
      <c r="G577" s="25" t="s">
        <v>6531</v>
      </c>
    </row>
    <row r="578" ht="15" customHeight="1">
      <c r="A578" s="25" t="s">
        <v>3389</v>
      </c>
      <c r="B578" s="25" t="s">
        <v>6532</v>
      </c>
      <c r="C578" s="25" t="s">
        <v>6533</v>
      </c>
      <c r="D578" s="25" t="s">
        <v>4209</v>
      </c>
      <c r="E578" s="25" t="s">
        <v>6534</v>
      </c>
      <c r="F578" s="25" t="s">
        <v>4537</v>
      </c>
      <c r="G578" s="25" t="s">
        <v>6535</v>
      </c>
    </row>
    <row r="579" ht="15" customHeight="1">
      <c r="A579" s="25" t="s">
        <v>3391</v>
      </c>
      <c r="B579" s="25" t="s">
        <v>6536</v>
      </c>
      <c r="C579" s="25" t="s">
        <v>6537</v>
      </c>
      <c r="D579" s="25" t="s">
        <v>1851</v>
      </c>
      <c r="E579" s="25" t="s">
        <v>6538</v>
      </c>
      <c r="F579" s="25" t="s">
        <v>4542</v>
      </c>
      <c r="G579" s="25" t="s">
        <v>6539</v>
      </c>
    </row>
    <row r="580" ht="15" customHeight="1">
      <c r="A580" s="25" t="s">
        <v>3393</v>
      </c>
      <c r="B580" s="25" t="s">
        <v>6540</v>
      </c>
      <c r="C580" s="25" t="s">
        <v>6541</v>
      </c>
      <c r="D580" s="25" t="s">
        <v>4220</v>
      </c>
      <c r="E580" s="25" t="s">
        <v>6542</v>
      </c>
      <c r="F580" s="25" t="s">
        <v>4547</v>
      </c>
      <c r="G580" s="25" t="s">
        <v>6543</v>
      </c>
    </row>
    <row r="581" ht="15" customHeight="1">
      <c r="A581" s="25" t="s">
        <v>3394</v>
      </c>
      <c r="B581" s="25" t="s">
        <v>6544</v>
      </c>
      <c r="C581" s="25" t="s">
        <v>6545</v>
      </c>
      <c r="D581" s="25" t="s">
        <v>1858</v>
      </c>
      <c r="E581" s="25" t="s">
        <v>6546</v>
      </c>
      <c r="F581" s="25" t="s">
        <v>4552</v>
      </c>
      <c r="G581" s="25" t="s">
        <v>6547</v>
      </c>
    </row>
    <row r="582" ht="15" customHeight="1">
      <c r="A582" s="25" t="s">
        <v>3396</v>
      </c>
      <c r="B582" s="25" t="s">
        <v>6548</v>
      </c>
      <c r="C582" s="25" t="s">
        <v>6549</v>
      </c>
      <c r="D582" s="25" t="s">
        <v>4378</v>
      </c>
      <c r="E582" s="25" t="s">
        <v>6550</v>
      </c>
      <c r="F582" s="25" t="s">
        <v>4557</v>
      </c>
      <c r="G582" s="25" t="s">
        <v>6551</v>
      </c>
    </row>
    <row r="583" ht="15" customHeight="1">
      <c r="A583" s="25" t="s">
        <v>3397</v>
      </c>
      <c r="B583" s="25" t="s">
        <v>6552</v>
      </c>
      <c r="C583" s="25" t="s">
        <v>6553</v>
      </c>
      <c r="D583" s="25" t="s">
        <v>4384</v>
      </c>
      <c r="E583" s="25" t="s">
        <v>6554</v>
      </c>
      <c r="F583" s="25" t="s">
        <v>4562</v>
      </c>
      <c r="G583" s="25" t="s">
        <v>6555</v>
      </c>
    </row>
    <row r="584" ht="15" customHeight="1">
      <c r="A584" s="25" t="s">
        <v>3399</v>
      </c>
      <c r="B584" s="25" t="s">
        <v>6556</v>
      </c>
      <c r="C584" s="25" t="s">
        <v>6557</v>
      </c>
      <c r="D584" s="25" t="s">
        <v>4390</v>
      </c>
      <c r="E584" s="25" t="s">
        <v>6558</v>
      </c>
      <c r="F584" s="25" t="s">
        <v>4567</v>
      </c>
      <c r="G584" s="25" t="s">
        <v>6559</v>
      </c>
    </row>
    <row r="585" ht="15" customHeight="1">
      <c r="A585" s="25" t="s">
        <v>3400</v>
      </c>
      <c r="B585" s="25" t="s">
        <v>6560</v>
      </c>
      <c r="C585" s="25" t="s">
        <v>6561</v>
      </c>
      <c r="D585" s="25" t="s">
        <v>1865</v>
      </c>
      <c r="E585" s="25" t="s">
        <v>6562</v>
      </c>
      <c r="F585" s="25" t="s">
        <v>4572</v>
      </c>
      <c r="G585" s="25" t="s">
        <v>6563</v>
      </c>
    </row>
    <row r="586" ht="15" customHeight="1">
      <c r="A586" s="25" t="s">
        <v>3402</v>
      </c>
      <c r="B586" s="25" t="s">
        <v>6564</v>
      </c>
      <c r="C586" s="25" t="s">
        <v>6565</v>
      </c>
      <c r="D586" s="25" t="s">
        <v>4236</v>
      </c>
      <c r="E586" s="25" t="s">
        <v>4744</v>
      </c>
      <c r="F586" s="25" t="s">
        <v>4577</v>
      </c>
      <c r="G586" s="25" t="s">
        <v>6566</v>
      </c>
    </row>
    <row r="587" ht="15" customHeight="1">
      <c r="A587" s="25" t="s">
        <v>3403</v>
      </c>
      <c r="B587" s="25" t="s">
        <v>6567</v>
      </c>
      <c r="C587" s="25" t="s">
        <v>6568</v>
      </c>
      <c r="D587" s="25" t="s">
        <v>4242</v>
      </c>
      <c r="E587" s="25" t="s">
        <v>6569</v>
      </c>
      <c r="F587" s="25" t="s">
        <v>4582</v>
      </c>
      <c r="G587" s="25" t="s">
        <v>6570</v>
      </c>
    </row>
    <row r="588" ht="15" customHeight="1">
      <c r="A588" s="25" t="s">
        <v>3405</v>
      </c>
      <c r="B588" s="25" t="s">
        <v>6571</v>
      </c>
      <c r="C588" s="25" t="s">
        <v>6572</v>
      </c>
      <c r="D588" s="25" t="s">
        <v>1802</v>
      </c>
      <c r="E588" s="25" t="s">
        <v>6573</v>
      </c>
      <c r="F588" s="25" t="s">
        <v>4587</v>
      </c>
      <c r="G588" s="25" t="s">
        <v>6574</v>
      </c>
    </row>
    <row r="589" ht="15" customHeight="1">
      <c r="A589" s="25" t="s">
        <v>3407</v>
      </c>
      <c r="B589" s="25" t="s">
        <v>6575</v>
      </c>
      <c r="C589" s="25" t="s">
        <v>6576</v>
      </c>
      <c r="D589" s="25" t="s">
        <v>4253</v>
      </c>
      <c r="E589" s="25" t="s">
        <v>6577</v>
      </c>
      <c r="F589" s="25" t="s">
        <v>4592</v>
      </c>
      <c r="G589" s="25" t="s">
        <v>6578</v>
      </c>
    </row>
    <row r="590" ht="15" customHeight="1">
      <c r="A590" s="25" t="s">
        <v>3409</v>
      </c>
      <c r="B590" s="25" t="s">
        <v>6579</v>
      </c>
      <c r="C590" s="25" t="s">
        <v>6580</v>
      </c>
      <c r="D590" s="25" t="s">
        <v>4259</v>
      </c>
      <c r="E590" s="25" t="s">
        <v>6581</v>
      </c>
      <c r="F590" s="25" t="s">
        <v>4597</v>
      </c>
      <c r="G590" s="25" t="s">
        <v>6582</v>
      </c>
    </row>
    <row r="591" ht="15" customHeight="1">
      <c r="A591" s="25" t="s">
        <v>3411</v>
      </c>
      <c r="B591" s="25" t="s">
        <v>6583</v>
      </c>
      <c r="C591" s="25" t="s">
        <v>6584</v>
      </c>
      <c r="D591" s="25" t="s">
        <v>1944</v>
      </c>
      <c r="E591" s="25" t="s">
        <v>6585</v>
      </c>
      <c r="F591" s="25" t="s">
        <v>4602</v>
      </c>
      <c r="G591" s="25" t="s">
        <v>6586</v>
      </c>
    </row>
    <row r="592" ht="15" customHeight="1">
      <c r="A592" s="25" t="s">
        <v>3414</v>
      </c>
      <c r="B592" s="25" t="s">
        <v>6587</v>
      </c>
      <c r="C592" s="25" t="s">
        <v>6588</v>
      </c>
      <c r="D592" s="25" t="s">
        <v>1816</v>
      </c>
      <c r="E592" s="25" t="s">
        <v>6589</v>
      </c>
      <c r="F592" s="25" t="s">
        <v>4607</v>
      </c>
      <c r="G592" s="25" t="s">
        <v>6590</v>
      </c>
    </row>
    <row r="593" ht="15" customHeight="1">
      <c r="A593" s="25" t="s">
        <v>3415</v>
      </c>
      <c r="B593" s="25" t="s">
        <v>6591</v>
      </c>
      <c r="C593" s="25" t="s">
        <v>5367</v>
      </c>
      <c r="D593" s="25" t="s">
        <v>4275</v>
      </c>
      <c r="E593" s="25" t="s">
        <v>5916</v>
      </c>
      <c r="F593" s="25" t="s">
        <v>4612</v>
      </c>
      <c r="G593" s="25" t="s">
        <v>6592</v>
      </c>
    </row>
    <row r="594" ht="15" customHeight="1">
      <c r="A594" s="25" t="s">
        <v>3417</v>
      </c>
      <c r="B594" s="25" t="s">
        <v>6593</v>
      </c>
      <c r="C594" s="25" t="s">
        <v>6594</v>
      </c>
      <c r="D594" s="25" t="s">
        <v>4281</v>
      </c>
      <c r="E594" s="25" t="s">
        <v>6595</v>
      </c>
      <c r="F594" s="25" t="s">
        <v>4617</v>
      </c>
      <c r="G594" s="25" t="s">
        <v>6596</v>
      </c>
    </row>
    <row r="595" ht="15" customHeight="1">
      <c r="A595" s="25" t="s">
        <v>3418</v>
      </c>
      <c r="B595" s="25" t="s">
        <v>6597</v>
      </c>
      <c r="C595" s="25" t="s">
        <v>6598</v>
      </c>
      <c r="D595" s="25" t="s">
        <v>4287</v>
      </c>
      <c r="E595" s="25" t="s">
        <v>6599</v>
      </c>
      <c r="F595" s="25" t="s">
        <v>4386</v>
      </c>
      <c r="G595" s="25" t="s">
        <v>6600</v>
      </c>
    </row>
    <row r="596" ht="15" customHeight="1">
      <c r="A596" s="25" t="s">
        <v>3421</v>
      </c>
      <c r="B596" s="25" t="s">
        <v>6601</v>
      </c>
      <c r="C596" s="25" t="s">
        <v>6602</v>
      </c>
      <c r="D596" s="25" t="s">
        <v>1823</v>
      </c>
      <c r="E596" s="25" t="s">
        <v>6603</v>
      </c>
      <c r="F596" s="25" t="s">
        <v>4407</v>
      </c>
      <c r="G596" s="25" t="s">
        <v>6604</v>
      </c>
    </row>
    <row r="597" ht="15" customHeight="1">
      <c r="A597" s="25" t="s">
        <v>3422</v>
      </c>
      <c r="B597" s="25" t="s">
        <v>6605</v>
      </c>
      <c r="C597" s="25" t="s">
        <v>5121</v>
      </c>
      <c r="D597" s="25" t="s">
        <v>1892</v>
      </c>
      <c r="E597" s="25" t="s">
        <v>6606</v>
      </c>
      <c r="F597" s="25" t="s">
        <v>4354</v>
      </c>
      <c r="G597" s="25" t="s">
        <v>6607</v>
      </c>
    </row>
    <row r="598" ht="15" customHeight="1">
      <c r="A598" s="25" t="s">
        <v>3425</v>
      </c>
      <c r="B598" s="25" t="s">
        <v>6608</v>
      </c>
      <c r="C598" s="25" t="s">
        <v>6609</v>
      </c>
      <c r="D598" s="25" t="s">
        <v>4187</v>
      </c>
      <c r="E598" s="25" t="s">
        <v>5348</v>
      </c>
      <c r="F598" s="25" t="s">
        <v>4447</v>
      </c>
      <c r="G598" s="25" t="s">
        <v>6610</v>
      </c>
    </row>
    <row r="599" ht="15" customHeight="1">
      <c r="A599" s="25" t="s">
        <v>3426</v>
      </c>
      <c r="B599" s="25" t="s">
        <v>6611</v>
      </c>
      <c r="C599" s="25" t="s">
        <v>6612</v>
      </c>
      <c r="D599" s="25" t="s">
        <v>4192</v>
      </c>
      <c r="E599" s="25" t="s">
        <v>6613</v>
      </c>
      <c r="F599" s="25" t="s">
        <v>4437</v>
      </c>
      <c r="G599" s="25" t="s">
        <v>6614</v>
      </c>
    </row>
    <row r="600" ht="15" customHeight="1">
      <c r="A600" s="25" t="s">
        <v>3429</v>
      </c>
      <c r="B600" s="25" t="s">
        <v>6615</v>
      </c>
      <c r="C600" s="25" t="s">
        <v>6616</v>
      </c>
      <c r="D600" s="25" t="s">
        <v>1830</v>
      </c>
      <c r="E600" s="25" t="s">
        <v>6617</v>
      </c>
      <c r="F600" s="25" t="s">
        <v>4422</v>
      </c>
      <c r="G600" s="25" t="s">
        <v>6618</v>
      </c>
    </row>
    <row r="601" ht="15" customHeight="1">
      <c r="A601" s="25" t="s">
        <v>3430</v>
      </c>
      <c r="B601" s="25" t="s">
        <v>6619</v>
      </c>
      <c r="C601" s="25" t="s">
        <v>6620</v>
      </c>
      <c r="D601" s="25" t="s">
        <v>4318</v>
      </c>
      <c r="E601" s="25" t="s">
        <v>6621</v>
      </c>
      <c r="F601" s="25" t="s">
        <v>4427</v>
      </c>
      <c r="G601" s="25" t="s">
        <v>6622</v>
      </c>
    </row>
    <row r="602" ht="15" customHeight="1">
      <c r="A602" s="25" t="s">
        <v>3432</v>
      </c>
      <c r="B602" s="25" t="s">
        <v>6623</v>
      </c>
      <c r="C602" s="25" t="s">
        <v>6624</v>
      </c>
      <c r="D602" s="25" t="s">
        <v>4324</v>
      </c>
      <c r="E602" s="25" t="s">
        <v>6625</v>
      </c>
      <c r="F602" s="25" t="s">
        <v>4432</v>
      </c>
      <c r="G602" s="25" t="s">
        <v>6626</v>
      </c>
    </row>
    <row r="603" ht="15" customHeight="1">
      <c r="A603" s="25" t="s">
        <v>3434</v>
      </c>
      <c r="B603" s="25" t="s">
        <v>6627</v>
      </c>
      <c r="C603" s="25" t="s">
        <v>6628</v>
      </c>
      <c r="D603" s="25" t="s">
        <v>1837</v>
      </c>
      <c r="E603" s="25" t="s">
        <v>6629</v>
      </c>
      <c r="F603" s="25" t="s">
        <v>4437</v>
      </c>
      <c r="G603" s="25" t="s">
        <v>6630</v>
      </c>
    </row>
    <row r="604" ht="15" customHeight="1">
      <c r="A604" s="25" t="s">
        <v>3436</v>
      </c>
      <c r="B604" s="25" t="s">
        <v>6631</v>
      </c>
      <c r="C604" s="25" t="s">
        <v>6632</v>
      </c>
      <c r="D604" s="25" t="s">
        <v>4203</v>
      </c>
      <c r="E604" s="25" t="s">
        <v>6633</v>
      </c>
      <c r="F604" s="25" t="s">
        <v>4442</v>
      </c>
      <c r="G604" s="25" t="s">
        <v>6634</v>
      </c>
    </row>
    <row r="605" ht="15" customHeight="1">
      <c r="A605" s="25" t="s">
        <v>3437</v>
      </c>
      <c r="B605" s="25" t="s">
        <v>6635</v>
      </c>
      <c r="C605" s="25" t="s">
        <v>6636</v>
      </c>
      <c r="D605" s="25" t="s">
        <v>4340</v>
      </c>
      <c r="E605" s="25" t="s">
        <v>6637</v>
      </c>
      <c r="F605" s="25" t="s">
        <v>4447</v>
      </c>
      <c r="G605" s="25" t="s">
        <v>6638</v>
      </c>
    </row>
    <row r="606" ht="15" customHeight="1">
      <c r="A606" s="25" t="s">
        <v>3439</v>
      </c>
      <c r="B606" s="25" t="s">
        <v>6639</v>
      </c>
      <c r="C606" s="25" t="s">
        <v>6640</v>
      </c>
      <c r="D606" s="25" t="s">
        <v>4346</v>
      </c>
      <c r="E606" s="25" t="s">
        <v>6641</v>
      </c>
      <c r="F606" s="25" t="s">
        <v>4452</v>
      </c>
      <c r="G606" s="25" t="s">
        <v>6642</v>
      </c>
    </row>
    <row r="607" ht="15" customHeight="1">
      <c r="A607" s="25" t="s">
        <v>3441</v>
      </c>
      <c r="B607" s="25" t="s">
        <v>6643</v>
      </c>
      <c r="C607" s="25" t="s">
        <v>6644</v>
      </c>
      <c r="D607" s="25" t="s">
        <v>4352</v>
      </c>
      <c r="E607" s="25" t="s">
        <v>6645</v>
      </c>
      <c r="F607" s="25" t="s">
        <v>4457</v>
      </c>
      <c r="G607" s="25" t="s">
        <v>6646</v>
      </c>
    </row>
    <row r="608" ht="15" customHeight="1">
      <c r="A608" s="25" t="s">
        <v>3444</v>
      </c>
      <c r="B608" s="25" t="s">
        <v>6647</v>
      </c>
      <c r="C608" s="25" t="s">
        <v>6648</v>
      </c>
      <c r="D608" s="25" t="s">
        <v>4209</v>
      </c>
      <c r="E608" s="25" t="s">
        <v>6649</v>
      </c>
      <c r="F608" s="25" t="s">
        <v>4462</v>
      </c>
      <c r="G608" s="25" t="s">
        <v>6650</v>
      </c>
    </row>
    <row r="609" ht="15" customHeight="1">
      <c r="A609" s="25" t="s">
        <v>3445</v>
      </c>
      <c r="B609" s="25" t="s">
        <v>6651</v>
      </c>
      <c r="C609" s="25" t="s">
        <v>6652</v>
      </c>
      <c r="D609" s="25" t="s">
        <v>1851</v>
      </c>
      <c r="E609" s="25" t="s">
        <v>6653</v>
      </c>
      <c r="F609" s="25" t="s">
        <v>4467</v>
      </c>
      <c r="G609" s="25" t="s">
        <v>6654</v>
      </c>
    </row>
    <row r="610" ht="15" customHeight="1">
      <c r="A610" s="25" t="s">
        <v>3448</v>
      </c>
      <c r="B610" s="25" t="s">
        <v>6655</v>
      </c>
      <c r="C610" s="25" t="s">
        <v>6656</v>
      </c>
      <c r="D610" s="25" t="s">
        <v>4220</v>
      </c>
      <c r="E610" s="25" t="s">
        <v>6657</v>
      </c>
      <c r="F610" s="25" t="s">
        <v>4472</v>
      </c>
      <c r="G610" s="25" t="s">
        <v>6658</v>
      </c>
    </row>
    <row r="611" ht="15" customHeight="1">
      <c r="A611" s="25" t="s">
        <v>3449</v>
      </c>
      <c r="B611" s="25" t="s">
        <v>6659</v>
      </c>
      <c r="C611" s="25" t="s">
        <v>6660</v>
      </c>
      <c r="D611" s="25" t="s">
        <v>1858</v>
      </c>
      <c r="E611" s="25" t="s">
        <v>6661</v>
      </c>
      <c r="F611" s="25" t="s">
        <v>4477</v>
      </c>
      <c r="G611" s="25" t="s">
        <v>6662</v>
      </c>
    </row>
    <row r="612" ht="15" customHeight="1">
      <c r="A612" s="25" t="s">
        <v>3451</v>
      </c>
      <c r="B612" s="25" t="s">
        <v>6663</v>
      </c>
      <c r="C612" s="25" t="s">
        <v>6664</v>
      </c>
      <c r="D612" s="25" t="s">
        <v>4378</v>
      </c>
      <c r="E612" s="25" t="s">
        <v>6665</v>
      </c>
      <c r="F612" s="25" t="s">
        <v>4482</v>
      </c>
      <c r="G612" s="25" t="s">
        <v>6666</v>
      </c>
    </row>
    <row r="613" ht="15" customHeight="1">
      <c r="A613" s="25" t="s">
        <v>3452</v>
      </c>
      <c r="B613" s="25" t="s">
        <v>6667</v>
      </c>
      <c r="C613" s="25" t="s">
        <v>6668</v>
      </c>
      <c r="D613" s="25" t="s">
        <v>4384</v>
      </c>
      <c r="E613" s="25" t="s">
        <v>6669</v>
      </c>
      <c r="F613" s="25" t="s">
        <v>4487</v>
      </c>
      <c r="G613" s="25" t="s">
        <v>6670</v>
      </c>
    </row>
    <row r="614" ht="15" customHeight="1">
      <c r="A614" s="25" t="s">
        <v>3454</v>
      </c>
      <c r="B614" s="25" t="s">
        <v>6671</v>
      </c>
      <c r="C614" s="25" t="s">
        <v>6672</v>
      </c>
      <c r="D614" s="25" t="s">
        <v>4390</v>
      </c>
      <c r="E614" s="25" t="s">
        <v>6673</v>
      </c>
      <c r="F614" s="25" t="s">
        <v>4492</v>
      </c>
      <c r="G614" s="25" t="s">
        <v>6674</v>
      </c>
    </row>
    <row r="615" ht="15" customHeight="1">
      <c r="A615" s="25" t="s">
        <v>3455</v>
      </c>
      <c r="B615" s="25" t="s">
        <v>6675</v>
      </c>
      <c r="C615" s="25" t="s">
        <v>6676</v>
      </c>
      <c r="D615" s="25" t="s">
        <v>1865</v>
      </c>
      <c r="E615" s="25" t="s">
        <v>6677</v>
      </c>
      <c r="F615" s="25" t="s">
        <v>4497</v>
      </c>
      <c r="G615" s="25" t="s">
        <v>6678</v>
      </c>
    </row>
    <row r="616" ht="15" customHeight="1">
      <c r="A616" s="25" t="s">
        <v>3458</v>
      </c>
      <c r="B616" s="25" t="s">
        <v>6679</v>
      </c>
      <c r="C616" s="25" t="s">
        <v>6680</v>
      </c>
      <c r="D616" s="25" t="s">
        <v>4236</v>
      </c>
      <c r="E616" s="25" t="s">
        <v>6681</v>
      </c>
      <c r="F616" s="25" t="s">
        <v>4502</v>
      </c>
      <c r="G616" s="25" t="s">
        <v>6682</v>
      </c>
    </row>
    <row r="617" ht="15" customHeight="1">
      <c r="A617" s="25" t="s">
        <v>3459</v>
      </c>
      <c r="B617" s="25" t="s">
        <v>6683</v>
      </c>
      <c r="C617" s="25" t="s">
        <v>6684</v>
      </c>
      <c r="D617" s="25" t="s">
        <v>4242</v>
      </c>
      <c r="E617" s="25" t="s">
        <v>4406</v>
      </c>
      <c r="F617" s="25" t="s">
        <v>4507</v>
      </c>
      <c r="G617" s="25" t="s">
        <v>6685</v>
      </c>
    </row>
    <row r="618" ht="15" customHeight="1">
      <c r="A618" s="25" t="s">
        <v>3461</v>
      </c>
      <c r="B618" s="25" t="s">
        <v>6686</v>
      </c>
      <c r="C618" s="25" t="s">
        <v>6687</v>
      </c>
      <c r="D618" s="25" t="s">
        <v>1802</v>
      </c>
      <c r="E618" s="25" t="s">
        <v>6688</v>
      </c>
      <c r="F618" s="25" t="s">
        <v>4512</v>
      </c>
      <c r="G618" s="25" t="s">
        <v>6689</v>
      </c>
    </row>
    <row r="619" ht="15" customHeight="1">
      <c r="A619" s="25" t="s">
        <v>3463</v>
      </c>
      <c r="B619" s="25" t="s">
        <v>6690</v>
      </c>
      <c r="C619" s="25" t="s">
        <v>6691</v>
      </c>
      <c r="D619" s="25" t="s">
        <v>4253</v>
      </c>
      <c r="E619" s="25" t="s">
        <v>6692</v>
      </c>
      <c r="F619" s="25" t="s">
        <v>4517</v>
      </c>
      <c r="G619" s="25" t="s">
        <v>6693</v>
      </c>
    </row>
    <row r="620" ht="15" customHeight="1">
      <c r="A620" s="25" t="s">
        <v>3465</v>
      </c>
      <c r="B620" s="25" t="s">
        <v>6694</v>
      </c>
      <c r="C620" s="25" t="s">
        <v>6695</v>
      </c>
      <c r="D620" s="25" t="s">
        <v>4259</v>
      </c>
      <c r="E620" s="25" t="s">
        <v>6696</v>
      </c>
      <c r="F620" s="25" t="s">
        <v>4522</v>
      </c>
      <c r="G620" s="25" t="s">
        <v>6697</v>
      </c>
    </row>
    <row r="621" ht="15" customHeight="1">
      <c r="A621" s="25" t="s">
        <v>3467</v>
      </c>
      <c r="B621" s="25" t="s">
        <v>6698</v>
      </c>
      <c r="C621" s="25" t="s">
        <v>6699</v>
      </c>
      <c r="D621" s="25" t="s">
        <v>1944</v>
      </c>
      <c r="E621" s="25" t="s">
        <v>6700</v>
      </c>
      <c r="F621" s="25" t="s">
        <v>4527</v>
      </c>
      <c r="G621" s="25" t="s">
        <v>6701</v>
      </c>
    </row>
    <row r="622" ht="15" customHeight="1">
      <c r="A622" s="25" t="s">
        <v>3470</v>
      </c>
      <c r="B622" s="25" t="s">
        <v>6702</v>
      </c>
      <c r="C622" s="25" t="s">
        <v>6703</v>
      </c>
      <c r="D622" s="25" t="s">
        <v>1816</v>
      </c>
      <c r="E622" s="25" t="s">
        <v>6704</v>
      </c>
      <c r="F622" s="25" t="s">
        <v>4532</v>
      </c>
      <c r="G622" s="25" t="s">
        <v>6705</v>
      </c>
    </row>
    <row r="623" ht="15" customHeight="1">
      <c r="A623" s="25" t="s">
        <v>3471</v>
      </c>
      <c r="B623" s="25" t="s">
        <v>6706</v>
      </c>
      <c r="C623" s="25" t="s">
        <v>6707</v>
      </c>
      <c r="D623" s="25" t="s">
        <v>4275</v>
      </c>
      <c r="E623" s="25" t="s">
        <v>6708</v>
      </c>
      <c r="F623" s="25" t="s">
        <v>4537</v>
      </c>
      <c r="G623" s="25" t="s">
        <v>6709</v>
      </c>
    </row>
    <row r="624" ht="15" customHeight="1">
      <c r="A624" s="25" t="s">
        <v>3473</v>
      </c>
      <c r="B624" s="25" t="s">
        <v>6710</v>
      </c>
      <c r="C624" s="25" t="s">
        <v>5733</v>
      </c>
      <c r="D624" s="25" t="s">
        <v>4281</v>
      </c>
      <c r="E624" s="25" t="s">
        <v>6711</v>
      </c>
      <c r="F624" s="25" t="s">
        <v>4542</v>
      </c>
      <c r="G624" s="25" t="s">
        <v>6712</v>
      </c>
    </row>
    <row r="625" ht="15" customHeight="1">
      <c r="A625" s="25" t="s">
        <v>3474</v>
      </c>
      <c r="B625" s="25" t="s">
        <v>6713</v>
      </c>
      <c r="C625" s="25" t="s">
        <v>6714</v>
      </c>
      <c r="D625" s="25" t="s">
        <v>4287</v>
      </c>
      <c r="E625" s="25" t="s">
        <v>6715</v>
      </c>
      <c r="F625" s="25" t="s">
        <v>4547</v>
      </c>
      <c r="G625" s="25" t="s">
        <v>6716</v>
      </c>
    </row>
    <row r="626" ht="15" customHeight="1">
      <c r="A626" s="25" t="s">
        <v>3477</v>
      </c>
      <c r="B626" s="25" t="s">
        <v>6717</v>
      </c>
      <c r="C626" s="25" t="s">
        <v>6718</v>
      </c>
      <c r="D626" s="25" t="s">
        <v>1823</v>
      </c>
      <c r="E626" s="25" t="s">
        <v>6719</v>
      </c>
      <c r="F626" s="25" t="s">
        <v>4552</v>
      </c>
      <c r="G626" s="25" t="s">
        <v>6720</v>
      </c>
    </row>
    <row r="627" ht="15" customHeight="1">
      <c r="A627" s="25" t="s">
        <v>3478</v>
      </c>
      <c r="B627" s="25" t="s">
        <v>6721</v>
      </c>
      <c r="C627" s="25" t="s">
        <v>6722</v>
      </c>
      <c r="D627" s="25" t="s">
        <v>1892</v>
      </c>
      <c r="E627" s="25" t="s">
        <v>6723</v>
      </c>
      <c r="F627" s="25" t="s">
        <v>4557</v>
      </c>
      <c r="G627" s="25" t="s">
        <v>6724</v>
      </c>
    </row>
    <row r="628" ht="15" customHeight="1">
      <c r="A628" s="25" t="s">
        <v>3480</v>
      </c>
      <c r="B628" s="25" t="s">
        <v>6725</v>
      </c>
      <c r="C628" s="25" t="s">
        <v>6726</v>
      </c>
      <c r="D628" s="25" t="s">
        <v>4187</v>
      </c>
      <c r="E628" s="25" t="s">
        <v>6727</v>
      </c>
      <c r="F628" s="25" t="s">
        <v>4562</v>
      </c>
      <c r="G628" s="25" t="s">
        <v>6728</v>
      </c>
    </row>
    <row r="629" ht="15" customHeight="1">
      <c r="A629" s="25" t="s">
        <v>3482</v>
      </c>
      <c r="B629" s="25" t="s">
        <v>6729</v>
      </c>
      <c r="C629" s="25" t="s">
        <v>6730</v>
      </c>
      <c r="D629" s="25" t="s">
        <v>4192</v>
      </c>
      <c r="E629" s="25" t="s">
        <v>6731</v>
      </c>
      <c r="F629" s="25" t="s">
        <v>4567</v>
      </c>
      <c r="G629" s="25" t="s">
        <v>6732</v>
      </c>
    </row>
    <row r="630" ht="15" customHeight="1">
      <c r="A630" s="25" t="s">
        <v>3485</v>
      </c>
      <c r="B630" s="25" t="s">
        <v>6733</v>
      </c>
      <c r="C630" s="25" t="s">
        <v>6734</v>
      </c>
      <c r="D630" s="25" t="s">
        <v>1830</v>
      </c>
      <c r="E630" s="25" t="s">
        <v>6735</v>
      </c>
      <c r="F630" s="25" t="s">
        <v>4572</v>
      </c>
      <c r="G630" s="25" t="s">
        <v>6736</v>
      </c>
    </row>
    <row r="631" ht="15" customHeight="1">
      <c r="A631" s="25" t="s">
        <v>3487</v>
      </c>
      <c r="B631" s="25" t="s">
        <v>6737</v>
      </c>
      <c r="C631" s="25" t="s">
        <v>6738</v>
      </c>
      <c r="D631" s="25" t="s">
        <v>4318</v>
      </c>
      <c r="E631" s="25" t="s">
        <v>6739</v>
      </c>
      <c r="F631" s="25" t="s">
        <v>4577</v>
      </c>
      <c r="G631" s="25" t="s">
        <v>6740</v>
      </c>
    </row>
    <row r="632" ht="15" customHeight="1">
      <c r="A632" s="25" t="s">
        <v>3489</v>
      </c>
      <c r="B632" s="25" t="s">
        <v>6741</v>
      </c>
      <c r="C632" s="25" t="s">
        <v>6742</v>
      </c>
      <c r="D632" s="25" t="s">
        <v>4324</v>
      </c>
      <c r="E632" s="25" t="s">
        <v>6743</v>
      </c>
      <c r="F632" s="25" t="s">
        <v>4582</v>
      </c>
      <c r="G632" s="25" t="s">
        <v>6744</v>
      </c>
    </row>
    <row r="633" ht="15" customHeight="1">
      <c r="A633" s="25" t="s">
        <v>3491</v>
      </c>
      <c r="B633" s="25" t="s">
        <v>6745</v>
      </c>
      <c r="C633" s="25" t="s">
        <v>6746</v>
      </c>
      <c r="D633" s="25" t="s">
        <v>1837</v>
      </c>
      <c r="E633" s="25" t="s">
        <v>5558</v>
      </c>
      <c r="F633" s="25" t="s">
        <v>4587</v>
      </c>
      <c r="G633" s="25" t="s">
        <v>6747</v>
      </c>
    </row>
    <row r="634" ht="15" customHeight="1">
      <c r="A634" s="25" t="s">
        <v>3494</v>
      </c>
      <c r="B634" s="25" t="s">
        <v>6748</v>
      </c>
      <c r="C634" s="25" t="s">
        <v>6749</v>
      </c>
      <c r="D634" s="25" t="s">
        <v>4203</v>
      </c>
      <c r="E634" s="25" t="s">
        <v>6750</v>
      </c>
      <c r="F634" s="25" t="s">
        <v>4592</v>
      </c>
      <c r="G634" s="25" t="s">
        <v>6751</v>
      </c>
    </row>
    <row r="635" ht="15" customHeight="1">
      <c r="A635" s="25" t="s">
        <v>3495</v>
      </c>
      <c r="B635" s="25" t="s">
        <v>6752</v>
      </c>
      <c r="C635" s="25" t="s">
        <v>6753</v>
      </c>
      <c r="D635" s="25" t="s">
        <v>4340</v>
      </c>
      <c r="E635" s="25" t="s">
        <v>6754</v>
      </c>
      <c r="F635" s="25" t="s">
        <v>4597</v>
      </c>
      <c r="G635" s="25" t="s">
        <v>6755</v>
      </c>
    </row>
    <row r="636" ht="15" customHeight="1">
      <c r="A636" s="25" t="s">
        <v>3497</v>
      </c>
      <c r="B636" s="25" t="s">
        <v>6756</v>
      </c>
      <c r="C636" s="25" t="s">
        <v>6757</v>
      </c>
      <c r="D636" s="25" t="s">
        <v>4346</v>
      </c>
      <c r="E636" s="25" t="s">
        <v>6758</v>
      </c>
      <c r="F636" s="25" t="s">
        <v>4602</v>
      </c>
      <c r="G636" s="25" t="s">
        <v>6759</v>
      </c>
    </row>
    <row r="637" ht="15" customHeight="1">
      <c r="A637" s="25" t="s">
        <v>3498</v>
      </c>
      <c r="B637" s="25" t="s">
        <v>6760</v>
      </c>
      <c r="C637" s="25" t="s">
        <v>6761</v>
      </c>
      <c r="D637" s="25" t="s">
        <v>4352</v>
      </c>
      <c r="E637" s="25" t="s">
        <v>6762</v>
      </c>
      <c r="F637" s="25" t="s">
        <v>4607</v>
      </c>
      <c r="G637" s="25" t="s">
        <v>6763</v>
      </c>
    </row>
    <row r="638" ht="15" customHeight="1">
      <c r="A638" s="25" t="s">
        <v>3501</v>
      </c>
      <c r="B638" s="25" t="s">
        <v>6764</v>
      </c>
      <c r="C638" s="25" t="s">
        <v>6765</v>
      </c>
      <c r="D638" s="25" t="s">
        <v>4209</v>
      </c>
      <c r="E638" s="25" t="s">
        <v>6766</v>
      </c>
      <c r="F638" s="25" t="s">
        <v>4612</v>
      </c>
      <c r="G638" s="25" t="s">
        <v>6767</v>
      </c>
    </row>
    <row r="639" ht="15" customHeight="1">
      <c r="A639" s="25" t="s">
        <v>3502</v>
      </c>
      <c r="B639" s="25" t="s">
        <v>6768</v>
      </c>
      <c r="C639" s="25" t="s">
        <v>6769</v>
      </c>
      <c r="D639" s="25" t="s">
        <v>1851</v>
      </c>
      <c r="E639" s="25" t="s">
        <v>4441</v>
      </c>
      <c r="F639" s="25" t="s">
        <v>4617</v>
      </c>
      <c r="G639" s="25" t="s">
        <v>6770</v>
      </c>
    </row>
    <row r="640" ht="15" customHeight="1">
      <c r="A640" s="25" t="s">
        <v>3504</v>
      </c>
      <c r="B640" s="25" t="s">
        <v>6771</v>
      </c>
      <c r="C640" s="25" t="s">
        <v>6772</v>
      </c>
      <c r="D640" s="25" t="s">
        <v>4220</v>
      </c>
      <c r="E640" s="25" t="s">
        <v>5078</v>
      </c>
      <c r="F640" s="25" t="s">
        <v>4386</v>
      </c>
      <c r="G640" s="25" t="s">
        <v>6773</v>
      </c>
    </row>
    <row r="641" ht="15" customHeight="1">
      <c r="A641" s="25" t="s">
        <v>3506</v>
      </c>
      <c r="B641" s="25" t="s">
        <v>6774</v>
      </c>
      <c r="C641" s="25" t="s">
        <v>6775</v>
      </c>
      <c r="D641" s="25" t="s">
        <v>1858</v>
      </c>
      <c r="E641" s="25" t="s">
        <v>6776</v>
      </c>
      <c r="F641" s="25" t="s">
        <v>4407</v>
      </c>
      <c r="G641" s="25" t="s">
        <v>6777</v>
      </c>
    </row>
    <row r="642" ht="15" customHeight="1">
      <c r="A642" s="25" t="s">
        <v>3508</v>
      </c>
      <c r="B642" s="25" t="s">
        <v>6778</v>
      </c>
      <c r="C642" s="25" t="s">
        <v>6779</v>
      </c>
      <c r="D642" s="25" t="s">
        <v>4378</v>
      </c>
      <c r="E642" s="25" t="s">
        <v>6780</v>
      </c>
      <c r="F642" s="25" t="s">
        <v>4354</v>
      </c>
      <c r="G642" s="25" t="s">
        <v>6781</v>
      </c>
    </row>
    <row r="643" ht="15" customHeight="1">
      <c r="A643" s="25" t="s">
        <v>3510</v>
      </c>
      <c r="B643" s="25" t="s">
        <v>6782</v>
      </c>
      <c r="C643" s="25" t="s">
        <v>6783</v>
      </c>
      <c r="D643" s="25" t="s">
        <v>4384</v>
      </c>
      <c r="E643" s="25" t="s">
        <v>6784</v>
      </c>
      <c r="F643" s="25" t="s">
        <v>4447</v>
      </c>
      <c r="G643" s="25" t="s">
        <v>6785</v>
      </c>
    </row>
    <row r="644" ht="15" customHeight="1">
      <c r="A644" s="25" t="s">
        <v>3513</v>
      </c>
      <c r="B644" s="25" t="s">
        <v>6786</v>
      </c>
      <c r="C644" s="25" t="s">
        <v>6787</v>
      </c>
      <c r="D644" s="25" t="s">
        <v>4390</v>
      </c>
      <c r="E644" s="25" t="s">
        <v>6788</v>
      </c>
      <c r="F644" s="25" t="s">
        <v>4437</v>
      </c>
      <c r="G644" s="25" t="s">
        <v>6789</v>
      </c>
    </row>
    <row r="645" ht="15" customHeight="1">
      <c r="A645" s="25" t="s">
        <v>3514</v>
      </c>
      <c r="B645" s="25" t="s">
        <v>6790</v>
      </c>
      <c r="C645" s="25" t="s">
        <v>6791</v>
      </c>
      <c r="D645" s="25" t="s">
        <v>1865</v>
      </c>
      <c r="E645" s="25" t="s">
        <v>6792</v>
      </c>
      <c r="F645" s="25" t="s">
        <v>4422</v>
      </c>
      <c r="G645" s="25" t="s">
        <v>6793</v>
      </c>
    </row>
    <row r="646" ht="15" customHeight="1">
      <c r="A646" s="25" t="s">
        <v>3517</v>
      </c>
      <c r="B646" s="25" t="s">
        <v>6794</v>
      </c>
      <c r="C646" s="25" t="s">
        <v>6795</v>
      </c>
      <c r="D646" s="25" t="s">
        <v>4236</v>
      </c>
      <c r="E646" s="25" t="s">
        <v>6796</v>
      </c>
      <c r="F646" s="25" t="s">
        <v>4427</v>
      </c>
      <c r="G646" s="25" t="s">
        <v>6797</v>
      </c>
    </row>
    <row r="647" ht="15" customHeight="1">
      <c r="A647" s="25" t="s">
        <v>3518</v>
      </c>
      <c r="B647" s="25" t="s">
        <v>6798</v>
      </c>
      <c r="C647" s="25" t="s">
        <v>6799</v>
      </c>
      <c r="D647" s="25" t="s">
        <v>4242</v>
      </c>
      <c r="E647" s="25" t="s">
        <v>5412</v>
      </c>
      <c r="F647" s="25" t="s">
        <v>4432</v>
      </c>
      <c r="G647" s="25" t="s">
        <v>6800</v>
      </c>
    </row>
    <row r="648" ht="15" customHeight="1">
      <c r="A648" s="25" t="s">
        <v>3520</v>
      </c>
      <c r="B648" s="25" t="s">
        <v>6801</v>
      </c>
      <c r="C648" s="25" t="s">
        <v>6802</v>
      </c>
      <c r="D648" s="25" t="s">
        <v>1802</v>
      </c>
      <c r="E648" s="25" t="s">
        <v>5546</v>
      </c>
      <c r="F648" s="25" t="s">
        <v>4437</v>
      </c>
      <c r="G648" s="25" t="s">
        <v>6803</v>
      </c>
    </row>
    <row r="649" ht="15" customHeight="1">
      <c r="A649" s="25" t="s">
        <v>3522</v>
      </c>
      <c r="B649" s="25" t="s">
        <v>6804</v>
      </c>
      <c r="C649" s="25" t="s">
        <v>6805</v>
      </c>
      <c r="D649" s="25" t="s">
        <v>4253</v>
      </c>
      <c r="E649" s="25" t="s">
        <v>6806</v>
      </c>
      <c r="F649" s="25" t="s">
        <v>4442</v>
      </c>
      <c r="G649" s="25" t="s">
        <v>6807</v>
      </c>
    </row>
    <row r="650" ht="15" customHeight="1">
      <c r="A650" s="25" t="s">
        <v>3525</v>
      </c>
      <c r="B650" s="25" t="s">
        <v>6808</v>
      </c>
      <c r="C650" s="25" t="s">
        <v>6809</v>
      </c>
      <c r="D650" s="25" t="s">
        <v>4259</v>
      </c>
      <c r="E650" s="25" t="s">
        <v>4358</v>
      </c>
      <c r="F650" s="25" t="s">
        <v>4447</v>
      </c>
      <c r="G650" s="25" t="s">
        <v>6810</v>
      </c>
    </row>
    <row r="651" ht="15" customHeight="1">
      <c r="A651" s="25" t="s">
        <v>3526</v>
      </c>
      <c r="B651" s="25" t="s">
        <v>6811</v>
      </c>
      <c r="C651" s="25" t="s">
        <v>6812</v>
      </c>
      <c r="D651" s="25" t="s">
        <v>1944</v>
      </c>
      <c r="E651" s="25" t="s">
        <v>4330</v>
      </c>
      <c r="F651" s="25" t="s">
        <v>4452</v>
      </c>
      <c r="G651" s="25" t="s">
        <v>6813</v>
      </c>
    </row>
    <row r="652" ht="15" customHeight="1">
      <c r="A652" s="25" t="s">
        <v>3529</v>
      </c>
      <c r="B652" s="25" t="s">
        <v>6814</v>
      </c>
      <c r="C652" s="25" t="s">
        <v>6815</v>
      </c>
      <c r="D652" s="25" t="s">
        <v>1816</v>
      </c>
      <c r="E652" s="25" t="s">
        <v>6816</v>
      </c>
      <c r="F652" s="25" t="s">
        <v>4457</v>
      </c>
      <c r="G652" s="25" t="s">
        <v>6817</v>
      </c>
    </row>
    <row r="653" ht="15" customHeight="1">
      <c r="A653" s="25" t="s">
        <v>3530</v>
      </c>
      <c r="B653" s="25" t="s">
        <v>6818</v>
      </c>
      <c r="C653" s="25" t="s">
        <v>6819</v>
      </c>
      <c r="D653" s="25" t="s">
        <v>4275</v>
      </c>
      <c r="E653" s="25" t="s">
        <v>5153</v>
      </c>
      <c r="F653" s="25" t="s">
        <v>4462</v>
      </c>
      <c r="G653" s="25" t="s">
        <v>6820</v>
      </c>
    </row>
    <row r="654" ht="15" customHeight="1">
      <c r="A654" s="25" t="s">
        <v>3533</v>
      </c>
      <c r="B654" s="25" t="s">
        <v>6821</v>
      </c>
      <c r="C654" s="25" t="s">
        <v>5591</v>
      </c>
      <c r="D654" s="25" t="s">
        <v>4281</v>
      </c>
      <c r="E654" s="25" t="s">
        <v>6025</v>
      </c>
      <c r="F654" s="25" t="s">
        <v>4467</v>
      </c>
      <c r="G654" s="25" t="s">
        <v>6822</v>
      </c>
    </row>
    <row r="655" ht="15" customHeight="1">
      <c r="A655" s="25" t="s">
        <v>3535</v>
      </c>
      <c r="B655" s="25" t="s">
        <v>6823</v>
      </c>
      <c r="C655" s="25" t="s">
        <v>6824</v>
      </c>
      <c r="D655" s="25" t="s">
        <v>4287</v>
      </c>
      <c r="E655" s="25" t="s">
        <v>6825</v>
      </c>
      <c r="F655" s="25" t="s">
        <v>4472</v>
      </c>
      <c r="G655" s="25" t="s">
        <v>6826</v>
      </c>
    </row>
    <row r="656" ht="15" customHeight="1">
      <c r="A656" s="25" t="s">
        <v>3538</v>
      </c>
      <c r="B656" s="25" t="s">
        <v>6827</v>
      </c>
      <c r="C656" s="25" t="s">
        <v>6828</v>
      </c>
      <c r="D656" s="25" t="s">
        <v>1823</v>
      </c>
      <c r="E656" s="25" t="s">
        <v>6829</v>
      </c>
      <c r="F656" s="25" t="s">
        <v>4477</v>
      </c>
      <c r="G656" s="25" t="s">
        <v>6830</v>
      </c>
    </row>
    <row r="657" ht="15" customHeight="1">
      <c r="A657" s="25" t="s">
        <v>3539</v>
      </c>
      <c r="B657" s="25" t="s">
        <v>6831</v>
      </c>
      <c r="C657" s="25" t="s">
        <v>6832</v>
      </c>
      <c r="D657" s="25" t="s">
        <v>1892</v>
      </c>
      <c r="E657" s="25" t="s">
        <v>6833</v>
      </c>
      <c r="F657" s="25" t="s">
        <v>4482</v>
      </c>
      <c r="G657" s="25" t="s">
        <v>6834</v>
      </c>
    </row>
    <row r="658" ht="15" customHeight="1">
      <c r="A658" s="25" t="s">
        <v>3541</v>
      </c>
      <c r="B658" s="25" t="s">
        <v>6835</v>
      </c>
      <c r="C658" s="25" t="s">
        <v>6836</v>
      </c>
      <c r="D658" s="25" t="s">
        <v>4187</v>
      </c>
      <c r="E658" s="25" t="s">
        <v>6837</v>
      </c>
      <c r="F658" s="25" t="s">
        <v>4487</v>
      </c>
      <c r="G658" s="25" t="s">
        <v>6838</v>
      </c>
    </row>
    <row r="659" ht="15" customHeight="1">
      <c r="A659" s="25" t="s">
        <v>3542</v>
      </c>
      <c r="B659" s="25" t="s">
        <v>6839</v>
      </c>
      <c r="C659" s="25" t="s">
        <v>6840</v>
      </c>
      <c r="D659" s="25" t="s">
        <v>4192</v>
      </c>
      <c r="E659" s="25" t="s">
        <v>6841</v>
      </c>
      <c r="F659" s="25" t="s">
        <v>4492</v>
      </c>
      <c r="G659" s="25" t="s">
        <v>6842</v>
      </c>
    </row>
    <row r="660" ht="15" customHeight="1">
      <c r="A660" s="25" t="s">
        <v>3544</v>
      </c>
      <c r="B660" s="25" t="s">
        <v>6843</v>
      </c>
      <c r="C660" s="25" t="s">
        <v>6844</v>
      </c>
      <c r="D660" s="25" t="s">
        <v>1830</v>
      </c>
      <c r="E660" s="25" t="s">
        <v>6845</v>
      </c>
      <c r="F660" s="25" t="s">
        <v>4497</v>
      </c>
      <c r="G660" s="25" t="s">
        <v>6846</v>
      </c>
    </row>
    <row r="661" ht="15" customHeight="1">
      <c r="A661" s="25" t="s">
        <v>3545</v>
      </c>
      <c r="B661" s="25" t="s">
        <v>6847</v>
      </c>
      <c r="C661" s="25" t="s">
        <v>6848</v>
      </c>
      <c r="D661" s="25" t="s">
        <v>4318</v>
      </c>
      <c r="E661" s="25" t="s">
        <v>6849</v>
      </c>
      <c r="F661" s="25" t="s">
        <v>4502</v>
      </c>
      <c r="G661" s="25" t="s">
        <v>6850</v>
      </c>
    </row>
    <row r="662" ht="15" customHeight="1">
      <c r="A662" s="25" t="s">
        <v>3548</v>
      </c>
      <c r="B662" s="25" t="s">
        <v>6851</v>
      </c>
      <c r="C662" s="25" t="s">
        <v>6852</v>
      </c>
      <c r="D662" s="25" t="s">
        <v>4324</v>
      </c>
      <c r="E662" s="25" t="s">
        <v>6853</v>
      </c>
      <c r="F662" s="25" t="s">
        <v>4507</v>
      </c>
      <c r="G662" s="25" t="s">
        <v>6854</v>
      </c>
    </row>
    <row r="663" ht="15" customHeight="1">
      <c r="A663" s="25" t="s">
        <v>3550</v>
      </c>
      <c r="B663" s="25" t="s">
        <v>6855</v>
      </c>
      <c r="C663" s="25" t="s">
        <v>6856</v>
      </c>
      <c r="D663" s="25" t="s">
        <v>1837</v>
      </c>
      <c r="E663" s="25" t="s">
        <v>6857</v>
      </c>
      <c r="F663" s="25" t="s">
        <v>4512</v>
      </c>
      <c r="G663" s="25" t="s">
        <v>6858</v>
      </c>
    </row>
    <row r="664" ht="15" customHeight="1">
      <c r="A664" s="25" t="s">
        <v>3552</v>
      </c>
      <c r="B664" s="25" t="s">
        <v>6859</v>
      </c>
      <c r="C664" s="25" t="s">
        <v>6860</v>
      </c>
      <c r="D664" s="25" t="s">
        <v>4203</v>
      </c>
      <c r="E664" s="25" t="s">
        <v>6861</v>
      </c>
      <c r="F664" s="25" t="s">
        <v>4517</v>
      </c>
      <c r="G664" s="25" t="s">
        <v>6862</v>
      </c>
    </row>
    <row r="665" ht="15" customHeight="1">
      <c r="A665" s="25" t="s">
        <v>3554</v>
      </c>
      <c r="B665" s="25" t="s">
        <v>6863</v>
      </c>
      <c r="C665" s="25" t="s">
        <v>6864</v>
      </c>
      <c r="D665" s="25" t="s">
        <v>4340</v>
      </c>
      <c r="E665" s="25" t="s">
        <v>6865</v>
      </c>
      <c r="F665" s="25" t="s">
        <v>4522</v>
      </c>
      <c r="G665" s="25" t="s">
        <v>6866</v>
      </c>
    </row>
    <row r="666" ht="15" customHeight="1">
      <c r="A666" s="25" t="s">
        <v>3556</v>
      </c>
      <c r="B666" s="25" t="s">
        <v>6867</v>
      </c>
      <c r="C666" s="25" t="s">
        <v>6868</v>
      </c>
      <c r="D666" s="25" t="s">
        <v>4346</v>
      </c>
      <c r="E666" s="25" t="s">
        <v>6869</v>
      </c>
      <c r="F666" s="25" t="s">
        <v>4527</v>
      </c>
      <c r="G666" s="25" t="s">
        <v>6870</v>
      </c>
    </row>
    <row r="667" ht="15" customHeight="1">
      <c r="A667" s="25" t="s">
        <v>3557</v>
      </c>
      <c r="B667" s="25" t="s">
        <v>6871</v>
      </c>
      <c r="C667" s="25" t="s">
        <v>6872</v>
      </c>
      <c r="D667" s="25" t="s">
        <v>4352</v>
      </c>
      <c r="E667" s="25" t="s">
        <v>6873</v>
      </c>
      <c r="F667" s="25" t="s">
        <v>4532</v>
      </c>
      <c r="G667" s="25" t="s">
        <v>6874</v>
      </c>
    </row>
    <row r="668" ht="15" customHeight="1">
      <c r="A668" s="25" t="s">
        <v>3560</v>
      </c>
      <c r="B668" s="25" t="s">
        <v>6875</v>
      </c>
      <c r="C668" s="25" t="s">
        <v>6876</v>
      </c>
      <c r="D668" s="25" t="s">
        <v>4209</v>
      </c>
      <c r="E668" s="25" t="s">
        <v>6877</v>
      </c>
      <c r="F668" s="25" t="s">
        <v>4537</v>
      </c>
      <c r="G668" s="25" t="s">
        <v>6878</v>
      </c>
    </row>
    <row r="669" ht="15" customHeight="1">
      <c r="A669" s="25" t="s">
        <v>3561</v>
      </c>
      <c r="B669" s="25" t="s">
        <v>6879</v>
      </c>
      <c r="C669" s="25" t="s">
        <v>6880</v>
      </c>
      <c r="D669" s="25" t="s">
        <v>1851</v>
      </c>
      <c r="E669" s="25" t="s">
        <v>6881</v>
      </c>
      <c r="F669" s="25" t="s">
        <v>4542</v>
      </c>
      <c r="G669" s="25" t="s">
        <v>6882</v>
      </c>
    </row>
    <row r="670" ht="15" customHeight="1">
      <c r="A670" s="25" t="s">
        <v>3564</v>
      </c>
      <c r="B670" s="25" t="s">
        <v>6883</v>
      </c>
      <c r="C670" s="25" t="s">
        <v>6884</v>
      </c>
      <c r="D670" s="25" t="s">
        <v>4220</v>
      </c>
      <c r="E670" s="25" t="s">
        <v>4685</v>
      </c>
      <c r="F670" s="25" t="s">
        <v>4547</v>
      </c>
      <c r="G670" s="25" t="s">
        <v>6885</v>
      </c>
    </row>
    <row r="671" ht="15" customHeight="1">
      <c r="A671" s="25" t="s">
        <v>3565</v>
      </c>
      <c r="B671" s="25" t="s">
        <v>6886</v>
      </c>
      <c r="C671" s="25" t="s">
        <v>6887</v>
      </c>
      <c r="D671" s="25" t="s">
        <v>1858</v>
      </c>
      <c r="E671" s="25" t="s">
        <v>6888</v>
      </c>
      <c r="F671" s="25" t="s">
        <v>4552</v>
      </c>
      <c r="G671" s="25" t="s">
        <v>6889</v>
      </c>
    </row>
    <row r="672" ht="15" customHeight="1">
      <c r="A672" s="25" t="s">
        <v>3567</v>
      </c>
      <c r="B672" s="25" t="s">
        <v>6890</v>
      </c>
      <c r="C672" s="25" t="s">
        <v>6891</v>
      </c>
      <c r="D672" s="25" t="s">
        <v>4378</v>
      </c>
      <c r="E672" s="25" t="s">
        <v>6892</v>
      </c>
      <c r="F672" s="25" t="s">
        <v>4557</v>
      </c>
      <c r="G672" s="25" t="s">
        <v>6893</v>
      </c>
    </row>
    <row r="673" ht="15" customHeight="1">
      <c r="A673" s="25" t="s">
        <v>3569</v>
      </c>
      <c r="B673" s="25" t="s">
        <v>6894</v>
      </c>
      <c r="C673" s="25" t="s">
        <v>6895</v>
      </c>
      <c r="D673" s="25" t="s">
        <v>4384</v>
      </c>
      <c r="E673" s="25" t="s">
        <v>6896</v>
      </c>
      <c r="F673" s="25" t="s">
        <v>4562</v>
      </c>
      <c r="G673" s="25" t="s">
        <v>6897</v>
      </c>
    </row>
    <row r="674" ht="15" customHeight="1">
      <c r="A674" s="25" t="s">
        <v>3571</v>
      </c>
      <c r="B674" s="25" t="s">
        <v>6898</v>
      </c>
      <c r="C674" s="25" t="s">
        <v>6899</v>
      </c>
      <c r="D674" s="25" t="s">
        <v>4390</v>
      </c>
      <c r="E674" s="25" t="s">
        <v>6900</v>
      </c>
      <c r="F674" s="25" t="s">
        <v>4567</v>
      </c>
      <c r="G674" s="25" t="s">
        <v>6901</v>
      </c>
    </row>
    <row r="675" ht="15" customHeight="1">
      <c r="A675" s="25" t="s">
        <v>3573</v>
      </c>
      <c r="B675" s="25" t="s">
        <v>6902</v>
      </c>
      <c r="C675" s="25" t="s">
        <v>6903</v>
      </c>
      <c r="D675" s="25" t="s">
        <v>1865</v>
      </c>
      <c r="E675" s="25" t="s">
        <v>6904</v>
      </c>
      <c r="F675" s="25" t="s">
        <v>4572</v>
      </c>
      <c r="G675" s="25" t="s">
        <v>6905</v>
      </c>
    </row>
    <row r="676" ht="15" customHeight="1">
      <c r="A676" s="25" t="s">
        <v>3575</v>
      </c>
      <c r="B676" s="25" t="s">
        <v>6906</v>
      </c>
      <c r="C676" s="25" t="s">
        <v>6907</v>
      </c>
      <c r="D676" s="25" t="s">
        <v>4236</v>
      </c>
      <c r="E676" s="25" t="s">
        <v>6908</v>
      </c>
      <c r="F676" s="25" t="s">
        <v>4577</v>
      </c>
      <c r="G676" s="25" t="s">
        <v>6909</v>
      </c>
    </row>
    <row r="677" ht="15" customHeight="1">
      <c r="A677" s="25" t="s">
        <v>3577</v>
      </c>
      <c r="B677" s="25" t="s">
        <v>6910</v>
      </c>
      <c r="C677" s="25" t="s">
        <v>6911</v>
      </c>
      <c r="D677" s="25" t="s">
        <v>4242</v>
      </c>
      <c r="E677" s="25" t="s">
        <v>6912</v>
      </c>
      <c r="F677" s="25" t="s">
        <v>4582</v>
      </c>
      <c r="G677" s="25" t="s">
        <v>6913</v>
      </c>
    </row>
    <row r="678" ht="15" customHeight="1">
      <c r="A678" s="25" t="s">
        <v>3580</v>
      </c>
      <c r="B678" s="25" t="s">
        <v>6914</v>
      </c>
      <c r="C678" s="25" t="s">
        <v>6915</v>
      </c>
      <c r="D678" s="25" t="s">
        <v>1802</v>
      </c>
      <c r="E678" s="25" t="s">
        <v>6916</v>
      </c>
      <c r="F678" s="25" t="s">
        <v>4587</v>
      </c>
      <c r="G678" s="25" t="s">
        <v>6917</v>
      </c>
    </row>
    <row r="679" ht="15" customHeight="1">
      <c r="A679" s="25" t="s">
        <v>3582</v>
      </c>
      <c r="B679" s="25" t="s">
        <v>6918</v>
      </c>
      <c r="C679" s="25" t="s">
        <v>6919</v>
      </c>
      <c r="D679" s="25" t="s">
        <v>4253</v>
      </c>
      <c r="E679" s="25" t="s">
        <v>6920</v>
      </c>
      <c r="F679" s="25" t="s">
        <v>4592</v>
      </c>
      <c r="G679" s="25" t="s">
        <v>6921</v>
      </c>
    </row>
    <row r="680" ht="15" customHeight="1">
      <c r="A680" s="25" t="s">
        <v>3585</v>
      </c>
      <c r="B680" s="25" t="s">
        <v>6922</v>
      </c>
      <c r="C680" s="25" t="s">
        <v>6923</v>
      </c>
      <c r="D680" s="25" t="s">
        <v>4259</v>
      </c>
      <c r="E680" s="25" t="s">
        <v>6924</v>
      </c>
      <c r="F680" s="25" t="s">
        <v>4597</v>
      </c>
      <c r="G680" s="25" t="s">
        <v>6925</v>
      </c>
    </row>
    <row r="681" ht="15" customHeight="1">
      <c r="A681" s="25" t="s">
        <v>3586</v>
      </c>
      <c r="B681" s="25" t="s">
        <v>6926</v>
      </c>
      <c r="C681" s="25" t="s">
        <v>6927</v>
      </c>
      <c r="D681" s="25" t="s">
        <v>1944</v>
      </c>
      <c r="E681" s="25" t="s">
        <v>6928</v>
      </c>
      <c r="F681" s="25" t="s">
        <v>4602</v>
      </c>
      <c r="G681" s="25" t="s">
        <v>6929</v>
      </c>
    </row>
    <row r="682" ht="15" customHeight="1">
      <c r="A682" s="25" t="s">
        <v>3588</v>
      </c>
      <c r="B682" s="25" t="s">
        <v>6930</v>
      </c>
      <c r="C682" s="25" t="s">
        <v>6931</v>
      </c>
      <c r="D682" s="25" t="s">
        <v>1816</v>
      </c>
      <c r="E682" s="25" t="s">
        <v>6932</v>
      </c>
      <c r="F682" s="25" t="s">
        <v>4607</v>
      </c>
      <c r="G682" s="25" t="s">
        <v>6933</v>
      </c>
    </row>
    <row r="683" ht="15" customHeight="1">
      <c r="A683" s="25" t="s">
        <v>3589</v>
      </c>
      <c r="B683" s="25" t="s">
        <v>6934</v>
      </c>
      <c r="C683" s="25" t="s">
        <v>6935</v>
      </c>
      <c r="D683" s="25" t="s">
        <v>4275</v>
      </c>
      <c r="E683" s="25" t="s">
        <v>6936</v>
      </c>
      <c r="F683" s="25" t="s">
        <v>4612</v>
      </c>
      <c r="G683" s="25" t="s">
        <v>6937</v>
      </c>
    </row>
    <row r="684" ht="15" customHeight="1">
      <c r="A684" s="25" t="s">
        <v>3592</v>
      </c>
      <c r="B684" s="25" t="s">
        <v>6938</v>
      </c>
      <c r="C684" s="25" t="s">
        <v>6939</v>
      </c>
      <c r="D684" s="25" t="s">
        <v>4281</v>
      </c>
      <c r="E684" s="25" t="s">
        <v>6940</v>
      </c>
      <c r="F684" s="25" t="s">
        <v>4617</v>
      </c>
      <c r="G684" s="25" t="s">
        <v>6941</v>
      </c>
    </row>
    <row r="685" ht="15" customHeight="1">
      <c r="A685" s="25" t="s">
        <v>3594</v>
      </c>
      <c r="B685" s="25" t="s">
        <v>6942</v>
      </c>
      <c r="C685" s="25" t="s">
        <v>6943</v>
      </c>
      <c r="D685" s="25" t="s">
        <v>4287</v>
      </c>
      <c r="E685" s="25" t="s">
        <v>6944</v>
      </c>
      <c r="F685" s="25" t="s">
        <v>4386</v>
      </c>
      <c r="G685" s="25" t="s">
        <v>6945</v>
      </c>
    </row>
    <row r="686" ht="15" customHeight="1">
      <c r="A686" s="25" t="s">
        <v>3596</v>
      </c>
      <c r="B686" s="25" t="s">
        <v>6946</v>
      </c>
      <c r="C686" s="25" t="s">
        <v>6947</v>
      </c>
      <c r="D686" s="25" t="s">
        <v>1823</v>
      </c>
      <c r="E686" s="25" t="s">
        <v>6948</v>
      </c>
      <c r="F686" s="25" t="s">
        <v>4407</v>
      </c>
      <c r="G686" s="25" t="s">
        <v>6949</v>
      </c>
    </row>
    <row r="687" ht="15" customHeight="1">
      <c r="A687" s="25" t="s">
        <v>3597</v>
      </c>
      <c r="B687" s="25" t="s">
        <v>6950</v>
      </c>
      <c r="C687" s="25" t="s">
        <v>6951</v>
      </c>
      <c r="D687" s="25" t="s">
        <v>1892</v>
      </c>
      <c r="E687" s="25" t="s">
        <v>6952</v>
      </c>
      <c r="F687" s="25" t="s">
        <v>4354</v>
      </c>
      <c r="G687" s="25" t="s">
        <v>6953</v>
      </c>
    </row>
    <row r="688" ht="15" customHeight="1">
      <c r="A688" s="25" t="s">
        <v>3599</v>
      </c>
      <c r="B688" s="25" t="s">
        <v>6954</v>
      </c>
      <c r="C688" s="25" t="s">
        <v>6955</v>
      </c>
      <c r="D688" s="25" t="s">
        <v>4187</v>
      </c>
      <c r="E688" s="25" t="s">
        <v>6956</v>
      </c>
      <c r="F688" s="25" t="s">
        <v>4447</v>
      </c>
      <c r="G688" s="25" t="s">
        <v>6957</v>
      </c>
    </row>
    <row r="689" ht="15" customHeight="1">
      <c r="A689" s="25" t="s">
        <v>3601</v>
      </c>
      <c r="B689" s="25" t="s">
        <v>6958</v>
      </c>
      <c r="C689" s="25" t="s">
        <v>6959</v>
      </c>
      <c r="D689" s="25" t="s">
        <v>4192</v>
      </c>
      <c r="E689" s="25" t="s">
        <v>6960</v>
      </c>
      <c r="F689" s="25" t="s">
        <v>4437</v>
      </c>
      <c r="G689" s="25" t="s">
        <v>6961</v>
      </c>
    </row>
    <row r="690" ht="15" customHeight="1">
      <c r="A690" s="25" t="s">
        <v>3604</v>
      </c>
      <c r="B690" s="25" t="s">
        <v>6962</v>
      </c>
      <c r="C690" s="25" t="s">
        <v>6963</v>
      </c>
      <c r="D690" s="25" t="s">
        <v>1830</v>
      </c>
      <c r="E690" s="25" t="s">
        <v>4942</v>
      </c>
      <c r="F690" s="25" t="s">
        <v>4422</v>
      </c>
      <c r="G690" s="25" t="s">
        <v>6964</v>
      </c>
    </row>
    <row r="691" ht="15" customHeight="1">
      <c r="A691" s="25" t="s">
        <v>3605</v>
      </c>
      <c r="B691" s="25" t="s">
        <v>6965</v>
      </c>
      <c r="C691" s="25" t="s">
        <v>6966</v>
      </c>
      <c r="D691" s="25" t="s">
        <v>4318</v>
      </c>
      <c r="E691" s="25" t="s">
        <v>6967</v>
      </c>
      <c r="F691" s="25" t="s">
        <v>4427</v>
      </c>
      <c r="G691" s="25" t="s">
        <v>6968</v>
      </c>
    </row>
    <row r="692" ht="15" customHeight="1">
      <c r="A692" s="25" t="s">
        <v>3608</v>
      </c>
      <c r="B692" s="25" t="s">
        <v>6969</v>
      </c>
      <c r="C692" s="25" t="s">
        <v>6970</v>
      </c>
      <c r="D692" s="25" t="s">
        <v>4324</v>
      </c>
      <c r="E692" s="25" t="s">
        <v>6971</v>
      </c>
      <c r="F692" s="25" t="s">
        <v>4432</v>
      </c>
      <c r="G692" s="25" t="s">
        <v>6972</v>
      </c>
    </row>
    <row r="693" ht="15" customHeight="1">
      <c r="A693" s="25" t="s">
        <v>3609</v>
      </c>
      <c r="B693" s="25" t="s">
        <v>6973</v>
      </c>
      <c r="C693" s="25" t="s">
        <v>6974</v>
      </c>
      <c r="D693" s="25" t="s">
        <v>1837</v>
      </c>
      <c r="E693" s="25" t="s">
        <v>6975</v>
      </c>
      <c r="F693" s="25" t="s">
        <v>4437</v>
      </c>
      <c r="G693" s="25" t="s">
        <v>6976</v>
      </c>
    </row>
    <row r="694" ht="15" customHeight="1">
      <c r="A694" s="25" t="s">
        <v>3611</v>
      </c>
      <c r="B694" s="25" t="s">
        <v>6977</v>
      </c>
      <c r="C694" s="25" t="s">
        <v>6978</v>
      </c>
      <c r="D694" s="25" t="s">
        <v>4203</v>
      </c>
      <c r="E694" s="25" t="s">
        <v>6979</v>
      </c>
      <c r="F694" s="25" t="s">
        <v>4442</v>
      </c>
      <c r="G694" s="25" t="s">
        <v>6980</v>
      </c>
    </row>
    <row r="695" ht="15" customHeight="1">
      <c r="A695" s="25" t="s">
        <v>3612</v>
      </c>
      <c r="B695" s="25" t="s">
        <v>6981</v>
      </c>
      <c r="C695" s="25" t="s">
        <v>6982</v>
      </c>
      <c r="D695" s="25" t="s">
        <v>4340</v>
      </c>
      <c r="E695" s="25" t="s">
        <v>6983</v>
      </c>
      <c r="F695" s="25" t="s">
        <v>4447</v>
      </c>
      <c r="G695" s="25" t="s">
        <v>6984</v>
      </c>
    </row>
    <row r="696" ht="15" customHeight="1">
      <c r="A696" s="25" t="s">
        <v>3614</v>
      </c>
      <c r="B696" s="25" t="s">
        <v>6985</v>
      </c>
      <c r="C696" s="25" t="s">
        <v>6986</v>
      </c>
      <c r="D696" s="25" t="s">
        <v>4346</v>
      </c>
      <c r="E696" s="25" t="s">
        <v>6987</v>
      </c>
      <c r="F696" s="25" t="s">
        <v>4452</v>
      </c>
      <c r="G696" s="25" t="s">
        <v>6988</v>
      </c>
    </row>
    <row r="697" ht="15" customHeight="1">
      <c r="A697" s="25" t="s">
        <v>3616</v>
      </c>
      <c r="B697" s="25" t="s">
        <v>6989</v>
      </c>
      <c r="C697" s="25" t="s">
        <v>6990</v>
      </c>
      <c r="D697" s="25" t="s">
        <v>4352</v>
      </c>
      <c r="E697" s="25" t="s">
        <v>6991</v>
      </c>
      <c r="F697" s="25" t="s">
        <v>4457</v>
      </c>
      <c r="G697" s="25" t="s">
        <v>6992</v>
      </c>
    </row>
    <row r="698" ht="15" customHeight="1">
      <c r="A698" s="25" t="s">
        <v>3618</v>
      </c>
      <c r="B698" s="25" t="s">
        <v>6993</v>
      </c>
      <c r="C698" s="25" t="s">
        <v>6994</v>
      </c>
      <c r="D698" s="25" t="s">
        <v>4209</v>
      </c>
      <c r="E698" s="25" t="s">
        <v>6995</v>
      </c>
      <c r="F698" s="25" t="s">
        <v>4462</v>
      </c>
      <c r="G698" s="25" t="s">
        <v>6996</v>
      </c>
    </row>
    <row r="699" ht="15" customHeight="1">
      <c r="A699" s="25" t="s">
        <v>3619</v>
      </c>
      <c r="B699" s="25" t="s">
        <v>6997</v>
      </c>
      <c r="C699" s="25" t="s">
        <v>6998</v>
      </c>
      <c r="D699" s="25" t="s">
        <v>1851</v>
      </c>
      <c r="E699" s="25" t="s">
        <v>6999</v>
      </c>
      <c r="F699" s="25" t="s">
        <v>4467</v>
      </c>
      <c r="G699" s="25" t="s">
        <v>7000</v>
      </c>
    </row>
    <row r="700" ht="15" customHeight="1">
      <c r="A700" s="25" t="s">
        <v>3622</v>
      </c>
      <c r="B700" s="25" t="s">
        <v>7001</v>
      </c>
      <c r="C700" s="25" t="s">
        <v>7002</v>
      </c>
      <c r="D700" s="25" t="s">
        <v>4220</v>
      </c>
      <c r="E700" s="25" t="s">
        <v>7003</v>
      </c>
      <c r="F700" s="25" t="s">
        <v>4472</v>
      </c>
      <c r="G700" s="25" t="s">
        <v>7004</v>
      </c>
    </row>
    <row r="701" ht="15" customHeight="1">
      <c r="A701" s="25" t="s">
        <v>3623</v>
      </c>
      <c r="B701" s="25" t="s">
        <v>7005</v>
      </c>
      <c r="C701" s="25" t="s">
        <v>7006</v>
      </c>
      <c r="D701" s="25" t="s">
        <v>1858</v>
      </c>
      <c r="E701" s="25" t="s">
        <v>7007</v>
      </c>
      <c r="F701" s="25" t="s">
        <v>4477</v>
      </c>
      <c r="G701" s="25" t="s">
        <v>7008</v>
      </c>
    </row>
    <row r="702" ht="15" customHeight="1">
      <c r="A702" s="25" t="s">
        <v>3626</v>
      </c>
      <c r="B702" s="25" t="s">
        <v>7009</v>
      </c>
      <c r="C702" s="25" t="s">
        <v>7010</v>
      </c>
      <c r="D702" s="25" t="s">
        <v>4378</v>
      </c>
      <c r="E702" s="25" t="s">
        <v>7011</v>
      </c>
      <c r="F702" s="25" t="s">
        <v>4482</v>
      </c>
      <c r="G702" s="25" t="s">
        <v>7012</v>
      </c>
    </row>
    <row r="703" ht="15" customHeight="1">
      <c r="A703" s="25" t="s">
        <v>3627</v>
      </c>
      <c r="B703" s="25" t="s">
        <v>7013</v>
      </c>
      <c r="C703" s="25" t="s">
        <v>7014</v>
      </c>
      <c r="D703" s="25" t="s">
        <v>4384</v>
      </c>
      <c r="E703" s="25" t="s">
        <v>7015</v>
      </c>
      <c r="F703" s="25" t="s">
        <v>4487</v>
      </c>
      <c r="G703" s="25" t="s">
        <v>7016</v>
      </c>
    </row>
    <row r="704" ht="15" customHeight="1">
      <c r="A704" s="25" t="s">
        <v>3629</v>
      </c>
      <c r="B704" s="25" t="s">
        <v>7017</v>
      </c>
      <c r="C704" s="25" t="s">
        <v>7018</v>
      </c>
      <c r="D704" s="25" t="s">
        <v>4390</v>
      </c>
      <c r="E704" s="25" t="s">
        <v>7019</v>
      </c>
      <c r="F704" s="25" t="s">
        <v>4492</v>
      </c>
      <c r="G704" s="25" t="s">
        <v>7020</v>
      </c>
    </row>
    <row r="705" ht="15" customHeight="1">
      <c r="A705" s="25" t="s">
        <v>3630</v>
      </c>
      <c r="B705" s="25" t="s">
        <v>7021</v>
      </c>
      <c r="C705" s="25" t="s">
        <v>7022</v>
      </c>
      <c r="D705" s="25" t="s">
        <v>1865</v>
      </c>
      <c r="E705" s="25" t="s">
        <v>7023</v>
      </c>
      <c r="F705" s="25" t="s">
        <v>4497</v>
      </c>
      <c r="G705" s="25" t="s">
        <v>7024</v>
      </c>
    </row>
    <row r="706" ht="15" customHeight="1">
      <c r="A706" s="25" t="s">
        <v>3633</v>
      </c>
      <c r="B706" s="25" t="s">
        <v>7025</v>
      </c>
      <c r="C706" s="25" t="s">
        <v>7026</v>
      </c>
      <c r="D706" s="25" t="s">
        <v>4236</v>
      </c>
      <c r="E706" s="25" t="s">
        <v>7027</v>
      </c>
      <c r="F706" s="25" t="s">
        <v>4502</v>
      </c>
      <c r="G706" s="25" t="s">
        <v>7028</v>
      </c>
    </row>
    <row r="707" ht="15" customHeight="1">
      <c r="A707" s="25" t="s">
        <v>3634</v>
      </c>
      <c r="B707" s="25" t="s">
        <v>7029</v>
      </c>
      <c r="C707" s="25" t="s">
        <v>7030</v>
      </c>
      <c r="D707" s="25" t="s">
        <v>4242</v>
      </c>
      <c r="E707" s="25" t="s">
        <v>7031</v>
      </c>
      <c r="F707" s="25" t="s">
        <v>4507</v>
      </c>
      <c r="G707" s="25" t="s">
        <v>7032</v>
      </c>
    </row>
    <row r="708" ht="15" customHeight="1">
      <c r="A708" s="25" t="s">
        <v>3637</v>
      </c>
      <c r="B708" s="25" t="s">
        <v>7033</v>
      </c>
      <c r="C708" s="25" t="s">
        <v>7034</v>
      </c>
      <c r="D708" s="25" t="s">
        <v>1802</v>
      </c>
      <c r="E708" s="25" t="s">
        <v>7035</v>
      </c>
      <c r="F708" s="25" t="s">
        <v>4512</v>
      </c>
      <c r="G708" s="25" t="s">
        <v>7036</v>
      </c>
    </row>
    <row r="709" ht="15" customHeight="1">
      <c r="A709" s="25" t="s">
        <v>3638</v>
      </c>
      <c r="B709" s="25" t="s">
        <v>7037</v>
      </c>
      <c r="C709" s="25" t="s">
        <v>7038</v>
      </c>
      <c r="D709" s="25" t="s">
        <v>4253</v>
      </c>
      <c r="E709" s="25" t="s">
        <v>4982</v>
      </c>
      <c r="F709" s="25" t="s">
        <v>4517</v>
      </c>
      <c r="G709" s="25" t="s">
        <v>7039</v>
      </c>
    </row>
    <row r="710" ht="15" customHeight="1">
      <c r="A710" s="25" t="s">
        <v>3640</v>
      </c>
      <c r="B710" s="25" t="s">
        <v>7040</v>
      </c>
      <c r="C710" s="25" t="s">
        <v>7041</v>
      </c>
      <c r="D710" s="25" t="s">
        <v>4259</v>
      </c>
      <c r="E710" s="25" t="s">
        <v>7042</v>
      </c>
      <c r="F710" s="25" t="s">
        <v>4522</v>
      </c>
      <c r="G710" s="25" t="s">
        <v>7043</v>
      </c>
    </row>
    <row r="711" ht="15" customHeight="1">
      <c r="A711" s="25" t="s">
        <v>3641</v>
      </c>
      <c r="B711" s="25" t="s">
        <v>7044</v>
      </c>
      <c r="C711" s="25" t="s">
        <v>7045</v>
      </c>
      <c r="D711" s="25" t="s">
        <v>1944</v>
      </c>
      <c r="E711" s="25" t="s">
        <v>7046</v>
      </c>
      <c r="F711" s="25" t="s">
        <v>4527</v>
      </c>
      <c r="G711" s="25" t="s">
        <v>7047</v>
      </c>
    </row>
    <row r="712" ht="15" customHeight="1">
      <c r="A712" s="25" t="s">
        <v>3643</v>
      </c>
      <c r="B712" s="25" t="s">
        <v>7048</v>
      </c>
      <c r="C712" s="25" t="s">
        <v>7049</v>
      </c>
      <c r="D712" s="25" t="s">
        <v>1816</v>
      </c>
      <c r="E712" s="25" t="s">
        <v>7050</v>
      </c>
      <c r="F712" s="25" t="s">
        <v>4532</v>
      </c>
      <c r="G712" s="25" t="s">
        <v>7051</v>
      </c>
    </row>
    <row r="713" ht="15" customHeight="1">
      <c r="A713" s="25" t="s">
        <v>3645</v>
      </c>
      <c r="B713" s="25" t="s">
        <v>7052</v>
      </c>
      <c r="C713" s="25" t="s">
        <v>7053</v>
      </c>
      <c r="D713" s="25" t="s">
        <v>4275</v>
      </c>
      <c r="E713" s="25" t="s">
        <v>7054</v>
      </c>
      <c r="F713" s="25" t="s">
        <v>4537</v>
      </c>
      <c r="G713" s="25" t="s">
        <v>7055</v>
      </c>
    </row>
    <row r="714" ht="15" customHeight="1">
      <c r="A714" s="25" t="s">
        <v>3648</v>
      </c>
      <c r="B714" s="25" t="s">
        <v>7056</v>
      </c>
      <c r="C714" s="25" t="s">
        <v>7057</v>
      </c>
      <c r="D714" s="25" t="s">
        <v>4281</v>
      </c>
      <c r="E714" s="25" t="s">
        <v>7058</v>
      </c>
      <c r="F714" s="25" t="s">
        <v>4542</v>
      </c>
      <c r="G714" s="25" t="s">
        <v>7059</v>
      </c>
    </row>
    <row r="715" ht="15" customHeight="1">
      <c r="A715" s="25" t="s">
        <v>3649</v>
      </c>
      <c r="B715" s="25" t="s">
        <v>7060</v>
      </c>
      <c r="C715" s="25" t="s">
        <v>7061</v>
      </c>
      <c r="D715" s="25" t="s">
        <v>4287</v>
      </c>
      <c r="E715" s="25" t="s">
        <v>7062</v>
      </c>
      <c r="F715" s="25" t="s">
        <v>4547</v>
      </c>
      <c r="G715" s="25" t="s">
        <v>7063</v>
      </c>
    </row>
    <row r="716" ht="15" customHeight="1">
      <c r="A716" s="25" t="s">
        <v>3651</v>
      </c>
      <c r="B716" s="25" t="s">
        <v>7064</v>
      </c>
      <c r="C716" s="25" t="s">
        <v>7065</v>
      </c>
      <c r="D716" s="25" t="s">
        <v>1823</v>
      </c>
      <c r="E716" s="25" t="s">
        <v>7066</v>
      </c>
      <c r="F716" s="25" t="s">
        <v>4552</v>
      </c>
      <c r="G716" s="25" t="s">
        <v>7067</v>
      </c>
    </row>
    <row r="717" ht="15" customHeight="1">
      <c r="A717" s="25" t="s">
        <v>3653</v>
      </c>
      <c r="B717" s="25" t="s">
        <v>7068</v>
      </c>
      <c r="C717" s="25" t="s">
        <v>7069</v>
      </c>
      <c r="D717" s="25" t="s">
        <v>1892</v>
      </c>
      <c r="E717" s="25" t="s">
        <v>7070</v>
      </c>
      <c r="F717" s="25" t="s">
        <v>4557</v>
      </c>
      <c r="G717" s="25" t="s">
        <v>7071</v>
      </c>
    </row>
    <row r="718" ht="15" customHeight="1">
      <c r="A718" s="25" t="s">
        <v>3655</v>
      </c>
      <c r="B718" s="25" t="s">
        <v>7072</v>
      </c>
      <c r="C718" s="25" t="s">
        <v>7073</v>
      </c>
      <c r="D718" s="25" t="s">
        <v>4187</v>
      </c>
      <c r="E718" s="25" t="s">
        <v>7074</v>
      </c>
      <c r="F718" s="25" t="s">
        <v>4562</v>
      </c>
      <c r="G718" s="25" t="s">
        <v>7075</v>
      </c>
    </row>
    <row r="719" ht="15" customHeight="1">
      <c r="A719" s="25" t="s">
        <v>3656</v>
      </c>
      <c r="B719" s="25" t="s">
        <v>7076</v>
      </c>
      <c r="C719" s="25" t="s">
        <v>7077</v>
      </c>
      <c r="D719" s="25" t="s">
        <v>4192</v>
      </c>
      <c r="E719" s="25" t="s">
        <v>7078</v>
      </c>
      <c r="F719" s="25" t="s">
        <v>4567</v>
      </c>
      <c r="G719" s="25" t="s">
        <v>7079</v>
      </c>
    </row>
    <row r="720" ht="15" customHeight="1">
      <c r="A720" s="25" t="s">
        <v>3659</v>
      </c>
      <c r="B720" s="25" t="s">
        <v>7080</v>
      </c>
      <c r="C720" s="25" t="s">
        <v>7081</v>
      </c>
      <c r="D720" s="25" t="s">
        <v>1830</v>
      </c>
      <c r="E720" s="25" t="s">
        <v>7082</v>
      </c>
      <c r="F720" s="25" t="s">
        <v>4572</v>
      </c>
      <c r="G720" s="25" t="s">
        <v>7083</v>
      </c>
    </row>
    <row r="721" ht="15" customHeight="1">
      <c r="A721" s="25" t="s">
        <v>3660</v>
      </c>
      <c r="B721" s="25" t="s">
        <v>7084</v>
      </c>
      <c r="C721" s="25" t="s">
        <v>7085</v>
      </c>
      <c r="D721" s="25" t="s">
        <v>4318</v>
      </c>
      <c r="E721" s="25" t="s">
        <v>7086</v>
      </c>
      <c r="F721" s="25" t="s">
        <v>4577</v>
      </c>
      <c r="G721" s="25" t="s">
        <v>7087</v>
      </c>
    </row>
    <row r="722" ht="15" customHeight="1">
      <c r="A722" s="25" t="s">
        <v>3662</v>
      </c>
      <c r="B722" s="25" t="s">
        <v>7088</v>
      </c>
      <c r="C722" s="25" t="s">
        <v>7089</v>
      </c>
      <c r="D722" s="25" t="s">
        <v>4324</v>
      </c>
      <c r="E722" s="25" t="s">
        <v>7090</v>
      </c>
      <c r="F722" s="25" t="s">
        <v>4582</v>
      </c>
      <c r="G722" s="25" t="s">
        <v>7091</v>
      </c>
    </row>
    <row r="723" ht="15" customHeight="1">
      <c r="A723" s="25" t="s">
        <v>3664</v>
      </c>
      <c r="B723" s="25" t="s">
        <v>7092</v>
      </c>
      <c r="C723" s="25" t="s">
        <v>7093</v>
      </c>
      <c r="D723" s="25" t="s">
        <v>1837</v>
      </c>
      <c r="E723" s="25" t="s">
        <v>7094</v>
      </c>
      <c r="F723" s="25" t="s">
        <v>4587</v>
      </c>
      <c r="G723" s="25" t="s">
        <v>7095</v>
      </c>
    </row>
    <row r="724" ht="15" customHeight="1">
      <c r="A724" s="25" t="s">
        <v>3666</v>
      </c>
      <c r="B724" s="25" t="s">
        <v>7096</v>
      </c>
      <c r="C724" s="25" t="s">
        <v>7097</v>
      </c>
      <c r="D724" s="25" t="s">
        <v>4203</v>
      </c>
      <c r="E724" s="25" t="s">
        <v>7098</v>
      </c>
      <c r="F724" s="25" t="s">
        <v>4592</v>
      </c>
      <c r="G724" s="25" t="s">
        <v>7099</v>
      </c>
    </row>
    <row r="725" ht="15" customHeight="1">
      <c r="A725" s="25" t="s">
        <v>3667</v>
      </c>
      <c r="B725" s="25" t="s">
        <v>7100</v>
      </c>
      <c r="C725" s="25" t="s">
        <v>4258</v>
      </c>
      <c r="D725" s="25" t="s">
        <v>4340</v>
      </c>
      <c r="E725" s="25" t="s">
        <v>7101</v>
      </c>
      <c r="F725" s="25" t="s">
        <v>4597</v>
      </c>
      <c r="G725" s="25" t="s">
        <v>7102</v>
      </c>
    </row>
    <row r="726" ht="15" customHeight="1">
      <c r="A726" s="25" t="s">
        <v>3670</v>
      </c>
      <c r="B726" s="25" t="s">
        <v>7103</v>
      </c>
      <c r="C726" s="25" t="s">
        <v>7104</v>
      </c>
      <c r="D726" s="25" t="s">
        <v>4346</v>
      </c>
      <c r="E726" s="25" t="s">
        <v>7105</v>
      </c>
      <c r="F726" s="25" t="s">
        <v>4602</v>
      </c>
      <c r="G726" s="25" t="s">
        <v>7106</v>
      </c>
    </row>
    <row r="727" ht="15" customHeight="1">
      <c r="A727" s="25" t="s">
        <v>3671</v>
      </c>
      <c r="B727" s="25" t="s">
        <v>7107</v>
      </c>
      <c r="C727" s="25" t="s">
        <v>7108</v>
      </c>
      <c r="D727" s="25" t="s">
        <v>4352</v>
      </c>
      <c r="E727" s="25" t="s">
        <v>7109</v>
      </c>
      <c r="F727" s="25" t="s">
        <v>4607</v>
      </c>
      <c r="G727" s="25" t="s">
        <v>7110</v>
      </c>
    </row>
    <row r="728" ht="15" customHeight="1">
      <c r="A728" s="25" t="s">
        <v>3673</v>
      </c>
      <c r="B728" s="25" t="s">
        <v>7111</v>
      </c>
      <c r="C728" s="25" t="s">
        <v>7112</v>
      </c>
      <c r="D728" s="25" t="s">
        <v>4209</v>
      </c>
      <c r="E728" s="25" t="s">
        <v>7113</v>
      </c>
      <c r="F728" s="25" t="s">
        <v>4612</v>
      </c>
      <c r="G728" s="25" t="s">
        <v>7114</v>
      </c>
    </row>
    <row r="729" ht="15" customHeight="1">
      <c r="A729" s="25" t="s">
        <v>3674</v>
      </c>
      <c r="B729" s="25" t="s">
        <v>7115</v>
      </c>
      <c r="C729" s="25" t="s">
        <v>7116</v>
      </c>
      <c r="D729" s="25" t="s">
        <v>1851</v>
      </c>
      <c r="E729" s="25" t="s">
        <v>7117</v>
      </c>
      <c r="F729" s="25" t="s">
        <v>4617</v>
      </c>
      <c r="G729" s="25" t="s">
        <v>7118</v>
      </c>
    </row>
    <row r="730" ht="15" customHeight="1">
      <c r="A730" s="25" t="s">
        <v>3677</v>
      </c>
      <c r="B730" s="25" t="s">
        <v>7119</v>
      </c>
      <c r="C730" s="25" t="s">
        <v>7120</v>
      </c>
      <c r="D730" s="25" t="s">
        <v>4220</v>
      </c>
      <c r="E730" s="25" t="s">
        <v>7121</v>
      </c>
      <c r="F730" s="25" t="s">
        <v>4386</v>
      </c>
      <c r="G730" s="25" t="s">
        <v>7122</v>
      </c>
    </row>
    <row r="731" ht="15" customHeight="1">
      <c r="A731" s="25" t="s">
        <v>3679</v>
      </c>
      <c r="B731" s="25" t="s">
        <v>7123</v>
      </c>
      <c r="C731" s="25" t="s">
        <v>7124</v>
      </c>
      <c r="D731" s="25" t="s">
        <v>1858</v>
      </c>
      <c r="E731" s="25" t="s">
        <v>7125</v>
      </c>
      <c r="F731" s="25" t="s">
        <v>4407</v>
      </c>
      <c r="G731" s="25" t="s">
        <v>7126</v>
      </c>
    </row>
    <row r="732" ht="15" customHeight="1">
      <c r="A732" s="25" t="s">
        <v>3681</v>
      </c>
      <c r="B732" s="25" t="s">
        <v>7127</v>
      </c>
      <c r="C732" s="25" t="s">
        <v>7128</v>
      </c>
      <c r="D732" s="25" t="s">
        <v>4378</v>
      </c>
      <c r="E732" s="25" t="s">
        <v>7129</v>
      </c>
      <c r="F732" s="25" t="s">
        <v>4354</v>
      </c>
      <c r="G732" s="25" t="s">
        <v>7130</v>
      </c>
    </row>
    <row r="733" ht="15" customHeight="1">
      <c r="A733" s="25" t="s">
        <v>3682</v>
      </c>
      <c r="B733" s="25" t="s">
        <v>7131</v>
      </c>
      <c r="C733" s="25" t="s">
        <v>7132</v>
      </c>
      <c r="D733" s="25" t="s">
        <v>4384</v>
      </c>
      <c r="E733" s="25" t="s">
        <v>7133</v>
      </c>
      <c r="F733" s="25" t="s">
        <v>4447</v>
      </c>
      <c r="G733" s="25" t="s">
        <v>7134</v>
      </c>
    </row>
    <row r="734" ht="15" customHeight="1">
      <c r="A734" s="25" t="s">
        <v>3684</v>
      </c>
      <c r="B734" s="25" t="s">
        <v>7135</v>
      </c>
      <c r="C734" s="25" t="s">
        <v>7136</v>
      </c>
      <c r="D734" s="25" t="s">
        <v>4390</v>
      </c>
      <c r="E734" s="25" t="s">
        <v>7137</v>
      </c>
      <c r="F734" s="25" t="s">
        <v>4437</v>
      </c>
      <c r="G734" s="25" t="s">
        <v>7138</v>
      </c>
    </row>
    <row r="735" ht="15" customHeight="1">
      <c r="A735" s="25" t="s">
        <v>3685</v>
      </c>
      <c r="B735" s="25" t="s">
        <v>7139</v>
      </c>
      <c r="C735" s="25" t="s">
        <v>4590</v>
      </c>
      <c r="D735" s="25" t="s">
        <v>1865</v>
      </c>
      <c r="E735" s="25" t="s">
        <v>7140</v>
      </c>
      <c r="F735" s="25" t="s">
        <v>4422</v>
      </c>
      <c r="G735" s="25" t="s">
        <v>7141</v>
      </c>
    </row>
    <row r="736" ht="15" customHeight="1">
      <c r="A736" s="25" t="s">
        <v>3688</v>
      </c>
      <c r="B736" s="25" t="s">
        <v>7142</v>
      </c>
      <c r="C736" s="25" t="s">
        <v>6522</v>
      </c>
      <c r="D736" s="25" t="s">
        <v>4236</v>
      </c>
      <c r="E736" s="25" t="s">
        <v>7143</v>
      </c>
      <c r="F736" s="25" t="s">
        <v>4427</v>
      </c>
      <c r="G736" s="25" t="s">
        <v>7144</v>
      </c>
    </row>
    <row r="737" ht="15" customHeight="1">
      <c r="A737" s="25" t="s">
        <v>3689</v>
      </c>
      <c r="B737" s="25" t="s">
        <v>7145</v>
      </c>
      <c r="C737" s="25" t="s">
        <v>7146</v>
      </c>
      <c r="D737" s="25" t="s">
        <v>4242</v>
      </c>
      <c r="E737" s="25" t="s">
        <v>7147</v>
      </c>
      <c r="F737" s="25" t="s">
        <v>4432</v>
      </c>
      <c r="G737" s="25" t="s">
        <v>7148</v>
      </c>
    </row>
    <row r="738" ht="15" customHeight="1">
      <c r="A738" s="25" t="s">
        <v>3691</v>
      </c>
      <c r="B738" s="25" t="s">
        <v>7149</v>
      </c>
      <c r="C738" s="25" t="s">
        <v>7150</v>
      </c>
      <c r="D738" s="25" t="s">
        <v>1802</v>
      </c>
      <c r="E738" s="25" t="s">
        <v>7151</v>
      </c>
      <c r="F738" s="25" t="s">
        <v>4437</v>
      </c>
      <c r="G738" s="25" t="s">
        <v>7152</v>
      </c>
    </row>
    <row r="739" ht="15" customHeight="1">
      <c r="A739" s="25" t="s">
        <v>3693</v>
      </c>
      <c r="B739" s="25" t="s">
        <v>7153</v>
      </c>
      <c r="C739" s="25" t="s">
        <v>7154</v>
      </c>
      <c r="D739" s="25" t="s">
        <v>4253</v>
      </c>
      <c r="E739" s="25" t="s">
        <v>7155</v>
      </c>
      <c r="F739" s="25" t="s">
        <v>4442</v>
      </c>
      <c r="G739" s="25" t="s">
        <v>7156</v>
      </c>
    </row>
    <row r="740" ht="15" customHeight="1">
      <c r="A740" s="25" t="s">
        <v>3695</v>
      </c>
      <c r="B740" s="25" t="s">
        <v>7157</v>
      </c>
      <c r="C740" s="25" t="s">
        <v>7158</v>
      </c>
      <c r="D740" s="25" t="s">
        <v>4259</v>
      </c>
      <c r="E740" s="25" t="s">
        <v>7159</v>
      </c>
      <c r="F740" s="25" t="s">
        <v>4447</v>
      </c>
      <c r="G740" s="25" t="s">
        <v>7160</v>
      </c>
    </row>
    <row r="741" ht="15" customHeight="1">
      <c r="A741" s="25" t="s">
        <v>3696</v>
      </c>
      <c r="B741" s="25" t="s">
        <v>7161</v>
      </c>
      <c r="C741" s="25" t="s">
        <v>7162</v>
      </c>
      <c r="D741" s="25" t="s">
        <v>1944</v>
      </c>
      <c r="E741" s="25" t="s">
        <v>7163</v>
      </c>
      <c r="F741" s="25" t="s">
        <v>4452</v>
      </c>
      <c r="G741" s="25" t="s">
        <v>7164</v>
      </c>
    </row>
    <row r="742" ht="15" customHeight="1">
      <c r="A742" s="25" t="s">
        <v>3698</v>
      </c>
      <c r="B742" s="25" t="s">
        <v>7165</v>
      </c>
      <c r="C742" s="25" t="s">
        <v>5491</v>
      </c>
      <c r="D742" s="25" t="s">
        <v>1816</v>
      </c>
      <c r="E742" s="25" t="s">
        <v>7166</v>
      </c>
      <c r="F742" s="25" t="s">
        <v>4457</v>
      </c>
      <c r="G742" s="25" t="s">
        <v>7167</v>
      </c>
    </row>
    <row r="743" ht="15" customHeight="1">
      <c r="A743" s="25" t="s">
        <v>3700</v>
      </c>
      <c r="B743" s="25" t="s">
        <v>7168</v>
      </c>
      <c r="C743" s="25" t="s">
        <v>6805</v>
      </c>
      <c r="D743" s="25" t="s">
        <v>4275</v>
      </c>
      <c r="E743" s="25" t="s">
        <v>7169</v>
      </c>
      <c r="F743" s="25" t="s">
        <v>4462</v>
      </c>
      <c r="G743" s="25" t="s">
        <v>7170</v>
      </c>
    </row>
    <row r="744" ht="15" customHeight="1">
      <c r="A744" s="25" t="s">
        <v>3703</v>
      </c>
      <c r="B744" s="25" t="s">
        <v>7171</v>
      </c>
      <c r="C744" s="25" t="s">
        <v>7172</v>
      </c>
      <c r="D744" s="25" t="s">
        <v>4281</v>
      </c>
      <c r="E744" s="25" t="s">
        <v>7173</v>
      </c>
      <c r="F744" s="25" t="s">
        <v>4467</v>
      </c>
      <c r="G744" s="25" t="s">
        <v>7174</v>
      </c>
    </row>
    <row r="745" ht="15" customHeight="1">
      <c r="A745" s="25" t="s">
        <v>3705</v>
      </c>
      <c r="B745" s="25" t="s">
        <v>7175</v>
      </c>
      <c r="C745" s="25" t="s">
        <v>7176</v>
      </c>
      <c r="D745" s="25" t="s">
        <v>4287</v>
      </c>
      <c r="E745" s="25" t="s">
        <v>7177</v>
      </c>
      <c r="F745" s="25" t="s">
        <v>4472</v>
      </c>
      <c r="G745" s="25" t="s">
        <v>7178</v>
      </c>
    </row>
    <row r="746" ht="15" customHeight="1">
      <c r="A746" s="25" t="s">
        <v>3708</v>
      </c>
      <c r="B746" s="25" t="s">
        <v>7179</v>
      </c>
      <c r="C746" s="25" t="s">
        <v>7180</v>
      </c>
      <c r="D746" s="25" t="s">
        <v>1823</v>
      </c>
      <c r="E746" s="25" t="s">
        <v>7181</v>
      </c>
      <c r="F746" s="25" t="s">
        <v>4477</v>
      </c>
      <c r="G746" s="25" t="s">
        <v>7182</v>
      </c>
    </row>
    <row r="747" ht="15" customHeight="1">
      <c r="A747" s="25" t="s">
        <v>3709</v>
      </c>
      <c r="B747" s="25" t="s">
        <v>7183</v>
      </c>
      <c r="C747" s="25" t="s">
        <v>7184</v>
      </c>
      <c r="D747" s="25" t="s">
        <v>1892</v>
      </c>
      <c r="E747" s="25" t="s">
        <v>7185</v>
      </c>
      <c r="F747" s="25" t="s">
        <v>4482</v>
      </c>
      <c r="G747" s="25" t="s">
        <v>7186</v>
      </c>
    </row>
    <row r="748" ht="15" customHeight="1">
      <c r="A748" s="25" t="s">
        <v>3711</v>
      </c>
      <c r="B748" s="25" t="s">
        <v>7187</v>
      </c>
      <c r="C748" s="25" t="s">
        <v>7188</v>
      </c>
      <c r="D748" s="25" t="s">
        <v>4187</v>
      </c>
      <c r="E748" s="25" t="s">
        <v>7189</v>
      </c>
      <c r="F748" s="25" t="s">
        <v>4487</v>
      </c>
      <c r="G748" s="25" t="s">
        <v>7190</v>
      </c>
    </row>
    <row r="749" ht="15" customHeight="1">
      <c r="A749" s="25" t="s">
        <v>3713</v>
      </c>
      <c r="B749" s="25" t="s">
        <v>7191</v>
      </c>
      <c r="C749" s="25" t="s">
        <v>7192</v>
      </c>
      <c r="D749" s="25" t="s">
        <v>4192</v>
      </c>
      <c r="E749" s="25" t="s">
        <v>5484</v>
      </c>
      <c r="F749" s="25" t="s">
        <v>4492</v>
      </c>
      <c r="G749" s="25" t="s">
        <v>7193</v>
      </c>
    </row>
    <row r="750" ht="15" customHeight="1">
      <c r="A750" s="25" t="s">
        <v>3716</v>
      </c>
      <c r="B750" s="25" t="s">
        <v>7194</v>
      </c>
      <c r="C750" s="25" t="s">
        <v>7195</v>
      </c>
      <c r="D750" s="25" t="s">
        <v>1830</v>
      </c>
      <c r="E750" s="25" t="s">
        <v>7196</v>
      </c>
      <c r="F750" s="25" t="s">
        <v>4497</v>
      </c>
      <c r="G750" s="25" t="s">
        <v>7197</v>
      </c>
    </row>
    <row r="751" ht="15" customHeight="1">
      <c r="A751" s="25" t="s">
        <v>3718</v>
      </c>
      <c r="B751" s="25" t="s">
        <v>7198</v>
      </c>
      <c r="C751" s="25" t="s">
        <v>7199</v>
      </c>
      <c r="D751" s="25" t="s">
        <v>4318</v>
      </c>
      <c r="E751" s="25" t="s">
        <v>7200</v>
      </c>
      <c r="F751" s="25" t="s">
        <v>4502</v>
      </c>
      <c r="G751" s="25" t="s">
        <v>7201</v>
      </c>
    </row>
    <row r="752" ht="15" customHeight="1">
      <c r="A752" s="25" t="s">
        <v>3720</v>
      </c>
      <c r="B752" s="25" t="s">
        <v>7202</v>
      </c>
      <c r="C752" s="25" t="s">
        <v>7203</v>
      </c>
      <c r="D752" s="25" t="s">
        <v>4324</v>
      </c>
      <c r="E752" s="25" t="s">
        <v>7204</v>
      </c>
      <c r="F752" s="25" t="s">
        <v>4507</v>
      </c>
      <c r="G752" s="25" t="s">
        <v>7205</v>
      </c>
    </row>
    <row r="753" ht="15" customHeight="1">
      <c r="A753" s="25" t="s">
        <v>3721</v>
      </c>
      <c r="B753" s="25" t="s">
        <v>7206</v>
      </c>
      <c r="C753" s="25" t="s">
        <v>6572</v>
      </c>
      <c r="D753" s="25" t="s">
        <v>1837</v>
      </c>
      <c r="E753" s="25" t="s">
        <v>7207</v>
      </c>
      <c r="F753" s="25" t="s">
        <v>4512</v>
      </c>
      <c r="G753" s="25" t="s">
        <v>7208</v>
      </c>
    </row>
    <row r="754" ht="15" customHeight="1">
      <c r="A754" s="25" t="s">
        <v>3723</v>
      </c>
      <c r="B754" s="25" t="s">
        <v>7209</v>
      </c>
      <c r="C754" s="25" t="s">
        <v>7210</v>
      </c>
      <c r="D754" s="25" t="s">
        <v>4203</v>
      </c>
      <c r="E754" s="25" t="s">
        <v>7211</v>
      </c>
      <c r="F754" s="25" t="s">
        <v>4517</v>
      </c>
      <c r="G754" s="25" t="s">
        <v>7212</v>
      </c>
    </row>
    <row r="755" ht="15" customHeight="1">
      <c r="A755" s="25" t="s">
        <v>3724</v>
      </c>
      <c r="B755" s="25" t="s">
        <v>7213</v>
      </c>
      <c r="C755" s="25" t="s">
        <v>7214</v>
      </c>
      <c r="D755" s="25" t="s">
        <v>4340</v>
      </c>
      <c r="E755" s="25" t="s">
        <v>7215</v>
      </c>
      <c r="F755" s="25" t="s">
        <v>4522</v>
      </c>
      <c r="G755" s="25" t="s">
        <v>7216</v>
      </c>
    </row>
    <row r="756" ht="15" customHeight="1">
      <c r="A756" s="25" t="s">
        <v>3726</v>
      </c>
      <c r="B756" s="25" t="s">
        <v>7217</v>
      </c>
      <c r="C756" s="25" t="s">
        <v>7218</v>
      </c>
      <c r="D756" s="25" t="s">
        <v>4346</v>
      </c>
      <c r="E756" s="25" t="s">
        <v>7219</v>
      </c>
      <c r="F756" s="25" t="s">
        <v>4527</v>
      </c>
      <c r="G756" s="25" t="s">
        <v>7220</v>
      </c>
    </row>
    <row r="757" ht="15" customHeight="1">
      <c r="A757" s="25" t="s">
        <v>3728</v>
      </c>
      <c r="B757" s="25" t="s">
        <v>7221</v>
      </c>
      <c r="C757" s="25" t="s">
        <v>7222</v>
      </c>
      <c r="D757" s="25" t="s">
        <v>4352</v>
      </c>
      <c r="E757" s="25" t="s">
        <v>7223</v>
      </c>
      <c r="F757" s="25" t="s">
        <v>4532</v>
      </c>
      <c r="G757" s="25" t="s">
        <v>7224</v>
      </c>
    </row>
    <row r="758" ht="15" customHeight="1">
      <c r="A758" s="25" t="s">
        <v>3731</v>
      </c>
      <c r="B758" s="25" t="s">
        <v>7225</v>
      </c>
      <c r="C758" s="25" t="s">
        <v>7226</v>
      </c>
      <c r="D758" s="25" t="s">
        <v>4209</v>
      </c>
      <c r="E758" s="25" t="s">
        <v>7227</v>
      </c>
      <c r="F758" s="25" t="s">
        <v>4537</v>
      </c>
      <c r="G758" s="25" t="s">
        <v>7228</v>
      </c>
    </row>
    <row r="759" ht="15" customHeight="1">
      <c r="A759" s="25" t="s">
        <v>3732</v>
      </c>
      <c r="B759" s="25" t="s">
        <v>7229</v>
      </c>
      <c r="C759" s="25" t="s">
        <v>7230</v>
      </c>
      <c r="D759" s="25" t="s">
        <v>1851</v>
      </c>
      <c r="E759" s="25" t="s">
        <v>7231</v>
      </c>
      <c r="F759" s="25" t="s">
        <v>4542</v>
      </c>
      <c r="G759" s="25" t="s">
        <v>7232</v>
      </c>
    </row>
    <row r="760" ht="15" customHeight="1">
      <c r="A760" s="25" t="s">
        <v>3735</v>
      </c>
      <c r="B760" s="25" t="s">
        <v>7233</v>
      </c>
      <c r="C760" s="25" t="s">
        <v>7234</v>
      </c>
      <c r="D760" s="25" t="s">
        <v>4220</v>
      </c>
      <c r="E760" s="25" t="s">
        <v>7235</v>
      </c>
      <c r="F760" s="25" t="s">
        <v>4547</v>
      </c>
      <c r="G760" s="25" t="s">
        <v>7236</v>
      </c>
    </row>
    <row r="761" ht="15" customHeight="1">
      <c r="A761" s="25" t="s">
        <v>3736</v>
      </c>
      <c r="B761" s="25" t="s">
        <v>7237</v>
      </c>
      <c r="C761" s="25" t="s">
        <v>7238</v>
      </c>
      <c r="D761" s="25" t="s">
        <v>1858</v>
      </c>
      <c r="E761" s="25" t="s">
        <v>7239</v>
      </c>
      <c r="F761" s="25" t="s">
        <v>4552</v>
      </c>
      <c r="G761" s="25" t="s">
        <v>7240</v>
      </c>
    </row>
    <row r="762" ht="15" customHeight="1">
      <c r="A762" s="25" t="s">
        <v>3738</v>
      </c>
      <c r="B762" s="25" t="s">
        <v>7241</v>
      </c>
      <c r="C762" s="25" t="s">
        <v>7242</v>
      </c>
      <c r="D762" s="25" t="s">
        <v>4378</v>
      </c>
      <c r="E762" s="25" t="s">
        <v>7243</v>
      </c>
      <c r="F762" s="25" t="s">
        <v>4557</v>
      </c>
      <c r="G762" s="25" t="s">
        <v>7244</v>
      </c>
    </row>
    <row r="763" ht="15" customHeight="1">
      <c r="A763" s="25" t="s">
        <v>3740</v>
      </c>
      <c r="B763" s="25" t="s">
        <v>7245</v>
      </c>
      <c r="C763" s="25" t="s">
        <v>7246</v>
      </c>
      <c r="D763" s="25" t="s">
        <v>4384</v>
      </c>
      <c r="E763" s="25" t="s">
        <v>7247</v>
      </c>
      <c r="F763" s="25" t="s">
        <v>4562</v>
      </c>
      <c r="G763" s="25" t="s">
        <v>7248</v>
      </c>
    </row>
    <row r="764" ht="15" customHeight="1">
      <c r="A764" s="25" t="s">
        <v>3743</v>
      </c>
      <c r="B764" s="25" t="s">
        <v>7249</v>
      </c>
      <c r="C764" s="25" t="s">
        <v>7250</v>
      </c>
      <c r="D764" s="25" t="s">
        <v>4390</v>
      </c>
      <c r="E764" s="25" t="s">
        <v>7251</v>
      </c>
      <c r="F764" s="25" t="s">
        <v>4567</v>
      </c>
      <c r="G764" s="25" t="s">
        <v>7252</v>
      </c>
    </row>
    <row r="765" ht="15" customHeight="1">
      <c r="A765" s="25" t="s">
        <v>3744</v>
      </c>
      <c r="B765" s="25" t="s">
        <v>7253</v>
      </c>
      <c r="C765" s="25" t="s">
        <v>7254</v>
      </c>
      <c r="D765" s="25" t="s">
        <v>1865</v>
      </c>
      <c r="E765" s="25" t="s">
        <v>7255</v>
      </c>
      <c r="F765" s="25" t="s">
        <v>4572</v>
      </c>
      <c r="G765" s="25" t="s">
        <v>7256</v>
      </c>
    </row>
    <row r="766" ht="15" customHeight="1">
      <c r="A766" s="25" t="s">
        <v>3747</v>
      </c>
      <c r="B766" s="25" t="s">
        <v>7257</v>
      </c>
      <c r="C766" s="25" t="s">
        <v>7258</v>
      </c>
      <c r="D766" s="25" t="s">
        <v>4236</v>
      </c>
      <c r="E766" s="25" t="s">
        <v>7259</v>
      </c>
      <c r="F766" s="25" t="s">
        <v>4577</v>
      </c>
      <c r="G766" s="25" t="s">
        <v>7260</v>
      </c>
    </row>
    <row r="767" ht="15" customHeight="1">
      <c r="A767" s="25" t="s">
        <v>3748</v>
      </c>
      <c r="B767" s="25" t="s">
        <v>7261</v>
      </c>
      <c r="C767" s="25" t="s">
        <v>7262</v>
      </c>
      <c r="D767" s="25" t="s">
        <v>4242</v>
      </c>
      <c r="E767" s="25" t="s">
        <v>7263</v>
      </c>
      <c r="F767" s="25" t="s">
        <v>4582</v>
      </c>
      <c r="G767" s="25" t="s">
        <v>7264</v>
      </c>
    </row>
    <row r="768" ht="15" customHeight="1">
      <c r="A768" s="25" t="s">
        <v>3751</v>
      </c>
      <c r="B768" s="25" t="s">
        <v>7265</v>
      </c>
      <c r="C768" s="25" t="s">
        <v>7266</v>
      </c>
      <c r="D768" s="25" t="s">
        <v>1802</v>
      </c>
      <c r="E768" s="25" t="s">
        <v>7267</v>
      </c>
      <c r="F768" s="25" t="s">
        <v>4587</v>
      </c>
      <c r="G768" s="25" t="s">
        <v>7268</v>
      </c>
    </row>
    <row r="769" ht="15" customHeight="1">
      <c r="A769" s="25" t="s">
        <v>3752</v>
      </c>
      <c r="B769" s="25" t="s">
        <v>7269</v>
      </c>
      <c r="C769" s="25" t="s">
        <v>7270</v>
      </c>
      <c r="D769" s="25" t="s">
        <v>4253</v>
      </c>
      <c r="E769" s="25" t="s">
        <v>7271</v>
      </c>
      <c r="F769" s="25" t="s">
        <v>4592</v>
      </c>
      <c r="G769" s="25" t="s">
        <v>7272</v>
      </c>
    </row>
    <row r="770" ht="15" customHeight="1">
      <c r="A770" s="25" t="s">
        <v>3754</v>
      </c>
      <c r="B770" s="25" t="s">
        <v>7273</v>
      </c>
      <c r="C770" s="25" t="s">
        <v>4830</v>
      </c>
      <c r="D770" s="25" t="s">
        <v>4259</v>
      </c>
      <c r="E770" s="25" t="s">
        <v>4772</v>
      </c>
      <c r="F770" s="25" t="s">
        <v>4597</v>
      </c>
      <c r="G770" s="25" t="s">
        <v>7274</v>
      </c>
    </row>
    <row r="771" ht="15" customHeight="1">
      <c r="A771" s="25" t="s">
        <v>3755</v>
      </c>
      <c r="B771" s="25" t="s">
        <v>7275</v>
      </c>
      <c r="C771" s="25" t="s">
        <v>7276</v>
      </c>
      <c r="D771" s="25" t="s">
        <v>1944</v>
      </c>
      <c r="E771" s="25" t="s">
        <v>7277</v>
      </c>
      <c r="F771" s="25" t="s">
        <v>4602</v>
      </c>
      <c r="G771" s="25" t="s">
        <v>7278</v>
      </c>
    </row>
    <row r="772" ht="15" customHeight="1">
      <c r="A772" s="25" t="s">
        <v>3758</v>
      </c>
      <c r="B772" s="25" t="s">
        <v>7279</v>
      </c>
      <c r="C772" s="25" t="s">
        <v>7280</v>
      </c>
      <c r="D772" s="25" t="s">
        <v>1816</v>
      </c>
      <c r="E772" s="25" t="s">
        <v>7281</v>
      </c>
      <c r="F772" s="25" t="s">
        <v>4607</v>
      </c>
      <c r="G772" s="25" t="s">
        <v>7282</v>
      </c>
    </row>
    <row r="773" ht="15" customHeight="1">
      <c r="A773" s="25" t="s">
        <v>3759</v>
      </c>
      <c r="B773" s="25" t="s">
        <v>7283</v>
      </c>
      <c r="C773" s="25" t="s">
        <v>7284</v>
      </c>
      <c r="D773" s="25" t="s">
        <v>4275</v>
      </c>
      <c r="E773" s="25" t="s">
        <v>7285</v>
      </c>
      <c r="F773" s="25" t="s">
        <v>4612</v>
      </c>
      <c r="G773" s="25" t="s">
        <v>7286</v>
      </c>
    </row>
    <row r="774" ht="15" customHeight="1">
      <c r="A774" s="25" t="s">
        <v>3761</v>
      </c>
      <c r="B774" s="25" t="s">
        <v>7287</v>
      </c>
      <c r="C774" s="25" t="s">
        <v>7288</v>
      </c>
      <c r="D774" s="25" t="s">
        <v>4281</v>
      </c>
      <c r="E774" s="25" t="s">
        <v>7289</v>
      </c>
      <c r="F774" s="25" t="s">
        <v>4617</v>
      </c>
      <c r="G774" s="25" t="s">
        <v>7290</v>
      </c>
    </row>
    <row r="775" ht="15" customHeight="1">
      <c r="A775" s="25" t="s">
        <v>3763</v>
      </c>
      <c r="B775" s="25" t="s">
        <v>7291</v>
      </c>
      <c r="C775" s="25" t="s">
        <v>7292</v>
      </c>
      <c r="D775" s="25" t="s">
        <v>4287</v>
      </c>
      <c r="E775" s="25" t="s">
        <v>7293</v>
      </c>
      <c r="F775" s="25" t="s">
        <v>4386</v>
      </c>
      <c r="G775" s="25" t="s">
        <v>7294</v>
      </c>
    </row>
    <row r="776" ht="15" customHeight="1">
      <c r="A776" s="25" t="s">
        <v>3765</v>
      </c>
      <c r="B776" s="25" t="s">
        <v>7295</v>
      </c>
      <c r="C776" s="25" t="s">
        <v>7296</v>
      </c>
      <c r="D776" s="25" t="s">
        <v>1823</v>
      </c>
      <c r="E776" s="25" t="s">
        <v>4831</v>
      </c>
      <c r="F776" s="25" t="s">
        <v>4407</v>
      </c>
      <c r="G776" s="25" t="s">
        <v>7297</v>
      </c>
    </row>
    <row r="777" ht="15" customHeight="1">
      <c r="A777" s="25" t="s">
        <v>3766</v>
      </c>
      <c r="B777" s="25" t="s">
        <v>7298</v>
      </c>
      <c r="C777" s="25" t="s">
        <v>7299</v>
      </c>
      <c r="D777" s="25" t="s">
        <v>1892</v>
      </c>
      <c r="E777" s="25" t="s">
        <v>7300</v>
      </c>
      <c r="F777" s="25" t="s">
        <v>4354</v>
      </c>
      <c r="G777" s="25" t="s">
        <v>7301</v>
      </c>
    </row>
    <row r="778" ht="15" customHeight="1">
      <c r="A778" s="25" t="s">
        <v>3768</v>
      </c>
      <c r="B778" s="25" t="s">
        <v>7302</v>
      </c>
      <c r="C778" s="25" t="s">
        <v>7303</v>
      </c>
      <c r="D778" s="25" t="s">
        <v>4187</v>
      </c>
      <c r="E778" s="25" t="s">
        <v>7304</v>
      </c>
      <c r="F778" s="25" t="s">
        <v>4447</v>
      </c>
      <c r="G778" s="25" t="s">
        <v>7305</v>
      </c>
    </row>
    <row r="779" ht="15" customHeight="1">
      <c r="A779" s="25" t="s">
        <v>3770</v>
      </c>
      <c r="B779" s="25" t="s">
        <v>7306</v>
      </c>
      <c r="C779" s="25" t="s">
        <v>7307</v>
      </c>
      <c r="D779" s="25" t="s">
        <v>4192</v>
      </c>
      <c r="E779" s="25" t="s">
        <v>7308</v>
      </c>
      <c r="F779" s="25" t="s">
        <v>4437</v>
      </c>
      <c r="G779" s="25" t="s">
        <v>7309</v>
      </c>
    </row>
    <row r="780" ht="15" customHeight="1">
      <c r="A780" s="25" t="s">
        <v>3772</v>
      </c>
      <c r="B780" s="25" t="s">
        <v>7310</v>
      </c>
      <c r="C780" s="25" t="s">
        <v>6986</v>
      </c>
      <c r="D780" s="25" t="s">
        <v>1830</v>
      </c>
      <c r="E780" s="25" t="s">
        <v>7311</v>
      </c>
      <c r="F780" s="25" t="s">
        <v>4422</v>
      </c>
      <c r="G780" s="25" t="s">
        <v>7312</v>
      </c>
    </row>
    <row r="781" ht="15" customHeight="1">
      <c r="A781" s="25" t="s">
        <v>3774</v>
      </c>
      <c r="B781" s="25" t="s">
        <v>7313</v>
      </c>
      <c r="C781" s="25" t="s">
        <v>7314</v>
      </c>
      <c r="D781" s="25" t="s">
        <v>4318</v>
      </c>
      <c r="E781" s="25" t="s">
        <v>7315</v>
      </c>
      <c r="F781" s="25" t="s">
        <v>4427</v>
      </c>
      <c r="G781" s="25" t="s">
        <v>7316</v>
      </c>
    </row>
    <row r="782" ht="15" customHeight="1">
      <c r="A782" s="25" t="s">
        <v>3776</v>
      </c>
      <c r="B782" s="25" t="s">
        <v>7317</v>
      </c>
      <c r="C782" s="25" t="s">
        <v>7318</v>
      </c>
      <c r="D782" s="25" t="s">
        <v>4324</v>
      </c>
      <c r="E782" s="25" t="s">
        <v>7319</v>
      </c>
      <c r="F782" s="25" t="s">
        <v>4432</v>
      </c>
      <c r="G782" s="25" t="s">
        <v>7320</v>
      </c>
    </row>
    <row r="783" ht="15" customHeight="1">
      <c r="A783" s="25" t="s">
        <v>3777</v>
      </c>
      <c r="B783" s="25" t="s">
        <v>7321</v>
      </c>
      <c r="C783" s="25" t="s">
        <v>7322</v>
      </c>
      <c r="D783" s="25" t="s">
        <v>1837</v>
      </c>
      <c r="E783" s="25" t="s">
        <v>4363</v>
      </c>
      <c r="F783" s="25" t="s">
        <v>4437</v>
      </c>
      <c r="G783" s="25" t="s">
        <v>7323</v>
      </c>
    </row>
    <row r="784" ht="15" customHeight="1">
      <c r="A784" s="25" t="s">
        <v>3780</v>
      </c>
      <c r="B784" s="25" t="s">
        <v>7324</v>
      </c>
      <c r="C784" s="25" t="s">
        <v>7325</v>
      </c>
      <c r="D784" s="25" t="s">
        <v>4203</v>
      </c>
      <c r="E784" s="25" t="s">
        <v>7326</v>
      </c>
      <c r="F784" s="25" t="s">
        <v>4442</v>
      </c>
      <c r="G784" s="25" t="s">
        <v>7327</v>
      </c>
    </row>
    <row r="785" ht="15" customHeight="1">
      <c r="A785" s="25" t="s">
        <v>3781</v>
      </c>
      <c r="B785" s="25" t="s">
        <v>7328</v>
      </c>
      <c r="C785" s="25" t="s">
        <v>7329</v>
      </c>
      <c r="D785" s="25" t="s">
        <v>4340</v>
      </c>
      <c r="E785" s="25" t="s">
        <v>7330</v>
      </c>
      <c r="F785" s="25" t="s">
        <v>4447</v>
      </c>
      <c r="G785" s="25" t="s">
        <v>7331</v>
      </c>
    </row>
    <row r="786" ht="15" customHeight="1">
      <c r="A786" s="25" t="s">
        <v>3784</v>
      </c>
      <c r="B786" s="25" t="s">
        <v>7332</v>
      </c>
      <c r="C786" s="25" t="s">
        <v>7333</v>
      </c>
      <c r="D786" s="25" t="s">
        <v>4346</v>
      </c>
      <c r="E786" s="25" t="s">
        <v>7334</v>
      </c>
      <c r="F786" s="25" t="s">
        <v>4452</v>
      </c>
      <c r="G786" s="25" t="s">
        <v>7335</v>
      </c>
    </row>
    <row r="787" ht="15" customHeight="1">
      <c r="A787" s="25" t="s">
        <v>3785</v>
      </c>
      <c r="B787" s="25" t="s">
        <v>7336</v>
      </c>
      <c r="C787" s="25" t="s">
        <v>7337</v>
      </c>
      <c r="D787" s="25" t="s">
        <v>4352</v>
      </c>
      <c r="E787" s="25" t="s">
        <v>7338</v>
      </c>
      <c r="F787" s="25" t="s">
        <v>4457</v>
      </c>
      <c r="G787" s="25" t="s">
        <v>7339</v>
      </c>
    </row>
    <row r="788" ht="15" customHeight="1">
      <c r="A788" s="25" t="s">
        <v>3787</v>
      </c>
      <c r="B788" s="25" t="s">
        <v>7340</v>
      </c>
      <c r="C788" s="25" t="s">
        <v>7341</v>
      </c>
      <c r="D788" s="25" t="s">
        <v>4209</v>
      </c>
      <c r="E788" s="25" t="s">
        <v>7342</v>
      </c>
      <c r="F788" s="25" t="s">
        <v>4462</v>
      </c>
      <c r="G788" s="25" t="s">
        <v>7343</v>
      </c>
    </row>
    <row r="789" ht="15" customHeight="1">
      <c r="A789" s="25" t="s">
        <v>3788</v>
      </c>
      <c r="B789" s="25" t="s">
        <v>7344</v>
      </c>
      <c r="C789" s="25" t="s">
        <v>7345</v>
      </c>
      <c r="D789" s="25" t="s">
        <v>1851</v>
      </c>
      <c r="E789" s="25" t="s">
        <v>7346</v>
      </c>
      <c r="F789" s="25" t="s">
        <v>4467</v>
      </c>
      <c r="G789" s="25" t="s">
        <v>7347</v>
      </c>
    </row>
    <row r="790" ht="15" customHeight="1">
      <c r="A790" s="25" t="s">
        <v>3790</v>
      </c>
      <c r="B790" s="25" t="s">
        <v>7348</v>
      </c>
      <c r="C790" s="25" t="s">
        <v>7349</v>
      </c>
      <c r="D790" s="25" t="s">
        <v>4220</v>
      </c>
      <c r="E790" s="25" t="s">
        <v>7350</v>
      </c>
      <c r="F790" s="25" t="s">
        <v>4472</v>
      </c>
      <c r="G790" s="25" t="s">
        <v>7351</v>
      </c>
    </row>
    <row r="791" ht="15" customHeight="1">
      <c r="A791" s="25" t="s">
        <v>3791</v>
      </c>
      <c r="B791" s="25" t="s">
        <v>7352</v>
      </c>
      <c r="C791" s="25" t="s">
        <v>5498</v>
      </c>
      <c r="D791" s="25" t="s">
        <v>1858</v>
      </c>
      <c r="E791" s="25" t="s">
        <v>7353</v>
      </c>
      <c r="F791" s="25" t="s">
        <v>4477</v>
      </c>
      <c r="G791" s="25" t="s">
        <v>7354</v>
      </c>
    </row>
    <row r="792" ht="15" customHeight="1">
      <c r="A792" s="25" t="s">
        <v>3793</v>
      </c>
      <c r="B792" s="25" t="s">
        <v>7355</v>
      </c>
      <c r="C792" s="25" t="s">
        <v>7356</v>
      </c>
      <c r="D792" s="25" t="s">
        <v>4378</v>
      </c>
      <c r="E792" s="25" t="s">
        <v>7357</v>
      </c>
      <c r="F792" s="25" t="s">
        <v>4482</v>
      </c>
      <c r="G792" s="25" t="s">
        <v>7358</v>
      </c>
    </row>
    <row r="793" ht="15" customHeight="1">
      <c r="A793" s="25" t="s">
        <v>3794</v>
      </c>
      <c r="B793" s="25" t="s">
        <v>7359</v>
      </c>
      <c r="C793" s="25" t="s">
        <v>7360</v>
      </c>
      <c r="D793" s="25" t="s">
        <v>4384</v>
      </c>
      <c r="E793" s="25" t="s">
        <v>7361</v>
      </c>
      <c r="F793" s="25" t="s">
        <v>4487</v>
      </c>
      <c r="G793" s="25" t="s">
        <v>7362</v>
      </c>
    </row>
    <row r="794" ht="15" customHeight="1">
      <c r="A794" s="25" t="s">
        <v>3796</v>
      </c>
      <c r="B794" s="25" t="s">
        <v>7363</v>
      </c>
      <c r="C794" s="25" t="s">
        <v>7364</v>
      </c>
      <c r="D794" s="25" t="s">
        <v>4390</v>
      </c>
      <c r="E794" s="25" t="s">
        <v>7365</v>
      </c>
      <c r="F794" s="25" t="s">
        <v>4492</v>
      </c>
      <c r="G794" s="25" t="s">
        <v>7366</v>
      </c>
    </row>
    <row r="795" ht="15" customHeight="1">
      <c r="A795" s="25" t="s">
        <v>3797</v>
      </c>
      <c r="B795" s="25" t="s">
        <v>7367</v>
      </c>
      <c r="C795" s="25" t="s">
        <v>6475</v>
      </c>
      <c r="D795" s="25" t="s">
        <v>1865</v>
      </c>
      <c r="E795" s="25" t="s">
        <v>7368</v>
      </c>
      <c r="F795" s="25" t="s">
        <v>4497</v>
      </c>
      <c r="G795" s="25" t="s">
        <v>7369</v>
      </c>
    </row>
    <row r="796" ht="15" customHeight="1">
      <c r="A796" s="25" t="s">
        <v>3799</v>
      </c>
      <c r="B796" s="25" t="s">
        <v>7370</v>
      </c>
      <c r="C796" s="25" t="s">
        <v>7371</v>
      </c>
      <c r="D796" s="25" t="s">
        <v>4236</v>
      </c>
      <c r="E796" s="25" t="s">
        <v>7372</v>
      </c>
      <c r="F796" s="25" t="s">
        <v>4502</v>
      </c>
      <c r="G796" s="25" t="s">
        <v>7373</v>
      </c>
    </row>
    <row r="797" ht="15" customHeight="1">
      <c r="A797" s="25" t="s">
        <v>3801</v>
      </c>
      <c r="B797" s="25" t="s">
        <v>7374</v>
      </c>
      <c r="C797" s="25" t="s">
        <v>7375</v>
      </c>
      <c r="D797" s="25" t="s">
        <v>4242</v>
      </c>
      <c r="E797" s="25" t="s">
        <v>7376</v>
      </c>
      <c r="F797" s="25" t="s">
        <v>4507</v>
      </c>
      <c r="G797" s="25" t="s">
        <v>7377</v>
      </c>
    </row>
    <row r="798" ht="15" customHeight="1">
      <c r="A798" s="25" t="s">
        <v>3803</v>
      </c>
      <c r="B798" s="25" t="s">
        <v>7378</v>
      </c>
      <c r="C798" s="25" t="s">
        <v>7379</v>
      </c>
      <c r="D798" s="25" t="s">
        <v>1802</v>
      </c>
      <c r="E798" s="25" t="s">
        <v>7380</v>
      </c>
      <c r="F798" s="25" t="s">
        <v>4512</v>
      </c>
      <c r="G798" s="25" t="s">
        <v>7381</v>
      </c>
    </row>
    <row r="799" ht="15" customHeight="1">
      <c r="A799" s="25" t="s">
        <v>3805</v>
      </c>
      <c r="B799" s="25" t="s">
        <v>7382</v>
      </c>
      <c r="C799" s="25" t="s">
        <v>7383</v>
      </c>
      <c r="D799" s="25" t="s">
        <v>4253</v>
      </c>
      <c r="E799" s="25" t="s">
        <v>7384</v>
      </c>
      <c r="F799" s="25" t="s">
        <v>4517</v>
      </c>
      <c r="G799" s="25" t="s">
        <v>7385</v>
      </c>
    </row>
    <row r="800" ht="15" customHeight="1">
      <c r="A800" s="25" t="s">
        <v>3808</v>
      </c>
      <c r="B800" s="25" t="s">
        <v>7386</v>
      </c>
      <c r="C800" s="25" t="s">
        <v>7387</v>
      </c>
      <c r="D800" s="25" t="s">
        <v>4259</v>
      </c>
      <c r="E800" s="25" t="s">
        <v>7388</v>
      </c>
      <c r="F800" s="25" t="s">
        <v>4522</v>
      </c>
      <c r="G800" s="25" t="s">
        <v>7389</v>
      </c>
    </row>
    <row r="801" ht="15" customHeight="1">
      <c r="A801" s="25" t="s">
        <v>3809</v>
      </c>
      <c r="B801" s="25" t="s">
        <v>7390</v>
      </c>
      <c r="C801" s="25" t="s">
        <v>7391</v>
      </c>
      <c r="D801" s="25" t="s">
        <v>1944</v>
      </c>
      <c r="E801" s="25" t="s">
        <v>7392</v>
      </c>
      <c r="F801" s="25" t="s">
        <v>4527</v>
      </c>
      <c r="G801" s="25" t="s">
        <v>7393</v>
      </c>
    </row>
    <row r="802" ht="15" customHeight="1">
      <c r="A802" s="25" t="s">
        <v>3811</v>
      </c>
      <c r="B802" s="25" t="s">
        <v>7394</v>
      </c>
      <c r="C802" s="25" t="s">
        <v>7395</v>
      </c>
      <c r="D802" s="25" t="s">
        <v>1816</v>
      </c>
      <c r="E802" s="25" t="s">
        <v>4661</v>
      </c>
      <c r="F802" s="25" t="s">
        <v>4532</v>
      </c>
      <c r="G802" s="25" t="s">
        <v>7396</v>
      </c>
    </row>
    <row r="803" ht="15" customHeight="1">
      <c r="A803" s="25" t="s">
        <v>3813</v>
      </c>
      <c r="B803" s="25" t="s">
        <v>7397</v>
      </c>
      <c r="C803" s="25" t="s">
        <v>4981</v>
      </c>
      <c r="D803" s="25" t="s">
        <v>4275</v>
      </c>
      <c r="E803" s="25" t="s">
        <v>7398</v>
      </c>
      <c r="F803" s="25" t="s">
        <v>4537</v>
      </c>
      <c r="G803" s="25" t="s">
        <v>7399</v>
      </c>
    </row>
    <row r="804" ht="15" customHeight="1">
      <c r="A804" s="25" t="s">
        <v>3816</v>
      </c>
      <c r="B804" s="25" t="s">
        <v>7400</v>
      </c>
      <c r="C804" s="25" t="s">
        <v>7401</v>
      </c>
      <c r="D804" s="25" t="s">
        <v>4281</v>
      </c>
      <c r="E804" s="25" t="s">
        <v>7402</v>
      </c>
      <c r="F804" s="25" t="s">
        <v>4542</v>
      </c>
      <c r="G804" s="25" t="s">
        <v>7403</v>
      </c>
    </row>
    <row r="805" ht="15" customHeight="1">
      <c r="A805" s="25" t="s">
        <v>3817</v>
      </c>
      <c r="B805" s="25" t="s">
        <v>7404</v>
      </c>
      <c r="C805" s="25" t="s">
        <v>7405</v>
      </c>
      <c r="D805" s="25" t="s">
        <v>4287</v>
      </c>
      <c r="E805" s="25" t="s">
        <v>7406</v>
      </c>
      <c r="F805" s="25" t="s">
        <v>4547</v>
      </c>
      <c r="G805" s="25" t="s">
        <v>7407</v>
      </c>
    </row>
    <row r="806" ht="15" customHeight="1">
      <c r="A806" s="25" t="s">
        <v>3819</v>
      </c>
      <c r="B806" s="25" t="s">
        <v>7408</v>
      </c>
      <c r="C806" s="25" t="s">
        <v>7409</v>
      </c>
      <c r="D806" s="25" t="s">
        <v>1823</v>
      </c>
      <c r="E806" s="25" t="s">
        <v>4867</v>
      </c>
      <c r="F806" s="25" t="s">
        <v>4552</v>
      </c>
      <c r="G806" s="25" t="s">
        <v>7410</v>
      </c>
    </row>
    <row r="807" ht="15" customHeight="1">
      <c r="A807" s="25" t="s">
        <v>3820</v>
      </c>
      <c r="B807" s="25" t="s">
        <v>7411</v>
      </c>
      <c r="C807" s="25" t="s">
        <v>7412</v>
      </c>
      <c r="D807" s="25" t="s">
        <v>1892</v>
      </c>
      <c r="E807" s="25" t="s">
        <v>7413</v>
      </c>
      <c r="F807" s="25" t="s">
        <v>4557</v>
      </c>
      <c r="G807" s="25" t="s">
        <v>7414</v>
      </c>
    </row>
    <row r="808" ht="15" customHeight="1">
      <c r="A808" s="25" t="s">
        <v>3822</v>
      </c>
      <c r="B808" s="25" t="s">
        <v>7415</v>
      </c>
      <c r="C808" s="25" t="s">
        <v>7416</v>
      </c>
      <c r="D808" s="25" t="s">
        <v>4187</v>
      </c>
      <c r="E808" s="25" t="s">
        <v>7417</v>
      </c>
      <c r="F808" s="25" t="s">
        <v>4562</v>
      </c>
      <c r="G808" s="25" t="s">
        <v>7418</v>
      </c>
    </row>
    <row r="809" ht="15" customHeight="1">
      <c r="A809" s="25" t="s">
        <v>3823</v>
      </c>
      <c r="B809" s="25" t="s">
        <v>7419</v>
      </c>
      <c r="C809" s="25" t="s">
        <v>7420</v>
      </c>
      <c r="D809" s="25" t="s">
        <v>4192</v>
      </c>
      <c r="E809" s="25" t="s">
        <v>7421</v>
      </c>
      <c r="F809" s="25" t="s">
        <v>4567</v>
      </c>
      <c r="G809" s="25" t="s">
        <v>7422</v>
      </c>
    </row>
    <row r="810" ht="15" customHeight="1">
      <c r="A810" s="25" t="s">
        <v>3825</v>
      </c>
      <c r="B810" s="25" t="s">
        <v>7423</v>
      </c>
      <c r="C810" s="25" t="s">
        <v>7424</v>
      </c>
      <c r="D810" s="25" t="s">
        <v>1830</v>
      </c>
      <c r="E810" s="25" t="s">
        <v>7425</v>
      </c>
      <c r="F810" s="25" t="s">
        <v>4572</v>
      </c>
      <c r="G810" s="25" t="s">
        <v>7426</v>
      </c>
    </row>
    <row r="811" ht="15" customHeight="1">
      <c r="A811" s="25" t="s">
        <v>3826</v>
      </c>
      <c r="B811" s="25" t="s">
        <v>7427</v>
      </c>
      <c r="C811" s="25" t="s">
        <v>7428</v>
      </c>
      <c r="D811" s="25" t="s">
        <v>4318</v>
      </c>
      <c r="E811" s="25" t="s">
        <v>7429</v>
      </c>
      <c r="F811" s="25" t="s">
        <v>4577</v>
      </c>
      <c r="G811" s="25" t="s">
        <v>7430</v>
      </c>
    </row>
    <row r="812" ht="15" customHeight="1">
      <c r="A812" s="25" t="s">
        <v>3828</v>
      </c>
      <c r="B812" s="25" t="s">
        <v>7431</v>
      </c>
      <c r="C812" s="25" t="s">
        <v>7432</v>
      </c>
      <c r="D812" s="25" t="s">
        <v>4324</v>
      </c>
      <c r="E812" s="25" t="s">
        <v>7433</v>
      </c>
      <c r="F812" s="25" t="s">
        <v>4582</v>
      </c>
      <c r="G812" s="25" t="s">
        <v>7434</v>
      </c>
    </row>
    <row r="813" ht="15" customHeight="1">
      <c r="A813" s="25" t="s">
        <v>3829</v>
      </c>
      <c r="B813" s="25" t="s">
        <v>7435</v>
      </c>
      <c r="C813" s="25" t="s">
        <v>7436</v>
      </c>
      <c r="D813" s="25" t="s">
        <v>1837</v>
      </c>
      <c r="E813" s="25" t="s">
        <v>7437</v>
      </c>
      <c r="F813" s="25" t="s">
        <v>4587</v>
      </c>
      <c r="G813" s="25" t="s">
        <v>7438</v>
      </c>
    </row>
    <row r="814" ht="15" customHeight="1">
      <c r="A814" s="25" t="s">
        <v>3831</v>
      </c>
      <c r="B814" s="25" t="s">
        <v>7439</v>
      </c>
      <c r="C814" s="25" t="s">
        <v>7440</v>
      </c>
      <c r="D814" s="25" t="s">
        <v>4203</v>
      </c>
      <c r="E814" s="25" t="s">
        <v>7441</v>
      </c>
      <c r="F814" s="25" t="s">
        <v>4592</v>
      </c>
      <c r="G814" s="25" t="s">
        <v>7442</v>
      </c>
    </row>
    <row r="815" ht="15" customHeight="1">
      <c r="A815" s="25" t="s">
        <v>3832</v>
      </c>
      <c r="B815" s="25" t="s">
        <v>7443</v>
      </c>
      <c r="C815" s="25" t="s">
        <v>7444</v>
      </c>
      <c r="D815" s="25" t="s">
        <v>4340</v>
      </c>
      <c r="E815" s="25" t="s">
        <v>7445</v>
      </c>
      <c r="F815" s="25" t="s">
        <v>4597</v>
      </c>
      <c r="G815" s="25" t="s">
        <v>7446</v>
      </c>
    </row>
    <row r="816" ht="15" customHeight="1">
      <c r="A816" s="25" t="s">
        <v>3834</v>
      </c>
      <c r="B816" s="25" t="s">
        <v>7447</v>
      </c>
      <c r="C816" s="25" t="s">
        <v>7448</v>
      </c>
      <c r="D816" s="25" t="s">
        <v>4346</v>
      </c>
      <c r="E816" s="25" t="s">
        <v>7449</v>
      </c>
      <c r="F816" s="25" t="s">
        <v>4602</v>
      </c>
      <c r="G816" s="25" t="s">
        <v>7450</v>
      </c>
    </row>
    <row r="817" ht="15" customHeight="1">
      <c r="A817" s="25" t="s">
        <v>3836</v>
      </c>
      <c r="B817" s="25" t="s">
        <v>7451</v>
      </c>
      <c r="C817" s="25" t="s">
        <v>7452</v>
      </c>
      <c r="D817" s="25" t="s">
        <v>4352</v>
      </c>
      <c r="E817" s="25" t="s">
        <v>7453</v>
      </c>
      <c r="F817" s="25" t="s">
        <v>4607</v>
      </c>
      <c r="G817" s="25" t="s">
        <v>7454</v>
      </c>
    </row>
    <row r="818" ht="15" customHeight="1">
      <c r="A818" s="25" t="s">
        <v>3839</v>
      </c>
      <c r="B818" s="25" t="s">
        <v>7455</v>
      </c>
      <c r="C818" s="25" t="s">
        <v>7456</v>
      </c>
      <c r="D818" s="25" t="s">
        <v>4209</v>
      </c>
      <c r="E818" s="25" t="s">
        <v>7457</v>
      </c>
      <c r="F818" s="25" t="s">
        <v>4612</v>
      </c>
      <c r="G818" s="25" t="s">
        <v>7458</v>
      </c>
    </row>
    <row r="819" ht="15" customHeight="1">
      <c r="A819" s="25" t="s">
        <v>3840</v>
      </c>
      <c r="B819" s="25" t="s">
        <v>7459</v>
      </c>
      <c r="C819" s="25" t="s">
        <v>7460</v>
      </c>
      <c r="D819" s="25" t="s">
        <v>1851</v>
      </c>
      <c r="E819" s="25" t="s">
        <v>7461</v>
      </c>
      <c r="F819" s="25" t="s">
        <v>4617</v>
      </c>
      <c r="G819" s="25" t="s">
        <v>7462</v>
      </c>
    </row>
    <row r="820" ht="15" customHeight="1">
      <c r="A820" s="25" t="s">
        <v>3843</v>
      </c>
      <c r="B820" s="25" t="s">
        <v>7463</v>
      </c>
      <c r="C820" s="25" t="s">
        <v>7464</v>
      </c>
      <c r="D820" s="25" t="s">
        <v>4220</v>
      </c>
      <c r="E820" s="25" t="s">
        <v>7465</v>
      </c>
      <c r="F820" s="25" t="s">
        <v>4386</v>
      </c>
      <c r="G820" s="25" t="s">
        <v>7466</v>
      </c>
    </row>
    <row r="821" ht="15" customHeight="1">
      <c r="A821" s="25" t="s">
        <v>3845</v>
      </c>
      <c r="B821" s="25" t="s">
        <v>7467</v>
      </c>
      <c r="C821" s="25" t="s">
        <v>7468</v>
      </c>
      <c r="D821" s="25" t="s">
        <v>1858</v>
      </c>
      <c r="E821" s="25" t="s">
        <v>7469</v>
      </c>
      <c r="F821" s="25" t="s">
        <v>4407</v>
      </c>
      <c r="G821" s="25" t="s">
        <v>7470</v>
      </c>
    </row>
    <row r="822" ht="15" customHeight="1">
      <c r="A822" s="25" t="s">
        <v>3847</v>
      </c>
      <c r="B822" s="25" t="s">
        <v>7471</v>
      </c>
      <c r="C822" s="25" t="s">
        <v>7472</v>
      </c>
      <c r="D822" s="25" t="s">
        <v>4378</v>
      </c>
      <c r="E822" s="25" t="s">
        <v>7473</v>
      </c>
      <c r="F822" s="25" t="s">
        <v>4354</v>
      </c>
      <c r="G822" s="25" t="s">
        <v>7474</v>
      </c>
    </row>
    <row r="823" ht="15" customHeight="1">
      <c r="A823" s="25" t="s">
        <v>3848</v>
      </c>
      <c r="B823" s="25" t="s">
        <v>7475</v>
      </c>
      <c r="C823" s="25" t="s">
        <v>7476</v>
      </c>
      <c r="D823" s="25" t="s">
        <v>4384</v>
      </c>
      <c r="E823" s="25" t="s">
        <v>7477</v>
      </c>
      <c r="F823" s="25" t="s">
        <v>4447</v>
      </c>
      <c r="G823" s="25" t="s">
        <v>7478</v>
      </c>
    </row>
    <row r="824" ht="15" customHeight="1">
      <c r="A824" s="25" t="s">
        <v>3850</v>
      </c>
      <c r="B824" s="25" t="s">
        <v>7479</v>
      </c>
      <c r="C824" s="25" t="s">
        <v>7480</v>
      </c>
      <c r="D824" s="25" t="s">
        <v>4390</v>
      </c>
      <c r="E824" s="25" t="s">
        <v>4795</v>
      </c>
      <c r="F824" s="25" t="s">
        <v>4437</v>
      </c>
      <c r="G824" s="25" t="s">
        <v>7481</v>
      </c>
    </row>
    <row r="825" ht="15" customHeight="1">
      <c r="A825" s="25" t="s">
        <v>3852</v>
      </c>
      <c r="B825" s="25" t="s">
        <v>7482</v>
      </c>
      <c r="C825" s="25" t="s">
        <v>7483</v>
      </c>
      <c r="D825" s="25" t="s">
        <v>1865</v>
      </c>
      <c r="E825" s="25" t="s">
        <v>7484</v>
      </c>
      <c r="F825" s="25" t="s">
        <v>4422</v>
      </c>
      <c r="G825" s="25" t="s">
        <v>7485</v>
      </c>
    </row>
    <row r="826" ht="15" customHeight="1">
      <c r="A826" s="25" t="s">
        <v>3854</v>
      </c>
      <c r="B826" s="25" t="s">
        <v>7486</v>
      </c>
      <c r="C826" s="25" t="s">
        <v>7487</v>
      </c>
      <c r="D826" s="25" t="s">
        <v>4236</v>
      </c>
      <c r="E826" s="25" t="s">
        <v>6589</v>
      </c>
      <c r="F826" s="25" t="s">
        <v>4427</v>
      </c>
      <c r="G826" s="25" t="s">
        <v>7488</v>
      </c>
    </row>
    <row r="827" ht="15" customHeight="1">
      <c r="A827" s="25" t="s">
        <v>3855</v>
      </c>
      <c r="B827" s="25" t="s">
        <v>7489</v>
      </c>
      <c r="C827" s="25" t="s">
        <v>7490</v>
      </c>
      <c r="D827" s="25" t="s">
        <v>4242</v>
      </c>
      <c r="E827" s="25" t="s">
        <v>7491</v>
      </c>
      <c r="F827" s="25" t="s">
        <v>4432</v>
      </c>
      <c r="G827" s="25" t="s">
        <v>7492</v>
      </c>
    </row>
    <row r="828" ht="15" customHeight="1">
      <c r="A828" s="25" t="s">
        <v>3857</v>
      </c>
      <c r="B828" s="25" t="s">
        <v>7493</v>
      </c>
      <c r="C828" s="25" t="s">
        <v>7494</v>
      </c>
      <c r="D828" s="25" t="s">
        <v>1802</v>
      </c>
      <c r="E828" s="25" t="s">
        <v>7495</v>
      </c>
      <c r="F828" s="25" t="s">
        <v>4437</v>
      </c>
      <c r="G828" s="25" t="s">
        <v>7496</v>
      </c>
    </row>
    <row r="829" ht="15" customHeight="1">
      <c r="A829" s="25" t="s">
        <v>3859</v>
      </c>
      <c r="B829" s="25" t="s">
        <v>7497</v>
      </c>
      <c r="C829" s="25" t="s">
        <v>7498</v>
      </c>
      <c r="D829" s="25" t="s">
        <v>4253</v>
      </c>
      <c r="E829" s="25" t="s">
        <v>7499</v>
      </c>
      <c r="F829" s="25" t="s">
        <v>4442</v>
      </c>
      <c r="G829" s="25" t="s">
        <v>7500</v>
      </c>
    </row>
    <row r="830" ht="15" customHeight="1">
      <c r="A830" s="25" t="s">
        <v>3861</v>
      </c>
      <c r="B830" s="25" t="s">
        <v>7501</v>
      </c>
      <c r="C830" s="25" t="s">
        <v>7502</v>
      </c>
      <c r="D830" s="25" t="s">
        <v>4259</v>
      </c>
      <c r="E830" s="25" t="s">
        <v>7503</v>
      </c>
      <c r="F830" s="25" t="s">
        <v>4447</v>
      </c>
      <c r="G830" s="25" t="s">
        <v>7504</v>
      </c>
    </row>
    <row r="831" ht="15" customHeight="1">
      <c r="A831" s="25" t="s">
        <v>3862</v>
      </c>
      <c r="B831" s="25" t="s">
        <v>7505</v>
      </c>
      <c r="C831" s="25" t="s">
        <v>7506</v>
      </c>
      <c r="D831" s="25" t="s">
        <v>1944</v>
      </c>
      <c r="E831" s="25" t="s">
        <v>7507</v>
      </c>
      <c r="F831" s="25" t="s">
        <v>4452</v>
      </c>
      <c r="G831" s="25" t="s">
        <v>7508</v>
      </c>
    </row>
    <row r="832" ht="15" customHeight="1">
      <c r="A832" s="25" t="s">
        <v>3864</v>
      </c>
      <c r="B832" s="25" t="s">
        <v>7509</v>
      </c>
      <c r="C832" s="25" t="s">
        <v>7510</v>
      </c>
      <c r="D832" s="25" t="s">
        <v>1816</v>
      </c>
      <c r="E832" s="25" t="s">
        <v>7511</v>
      </c>
      <c r="F832" s="25" t="s">
        <v>4457</v>
      </c>
      <c r="G832" s="25" t="s">
        <v>7512</v>
      </c>
    </row>
    <row r="833" ht="15" customHeight="1">
      <c r="A833" s="25" t="s">
        <v>3865</v>
      </c>
      <c r="B833" s="25" t="s">
        <v>7513</v>
      </c>
      <c r="C833" s="25" t="s">
        <v>7514</v>
      </c>
      <c r="D833" s="25" t="s">
        <v>4275</v>
      </c>
      <c r="E833" s="25" t="s">
        <v>6500</v>
      </c>
      <c r="F833" s="25" t="s">
        <v>4462</v>
      </c>
      <c r="G833" s="25" t="s">
        <v>7515</v>
      </c>
    </row>
    <row r="834" ht="15" customHeight="1">
      <c r="A834" s="25" t="s">
        <v>3867</v>
      </c>
      <c r="B834" s="25" t="s">
        <v>7516</v>
      </c>
      <c r="C834" s="25" t="s">
        <v>7517</v>
      </c>
      <c r="D834" s="25" t="s">
        <v>4281</v>
      </c>
      <c r="E834" s="25" t="s">
        <v>7518</v>
      </c>
      <c r="F834" s="25" t="s">
        <v>4467</v>
      </c>
      <c r="G834" s="25" t="s">
        <v>7519</v>
      </c>
    </row>
    <row r="835" ht="15" customHeight="1">
      <c r="A835" s="25" t="s">
        <v>3869</v>
      </c>
      <c r="B835" s="25" t="s">
        <v>7520</v>
      </c>
      <c r="C835" s="25" t="s">
        <v>7521</v>
      </c>
      <c r="D835" s="25" t="s">
        <v>4287</v>
      </c>
      <c r="E835" s="25" t="s">
        <v>7522</v>
      </c>
      <c r="F835" s="25" t="s">
        <v>4472</v>
      </c>
      <c r="G835" s="25" t="s">
        <v>7523</v>
      </c>
    </row>
    <row r="836" ht="15" customHeight="1">
      <c r="A836" s="25" t="s">
        <v>3871</v>
      </c>
      <c r="B836" s="25" t="s">
        <v>7524</v>
      </c>
      <c r="C836" s="25" t="s">
        <v>7176</v>
      </c>
      <c r="D836" s="25" t="s">
        <v>1823</v>
      </c>
      <c r="E836" s="25" t="s">
        <v>7525</v>
      </c>
      <c r="F836" s="25" t="s">
        <v>4477</v>
      </c>
      <c r="G836" s="25" t="s">
        <v>7526</v>
      </c>
    </row>
    <row r="837" ht="15" customHeight="1">
      <c r="A837" s="25" t="s">
        <v>3872</v>
      </c>
      <c r="B837" s="25" t="s">
        <v>7527</v>
      </c>
      <c r="C837" s="25" t="s">
        <v>7528</v>
      </c>
      <c r="D837" s="25" t="s">
        <v>1892</v>
      </c>
      <c r="E837" s="25" t="s">
        <v>4835</v>
      </c>
      <c r="F837" s="25" t="s">
        <v>4482</v>
      </c>
      <c r="G837" s="25" t="s">
        <v>7529</v>
      </c>
    </row>
    <row r="838" ht="15" customHeight="1">
      <c r="A838" s="25" t="s">
        <v>3874</v>
      </c>
      <c r="B838" s="25" t="s">
        <v>7530</v>
      </c>
      <c r="C838" s="25" t="s">
        <v>7531</v>
      </c>
      <c r="D838" s="25" t="s">
        <v>4187</v>
      </c>
      <c r="E838" s="25" t="s">
        <v>7532</v>
      </c>
      <c r="F838" s="25" t="s">
        <v>4487</v>
      </c>
      <c r="G838" s="25" t="s">
        <v>7533</v>
      </c>
    </row>
    <row r="839" ht="15" customHeight="1">
      <c r="A839" s="25" t="s">
        <v>3876</v>
      </c>
      <c r="B839" s="25" t="s">
        <v>7534</v>
      </c>
      <c r="C839" s="25" t="s">
        <v>7258</v>
      </c>
      <c r="D839" s="25" t="s">
        <v>4192</v>
      </c>
      <c r="E839" s="25" t="s">
        <v>7535</v>
      </c>
      <c r="F839" s="25" t="s">
        <v>4492</v>
      </c>
      <c r="G839" s="25" t="s">
        <v>7536</v>
      </c>
    </row>
    <row r="840" ht="15" customHeight="1">
      <c r="A840" s="25" t="s">
        <v>3878</v>
      </c>
      <c r="B840" s="25" t="s">
        <v>7537</v>
      </c>
      <c r="C840" s="25" t="s">
        <v>7538</v>
      </c>
      <c r="D840" s="25" t="s">
        <v>1830</v>
      </c>
      <c r="E840" s="25" t="s">
        <v>7539</v>
      </c>
      <c r="F840" s="25" t="s">
        <v>4497</v>
      </c>
      <c r="G840" s="25" t="s">
        <v>7540</v>
      </c>
    </row>
    <row r="841" ht="15" customHeight="1">
      <c r="A841" s="25" t="s">
        <v>3880</v>
      </c>
      <c r="B841" s="25" t="s">
        <v>7541</v>
      </c>
      <c r="C841" s="25" t="s">
        <v>7542</v>
      </c>
      <c r="D841" s="25" t="s">
        <v>4318</v>
      </c>
      <c r="E841" s="25" t="s">
        <v>7543</v>
      </c>
      <c r="F841" s="25" t="s">
        <v>4502</v>
      </c>
      <c r="G841" s="25" t="s">
        <v>7544</v>
      </c>
    </row>
    <row r="842" ht="15" customHeight="1">
      <c r="A842" s="25" t="s">
        <v>3882</v>
      </c>
      <c r="B842" s="25" t="s">
        <v>7545</v>
      </c>
      <c r="C842" s="25" t="s">
        <v>7546</v>
      </c>
      <c r="D842" s="25" t="s">
        <v>4324</v>
      </c>
      <c r="E842" s="25" t="s">
        <v>7547</v>
      </c>
      <c r="F842" s="25" t="s">
        <v>4507</v>
      </c>
      <c r="G842" s="25" t="s">
        <v>7548</v>
      </c>
    </row>
    <row r="843" ht="15" customHeight="1">
      <c r="A843" s="25" t="s">
        <v>3883</v>
      </c>
      <c r="B843" s="25" t="s">
        <v>7549</v>
      </c>
      <c r="C843" s="25" t="s">
        <v>7550</v>
      </c>
      <c r="D843" s="25" t="s">
        <v>1837</v>
      </c>
      <c r="E843" s="25" t="s">
        <v>7551</v>
      </c>
      <c r="F843" s="25" t="s">
        <v>4512</v>
      </c>
      <c r="G843" s="25" t="s">
        <v>7552</v>
      </c>
    </row>
    <row r="844" ht="15" customHeight="1">
      <c r="A844" s="25" t="s">
        <v>3885</v>
      </c>
      <c r="B844" s="25" t="s">
        <v>7553</v>
      </c>
      <c r="C844" s="25" t="s">
        <v>7554</v>
      </c>
      <c r="D844" s="25" t="s">
        <v>4203</v>
      </c>
      <c r="E844" s="25" t="s">
        <v>7555</v>
      </c>
      <c r="F844" s="25" t="s">
        <v>4517</v>
      </c>
      <c r="G844" s="25" t="s">
        <v>7556</v>
      </c>
    </row>
    <row r="845" ht="15" customHeight="1">
      <c r="A845" s="25" t="s">
        <v>3886</v>
      </c>
      <c r="B845" s="25" t="s">
        <v>7557</v>
      </c>
      <c r="C845" s="25" t="s">
        <v>7558</v>
      </c>
      <c r="D845" s="25" t="s">
        <v>4340</v>
      </c>
      <c r="E845" s="25" t="s">
        <v>7559</v>
      </c>
      <c r="F845" s="25" t="s">
        <v>4522</v>
      </c>
      <c r="G845" s="25" t="s">
        <v>7560</v>
      </c>
    </row>
    <row r="846" ht="15" customHeight="1">
      <c r="A846" s="25" t="s">
        <v>3888</v>
      </c>
      <c r="B846" s="25" t="s">
        <v>7561</v>
      </c>
      <c r="C846" s="25" t="s">
        <v>7562</v>
      </c>
      <c r="D846" s="25" t="s">
        <v>4346</v>
      </c>
      <c r="E846" s="25" t="s">
        <v>6758</v>
      </c>
      <c r="F846" s="25" t="s">
        <v>4527</v>
      </c>
      <c r="G846" s="25" t="s">
        <v>7563</v>
      </c>
    </row>
    <row r="847" ht="15" customHeight="1">
      <c r="A847" s="25" t="s">
        <v>3890</v>
      </c>
      <c r="B847" s="25" t="s">
        <v>7564</v>
      </c>
      <c r="C847" s="25" t="s">
        <v>5811</v>
      </c>
      <c r="D847" s="25" t="s">
        <v>4352</v>
      </c>
      <c r="E847" s="25" t="s">
        <v>7565</v>
      </c>
      <c r="F847" s="25" t="s">
        <v>4532</v>
      </c>
      <c r="G847" s="25" t="s">
        <v>7566</v>
      </c>
    </row>
    <row r="848" ht="15" customHeight="1">
      <c r="A848" s="25" t="s">
        <v>3892</v>
      </c>
      <c r="B848" s="25" t="s">
        <v>7567</v>
      </c>
      <c r="C848" s="25" t="s">
        <v>7568</v>
      </c>
      <c r="D848" s="25" t="s">
        <v>4209</v>
      </c>
      <c r="E848" s="25" t="s">
        <v>7569</v>
      </c>
      <c r="F848" s="25" t="s">
        <v>4537</v>
      </c>
      <c r="G848" s="25" t="s">
        <v>7570</v>
      </c>
    </row>
    <row r="849" ht="15" customHeight="1">
      <c r="A849" s="25" t="s">
        <v>3893</v>
      </c>
      <c r="B849" s="25" t="s">
        <v>7571</v>
      </c>
      <c r="C849" s="25" t="s">
        <v>7572</v>
      </c>
      <c r="D849" s="25" t="s">
        <v>1851</v>
      </c>
      <c r="E849" s="25" t="s">
        <v>7573</v>
      </c>
      <c r="F849" s="25" t="s">
        <v>4542</v>
      </c>
      <c r="G849" s="25" t="s">
        <v>7574</v>
      </c>
    </row>
    <row r="850" ht="15" customHeight="1">
      <c r="A850" s="25" t="s">
        <v>3895</v>
      </c>
      <c r="B850" s="25" t="s">
        <v>7575</v>
      </c>
      <c r="C850" s="25" t="s">
        <v>6572</v>
      </c>
      <c r="D850" s="25" t="s">
        <v>4220</v>
      </c>
      <c r="E850" s="25" t="s">
        <v>7576</v>
      </c>
      <c r="F850" s="25" t="s">
        <v>4547</v>
      </c>
      <c r="G850" s="25" t="s">
        <v>7577</v>
      </c>
    </row>
    <row r="851" ht="15" customHeight="1">
      <c r="A851" s="25" t="s">
        <v>3896</v>
      </c>
      <c r="B851" s="25" t="s">
        <v>7578</v>
      </c>
      <c r="C851" s="25" t="s">
        <v>7579</v>
      </c>
      <c r="D851" s="25" t="s">
        <v>1858</v>
      </c>
      <c r="E851" s="25" t="s">
        <v>7580</v>
      </c>
      <c r="F851" s="25" t="s">
        <v>4552</v>
      </c>
      <c r="G851" s="25" t="s">
        <v>7581</v>
      </c>
    </row>
    <row r="852" ht="15" customHeight="1">
      <c r="A852" s="25" t="s">
        <v>3898</v>
      </c>
      <c r="B852" s="25" t="s">
        <v>7582</v>
      </c>
      <c r="C852" s="25" t="s">
        <v>7318</v>
      </c>
      <c r="D852" s="25" t="s">
        <v>4378</v>
      </c>
      <c r="E852" s="25" t="s">
        <v>4942</v>
      </c>
      <c r="F852" s="25" t="s">
        <v>4557</v>
      </c>
      <c r="G852" s="25" t="s">
        <v>7583</v>
      </c>
    </row>
    <row r="853" ht="15" customHeight="1">
      <c r="A853" s="25" t="s">
        <v>3900</v>
      </c>
      <c r="B853" s="25" t="s">
        <v>7584</v>
      </c>
      <c r="C853" s="25" t="s">
        <v>7585</v>
      </c>
      <c r="D853" s="25" t="s">
        <v>4384</v>
      </c>
      <c r="E853" s="25" t="s">
        <v>7586</v>
      </c>
      <c r="F853" s="25" t="s">
        <v>4562</v>
      </c>
      <c r="G853" s="25" t="s">
        <v>7587</v>
      </c>
    </row>
    <row r="854" ht="15" customHeight="1">
      <c r="A854" s="25" t="s">
        <v>3903</v>
      </c>
      <c r="B854" s="25" t="s">
        <v>7588</v>
      </c>
      <c r="C854" s="25" t="s">
        <v>7589</v>
      </c>
      <c r="D854" s="25" t="s">
        <v>4390</v>
      </c>
      <c r="E854" s="25" t="s">
        <v>7590</v>
      </c>
      <c r="F854" s="25" t="s">
        <v>4567</v>
      </c>
      <c r="G854" s="25" t="s">
        <v>7591</v>
      </c>
    </row>
    <row r="855" ht="15" customHeight="1">
      <c r="A855" s="25" t="s">
        <v>3904</v>
      </c>
      <c r="B855" s="25" t="s">
        <v>7592</v>
      </c>
      <c r="C855" s="25" t="s">
        <v>7593</v>
      </c>
      <c r="D855" s="25" t="s">
        <v>1865</v>
      </c>
      <c r="E855" s="25" t="s">
        <v>7594</v>
      </c>
      <c r="F855" s="25" t="s">
        <v>4572</v>
      </c>
      <c r="G855" s="25" t="s">
        <v>7595</v>
      </c>
    </row>
    <row r="856" ht="15" customHeight="1">
      <c r="A856" s="25" t="s">
        <v>3906</v>
      </c>
      <c r="B856" s="25" t="s">
        <v>7596</v>
      </c>
      <c r="C856" s="25" t="s">
        <v>7597</v>
      </c>
      <c r="D856" s="25" t="s">
        <v>4236</v>
      </c>
      <c r="E856" s="25" t="s">
        <v>5679</v>
      </c>
      <c r="F856" s="25" t="s">
        <v>4577</v>
      </c>
      <c r="G856" s="25" t="s">
        <v>7598</v>
      </c>
    </row>
    <row r="857" ht="15" customHeight="1">
      <c r="A857" s="25" t="s">
        <v>3907</v>
      </c>
      <c r="B857" s="25" t="s">
        <v>7599</v>
      </c>
      <c r="C857" s="25" t="s">
        <v>7600</v>
      </c>
      <c r="D857" s="25" t="s">
        <v>4242</v>
      </c>
      <c r="E857" s="25" t="s">
        <v>7601</v>
      </c>
      <c r="F857" s="25" t="s">
        <v>4582</v>
      </c>
      <c r="G857" s="25" t="s">
        <v>7602</v>
      </c>
    </row>
    <row r="858" ht="15" customHeight="1">
      <c r="A858" s="25" t="s">
        <v>3909</v>
      </c>
      <c r="B858" s="25" t="s">
        <v>7603</v>
      </c>
      <c r="C858" s="25" t="s">
        <v>7604</v>
      </c>
      <c r="D858" s="25" t="s">
        <v>1802</v>
      </c>
      <c r="E858" s="25" t="s">
        <v>7605</v>
      </c>
      <c r="F858" s="25" t="s">
        <v>4587</v>
      </c>
      <c r="G858" s="25" t="s">
        <v>7606</v>
      </c>
    </row>
    <row r="859" ht="15" customHeight="1">
      <c r="A859" s="25" t="s">
        <v>3910</v>
      </c>
      <c r="B859" s="25" t="s">
        <v>7607</v>
      </c>
      <c r="C859" s="25" t="s">
        <v>7608</v>
      </c>
      <c r="D859" s="25" t="s">
        <v>4253</v>
      </c>
      <c r="E859" s="25" t="s">
        <v>7609</v>
      </c>
      <c r="F859" s="25" t="s">
        <v>4592</v>
      </c>
      <c r="G859" s="25" t="s">
        <v>7610</v>
      </c>
    </row>
    <row r="860" ht="15" customHeight="1">
      <c r="A860" s="25" t="s">
        <v>3913</v>
      </c>
      <c r="B860" s="25" t="s">
        <v>7611</v>
      </c>
      <c r="C860" s="25" t="s">
        <v>7612</v>
      </c>
      <c r="D860" s="25" t="s">
        <v>4259</v>
      </c>
      <c r="E860" s="25" t="s">
        <v>7613</v>
      </c>
      <c r="F860" s="25" t="s">
        <v>4597</v>
      </c>
      <c r="G860" s="25" t="s">
        <v>7614</v>
      </c>
    </row>
    <row r="861" ht="15" customHeight="1">
      <c r="A861" s="25" t="s">
        <v>3914</v>
      </c>
      <c r="B861" s="25" t="s">
        <v>7615</v>
      </c>
      <c r="C861" s="25" t="s">
        <v>7616</v>
      </c>
      <c r="D861" s="25" t="s">
        <v>1944</v>
      </c>
      <c r="E861" s="25" t="s">
        <v>7617</v>
      </c>
      <c r="F861" s="25" t="s">
        <v>4602</v>
      </c>
      <c r="G861" s="25" t="s">
        <v>7618</v>
      </c>
    </row>
    <row r="862" ht="15" customHeight="1">
      <c r="A862" s="25" t="s">
        <v>3916</v>
      </c>
      <c r="B862" s="25" t="s">
        <v>7619</v>
      </c>
      <c r="C862" s="25" t="s">
        <v>7620</v>
      </c>
      <c r="D862" s="25" t="s">
        <v>1816</v>
      </c>
      <c r="E862" s="25" t="s">
        <v>7621</v>
      </c>
      <c r="F862" s="25" t="s">
        <v>4607</v>
      </c>
      <c r="G862" s="25" t="s">
        <v>7622</v>
      </c>
    </row>
    <row r="863" ht="15" customHeight="1">
      <c r="A863" s="25" t="s">
        <v>3918</v>
      </c>
      <c r="B863" s="25" t="s">
        <v>7623</v>
      </c>
      <c r="C863" s="25" t="s">
        <v>7624</v>
      </c>
      <c r="D863" s="25" t="s">
        <v>4275</v>
      </c>
      <c r="E863" s="25" t="s">
        <v>7625</v>
      </c>
      <c r="F863" s="25" t="s">
        <v>4612</v>
      </c>
      <c r="G863" s="25" t="s">
        <v>7626</v>
      </c>
    </row>
    <row r="864" ht="15" customHeight="1">
      <c r="A864" s="25" t="s">
        <v>3920</v>
      </c>
      <c r="B864" s="25" t="s">
        <v>7627</v>
      </c>
      <c r="C864" s="25" t="s">
        <v>7628</v>
      </c>
      <c r="D864" s="25" t="s">
        <v>4281</v>
      </c>
      <c r="E864" s="25" t="s">
        <v>7629</v>
      </c>
      <c r="F864" s="25" t="s">
        <v>4617</v>
      </c>
      <c r="G864" s="25" t="s">
        <v>7630</v>
      </c>
    </row>
    <row r="865" ht="15" customHeight="1">
      <c r="A865" s="25" t="s">
        <v>3921</v>
      </c>
      <c r="B865" s="25" t="s">
        <v>7631</v>
      </c>
      <c r="C865" s="25" t="s">
        <v>7632</v>
      </c>
      <c r="D865" s="25" t="s">
        <v>4287</v>
      </c>
      <c r="E865" s="25" t="s">
        <v>7633</v>
      </c>
      <c r="F865" s="25" t="s">
        <v>4386</v>
      </c>
      <c r="G865" s="25" t="s">
        <v>7634</v>
      </c>
    </row>
    <row r="866" ht="15" customHeight="1">
      <c r="A866" s="25" t="s">
        <v>3923</v>
      </c>
      <c r="B866" s="25" t="s">
        <v>7635</v>
      </c>
      <c r="C866" s="25" t="s">
        <v>6405</v>
      </c>
      <c r="D866" s="25" t="s">
        <v>1823</v>
      </c>
      <c r="E866" s="25" t="s">
        <v>7636</v>
      </c>
      <c r="F866" s="25" t="s">
        <v>4407</v>
      </c>
      <c r="G866" s="25" t="s">
        <v>7637</v>
      </c>
    </row>
    <row r="867" ht="15" customHeight="1">
      <c r="A867" s="25" t="s">
        <v>3924</v>
      </c>
      <c r="B867" s="25" t="s">
        <v>7638</v>
      </c>
      <c r="C867" s="25" t="s">
        <v>7639</v>
      </c>
      <c r="D867" s="25" t="s">
        <v>1892</v>
      </c>
      <c r="E867" s="25" t="s">
        <v>7640</v>
      </c>
      <c r="F867" s="25" t="s">
        <v>4354</v>
      </c>
      <c r="G867" s="25" t="s">
        <v>7641</v>
      </c>
    </row>
    <row r="868" ht="15" customHeight="1">
      <c r="A868" s="25" t="s">
        <v>3926</v>
      </c>
      <c r="B868" s="25" t="s">
        <v>7642</v>
      </c>
      <c r="C868" s="25" t="s">
        <v>7643</v>
      </c>
      <c r="D868" s="25" t="s">
        <v>4187</v>
      </c>
      <c r="E868" s="25" t="s">
        <v>7644</v>
      </c>
      <c r="F868" s="25" t="s">
        <v>4447</v>
      </c>
      <c r="G868" s="25" t="s">
        <v>7645</v>
      </c>
    </row>
    <row r="869" ht="15" customHeight="1">
      <c r="A869" s="25" t="s">
        <v>3927</v>
      </c>
      <c r="B869" s="25" t="s">
        <v>7646</v>
      </c>
      <c r="C869" s="25" t="s">
        <v>7647</v>
      </c>
      <c r="D869" s="25" t="s">
        <v>4192</v>
      </c>
      <c r="E869" s="25" t="s">
        <v>7648</v>
      </c>
      <c r="F869" s="25" t="s">
        <v>4437</v>
      </c>
      <c r="G869" s="25" t="s">
        <v>7649</v>
      </c>
    </row>
    <row r="870" ht="15" customHeight="1">
      <c r="A870" s="25" t="s">
        <v>3930</v>
      </c>
      <c r="B870" s="25" t="s">
        <v>7650</v>
      </c>
      <c r="C870" s="25" t="s">
        <v>7651</v>
      </c>
      <c r="D870" s="25" t="s">
        <v>1830</v>
      </c>
      <c r="E870" s="25" t="s">
        <v>7652</v>
      </c>
      <c r="F870" s="25" t="s">
        <v>4422</v>
      </c>
      <c r="G870" s="25" t="s">
        <v>7653</v>
      </c>
    </row>
    <row r="871" ht="15" customHeight="1">
      <c r="A871" s="25" t="s">
        <v>3931</v>
      </c>
      <c r="B871" s="25" t="s">
        <v>7654</v>
      </c>
      <c r="C871" s="25" t="s">
        <v>7655</v>
      </c>
      <c r="D871" s="25" t="s">
        <v>4318</v>
      </c>
      <c r="E871" s="25" t="s">
        <v>7656</v>
      </c>
      <c r="F871" s="25" t="s">
        <v>4427</v>
      </c>
      <c r="G871" s="25" t="s">
        <v>7657</v>
      </c>
    </row>
    <row r="872" ht="15" customHeight="1">
      <c r="A872" s="25" t="s">
        <v>3933</v>
      </c>
      <c r="B872" s="25" t="s">
        <v>7658</v>
      </c>
      <c r="C872" s="25" t="s">
        <v>7659</v>
      </c>
      <c r="D872" s="25" t="s">
        <v>4324</v>
      </c>
      <c r="E872" s="25" t="s">
        <v>7660</v>
      </c>
      <c r="F872" s="25" t="s">
        <v>4432</v>
      </c>
      <c r="G872" s="25" t="s">
        <v>7661</v>
      </c>
    </row>
    <row r="873" ht="15" customHeight="1">
      <c r="A873" s="25" t="s">
        <v>3934</v>
      </c>
      <c r="B873" s="25" t="s">
        <v>7662</v>
      </c>
      <c r="C873" s="25" t="s">
        <v>4405</v>
      </c>
      <c r="D873" s="25" t="s">
        <v>1837</v>
      </c>
      <c r="E873" s="25" t="s">
        <v>7663</v>
      </c>
      <c r="F873" s="25" t="s">
        <v>4437</v>
      </c>
      <c r="G873" s="25" t="s">
        <v>7664</v>
      </c>
    </row>
    <row r="874" ht="15" customHeight="1">
      <c r="A874" s="25" t="s">
        <v>3936</v>
      </c>
      <c r="B874" s="25" t="s">
        <v>7665</v>
      </c>
      <c r="C874" s="25" t="s">
        <v>7666</v>
      </c>
      <c r="D874" s="25" t="s">
        <v>4203</v>
      </c>
      <c r="E874" s="25" t="s">
        <v>7667</v>
      </c>
      <c r="F874" s="25" t="s">
        <v>4442</v>
      </c>
      <c r="G874" s="25" t="s">
        <v>7668</v>
      </c>
    </row>
    <row r="875" ht="15" customHeight="1">
      <c r="A875" s="25" t="s">
        <v>3938</v>
      </c>
      <c r="B875" s="25" t="s">
        <v>7669</v>
      </c>
      <c r="C875" s="25" t="s">
        <v>7670</v>
      </c>
      <c r="D875" s="25" t="s">
        <v>4340</v>
      </c>
      <c r="E875" s="25" t="s">
        <v>7671</v>
      </c>
      <c r="F875" s="25" t="s">
        <v>4447</v>
      </c>
      <c r="G875" s="25" t="s">
        <v>7672</v>
      </c>
    </row>
    <row r="876" ht="15" customHeight="1">
      <c r="A876" s="25" t="s">
        <v>3940</v>
      </c>
      <c r="B876" s="25" t="s">
        <v>7673</v>
      </c>
      <c r="C876" s="25" t="s">
        <v>7674</v>
      </c>
      <c r="D876" s="25" t="s">
        <v>4346</v>
      </c>
      <c r="E876" s="25" t="s">
        <v>7675</v>
      </c>
      <c r="F876" s="25" t="s">
        <v>4452</v>
      </c>
      <c r="G876" s="25" t="s">
        <v>7676</v>
      </c>
    </row>
    <row r="877" ht="15" customHeight="1">
      <c r="A877" s="25" t="s">
        <v>3941</v>
      </c>
      <c r="B877" s="25" t="s">
        <v>7677</v>
      </c>
      <c r="C877" s="25" t="s">
        <v>5427</v>
      </c>
      <c r="D877" s="25" t="s">
        <v>4352</v>
      </c>
      <c r="E877" s="25" t="s">
        <v>7678</v>
      </c>
      <c r="F877" s="25" t="s">
        <v>4457</v>
      </c>
      <c r="G877" s="25" t="s">
        <v>7679</v>
      </c>
    </row>
    <row r="878" ht="15" customHeight="1">
      <c r="A878" s="25" t="s">
        <v>3943</v>
      </c>
      <c r="B878" s="25" t="s">
        <v>7680</v>
      </c>
      <c r="C878" s="25" t="s">
        <v>7681</v>
      </c>
      <c r="D878" s="25" t="s">
        <v>4209</v>
      </c>
      <c r="E878" s="25" t="s">
        <v>7682</v>
      </c>
      <c r="F878" s="25" t="s">
        <v>4462</v>
      </c>
      <c r="G878" s="25" t="s">
        <v>7683</v>
      </c>
    </row>
    <row r="879" ht="15" customHeight="1">
      <c r="A879" s="25" t="s">
        <v>3944</v>
      </c>
      <c r="B879" s="25" t="s">
        <v>6733</v>
      </c>
      <c r="C879" s="25" t="s">
        <v>7684</v>
      </c>
      <c r="D879" s="25" t="s">
        <v>1851</v>
      </c>
      <c r="E879" s="25" t="s">
        <v>6735</v>
      </c>
      <c r="F879" s="25" t="s">
        <v>4467</v>
      </c>
      <c r="G879" s="25" t="s">
        <v>7685</v>
      </c>
    </row>
    <row r="880" ht="15" customHeight="1">
      <c r="A880" s="25" t="s">
        <v>3947</v>
      </c>
      <c r="B880" s="25" t="s">
        <v>7686</v>
      </c>
      <c r="C880" s="25" t="s">
        <v>7687</v>
      </c>
      <c r="D880" s="25" t="s">
        <v>4220</v>
      </c>
      <c r="E880" s="25" t="s">
        <v>7688</v>
      </c>
      <c r="F880" s="25" t="s">
        <v>4472</v>
      </c>
      <c r="G880" s="25" t="s">
        <v>7689</v>
      </c>
    </row>
    <row r="881" ht="15" customHeight="1">
      <c r="A881" s="25" t="s">
        <v>3948</v>
      </c>
      <c r="B881" s="25" t="s">
        <v>7690</v>
      </c>
      <c r="C881" s="25" t="s">
        <v>6939</v>
      </c>
      <c r="D881" s="25" t="s">
        <v>1858</v>
      </c>
      <c r="E881" s="25" t="s">
        <v>6069</v>
      </c>
      <c r="F881" s="25" t="s">
        <v>4477</v>
      </c>
      <c r="G881" s="25" t="s">
        <v>7691</v>
      </c>
    </row>
    <row r="882" ht="15" customHeight="1">
      <c r="A882" s="25" t="s">
        <v>3950</v>
      </c>
      <c r="B882" s="25" t="s">
        <v>7692</v>
      </c>
      <c r="C882" s="25" t="s">
        <v>7693</v>
      </c>
      <c r="D882" s="25" t="s">
        <v>4378</v>
      </c>
      <c r="E882" s="25" t="s">
        <v>7694</v>
      </c>
      <c r="F882" s="25" t="s">
        <v>4482</v>
      </c>
      <c r="G882" s="25" t="s">
        <v>7695</v>
      </c>
    </row>
    <row r="883" ht="15" customHeight="1">
      <c r="A883" s="25" t="s">
        <v>3952</v>
      </c>
      <c r="B883" s="25" t="s">
        <v>7696</v>
      </c>
      <c r="C883" s="25" t="s">
        <v>7697</v>
      </c>
      <c r="D883" s="25" t="s">
        <v>4384</v>
      </c>
      <c r="E883" s="25" t="s">
        <v>7698</v>
      </c>
      <c r="F883" s="25" t="s">
        <v>4487</v>
      </c>
      <c r="G883" s="25" t="s">
        <v>7699</v>
      </c>
    </row>
    <row r="884" ht="15" customHeight="1">
      <c r="A884" s="25" t="s">
        <v>3954</v>
      </c>
      <c r="B884" s="25" t="s">
        <v>7700</v>
      </c>
      <c r="C884" s="25" t="s">
        <v>6354</v>
      </c>
      <c r="D884" s="25" t="s">
        <v>4390</v>
      </c>
      <c r="E884" s="25" t="s">
        <v>7701</v>
      </c>
      <c r="F884" s="25" t="s">
        <v>4492</v>
      </c>
      <c r="G884" s="25" t="s">
        <v>7702</v>
      </c>
    </row>
    <row r="885" ht="15" customHeight="1">
      <c r="A885" s="25" t="s">
        <v>3955</v>
      </c>
      <c r="B885" s="25" t="s">
        <v>7703</v>
      </c>
      <c r="C885" s="25" t="s">
        <v>7704</v>
      </c>
      <c r="D885" s="25" t="s">
        <v>1865</v>
      </c>
      <c r="E885" s="25" t="s">
        <v>7705</v>
      </c>
      <c r="F885" s="25" t="s">
        <v>4497</v>
      </c>
      <c r="G885" s="25" t="s">
        <v>7706</v>
      </c>
    </row>
    <row r="886" ht="15" customHeight="1">
      <c r="A886" s="25" t="s">
        <v>3958</v>
      </c>
      <c r="B886" s="25" t="s">
        <v>7707</v>
      </c>
      <c r="C886" s="25" t="s">
        <v>7708</v>
      </c>
      <c r="D886" s="25" t="s">
        <v>4236</v>
      </c>
      <c r="E886" s="25" t="s">
        <v>7709</v>
      </c>
      <c r="F886" s="25" t="s">
        <v>4502</v>
      </c>
      <c r="G886" s="25" t="s">
        <v>7710</v>
      </c>
    </row>
    <row r="887" ht="15" customHeight="1">
      <c r="A887" s="25" t="s">
        <v>3960</v>
      </c>
      <c r="B887" s="25" t="s">
        <v>7711</v>
      </c>
      <c r="C887" s="25" t="s">
        <v>7712</v>
      </c>
      <c r="D887" s="25" t="s">
        <v>4242</v>
      </c>
      <c r="E887" s="25" t="s">
        <v>7713</v>
      </c>
      <c r="F887" s="25" t="s">
        <v>4507</v>
      </c>
      <c r="G887" s="25" t="s">
        <v>7714</v>
      </c>
    </row>
    <row r="888" ht="15" customHeight="1">
      <c r="A888" s="25" t="s">
        <v>3962</v>
      </c>
      <c r="B888" s="25" t="s">
        <v>7715</v>
      </c>
      <c r="C888" s="25" t="s">
        <v>7716</v>
      </c>
      <c r="D888" s="25" t="s">
        <v>1802</v>
      </c>
      <c r="E888" s="25" t="s">
        <v>7717</v>
      </c>
      <c r="F888" s="25" t="s">
        <v>4512</v>
      </c>
      <c r="G888" s="25" t="s">
        <v>7718</v>
      </c>
    </row>
    <row r="889" ht="15" customHeight="1">
      <c r="A889" s="25" t="s">
        <v>3963</v>
      </c>
      <c r="B889" s="25" t="s">
        <v>7719</v>
      </c>
      <c r="C889" s="25" t="s">
        <v>7720</v>
      </c>
      <c r="D889" s="25" t="s">
        <v>4253</v>
      </c>
      <c r="E889" s="25" t="s">
        <v>7721</v>
      </c>
      <c r="F889" s="25" t="s">
        <v>4517</v>
      </c>
      <c r="G889" s="25" t="s">
        <v>7722</v>
      </c>
    </row>
    <row r="890" ht="15" customHeight="1">
      <c r="A890" s="25" t="s">
        <v>3966</v>
      </c>
      <c r="B890" s="25" t="s">
        <v>7723</v>
      </c>
      <c r="C890" s="25" t="s">
        <v>7724</v>
      </c>
      <c r="D890" s="25" t="s">
        <v>4259</v>
      </c>
      <c r="E890" s="25" t="s">
        <v>7725</v>
      </c>
      <c r="F890" s="25" t="s">
        <v>4522</v>
      </c>
      <c r="G890" s="25" t="s">
        <v>7726</v>
      </c>
    </row>
    <row r="891" ht="15" customHeight="1">
      <c r="A891" s="25" t="s">
        <v>3967</v>
      </c>
      <c r="B891" s="25" t="s">
        <v>7727</v>
      </c>
      <c r="C891" s="25" t="s">
        <v>7728</v>
      </c>
      <c r="D891" s="25" t="s">
        <v>1944</v>
      </c>
      <c r="E891" s="25" t="s">
        <v>7729</v>
      </c>
      <c r="F891" s="25" t="s">
        <v>4527</v>
      </c>
      <c r="G891" s="25" t="s">
        <v>7730</v>
      </c>
    </row>
    <row r="892" ht="15" customHeight="1">
      <c r="A892" s="25" t="s">
        <v>3969</v>
      </c>
      <c r="B892" s="25" t="s">
        <v>7731</v>
      </c>
      <c r="C892" s="25" t="s">
        <v>7732</v>
      </c>
      <c r="D892" s="25" t="s">
        <v>1816</v>
      </c>
      <c r="E892" s="25" t="s">
        <v>7733</v>
      </c>
      <c r="F892" s="25" t="s">
        <v>4532</v>
      </c>
      <c r="G892" s="25" t="s">
        <v>7734</v>
      </c>
    </row>
    <row r="893" ht="15" customHeight="1">
      <c r="A893" s="25" t="s">
        <v>3970</v>
      </c>
      <c r="B893" s="25" t="s">
        <v>7735</v>
      </c>
      <c r="C893" s="25" t="s">
        <v>7736</v>
      </c>
      <c r="D893" s="25" t="s">
        <v>4275</v>
      </c>
      <c r="E893" s="25" t="s">
        <v>7737</v>
      </c>
      <c r="F893" s="25" t="s">
        <v>4537</v>
      </c>
      <c r="G893" s="25" t="s">
        <v>7738</v>
      </c>
    </row>
    <row r="894" ht="15" customHeight="1">
      <c r="A894" s="25" t="s">
        <v>3972</v>
      </c>
      <c r="B894" s="25" t="s">
        <v>7739</v>
      </c>
      <c r="C894" s="25" t="s">
        <v>7740</v>
      </c>
      <c r="D894" s="25" t="s">
        <v>4281</v>
      </c>
      <c r="E894" s="25" t="s">
        <v>7741</v>
      </c>
      <c r="F894" s="25" t="s">
        <v>4542</v>
      </c>
      <c r="G894" s="25" t="s">
        <v>7742</v>
      </c>
    </row>
    <row r="895" ht="15" customHeight="1">
      <c r="A895" s="25" t="s">
        <v>3974</v>
      </c>
      <c r="B895" s="25" t="s">
        <v>7743</v>
      </c>
      <c r="C895" s="25" t="s">
        <v>7226</v>
      </c>
      <c r="D895" s="25" t="s">
        <v>4287</v>
      </c>
      <c r="E895" s="25" t="s">
        <v>7744</v>
      </c>
      <c r="F895" s="25" t="s">
        <v>4547</v>
      </c>
      <c r="G895" s="25" t="s">
        <v>7745</v>
      </c>
    </row>
    <row r="896" ht="15" customHeight="1">
      <c r="A896" s="25" t="s">
        <v>3977</v>
      </c>
      <c r="B896" s="25" t="s">
        <v>7746</v>
      </c>
      <c r="C896" s="25" t="s">
        <v>7747</v>
      </c>
      <c r="D896" s="25" t="s">
        <v>1823</v>
      </c>
      <c r="E896" s="25" t="s">
        <v>7748</v>
      </c>
      <c r="F896" s="25" t="s">
        <v>4552</v>
      </c>
      <c r="G896" s="25" t="s">
        <v>7749</v>
      </c>
    </row>
    <row r="897" ht="15" customHeight="1">
      <c r="A897" s="25" t="s">
        <v>3978</v>
      </c>
      <c r="B897" s="25" t="s">
        <v>7750</v>
      </c>
      <c r="C897" s="25" t="s">
        <v>7751</v>
      </c>
      <c r="D897" s="25" t="s">
        <v>1892</v>
      </c>
      <c r="E897" s="25" t="s">
        <v>7752</v>
      </c>
      <c r="F897" s="25" t="s">
        <v>4557</v>
      </c>
      <c r="G897" s="25" t="s">
        <v>7753</v>
      </c>
    </row>
    <row r="898" ht="15" customHeight="1">
      <c r="A898" s="25" t="s">
        <v>3980</v>
      </c>
      <c r="B898" s="25" t="s">
        <v>7754</v>
      </c>
      <c r="C898" s="25" t="s">
        <v>7755</v>
      </c>
      <c r="D898" s="25" t="s">
        <v>4187</v>
      </c>
      <c r="E898" s="25" t="s">
        <v>7062</v>
      </c>
      <c r="F898" s="25" t="s">
        <v>4562</v>
      </c>
      <c r="G898" s="25" t="s">
        <v>7756</v>
      </c>
    </row>
    <row r="899" ht="15" customHeight="1">
      <c r="A899" s="25" t="s">
        <v>3981</v>
      </c>
      <c r="B899" s="25" t="s">
        <v>7757</v>
      </c>
      <c r="C899" s="25" t="s">
        <v>7758</v>
      </c>
      <c r="D899" s="25" t="s">
        <v>4192</v>
      </c>
      <c r="E899" s="25" t="s">
        <v>5164</v>
      </c>
      <c r="F899" s="25" t="s">
        <v>4567</v>
      </c>
      <c r="G899" s="25" t="s">
        <v>7759</v>
      </c>
    </row>
    <row r="900" ht="15" customHeight="1">
      <c r="A900" s="25" t="s">
        <v>3984</v>
      </c>
      <c r="B900" s="25" t="s">
        <v>7760</v>
      </c>
      <c r="C900" s="25" t="s">
        <v>7761</v>
      </c>
      <c r="D900" s="25" t="s">
        <v>1830</v>
      </c>
      <c r="E900" s="25" t="s">
        <v>7762</v>
      </c>
      <c r="F900" s="25" t="s">
        <v>4572</v>
      </c>
      <c r="G900" s="25" t="s">
        <v>7763</v>
      </c>
    </row>
    <row r="901" ht="15" customHeight="1">
      <c r="A901" s="25" t="s">
        <v>3985</v>
      </c>
      <c r="B901" s="25" t="s">
        <v>7764</v>
      </c>
      <c r="C901" s="25" t="s">
        <v>7765</v>
      </c>
      <c r="D901" s="25" t="s">
        <v>4318</v>
      </c>
      <c r="E901" s="25" t="s">
        <v>7766</v>
      </c>
      <c r="F901" s="25" t="s">
        <v>4577</v>
      </c>
      <c r="G901" s="25" t="s">
        <v>7767</v>
      </c>
    </row>
    <row r="902" ht="15" customHeight="1">
      <c r="A902" s="25" t="s">
        <v>3987</v>
      </c>
      <c r="B902" s="25" t="s">
        <v>7768</v>
      </c>
      <c r="C902" s="25" t="s">
        <v>6518</v>
      </c>
      <c r="D902" s="25" t="s">
        <v>4324</v>
      </c>
      <c r="E902" s="25" t="s">
        <v>7769</v>
      </c>
      <c r="F902" s="25" t="s">
        <v>4582</v>
      </c>
      <c r="G902" s="25" t="s">
        <v>7770</v>
      </c>
    </row>
    <row r="903" ht="15" customHeight="1">
      <c r="A903" s="25" t="s">
        <v>3988</v>
      </c>
      <c r="B903" s="25" t="s">
        <v>7771</v>
      </c>
      <c r="C903" s="25" t="s">
        <v>7772</v>
      </c>
      <c r="D903" s="25" t="s">
        <v>1837</v>
      </c>
      <c r="E903" s="25" t="s">
        <v>7773</v>
      </c>
      <c r="F903" s="25" t="s">
        <v>4587</v>
      </c>
      <c r="G903" s="25" t="s">
        <v>7774</v>
      </c>
    </row>
    <row r="904" ht="15" customHeight="1">
      <c r="A904" s="25" t="s">
        <v>3990</v>
      </c>
      <c r="B904" s="25" t="s">
        <v>7775</v>
      </c>
      <c r="C904" s="25" t="s">
        <v>7776</v>
      </c>
      <c r="D904" s="25" t="s">
        <v>4203</v>
      </c>
      <c r="E904" s="25" t="s">
        <v>7777</v>
      </c>
      <c r="F904" s="25" t="s">
        <v>4592</v>
      </c>
      <c r="G904" s="25" t="s">
        <v>7778</v>
      </c>
    </row>
    <row r="905" ht="15" customHeight="1">
      <c r="A905" s="25" t="s">
        <v>3992</v>
      </c>
      <c r="B905" s="25" t="s">
        <v>7779</v>
      </c>
      <c r="C905" s="25" t="s">
        <v>7780</v>
      </c>
      <c r="D905" s="25" t="s">
        <v>4340</v>
      </c>
      <c r="E905" s="25" t="s">
        <v>5800</v>
      </c>
      <c r="F905" s="25" t="s">
        <v>4597</v>
      </c>
      <c r="G905" s="25" t="s">
        <v>7781</v>
      </c>
    </row>
    <row r="906" ht="15" customHeight="1">
      <c r="A906" s="25" t="s">
        <v>3995</v>
      </c>
      <c r="B906" s="25" t="s">
        <v>7782</v>
      </c>
      <c r="C906" s="25" t="s">
        <v>7783</v>
      </c>
      <c r="D906" s="25" t="s">
        <v>4346</v>
      </c>
      <c r="E906" s="25" t="s">
        <v>7784</v>
      </c>
      <c r="F906" s="25" t="s">
        <v>4602</v>
      </c>
      <c r="G906" s="25" t="s">
        <v>7785</v>
      </c>
    </row>
    <row r="907" ht="15" customHeight="1">
      <c r="A907" s="25" t="s">
        <v>3996</v>
      </c>
      <c r="B907" s="25" t="s">
        <v>7786</v>
      </c>
      <c r="C907" s="25" t="s">
        <v>7787</v>
      </c>
      <c r="D907" s="25" t="s">
        <v>4352</v>
      </c>
      <c r="E907" s="25" t="s">
        <v>7788</v>
      </c>
      <c r="F907" s="25" t="s">
        <v>4607</v>
      </c>
      <c r="G907" s="25" t="s">
        <v>7789</v>
      </c>
    </row>
    <row r="908" ht="15" customHeight="1">
      <c r="A908" s="25" t="s">
        <v>3999</v>
      </c>
      <c r="B908" s="25" t="s">
        <v>7790</v>
      </c>
      <c r="C908" s="25" t="s">
        <v>7791</v>
      </c>
      <c r="D908" s="25" t="s">
        <v>4209</v>
      </c>
      <c r="E908" s="25" t="s">
        <v>7792</v>
      </c>
      <c r="F908" s="25" t="s">
        <v>4612</v>
      </c>
      <c r="G908" s="25" t="s">
        <v>7793</v>
      </c>
    </row>
    <row r="909" ht="15" customHeight="1">
      <c r="A909" s="25" t="s">
        <v>4001</v>
      </c>
      <c r="B909" s="25" t="s">
        <v>7794</v>
      </c>
      <c r="C909" s="25" t="s">
        <v>7795</v>
      </c>
      <c r="D909" s="25" t="s">
        <v>1851</v>
      </c>
      <c r="E909" s="25" t="s">
        <v>7796</v>
      </c>
      <c r="F909" s="25" t="s">
        <v>4617</v>
      </c>
      <c r="G909" s="25" t="s">
        <v>7797</v>
      </c>
    </row>
    <row r="910" ht="15" customHeight="1">
      <c r="A910" s="25" t="s">
        <v>4003</v>
      </c>
      <c r="B910" s="25" t="s">
        <v>7798</v>
      </c>
      <c r="C910" s="25" t="s">
        <v>7799</v>
      </c>
      <c r="D910" s="25" t="s">
        <v>4220</v>
      </c>
      <c r="E910" s="25" t="s">
        <v>7800</v>
      </c>
      <c r="F910" s="25" t="s">
        <v>4386</v>
      </c>
      <c r="G910" s="25" t="s">
        <v>7801</v>
      </c>
    </row>
    <row r="911" ht="15" customHeight="1">
      <c r="A911" s="25" t="s">
        <v>4004</v>
      </c>
      <c r="B911" s="25" t="s">
        <v>7802</v>
      </c>
      <c r="C911" s="25" t="s">
        <v>7803</v>
      </c>
      <c r="D911" s="25" t="s">
        <v>1858</v>
      </c>
      <c r="E911" s="25" t="s">
        <v>7804</v>
      </c>
      <c r="F911" s="25" t="s">
        <v>4407</v>
      </c>
      <c r="G911" s="25" t="s">
        <v>7805</v>
      </c>
    </row>
    <row r="912" ht="15" customHeight="1">
      <c r="A912" s="25" t="s">
        <v>4006</v>
      </c>
      <c r="B912" s="25" t="s">
        <v>7806</v>
      </c>
      <c r="C912" s="25" t="s">
        <v>7807</v>
      </c>
      <c r="D912" s="25" t="s">
        <v>4378</v>
      </c>
      <c r="E912" s="25" t="s">
        <v>4871</v>
      </c>
      <c r="F912" s="25" t="s">
        <v>4354</v>
      </c>
      <c r="G912" s="25" t="s">
        <v>7808</v>
      </c>
    </row>
    <row r="913" ht="15" customHeight="1">
      <c r="A913" s="25" t="s">
        <v>4008</v>
      </c>
      <c r="B913" s="25" t="s">
        <v>7809</v>
      </c>
      <c r="C913" s="25" t="s">
        <v>7810</v>
      </c>
      <c r="D913" s="25" t="s">
        <v>4384</v>
      </c>
      <c r="E913" s="25" t="s">
        <v>7811</v>
      </c>
      <c r="F913" s="25" t="s">
        <v>4447</v>
      </c>
      <c r="G913" s="25" t="s">
        <v>7812</v>
      </c>
    </row>
    <row r="914" ht="15" customHeight="1">
      <c r="A914" s="25" t="s">
        <v>4011</v>
      </c>
      <c r="B914" s="25" t="s">
        <v>7813</v>
      </c>
      <c r="C914" s="25" t="s">
        <v>7814</v>
      </c>
      <c r="D914" s="25" t="s">
        <v>4390</v>
      </c>
      <c r="E914" s="25" t="s">
        <v>7815</v>
      </c>
      <c r="F914" s="25" t="s">
        <v>4437</v>
      </c>
      <c r="G914" s="25" t="s">
        <v>7816</v>
      </c>
    </row>
    <row r="915" ht="15" customHeight="1">
      <c r="A915" s="25" t="s">
        <v>4012</v>
      </c>
      <c r="B915" s="25" t="s">
        <v>7817</v>
      </c>
      <c r="C915" s="25" t="s">
        <v>7818</v>
      </c>
      <c r="D915" s="25" t="s">
        <v>1865</v>
      </c>
      <c r="E915" s="25" t="s">
        <v>7819</v>
      </c>
      <c r="F915" s="25" t="s">
        <v>4422</v>
      </c>
      <c r="G915" s="25" t="s">
        <v>7820</v>
      </c>
    </row>
    <row r="916" ht="15" customHeight="1">
      <c r="A916" s="25" t="s">
        <v>4014</v>
      </c>
      <c r="B916" s="25" t="s">
        <v>7821</v>
      </c>
      <c r="C916" s="25" t="s">
        <v>7822</v>
      </c>
      <c r="D916" s="25" t="s">
        <v>4236</v>
      </c>
      <c r="E916" s="25" t="s">
        <v>5078</v>
      </c>
      <c r="F916" s="25" t="s">
        <v>4427</v>
      </c>
      <c r="G916" s="25" t="s">
        <v>7823</v>
      </c>
    </row>
    <row r="917" ht="15" customHeight="1">
      <c r="A917" s="25" t="s">
        <v>4016</v>
      </c>
      <c r="B917" s="25" t="s">
        <v>7824</v>
      </c>
      <c r="C917" s="25" t="s">
        <v>7825</v>
      </c>
      <c r="D917" s="25" t="s">
        <v>4242</v>
      </c>
      <c r="E917" s="25" t="s">
        <v>7826</v>
      </c>
      <c r="F917" s="25" t="s">
        <v>4432</v>
      </c>
      <c r="G917" s="25" t="s">
        <v>7827</v>
      </c>
    </row>
    <row r="918" ht="15" customHeight="1">
      <c r="A918" s="25" t="s">
        <v>4018</v>
      </c>
      <c r="B918" s="25" t="s">
        <v>7828</v>
      </c>
      <c r="C918" s="25" t="s">
        <v>7829</v>
      </c>
      <c r="D918" s="25" t="s">
        <v>1802</v>
      </c>
      <c r="E918" s="25" t="s">
        <v>7830</v>
      </c>
      <c r="F918" s="25" t="s">
        <v>4437</v>
      </c>
      <c r="G918" s="25" t="s">
        <v>7831</v>
      </c>
    </row>
    <row r="919" ht="15" customHeight="1">
      <c r="A919" s="25" t="s">
        <v>4019</v>
      </c>
      <c r="B919" s="25" t="s">
        <v>7832</v>
      </c>
      <c r="C919" s="25" t="s">
        <v>7833</v>
      </c>
      <c r="D919" s="25" t="s">
        <v>4253</v>
      </c>
      <c r="E919" s="25" t="s">
        <v>7834</v>
      </c>
      <c r="F919" s="25" t="s">
        <v>4442</v>
      </c>
      <c r="G919" s="25" t="s">
        <v>7835</v>
      </c>
    </row>
    <row r="920" ht="15" customHeight="1">
      <c r="A920" s="25" t="s">
        <v>4021</v>
      </c>
      <c r="B920" s="25" t="s">
        <v>7836</v>
      </c>
      <c r="C920" s="25" t="s">
        <v>7837</v>
      </c>
      <c r="D920" s="25" t="s">
        <v>4259</v>
      </c>
      <c r="E920" s="25" t="s">
        <v>7838</v>
      </c>
      <c r="F920" s="25" t="s">
        <v>4447</v>
      </c>
      <c r="G920" s="25" t="s">
        <v>7839</v>
      </c>
    </row>
    <row r="921" ht="15" customHeight="1">
      <c r="A921" s="25" t="s">
        <v>4022</v>
      </c>
      <c r="B921" s="25" t="s">
        <v>7840</v>
      </c>
      <c r="C921" s="25" t="s">
        <v>7841</v>
      </c>
      <c r="D921" s="25" t="s">
        <v>1944</v>
      </c>
      <c r="E921" s="25" t="s">
        <v>7842</v>
      </c>
      <c r="F921" s="25" t="s">
        <v>4452</v>
      </c>
      <c r="G921" s="25" t="s">
        <v>7843</v>
      </c>
    </row>
    <row r="922" ht="15" customHeight="1">
      <c r="A922" s="25" t="s">
        <v>4024</v>
      </c>
      <c r="B922" s="25" t="s">
        <v>7844</v>
      </c>
      <c r="C922" s="25" t="s">
        <v>7845</v>
      </c>
      <c r="D922" s="25" t="s">
        <v>1816</v>
      </c>
      <c r="E922" s="25" t="s">
        <v>5562</v>
      </c>
      <c r="F922" s="25" t="s">
        <v>4457</v>
      </c>
      <c r="G922" s="25" t="s">
        <v>7846</v>
      </c>
    </row>
    <row r="923" ht="15" customHeight="1">
      <c r="A923" s="25" t="s">
        <v>4026</v>
      </c>
      <c r="B923" s="25" t="s">
        <v>7847</v>
      </c>
      <c r="C923" s="25" t="s">
        <v>7848</v>
      </c>
      <c r="D923" s="25" t="s">
        <v>4275</v>
      </c>
      <c r="E923" s="25" t="s">
        <v>7849</v>
      </c>
      <c r="F923" s="25" t="s">
        <v>4462</v>
      </c>
      <c r="G923" s="25" t="s">
        <v>7850</v>
      </c>
    </row>
    <row r="924" ht="15" customHeight="1">
      <c r="A924" s="25" t="s">
        <v>4028</v>
      </c>
      <c r="B924" s="25" t="s">
        <v>7851</v>
      </c>
      <c r="C924" s="25" t="s">
        <v>7852</v>
      </c>
      <c r="D924" s="25" t="s">
        <v>4281</v>
      </c>
      <c r="E924" s="25" t="s">
        <v>7853</v>
      </c>
      <c r="F924" s="25" t="s">
        <v>4467</v>
      </c>
      <c r="G924" s="25" t="s">
        <v>7854</v>
      </c>
    </row>
    <row r="925" ht="15" customHeight="1">
      <c r="A925" s="25" t="s">
        <v>4030</v>
      </c>
      <c r="B925" s="25" t="s">
        <v>7855</v>
      </c>
      <c r="C925" s="25" t="s">
        <v>7856</v>
      </c>
      <c r="D925" s="25" t="s">
        <v>4287</v>
      </c>
      <c r="E925" s="25" t="s">
        <v>7857</v>
      </c>
      <c r="F925" s="25" t="s">
        <v>4472</v>
      </c>
      <c r="G925" s="25" t="s">
        <v>7858</v>
      </c>
    </row>
    <row r="926" ht="15" customHeight="1">
      <c r="A926" s="25" t="s">
        <v>4033</v>
      </c>
      <c r="B926" s="25" t="s">
        <v>7859</v>
      </c>
      <c r="C926" s="25" t="s">
        <v>6424</v>
      </c>
      <c r="D926" s="25" t="s">
        <v>1823</v>
      </c>
      <c r="E926" s="25" t="s">
        <v>7860</v>
      </c>
      <c r="F926" s="25" t="s">
        <v>4477</v>
      </c>
      <c r="G926" s="25" t="s">
        <v>7861</v>
      </c>
    </row>
    <row r="927" ht="15" customHeight="1">
      <c r="A927" s="25" t="s">
        <v>4034</v>
      </c>
      <c r="B927" s="25" t="s">
        <v>7862</v>
      </c>
      <c r="C927" s="25" t="s">
        <v>7863</v>
      </c>
      <c r="D927" s="25" t="s">
        <v>1892</v>
      </c>
      <c r="E927" s="25" t="s">
        <v>7864</v>
      </c>
      <c r="F927" s="25" t="s">
        <v>4482</v>
      </c>
      <c r="G927" s="25" t="s">
        <v>7865</v>
      </c>
    </row>
    <row r="928" ht="15" customHeight="1">
      <c r="A928" s="25" t="s">
        <v>4036</v>
      </c>
      <c r="B928" s="25" t="s">
        <v>7866</v>
      </c>
      <c r="C928" s="25" t="s">
        <v>7867</v>
      </c>
      <c r="D928" s="25" t="s">
        <v>4187</v>
      </c>
      <c r="E928" s="25" t="s">
        <v>7868</v>
      </c>
      <c r="F928" s="25" t="s">
        <v>4487</v>
      </c>
      <c r="G928" s="25" t="s">
        <v>7869</v>
      </c>
    </row>
    <row r="929" ht="15" customHeight="1">
      <c r="A929" s="25" t="s">
        <v>4038</v>
      </c>
      <c r="B929" s="25" t="s">
        <v>7870</v>
      </c>
      <c r="C929" s="25" t="s">
        <v>7871</v>
      </c>
      <c r="D929" s="25" t="s">
        <v>4192</v>
      </c>
      <c r="E929" s="25" t="s">
        <v>7872</v>
      </c>
      <c r="F929" s="25" t="s">
        <v>4492</v>
      </c>
      <c r="G929" s="25" t="s">
        <v>7873</v>
      </c>
    </row>
    <row r="930" ht="15" customHeight="1">
      <c r="A930" s="25" t="s">
        <v>4040</v>
      </c>
      <c r="B930" s="25" t="s">
        <v>7874</v>
      </c>
      <c r="C930" s="25" t="s">
        <v>7875</v>
      </c>
      <c r="D930" s="25" t="s">
        <v>1830</v>
      </c>
      <c r="E930" s="25" t="s">
        <v>7876</v>
      </c>
      <c r="F930" s="25" t="s">
        <v>4497</v>
      </c>
      <c r="G930" s="25" t="s">
        <v>7877</v>
      </c>
    </row>
    <row r="931" ht="15" customHeight="1">
      <c r="A931" s="25" t="s">
        <v>4042</v>
      </c>
      <c r="B931" s="25" t="s">
        <v>7878</v>
      </c>
      <c r="C931" s="25" t="s">
        <v>7879</v>
      </c>
      <c r="D931" s="25" t="s">
        <v>4318</v>
      </c>
      <c r="E931" s="25" t="s">
        <v>7880</v>
      </c>
      <c r="F931" s="25" t="s">
        <v>4502</v>
      </c>
      <c r="G931" s="25" t="s">
        <v>7881</v>
      </c>
    </row>
    <row r="932" ht="15" customHeight="1">
      <c r="A932" s="25" t="s">
        <v>4044</v>
      </c>
      <c r="B932" s="25" t="s">
        <v>7882</v>
      </c>
      <c r="C932" s="25" t="s">
        <v>7883</v>
      </c>
      <c r="D932" s="25" t="s">
        <v>4324</v>
      </c>
      <c r="E932" s="25" t="s">
        <v>7884</v>
      </c>
      <c r="F932" s="25" t="s">
        <v>4507</v>
      </c>
      <c r="G932" s="25" t="s">
        <v>7885</v>
      </c>
    </row>
    <row r="933" ht="15" customHeight="1">
      <c r="A933" s="25" t="s">
        <v>4045</v>
      </c>
      <c r="B933" s="25" t="s">
        <v>7886</v>
      </c>
      <c r="C933" s="25" t="s">
        <v>7887</v>
      </c>
      <c r="D933" s="25" t="s">
        <v>1837</v>
      </c>
      <c r="E933" s="25" t="s">
        <v>7888</v>
      </c>
      <c r="F933" s="25" t="s">
        <v>4512</v>
      </c>
      <c r="G933" s="25" t="s">
        <v>7889</v>
      </c>
    </row>
    <row r="934" ht="15" customHeight="1">
      <c r="A934" s="25" t="s">
        <v>4048</v>
      </c>
      <c r="B934" s="25" t="s">
        <v>7890</v>
      </c>
      <c r="C934" s="25" t="s">
        <v>7891</v>
      </c>
      <c r="D934" s="25" t="s">
        <v>4203</v>
      </c>
      <c r="E934" s="25" t="s">
        <v>7892</v>
      </c>
      <c r="F934" s="25" t="s">
        <v>4517</v>
      </c>
      <c r="G934" s="25" t="s">
        <v>7893</v>
      </c>
    </row>
    <row r="935" ht="15" customHeight="1">
      <c r="A935" s="25" t="s">
        <v>4049</v>
      </c>
      <c r="B935" s="25" t="s">
        <v>7894</v>
      </c>
      <c r="C935" s="25" t="s">
        <v>7895</v>
      </c>
      <c r="D935" s="25" t="s">
        <v>4340</v>
      </c>
      <c r="E935" s="25" t="s">
        <v>7896</v>
      </c>
      <c r="F935" s="25" t="s">
        <v>4522</v>
      </c>
      <c r="G935" s="25" t="s">
        <v>7897</v>
      </c>
    </row>
    <row r="936" ht="15" customHeight="1">
      <c r="A936" s="25" t="s">
        <v>4051</v>
      </c>
      <c r="B936" s="25" t="s">
        <v>7898</v>
      </c>
      <c r="C936" s="25" t="s">
        <v>7899</v>
      </c>
      <c r="D936" s="25" t="s">
        <v>4346</v>
      </c>
      <c r="E936" s="25" t="s">
        <v>5804</v>
      </c>
      <c r="F936" s="25" t="s">
        <v>4527</v>
      </c>
      <c r="G936" s="25" t="s">
        <v>7900</v>
      </c>
    </row>
    <row r="937" ht="15" customHeight="1">
      <c r="A937" s="25" t="s">
        <v>4053</v>
      </c>
      <c r="B937" s="25" t="s">
        <v>7901</v>
      </c>
      <c r="C937" s="25" t="s">
        <v>7902</v>
      </c>
      <c r="D937" s="25" t="s">
        <v>4352</v>
      </c>
      <c r="E937" s="25" t="s">
        <v>7903</v>
      </c>
      <c r="F937" s="25" t="s">
        <v>4532</v>
      </c>
      <c r="G937" s="25" t="s">
        <v>7904</v>
      </c>
    </row>
    <row r="938" ht="15" customHeight="1">
      <c r="A938" s="25" t="s">
        <v>4056</v>
      </c>
      <c r="B938" s="25" t="s">
        <v>7905</v>
      </c>
      <c r="C938" s="25" t="s">
        <v>7906</v>
      </c>
      <c r="D938" s="25" t="s">
        <v>4209</v>
      </c>
      <c r="E938" s="25" t="s">
        <v>7907</v>
      </c>
      <c r="F938" s="25" t="s">
        <v>4537</v>
      </c>
      <c r="G938" s="25" t="s">
        <v>7908</v>
      </c>
    </row>
    <row r="939" ht="15" customHeight="1">
      <c r="A939" s="25" t="s">
        <v>4057</v>
      </c>
      <c r="B939" s="25" t="s">
        <v>7909</v>
      </c>
      <c r="C939" s="25" t="s">
        <v>7910</v>
      </c>
      <c r="D939" s="25" t="s">
        <v>1851</v>
      </c>
      <c r="E939" s="25" t="s">
        <v>7911</v>
      </c>
      <c r="F939" s="25" t="s">
        <v>4542</v>
      </c>
      <c r="G939" s="25" t="s">
        <v>7912</v>
      </c>
    </row>
    <row r="940" ht="15" customHeight="1">
      <c r="A940" s="25" t="s">
        <v>4059</v>
      </c>
      <c r="B940" s="25" t="s">
        <v>7913</v>
      </c>
      <c r="C940" s="25" t="s">
        <v>7914</v>
      </c>
      <c r="D940" s="25" t="s">
        <v>4220</v>
      </c>
      <c r="E940" s="25" t="s">
        <v>7915</v>
      </c>
      <c r="F940" s="25" t="s">
        <v>4547</v>
      </c>
      <c r="G940" s="25" t="s">
        <v>7916</v>
      </c>
    </row>
    <row r="941" ht="15" customHeight="1">
      <c r="A941" s="25" t="s">
        <v>4060</v>
      </c>
      <c r="B941" s="25" t="s">
        <v>7917</v>
      </c>
      <c r="C941" s="25" t="s">
        <v>7918</v>
      </c>
      <c r="D941" s="25" t="s">
        <v>1858</v>
      </c>
      <c r="E941" s="25" t="s">
        <v>7919</v>
      </c>
      <c r="F941" s="25" t="s">
        <v>4552</v>
      </c>
      <c r="G941" s="25" t="s">
        <v>7920</v>
      </c>
    </row>
    <row r="942" ht="15" customHeight="1">
      <c r="A942" s="25" t="s">
        <v>4062</v>
      </c>
      <c r="B942" s="25" t="s">
        <v>7921</v>
      </c>
      <c r="C942" s="25" t="s">
        <v>7922</v>
      </c>
      <c r="D942" s="25" t="s">
        <v>4378</v>
      </c>
      <c r="E942" s="25" t="s">
        <v>7923</v>
      </c>
      <c r="F942" s="25" t="s">
        <v>4557</v>
      </c>
      <c r="G942" s="25" t="s">
        <v>7924</v>
      </c>
    </row>
    <row r="943" ht="15" customHeight="1">
      <c r="A943" s="25" t="s">
        <v>4064</v>
      </c>
      <c r="B943" s="25" t="s">
        <v>7925</v>
      </c>
      <c r="C943" s="25" t="s">
        <v>7926</v>
      </c>
      <c r="D943" s="25" t="s">
        <v>4384</v>
      </c>
      <c r="E943" s="25" t="s">
        <v>7927</v>
      </c>
      <c r="F943" s="25" t="s">
        <v>4562</v>
      </c>
      <c r="G943" s="25" t="s">
        <v>7928</v>
      </c>
    </row>
    <row r="944" ht="15" customHeight="1">
      <c r="A944" s="25" t="s">
        <v>4066</v>
      </c>
      <c r="B944" s="25" t="s">
        <v>7929</v>
      </c>
      <c r="C944" s="25" t="s">
        <v>4590</v>
      </c>
      <c r="D944" s="25" t="s">
        <v>4390</v>
      </c>
      <c r="E944" s="25" t="s">
        <v>7930</v>
      </c>
      <c r="F944" s="25" t="s">
        <v>4567</v>
      </c>
      <c r="G944" s="25" t="s">
        <v>7931</v>
      </c>
    </row>
    <row r="945" ht="15" customHeight="1">
      <c r="A945" s="25" t="s">
        <v>4067</v>
      </c>
      <c r="B945" s="25" t="s">
        <v>7932</v>
      </c>
      <c r="C945" s="25" t="s">
        <v>7933</v>
      </c>
      <c r="D945" s="25" t="s">
        <v>1865</v>
      </c>
      <c r="E945" s="25" t="s">
        <v>7934</v>
      </c>
      <c r="F945" s="25" t="s">
        <v>4572</v>
      </c>
      <c r="G945" s="25" t="s">
        <v>7935</v>
      </c>
    </row>
    <row r="946" ht="15" customHeight="1">
      <c r="A946" s="25" t="s">
        <v>4069</v>
      </c>
      <c r="B946" s="25" t="s">
        <v>7936</v>
      </c>
      <c r="C946" s="25" t="s">
        <v>6087</v>
      </c>
      <c r="D946" s="25" t="s">
        <v>4236</v>
      </c>
      <c r="E946" s="25" t="s">
        <v>7937</v>
      </c>
      <c r="F946" s="25" t="s">
        <v>4577</v>
      </c>
      <c r="G946" s="25" t="s">
        <v>7938</v>
      </c>
    </row>
    <row r="947" ht="15" customHeight="1">
      <c r="A947" s="25" t="s">
        <v>4071</v>
      </c>
      <c r="B947" s="25" t="s">
        <v>7939</v>
      </c>
      <c r="C947" s="25" t="s">
        <v>7940</v>
      </c>
      <c r="D947" s="25" t="s">
        <v>4242</v>
      </c>
      <c r="E947" s="25" t="s">
        <v>7941</v>
      </c>
      <c r="F947" s="25" t="s">
        <v>4582</v>
      </c>
      <c r="G947" s="25" t="s">
        <v>7942</v>
      </c>
    </row>
    <row r="948" ht="15" customHeight="1">
      <c r="A948" s="25" t="s">
        <v>4073</v>
      </c>
      <c r="B948" s="25" t="s">
        <v>7943</v>
      </c>
      <c r="C948" s="25" t="s">
        <v>7944</v>
      </c>
      <c r="D948" s="25" t="s">
        <v>1802</v>
      </c>
      <c r="E948" s="25" t="s">
        <v>7945</v>
      </c>
      <c r="F948" s="25" t="s">
        <v>4587</v>
      </c>
      <c r="G948" s="25" t="s">
        <v>7946</v>
      </c>
    </row>
    <row r="949" ht="15" customHeight="1">
      <c r="A949" s="25" t="s">
        <v>4075</v>
      </c>
      <c r="B949" s="25" t="s">
        <v>7947</v>
      </c>
      <c r="C949" s="25" t="s">
        <v>7948</v>
      </c>
      <c r="D949" s="25" t="s">
        <v>4253</v>
      </c>
      <c r="E949" s="25" t="s">
        <v>7949</v>
      </c>
      <c r="F949" s="25" t="s">
        <v>4592</v>
      </c>
      <c r="G949" s="25" t="s">
        <v>7950</v>
      </c>
    </row>
    <row r="950" ht="15" customHeight="1">
      <c r="A950" s="25" t="s">
        <v>4077</v>
      </c>
      <c r="B950" s="25" t="s">
        <v>7951</v>
      </c>
      <c r="C950" s="25" t="s">
        <v>6746</v>
      </c>
      <c r="D950" s="25" t="s">
        <v>4259</v>
      </c>
      <c r="E950" s="25" t="s">
        <v>7952</v>
      </c>
      <c r="F950" s="25" t="s">
        <v>4597</v>
      </c>
      <c r="G950" s="25" t="s">
        <v>7953</v>
      </c>
    </row>
    <row r="951" ht="15" customHeight="1">
      <c r="A951" s="25" t="s">
        <v>4078</v>
      </c>
      <c r="B951" s="25" t="s">
        <v>6686</v>
      </c>
      <c r="C951" s="25" t="s">
        <v>7954</v>
      </c>
      <c r="D951" s="25" t="s">
        <v>1944</v>
      </c>
      <c r="E951" s="25" t="s">
        <v>6688</v>
      </c>
      <c r="F951" s="25" t="s">
        <v>4602</v>
      </c>
      <c r="G951" s="25" t="s">
        <v>7955</v>
      </c>
    </row>
    <row r="952" ht="15" customHeight="1">
      <c r="A952" s="25" t="s">
        <v>4080</v>
      </c>
      <c r="B952" s="25" t="s">
        <v>7956</v>
      </c>
      <c r="C952" s="25" t="s">
        <v>7957</v>
      </c>
      <c r="D952" s="25" t="s">
        <v>1816</v>
      </c>
      <c r="E952" s="25" t="s">
        <v>7958</v>
      </c>
      <c r="F952" s="25" t="s">
        <v>4607</v>
      </c>
      <c r="G952" s="25" t="s">
        <v>7959</v>
      </c>
    </row>
    <row r="953" ht="15" customHeight="1">
      <c r="A953" s="25" t="s">
        <v>4082</v>
      </c>
      <c r="B953" s="25" t="s">
        <v>7960</v>
      </c>
      <c r="C953" s="25" t="s">
        <v>7961</v>
      </c>
      <c r="D953" s="25" t="s">
        <v>4275</v>
      </c>
      <c r="E953" s="25" t="s">
        <v>7962</v>
      </c>
      <c r="F953" s="25" t="s">
        <v>4612</v>
      </c>
      <c r="G953" s="25" t="s">
        <v>7963</v>
      </c>
    </row>
    <row r="954" ht="15" customHeight="1">
      <c r="A954" s="25" t="s">
        <v>4084</v>
      </c>
      <c r="B954" s="25" t="s">
        <v>7964</v>
      </c>
      <c r="C954" s="25" t="s">
        <v>7965</v>
      </c>
      <c r="D954" s="25" t="s">
        <v>4281</v>
      </c>
      <c r="E954" s="25" t="s">
        <v>7966</v>
      </c>
      <c r="F954" s="25" t="s">
        <v>4617</v>
      </c>
      <c r="G954" s="25" t="s">
        <v>7967</v>
      </c>
    </row>
    <row r="955" ht="15" customHeight="1">
      <c r="A955" s="25" t="s">
        <v>4085</v>
      </c>
      <c r="B955" s="25" t="s">
        <v>7968</v>
      </c>
      <c r="C955" s="25" t="s">
        <v>7969</v>
      </c>
      <c r="D955" s="25" t="s">
        <v>4287</v>
      </c>
      <c r="E955" s="25" t="s">
        <v>7970</v>
      </c>
      <c r="F955" s="25" t="s">
        <v>4386</v>
      </c>
      <c r="G955" s="25" t="s">
        <v>7971</v>
      </c>
    </row>
    <row r="956" ht="15" customHeight="1">
      <c r="A956" s="25" t="s">
        <v>4087</v>
      </c>
      <c r="B956" s="25" t="s">
        <v>7972</v>
      </c>
      <c r="C956" s="25" t="s">
        <v>7973</v>
      </c>
      <c r="D956" s="25" t="s">
        <v>1823</v>
      </c>
      <c r="E956" s="25" t="s">
        <v>5950</v>
      </c>
      <c r="F956" s="25" t="s">
        <v>4407</v>
      </c>
      <c r="G956" s="25" t="s">
        <v>7974</v>
      </c>
    </row>
    <row r="957" ht="15" customHeight="1">
      <c r="A957" s="25" t="s">
        <v>4089</v>
      </c>
      <c r="B957" s="25" t="s">
        <v>7975</v>
      </c>
      <c r="C957" s="25" t="s">
        <v>7976</v>
      </c>
      <c r="D957" s="25" t="s">
        <v>1892</v>
      </c>
      <c r="E957" s="25" t="s">
        <v>7977</v>
      </c>
      <c r="F957" s="25" t="s">
        <v>4354</v>
      </c>
      <c r="G957" s="25" t="s">
        <v>7978</v>
      </c>
    </row>
    <row r="958" ht="15" customHeight="1">
      <c r="A958" s="25" t="s">
        <v>4091</v>
      </c>
      <c r="B958" s="25" t="s">
        <v>7979</v>
      </c>
      <c r="C958" s="25" t="s">
        <v>7980</v>
      </c>
      <c r="D958" s="25" t="s">
        <v>4187</v>
      </c>
      <c r="E958" s="25" t="s">
        <v>7981</v>
      </c>
      <c r="F958" s="25" t="s">
        <v>4447</v>
      </c>
      <c r="G958" s="25" t="s">
        <v>7982</v>
      </c>
    </row>
    <row r="959" ht="15" customHeight="1">
      <c r="A959" s="25" t="s">
        <v>4092</v>
      </c>
      <c r="B959" s="25" t="s">
        <v>7983</v>
      </c>
      <c r="C959" s="25" t="s">
        <v>7984</v>
      </c>
      <c r="D959" s="25" t="s">
        <v>4192</v>
      </c>
      <c r="E959" s="25" t="s">
        <v>7985</v>
      </c>
      <c r="F959" s="25" t="s">
        <v>4437</v>
      </c>
      <c r="G959" s="25" t="s">
        <v>7986</v>
      </c>
    </row>
    <row r="960" ht="15" customHeight="1">
      <c r="A960" s="25" t="s">
        <v>4094</v>
      </c>
      <c r="B960" s="25" t="s">
        <v>7987</v>
      </c>
      <c r="C960" s="25" t="s">
        <v>7988</v>
      </c>
      <c r="D960" s="25" t="s">
        <v>1830</v>
      </c>
      <c r="E960" s="25" t="s">
        <v>7989</v>
      </c>
      <c r="F960" s="25" t="s">
        <v>4422</v>
      </c>
      <c r="G960" s="25" t="s">
        <v>7990</v>
      </c>
    </row>
    <row r="961" ht="15" customHeight="1">
      <c r="A961" s="25" t="s">
        <v>4095</v>
      </c>
      <c r="B961" s="25" t="s">
        <v>7991</v>
      </c>
      <c r="C961" s="25" t="s">
        <v>7992</v>
      </c>
      <c r="D961" s="25" t="s">
        <v>4318</v>
      </c>
      <c r="E961" s="25" t="s">
        <v>7993</v>
      </c>
      <c r="F961" s="25" t="s">
        <v>4427</v>
      </c>
      <c r="G961" s="25" t="s">
        <v>7994</v>
      </c>
    </row>
    <row r="962" ht="15" customHeight="1">
      <c r="A962" s="25" t="s">
        <v>4097</v>
      </c>
      <c r="B962" s="25" t="s">
        <v>7995</v>
      </c>
      <c r="C962" s="25" t="s">
        <v>7996</v>
      </c>
      <c r="D962" s="25" t="s">
        <v>4324</v>
      </c>
      <c r="E962" s="25" t="s">
        <v>7997</v>
      </c>
      <c r="F962" s="25" t="s">
        <v>4432</v>
      </c>
      <c r="G962" s="25" t="s">
        <v>7998</v>
      </c>
    </row>
    <row r="963" ht="15" customHeight="1">
      <c r="A963" s="25" t="s">
        <v>4098</v>
      </c>
      <c r="B963" s="25" t="s">
        <v>7999</v>
      </c>
      <c r="C963" s="25" t="s">
        <v>8000</v>
      </c>
      <c r="D963" s="25" t="s">
        <v>1837</v>
      </c>
      <c r="E963" s="25" t="s">
        <v>8001</v>
      </c>
      <c r="F963" s="25" t="s">
        <v>4437</v>
      </c>
      <c r="G963" s="25" t="s">
        <v>8002</v>
      </c>
    </row>
    <row r="964" ht="15" customHeight="1">
      <c r="A964" s="25" t="s">
        <v>4100</v>
      </c>
      <c r="B964" s="25" t="s">
        <v>8003</v>
      </c>
      <c r="C964" s="25" t="s">
        <v>8004</v>
      </c>
      <c r="D964" s="25" t="s">
        <v>4203</v>
      </c>
      <c r="E964" s="25" t="s">
        <v>8005</v>
      </c>
      <c r="F964" s="25" t="s">
        <v>4442</v>
      </c>
      <c r="G964" s="25" t="s">
        <v>8006</v>
      </c>
    </row>
    <row r="965" ht="15" customHeight="1">
      <c r="A965" s="25" t="s">
        <v>4101</v>
      </c>
      <c r="B965" s="25" t="s">
        <v>8007</v>
      </c>
      <c r="C965" s="25" t="s">
        <v>8008</v>
      </c>
      <c r="D965" s="25" t="s">
        <v>4340</v>
      </c>
      <c r="E965" s="25" t="s">
        <v>8009</v>
      </c>
      <c r="F965" s="25" t="s">
        <v>4447</v>
      </c>
      <c r="G965" s="25" t="s">
        <v>8010</v>
      </c>
    </row>
    <row r="966" ht="15" customHeight="1">
      <c r="A966" s="25" t="s">
        <v>4103</v>
      </c>
      <c r="B966" s="25" t="s">
        <v>8011</v>
      </c>
      <c r="C966" s="25" t="s">
        <v>8012</v>
      </c>
      <c r="D966" s="25" t="s">
        <v>4346</v>
      </c>
      <c r="E966" s="25" t="s">
        <v>8013</v>
      </c>
      <c r="F966" s="25" t="s">
        <v>4452</v>
      </c>
      <c r="G966" s="25" t="s">
        <v>8014</v>
      </c>
    </row>
    <row r="967" ht="15" customHeight="1">
      <c r="A967" s="25" t="s">
        <v>4104</v>
      </c>
      <c r="B967" s="25" t="s">
        <v>8015</v>
      </c>
      <c r="C967" s="25" t="s">
        <v>8016</v>
      </c>
      <c r="D967" s="25" t="s">
        <v>4352</v>
      </c>
      <c r="E967" s="25" t="s">
        <v>8017</v>
      </c>
      <c r="F967" s="25" t="s">
        <v>4457</v>
      </c>
      <c r="G967" s="25" t="s">
        <v>8018</v>
      </c>
    </row>
    <row r="968" ht="15" customHeight="1">
      <c r="A968" s="25" t="s">
        <v>4106</v>
      </c>
      <c r="B968" s="25" t="s">
        <v>8019</v>
      </c>
      <c r="C968" s="25" t="s">
        <v>8020</v>
      </c>
      <c r="D968" s="25" t="s">
        <v>4209</v>
      </c>
      <c r="E968" s="25" t="s">
        <v>8021</v>
      </c>
      <c r="F968" s="25" t="s">
        <v>4462</v>
      </c>
      <c r="G968" s="25" t="s">
        <v>8022</v>
      </c>
    </row>
    <row r="969" ht="15" customHeight="1">
      <c r="A969" s="25" t="s">
        <v>4107</v>
      </c>
      <c r="B969" s="25" t="s">
        <v>8023</v>
      </c>
      <c r="C969" s="25" t="s">
        <v>8024</v>
      </c>
      <c r="D969" s="25" t="s">
        <v>1851</v>
      </c>
      <c r="E969" s="25" t="s">
        <v>8025</v>
      </c>
      <c r="F969" s="25" t="s">
        <v>4467</v>
      </c>
      <c r="G969" s="25" t="s">
        <v>8026</v>
      </c>
    </row>
    <row r="970" ht="15" customHeight="1">
      <c r="A970" s="25" t="s">
        <v>4109</v>
      </c>
      <c r="B970" s="25" t="s">
        <v>8027</v>
      </c>
      <c r="C970" s="25" t="s">
        <v>8028</v>
      </c>
      <c r="D970" s="25" t="s">
        <v>4220</v>
      </c>
      <c r="E970" s="25" t="s">
        <v>4401</v>
      </c>
      <c r="F970" s="25" t="s">
        <v>4472</v>
      </c>
      <c r="G970" s="25" t="s">
        <v>8029</v>
      </c>
    </row>
    <row r="971" ht="15" customHeight="1">
      <c r="A971" s="25" t="s">
        <v>4110</v>
      </c>
      <c r="B971" s="25" t="s">
        <v>6879</v>
      </c>
      <c r="C971" s="25" t="s">
        <v>8030</v>
      </c>
      <c r="D971" s="25" t="s">
        <v>1858</v>
      </c>
      <c r="E971" s="25" t="s">
        <v>8031</v>
      </c>
      <c r="F971" s="25" t="s">
        <v>4477</v>
      </c>
      <c r="G971" s="25" t="s">
        <v>8032</v>
      </c>
    </row>
    <row r="972" ht="15" customHeight="1">
      <c r="A972" s="25" t="s">
        <v>4112</v>
      </c>
      <c r="B972" s="25" t="s">
        <v>8033</v>
      </c>
      <c r="C972" s="25" t="s">
        <v>8034</v>
      </c>
      <c r="D972" s="25" t="s">
        <v>4378</v>
      </c>
      <c r="E972" s="25" t="s">
        <v>8035</v>
      </c>
      <c r="F972" s="25" t="s">
        <v>4482</v>
      </c>
      <c r="G972" s="25" t="s">
        <v>8036</v>
      </c>
    </row>
    <row r="973" ht="15" customHeight="1">
      <c r="A973" s="25" t="s">
        <v>4114</v>
      </c>
      <c r="B973" s="25" t="s">
        <v>8037</v>
      </c>
      <c r="C973" s="25" t="s">
        <v>8038</v>
      </c>
      <c r="D973" s="25" t="s">
        <v>4384</v>
      </c>
      <c r="E973" s="25" t="s">
        <v>8039</v>
      </c>
      <c r="F973" s="25" t="s">
        <v>4487</v>
      </c>
      <c r="G973" s="25" t="s">
        <v>8040</v>
      </c>
    </row>
    <row r="974" ht="15" customHeight="1">
      <c r="A974" s="25" t="s">
        <v>4116</v>
      </c>
      <c r="B974" s="25" t="s">
        <v>8041</v>
      </c>
      <c r="C974" s="25" t="s">
        <v>8042</v>
      </c>
      <c r="D974" s="25" t="s">
        <v>4390</v>
      </c>
      <c r="E974" s="25" t="s">
        <v>8043</v>
      </c>
      <c r="F974" s="25" t="s">
        <v>4492</v>
      </c>
      <c r="G974" s="25" t="s">
        <v>8044</v>
      </c>
    </row>
    <row r="975" ht="15" customHeight="1">
      <c r="A975" s="25" t="s">
        <v>4117</v>
      </c>
      <c r="B975" s="25" t="s">
        <v>8045</v>
      </c>
      <c r="C975" s="25" t="s">
        <v>8046</v>
      </c>
      <c r="D975" s="25" t="s">
        <v>1865</v>
      </c>
      <c r="E975" s="25" t="s">
        <v>8047</v>
      </c>
      <c r="F975" s="25" t="s">
        <v>4497</v>
      </c>
      <c r="G975" s="25" t="s">
        <v>8048</v>
      </c>
    </row>
    <row r="976" ht="15" customHeight="1">
      <c r="A976" s="25" t="s">
        <v>4119</v>
      </c>
      <c r="B976" s="25" t="s">
        <v>8049</v>
      </c>
      <c r="C976" s="25" t="s">
        <v>5387</v>
      </c>
      <c r="D976" s="25" t="s">
        <v>4236</v>
      </c>
      <c r="E976" s="25" t="s">
        <v>4661</v>
      </c>
      <c r="F976" s="25" t="s">
        <v>4502</v>
      </c>
      <c r="G976" s="25" t="s">
        <v>8050</v>
      </c>
    </row>
    <row r="977" ht="15" customHeight="1">
      <c r="A977" s="25" t="s">
        <v>4120</v>
      </c>
      <c r="B977" s="25" t="s">
        <v>8051</v>
      </c>
      <c r="C977" s="25" t="s">
        <v>8052</v>
      </c>
      <c r="D977" s="25" t="s">
        <v>4242</v>
      </c>
      <c r="E977" s="25" t="s">
        <v>8053</v>
      </c>
      <c r="F977" s="25" t="s">
        <v>4507</v>
      </c>
      <c r="G977" s="25" t="s">
        <v>8054</v>
      </c>
    </row>
    <row r="978" ht="15" customHeight="1">
      <c r="A978" s="25" t="s">
        <v>4122</v>
      </c>
      <c r="B978" s="25" t="s">
        <v>8055</v>
      </c>
      <c r="C978" s="25" t="s">
        <v>8056</v>
      </c>
      <c r="D978" s="25" t="s">
        <v>1802</v>
      </c>
      <c r="E978" s="25" t="s">
        <v>8057</v>
      </c>
      <c r="F978" s="25" t="s">
        <v>4512</v>
      </c>
      <c r="G978" s="25" t="s">
        <v>8058</v>
      </c>
    </row>
    <row r="979" ht="15" customHeight="1">
      <c r="A979" s="25" t="s">
        <v>4123</v>
      </c>
      <c r="B979" s="25" t="s">
        <v>8059</v>
      </c>
      <c r="C979" s="25" t="s">
        <v>8060</v>
      </c>
      <c r="D979" s="25" t="s">
        <v>4253</v>
      </c>
      <c r="E979" s="25" t="s">
        <v>8061</v>
      </c>
      <c r="F979" s="25" t="s">
        <v>4517</v>
      </c>
      <c r="G979" s="25" t="s">
        <v>8062</v>
      </c>
    </row>
    <row r="980" ht="15" customHeight="1">
      <c r="A980" s="25" t="s">
        <v>4125</v>
      </c>
      <c r="B980" s="25" t="s">
        <v>8063</v>
      </c>
      <c r="C980" s="25" t="s">
        <v>6373</v>
      </c>
      <c r="D980" s="25" t="s">
        <v>4259</v>
      </c>
      <c r="E980" s="25" t="s">
        <v>5566</v>
      </c>
      <c r="F980" s="25" t="s">
        <v>4522</v>
      </c>
      <c r="G980" s="25" t="s">
        <v>8064</v>
      </c>
    </row>
    <row r="981" ht="15" customHeight="1">
      <c r="A981" s="25" t="s">
        <v>4126</v>
      </c>
      <c r="B981" s="25" t="s">
        <v>8065</v>
      </c>
      <c r="C981" s="25" t="s">
        <v>8066</v>
      </c>
      <c r="D981" s="25" t="s">
        <v>1944</v>
      </c>
      <c r="E981" s="25" t="s">
        <v>8067</v>
      </c>
      <c r="F981" s="25" t="s">
        <v>4527</v>
      </c>
      <c r="G981" s="25" t="s">
        <v>8068</v>
      </c>
    </row>
    <row r="982" ht="15" customHeight="1">
      <c r="A982" s="25" t="s">
        <v>4128</v>
      </c>
      <c r="B982" s="25" t="s">
        <v>8069</v>
      </c>
      <c r="C982" s="25" t="s">
        <v>8070</v>
      </c>
      <c r="D982" s="25" t="s">
        <v>1816</v>
      </c>
      <c r="E982" s="25" t="s">
        <v>8071</v>
      </c>
      <c r="F982" s="25" t="s">
        <v>4532</v>
      </c>
      <c r="G982" s="25" t="s">
        <v>8072</v>
      </c>
    </row>
    <row r="983" ht="15" customHeight="1">
      <c r="A983" s="25" t="s">
        <v>4129</v>
      </c>
      <c r="B983" s="25" t="s">
        <v>8073</v>
      </c>
      <c r="C983" s="25" t="s">
        <v>8074</v>
      </c>
      <c r="D983" s="25" t="s">
        <v>4275</v>
      </c>
      <c r="E983" s="25" t="s">
        <v>8075</v>
      </c>
      <c r="F983" s="25" t="s">
        <v>4537</v>
      </c>
      <c r="G983" s="25" t="s">
        <v>8076</v>
      </c>
    </row>
    <row r="984" ht="15" customHeight="1">
      <c r="A984" s="25" t="s">
        <v>4131</v>
      </c>
      <c r="B984" s="25" t="s">
        <v>8077</v>
      </c>
      <c r="C984" s="25" t="s">
        <v>6142</v>
      </c>
      <c r="D984" s="25" t="s">
        <v>4281</v>
      </c>
      <c r="E984" s="25" t="s">
        <v>4906</v>
      </c>
      <c r="F984" s="25" t="s">
        <v>4542</v>
      </c>
      <c r="G984" s="25" t="s">
        <v>8078</v>
      </c>
    </row>
    <row r="985" ht="15" customHeight="1">
      <c r="A985" s="25" t="s">
        <v>4132</v>
      </c>
      <c r="B985" s="25" t="s">
        <v>8079</v>
      </c>
      <c r="C985" s="25" t="s">
        <v>8080</v>
      </c>
      <c r="D985" s="25" t="s">
        <v>4287</v>
      </c>
      <c r="E985" s="25" t="s">
        <v>8081</v>
      </c>
      <c r="F985" s="25" t="s">
        <v>4547</v>
      </c>
      <c r="G985" s="25" t="s">
        <v>8082</v>
      </c>
    </row>
    <row r="986" ht="15" customHeight="1">
      <c r="A986" s="25" t="s">
        <v>4134</v>
      </c>
      <c r="B986" s="25" t="s">
        <v>8083</v>
      </c>
      <c r="C986" s="25" t="s">
        <v>8084</v>
      </c>
      <c r="D986" s="25" t="s">
        <v>1823</v>
      </c>
      <c r="E986" s="25" t="s">
        <v>8085</v>
      </c>
      <c r="F986" s="25" t="s">
        <v>4552</v>
      </c>
      <c r="G986" s="25" t="s">
        <v>8086</v>
      </c>
    </row>
    <row r="987" ht="15" customHeight="1">
      <c r="A987" s="25" t="s">
        <v>4135</v>
      </c>
      <c r="B987" s="25" t="s">
        <v>8087</v>
      </c>
      <c r="C987" s="25" t="s">
        <v>8088</v>
      </c>
      <c r="D987" s="25" t="s">
        <v>1892</v>
      </c>
      <c r="E987" s="25" t="s">
        <v>8089</v>
      </c>
      <c r="F987" s="25" t="s">
        <v>4557</v>
      </c>
      <c r="G987" s="25" t="s">
        <v>8090</v>
      </c>
    </row>
    <row r="988" ht="15" customHeight="1">
      <c r="A988" s="25" t="s">
        <v>4137</v>
      </c>
      <c r="B988" s="25" t="s">
        <v>8091</v>
      </c>
      <c r="C988" s="25" t="s">
        <v>8092</v>
      </c>
      <c r="D988" s="25" t="s">
        <v>4187</v>
      </c>
      <c r="E988" s="25" t="s">
        <v>4581</v>
      </c>
      <c r="F988" s="25" t="s">
        <v>4562</v>
      </c>
      <c r="G988" s="25" t="s">
        <v>8093</v>
      </c>
    </row>
    <row r="989" ht="15" customHeight="1">
      <c r="A989" s="25" t="s">
        <v>4139</v>
      </c>
      <c r="B989" s="25" t="s">
        <v>8094</v>
      </c>
      <c r="C989" s="25" t="s">
        <v>8095</v>
      </c>
      <c r="D989" s="25" t="s">
        <v>4192</v>
      </c>
      <c r="E989" s="25" t="s">
        <v>8096</v>
      </c>
      <c r="F989" s="25" t="s">
        <v>4567</v>
      </c>
      <c r="G989" s="25" t="s">
        <v>8097</v>
      </c>
    </row>
    <row r="990" ht="15" customHeight="1">
      <c r="A990" s="25" t="s">
        <v>4142</v>
      </c>
      <c r="B990" s="25" t="s">
        <v>8098</v>
      </c>
      <c r="C990" s="25" t="s">
        <v>8099</v>
      </c>
      <c r="D990" s="25" t="s">
        <v>1830</v>
      </c>
      <c r="E990" s="25" t="s">
        <v>8100</v>
      </c>
      <c r="F990" s="25" t="s">
        <v>4572</v>
      </c>
      <c r="G990" s="25" t="s">
        <v>8101</v>
      </c>
    </row>
    <row r="991" ht="15" customHeight="1">
      <c r="A991" s="25" t="s">
        <v>4143</v>
      </c>
      <c r="B991" s="25" t="s">
        <v>8102</v>
      </c>
      <c r="C991" s="25" t="s">
        <v>8103</v>
      </c>
      <c r="D991" s="25" t="s">
        <v>4318</v>
      </c>
      <c r="E991" s="25" t="s">
        <v>8104</v>
      </c>
      <c r="F991" s="25" t="s">
        <v>4577</v>
      </c>
      <c r="G991" s="25" t="s">
        <v>8105</v>
      </c>
    </row>
    <row r="992" ht="15" customHeight="1">
      <c r="A992" s="25" t="s">
        <v>4145</v>
      </c>
      <c r="B992" s="25" t="s">
        <v>5462</v>
      </c>
      <c r="C992" s="25" t="s">
        <v>8106</v>
      </c>
      <c r="D992" s="25" t="s">
        <v>4324</v>
      </c>
      <c r="E992" s="25" t="s">
        <v>8107</v>
      </c>
      <c r="F992" s="25" t="s">
        <v>4582</v>
      </c>
      <c r="G992" s="25" t="s">
        <v>8108</v>
      </c>
    </row>
    <row r="993" ht="15" customHeight="1">
      <c r="A993" s="25" t="s">
        <v>4146</v>
      </c>
      <c r="B993" s="25" t="s">
        <v>8109</v>
      </c>
      <c r="C993" s="25" t="s">
        <v>8110</v>
      </c>
      <c r="D993" s="25" t="s">
        <v>1837</v>
      </c>
      <c r="E993" s="25" t="s">
        <v>8111</v>
      </c>
      <c r="F993" s="25" t="s">
        <v>4587</v>
      </c>
      <c r="G993" s="25" t="s">
        <v>8112</v>
      </c>
    </row>
    <row r="994" ht="15" customHeight="1">
      <c r="A994" s="25" t="s">
        <v>4148</v>
      </c>
      <c r="B994" s="25" t="s">
        <v>8113</v>
      </c>
      <c r="C994" s="25" t="s">
        <v>8114</v>
      </c>
      <c r="D994" s="25" t="s">
        <v>4203</v>
      </c>
      <c r="E994" s="25" t="s">
        <v>8115</v>
      </c>
      <c r="F994" s="25" t="s">
        <v>4592</v>
      </c>
      <c r="G994" s="25" t="s">
        <v>8116</v>
      </c>
    </row>
    <row r="995" ht="15" customHeight="1">
      <c r="A995" s="25" t="s">
        <v>4150</v>
      </c>
      <c r="B995" s="25" t="s">
        <v>8117</v>
      </c>
      <c r="C995" s="25" t="s">
        <v>8118</v>
      </c>
      <c r="D995" s="25" t="s">
        <v>4340</v>
      </c>
      <c r="E995" s="25" t="s">
        <v>6500</v>
      </c>
      <c r="F995" s="25" t="s">
        <v>4597</v>
      </c>
      <c r="G995" s="25" t="s">
        <v>8119</v>
      </c>
    </row>
    <row r="996" ht="15" customHeight="1">
      <c r="A996" s="25" t="s">
        <v>4152</v>
      </c>
      <c r="B996" s="25" t="s">
        <v>8120</v>
      </c>
      <c r="C996" s="25" t="s">
        <v>8121</v>
      </c>
      <c r="D996" s="25" t="s">
        <v>4346</v>
      </c>
      <c r="E996" s="25" t="s">
        <v>8122</v>
      </c>
      <c r="F996" s="25" t="s">
        <v>4602</v>
      </c>
      <c r="G996" s="25" t="s">
        <v>8123</v>
      </c>
    </row>
    <row r="997" ht="15" customHeight="1">
      <c r="A997" s="25" t="s">
        <v>4153</v>
      </c>
      <c r="B997" s="25" t="s">
        <v>8124</v>
      </c>
      <c r="C997" s="25" t="s">
        <v>8125</v>
      </c>
      <c r="D997" s="25" t="s">
        <v>4352</v>
      </c>
      <c r="E997" s="25" t="s">
        <v>8126</v>
      </c>
      <c r="F997" s="25" t="s">
        <v>4607</v>
      </c>
      <c r="G997" s="25" t="s">
        <v>8127</v>
      </c>
    </row>
    <row r="998" ht="15" customHeight="1">
      <c r="A998" s="25" t="s">
        <v>4155</v>
      </c>
      <c r="B998" s="25" t="s">
        <v>8128</v>
      </c>
      <c r="C998" s="25" t="s">
        <v>8129</v>
      </c>
      <c r="D998" s="25" t="s">
        <v>4209</v>
      </c>
      <c r="E998" s="25" t="s">
        <v>8130</v>
      </c>
      <c r="F998" s="25" t="s">
        <v>4612</v>
      </c>
      <c r="G998" s="25" t="s">
        <v>8131</v>
      </c>
    </row>
    <row r="999" ht="15" customHeight="1">
      <c r="A999" s="25" t="s">
        <v>4156</v>
      </c>
      <c r="B999" s="25" t="s">
        <v>8132</v>
      </c>
      <c r="C999" s="25" t="s">
        <v>8133</v>
      </c>
      <c r="D999" s="25" t="s">
        <v>1851</v>
      </c>
      <c r="E999" s="25" t="s">
        <v>8134</v>
      </c>
      <c r="F999" s="25" t="s">
        <v>4617</v>
      </c>
      <c r="G999" s="25" t="s">
        <v>8135</v>
      </c>
    </row>
    <row r="1000" ht="15" customHeight="1">
      <c r="A1000" s="25" t="s">
        <v>4159</v>
      </c>
      <c r="B1000" s="25" t="s">
        <v>8136</v>
      </c>
      <c r="C1000" s="25" t="s">
        <v>8137</v>
      </c>
      <c r="D1000" s="25" t="s">
        <v>4220</v>
      </c>
      <c r="E1000" s="25" t="s">
        <v>8138</v>
      </c>
      <c r="F1000" s="25" t="s">
        <v>4386</v>
      </c>
      <c r="G1000" s="25" t="s">
        <v>8139</v>
      </c>
    </row>
    <row r="1001" ht="15" customHeight="1">
      <c r="A1001" s="25" t="s">
        <v>4160</v>
      </c>
      <c r="B1001" s="25" t="s">
        <v>8140</v>
      </c>
      <c r="C1001" s="25" t="s">
        <v>8141</v>
      </c>
      <c r="D1001" s="25" t="s">
        <v>1858</v>
      </c>
      <c r="E1001" s="25" t="s">
        <v>8142</v>
      </c>
      <c r="F1001" s="25" t="s">
        <v>4407</v>
      </c>
      <c r="G1001" s="25" t="s">
        <v>8143</v>
      </c>
    </row>
    <row r="1003" ht="15" customHeight="1">
      <c r="I1003" s="16" t="s">
        <v>1794</v>
      </c>
    </row>
  </sheetData>
  <printOptions headings="0" gridLines="0"/>
  <pageMargins left="0.75" right="0.75" top="1" bottom="1" header="0.51181102362204689" footer="0.51181102362204689"/>
  <pageSetup paperSize="9" scale="100" fitToWidth="1" fitToHeight="1" pageOrder="downThenOver" orientation="portrait" usePrinterDefaults="1" blackAndWhite="0" draft="0" cellComments="none" useFirstPageNumber="0" errors="displayed" horizontalDpi="300" verticalDpi="3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Р7-Офис/2026.2.2.2683</Application>
  <Template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dc:language>en-US</dc:language>
  <cp:lastModifiedBy>Diliya Faizullina </cp:lastModifiedBy>
  <cp:revision>4</cp:revision>
  <dcterms:created xsi:type="dcterms:W3CDTF">2026-09-22T21:03:40Z</dcterms:created>
  <dcterms:modified xsi:type="dcterms:W3CDTF">2026-09-22T21:31:24Z</dcterms:modified>
</cp:coreProperties>
</file>